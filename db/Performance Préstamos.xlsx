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gsegovia_intercorp_com_pe/Documents/Documentos/BASES_PERFORMANCE_reproceso/"/>
    </mc:Choice>
  </mc:AlternateContent>
  <xr:revisionPtr revIDLastSave="18" documentId="11_E7E3571E6640632D6AEDCCC5E43D760891EEAB76" xr6:coauthVersionLast="47" xr6:coauthVersionMax="47" xr10:uidLastSave="{64A94D90-F437-4931-AD7F-4330EAEA90A2}"/>
  <bookViews>
    <workbookView xWindow="1815" yWindow="1815" windowWidth="15375" windowHeight="7875" tabRatio="849" firstSheet="1" activeTab="1" xr2:uid="{A83978E9-C8B6-41F5-B1B4-A5FA74D30F2A}"/>
  </bookViews>
  <sheets>
    <sheet name="Parametros" sheetId="2" state="hidden" r:id="rId1"/>
    <sheet name="Total_Producto_CHECK" sheetId="14" r:id="rId2"/>
    <sheet name="Desempeño_Financiero" sheetId="12" r:id="rId3"/>
    <sheet name="Indicadores" sheetId="13" r:id="rId4"/>
    <sheet name="Evolutivos--&gt;" sheetId="11" r:id="rId5"/>
    <sheet name="Total_Producto" sheetId="10" r:id="rId6"/>
    <sheet name="Renta_Alta" sheetId="1" r:id="rId7"/>
    <sheet name="Masivo" sheetId="8" r:id="rId8"/>
    <sheet name="Consumo_Inicial" sheetId="9" r:id="rId9"/>
    <sheet name="TDinamica_R" sheetId="3" r:id="rId10"/>
    <sheet name="TDinamica_P" sheetId="16" r:id="rId11"/>
  </sheets>
  <externalReferences>
    <externalReference r:id="rId12"/>
  </externalReferences>
  <calcPr calcId="191029"/>
  <pivotCaches>
    <pivotCache cacheId="8" r:id="rId13"/>
    <pivotCache cacheId="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3" i="14" l="1"/>
  <c r="BJ3" i="14"/>
  <c r="BI3" i="14"/>
  <c r="BH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"/>
  <c r="D3" i="8"/>
  <c r="D3" i="9"/>
  <c r="D3" i="10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O6" i="14"/>
  <c r="BQ6" i="14"/>
  <c r="BY6" i="14" s="1"/>
  <c r="BR6" i="14"/>
  <c r="BZ6" i="14" s="1"/>
  <c r="BS6" i="14"/>
  <c r="CA6" i="14" s="1"/>
  <c r="BT6" i="14"/>
  <c r="CB6" i="14" s="1"/>
  <c r="BW6" i="14"/>
  <c r="B3" i="13"/>
  <c r="W6" i="12"/>
  <c r="D6" i="12"/>
  <c r="BO6" i="10"/>
  <c r="BO2" i="10" s="1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BO6" i="9"/>
  <c r="BO2" i="9" s="1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BO6" i="8"/>
  <c r="BO2" i="8" s="1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BO6" i="1"/>
  <c r="BW6" i="1" s="1"/>
  <c r="C7" i="2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6" i="2"/>
  <c r="AZ4" i="1"/>
  <c r="BA4" i="1"/>
  <c r="BB4" i="1"/>
  <c r="BC4" i="1"/>
  <c r="BD4" i="1"/>
  <c r="BE4" i="1"/>
  <c r="BF4" i="1"/>
  <c r="BG4" i="1"/>
  <c r="BH4" i="1"/>
  <c r="BI4" i="1"/>
  <c r="BJ4" i="1"/>
  <c r="BK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3" i="13" l="1"/>
  <c r="P3" i="13" s="1"/>
  <c r="D3" i="12"/>
  <c r="BP6" i="14"/>
  <c r="BX6" i="14" s="1"/>
  <c r="BO2" i="14"/>
  <c r="BP2" i="14"/>
  <c r="BQ2" i="14"/>
  <c r="BR2" i="14"/>
  <c r="BS2" i="14"/>
  <c r="BT2" i="14"/>
  <c r="AB6" i="12"/>
  <c r="AH6" i="12" s="1"/>
  <c r="AN6" i="12" s="1"/>
  <c r="AA6" i="12"/>
  <c r="AG6" i="12" s="1"/>
  <c r="AM6" i="12" s="1"/>
  <c r="Z6" i="12"/>
  <c r="AF6" i="12" s="1"/>
  <c r="AL6" i="12" s="1"/>
  <c r="Y6" i="12"/>
  <c r="AE6" i="12" s="1"/>
  <c r="AK6" i="12" s="1"/>
  <c r="E6" i="12"/>
  <c r="E3" i="12" s="1"/>
  <c r="H6" i="12"/>
  <c r="H3" i="12" s="1"/>
  <c r="G6" i="12"/>
  <c r="X6" i="12"/>
  <c r="AD6" i="12" s="1"/>
  <c r="AJ6" i="12" s="1"/>
  <c r="N6" i="12"/>
  <c r="T6" i="12" s="1"/>
  <c r="E4" i="12"/>
  <c r="D4" i="12"/>
  <c r="I6" i="12"/>
  <c r="I3" i="12" s="1"/>
  <c r="F6" i="12"/>
  <c r="F3" i="12" s="1"/>
  <c r="BW6" i="10"/>
  <c r="BS6" i="10"/>
  <c r="BT6" i="10"/>
  <c r="BP6" i="10"/>
  <c r="BR6" i="10"/>
  <c r="BQ6" i="10"/>
  <c r="BO3" i="10"/>
  <c r="BO4" i="10"/>
  <c r="BR6" i="9"/>
  <c r="BP6" i="9"/>
  <c r="BW6" i="9"/>
  <c r="BS6" i="9"/>
  <c r="BQ6" i="9"/>
  <c r="BT6" i="9"/>
  <c r="BO4" i="9"/>
  <c r="BO3" i="9"/>
  <c r="BQ6" i="8"/>
  <c r="BT6" i="8"/>
  <c r="BW6" i="8"/>
  <c r="BS6" i="8"/>
  <c r="BP6" i="8"/>
  <c r="BR6" i="8"/>
  <c r="BO4" i="8"/>
  <c r="BO3" i="8"/>
  <c r="BO2" i="1"/>
  <c r="BT6" i="1"/>
  <c r="CB6" i="1" s="1"/>
  <c r="BS6" i="1"/>
  <c r="CA6" i="1" s="1"/>
  <c r="BR6" i="1"/>
  <c r="BZ6" i="1" s="1"/>
  <c r="BQ6" i="1"/>
  <c r="BY6" i="1" s="1"/>
  <c r="BP6" i="1"/>
  <c r="BX6" i="1" s="1"/>
  <c r="BO3" i="14" l="1"/>
  <c r="BO4" i="14"/>
  <c r="BP4" i="14"/>
  <c r="BP3" i="14"/>
  <c r="F3" i="13"/>
  <c r="G3" i="12"/>
  <c r="BQ4" i="14"/>
  <c r="BQ3" i="14"/>
  <c r="BR4" i="14"/>
  <c r="BR3" i="14"/>
  <c r="BS4" i="14"/>
  <c r="BS3" i="14"/>
  <c r="BT4" i="14"/>
  <c r="BT3" i="14"/>
  <c r="L3" i="13"/>
  <c r="S3" i="13"/>
  <c r="Y3" i="13" s="1"/>
  <c r="K6" i="12"/>
  <c r="Q6" i="12" s="1"/>
  <c r="D3" i="13"/>
  <c r="H4" i="12"/>
  <c r="G3" i="13"/>
  <c r="O6" i="12"/>
  <c r="U6" i="12" s="1"/>
  <c r="H3" i="13"/>
  <c r="L6" i="12"/>
  <c r="R6" i="12" s="1"/>
  <c r="E3" i="13"/>
  <c r="M6" i="12"/>
  <c r="S6" i="12" s="1"/>
  <c r="G4" i="12"/>
  <c r="I4" i="12"/>
  <c r="F4" i="12"/>
  <c r="CA6" i="10"/>
  <c r="BS2" i="10"/>
  <c r="CB6" i="10"/>
  <c r="BT2" i="10"/>
  <c r="BP2" i="10"/>
  <c r="BX6" i="10"/>
  <c r="BZ6" i="10"/>
  <c r="BR2" i="10"/>
  <c r="BY6" i="10"/>
  <c r="BQ2" i="10"/>
  <c r="BZ6" i="9"/>
  <c r="BR2" i="9"/>
  <c r="BP2" i="9"/>
  <c r="BX6" i="9"/>
  <c r="CA6" i="9"/>
  <c r="BS2" i="9"/>
  <c r="BY6" i="9"/>
  <c r="BQ2" i="9"/>
  <c r="CB6" i="9"/>
  <c r="BT2" i="9"/>
  <c r="BY6" i="8"/>
  <c r="BQ2" i="8"/>
  <c r="CB6" i="8"/>
  <c r="BT2" i="8"/>
  <c r="CA6" i="8"/>
  <c r="BS2" i="8"/>
  <c r="BX6" i="8"/>
  <c r="BP2" i="8"/>
  <c r="BR2" i="8"/>
  <c r="BZ6" i="8"/>
  <c r="BO3" i="1"/>
  <c r="BO4" i="1"/>
  <c r="BT2" i="1"/>
  <c r="BS2" i="1"/>
  <c r="BR2" i="1"/>
  <c r="BQ2" i="1"/>
  <c r="BP2" i="1"/>
  <c r="BA44" i="9"/>
  <c r="BE80" i="1"/>
  <c r="BB66" i="9"/>
  <c r="BA92" i="1"/>
  <c r="BE91" i="1"/>
  <c r="BC69" i="9"/>
  <c r="BE40" i="1"/>
  <c r="BI77" i="9"/>
  <c r="BB68" i="1"/>
  <c r="BA15" i="1"/>
  <c r="BK87" i="8"/>
  <c r="BF95" i="1"/>
  <c r="BJ44" i="9"/>
  <c r="BG74" i="1"/>
  <c r="BF70" i="8"/>
  <c r="BB72" i="9"/>
  <c r="BF69" i="9"/>
  <c r="BI79" i="9"/>
  <c r="BB73" i="8"/>
  <c r="BD39" i="1"/>
  <c r="BD76" i="1"/>
  <c r="BH88" i="9"/>
  <c r="BE77" i="9"/>
  <c r="AZ81" i="8"/>
  <c r="BB57" i="8"/>
  <c r="BJ88" i="9"/>
  <c r="BJ79" i="9"/>
  <c r="BF81" i="1"/>
  <c r="BI95" i="8"/>
  <c r="BA63" i="8"/>
  <c r="BB10" i="1"/>
  <c r="BJ78" i="8"/>
  <c r="BH74" i="8"/>
  <c r="BI88" i="1"/>
  <c r="BB69" i="8"/>
  <c r="BA10" i="1"/>
  <c r="BE88" i="8"/>
  <c r="AZ69" i="9"/>
  <c r="BB15" i="8"/>
  <c r="BF45" i="8"/>
  <c r="BC86" i="8"/>
  <c r="BC71" i="9"/>
  <c r="BC69" i="8"/>
  <c r="BJ45" i="9"/>
  <c r="BF95" i="9"/>
  <c r="BF8" i="9"/>
  <c r="BC78" i="9"/>
  <c r="BB8" i="8"/>
  <c r="BB75" i="8"/>
  <c r="BE71" i="8"/>
  <c r="BB38" i="1"/>
  <c r="BC57" i="8"/>
  <c r="BI65" i="9"/>
  <c r="BK14" i="8"/>
  <c r="BE16" i="9"/>
  <c r="BC10" i="1"/>
  <c r="BG79" i="8"/>
  <c r="BD66" i="8"/>
  <c r="BG78" i="9"/>
  <c r="BE10" i="1"/>
  <c r="BG8" i="9"/>
  <c r="BG87" i="1"/>
  <c r="BF46" i="1"/>
  <c r="BD70" i="1"/>
  <c r="BK87" i="9"/>
  <c r="BI73" i="1"/>
  <c r="BK73" i="1"/>
  <c r="AZ14" i="1"/>
  <c r="BH91" i="8"/>
  <c r="BB76" i="9"/>
  <c r="BI8" i="1"/>
  <c r="BG65" i="9"/>
  <c r="BB91" i="1"/>
  <c r="BJ76" i="8"/>
  <c r="BC81" i="9"/>
  <c r="BB82" i="9"/>
  <c r="BD73" i="1"/>
  <c r="BF66" i="1"/>
  <c r="BE39" i="1"/>
  <c r="BC8" i="8"/>
  <c r="BB82" i="8"/>
  <c r="BH71" i="8"/>
  <c r="AZ78" i="8"/>
  <c r="BF38" i="9"/>
  <c r="BF57" i="9"/>
  <c r="BJ70" i="9"/>
  <c r="BK74" i="1"/>
  <c r="BH63" i="1"/>
  <c r="BF80" i="8"/>
  <c r="BF87" i="1"/>
  <c r="BF66" i="8"/>
  <c r="BJ95" i="9"/>
  <c r="BH67" i="9"/>
  <c r="BG57" i="9"/>
  <c r="BK78" i="9"/>
  <c r="BJ88" i="1"/>
  <c r="BG91" i="1"/>
  <c r="BJ92" i="1"/>
  <c r="BB91" i="9"/>
  <c r="BB86" i="9"/>
  <c r="BF86" i="1"/>
  <c r="BE14" i="8"/>
  <c r="BB86" i="1"/>
  <c r="BG69" i="8"/>
  <c r="BI38" i="8"/>
  <c r="BJ81" i="1"/>
  <c r="BC67" i="1"/>
  <c r="BJ63" i="1"/>
  <c r="BI71" i="8"/>
  <c r="BC64" i="9"/>
  <c r="BD76" i="8"/>
  <c r="BA8" i="1"/>
  <c r="BK74" i="9"/>
  <c r="BJ63" i="8"/>
  <c r="BI63" i="9"/>
  <c r="BD92" i="9"/>
  <c r="BF9" i="8"/>
  <c r="BH45" i="1"/>
  <c r="BB65" i="8"/>
  <c r="BA91" i="8"/>
  <c r="BG56" i="8"/>
  <c r="BC71" i="1"/>
  <c r="BE45" i="9"/>
  <c r="BG73" i="1"/>
  <c r="BH79" i="8"/>
  <c r="BB67" i="1"/>
  <c r="BA38" i="9"/>
  <c r="BE14" i="1"/>
  <c r="BC63" i="8"/>
  <c r="BC75" i="9"/>
  <c r="BF74" i="9"/>
  <c r="BJ75" i="1"/>
  <c r="BJ79" i="1"/>
  <c r="BB40" i="1"/>
  <c r="BI74" i="9"/>
  <c r="BJ76" i="9"/>
  <c r="BG71" i="8"/>
  <c r="BG82" i="9"/>
  <c r="BA66" i="9"/>
  <c r="BF10" i="9"/>
  <c r="BF64" i="9"/>
  <c r="AZ71" i="9"/>
  <c r="BD10" i="9"/>
  <c r="BB69" i="9"/>
  <c r="BK86" i="1"/>
  <c r="BI92" i="1"/>
  <c r="BH77" i="1"/>
  <c r="BI81" i="8"/>
  <c r="BG39" i="1"/>
  <c r="BA63" i="9"/>
  <c r="BD88" i="8"/>
  <c r="BK67" i="8"/>
  <c r="BK68" i="1"/>
  <c r="BK66" i="9"/>
  <c r="BG86" i="1"/>
  <c r="BB78" i="8"/>
  <c r="BC10" i="8"/>
  <c r="BJ86" i="1"/>
  <c r="AZ66" i="1"/>
  <c r="AZ95" i="1"/>
  <c r="BK81" i="1"/>
  <c r="BK88" i="9"/>
  <c r="BC86" i="9"/>
  <c r="BC72" i="9"/>
  <c r="BB63" i="8"/>
  <c r="BC77" i="9"/>
  <c r="AZ64" i="9"/>
  <c r="BC76" i="1"/>
  <c r="BC63" i="1"/>
  <c r="BK46" i="9"/>
  <c r="BC75" i="8"/>
  <c r="BB10" i="8"/>
  <c r="BB81" i="8"/>
  <c r="BH91" i="9"/>
  <c r="BB38" i="8"/>
  <c r="BG66" i="1"/>
  <c r="BD81" i="1"/>
  <c r="BK80" i="9"/>
  <c r="BK65" i="8"/>
  <c r="BD44" i="9"/>
  <c r="BG64" i="1"/>
  <c r="AZ74" i="1"/>
  <c r="BD56" i="1"/>
  <c r="BJ67" i="8"/>
  <c r="BF71" i="8"/>
  <c r="BB57" i="9"/>
  <c r="BK65" i="1"/>
  <c r="BK69" i="1"/>
  <c r="BK16" i="8"/>
  <c r="BD80" i="1"/>
  <c r="AZ79" i="8"/>
  <c r="BD78" i="8"/>
  <c r="BJ86" i="9"/>
  <c r="BD77" i="9"/>
  <c r="BK69" i="8"/>
  <c r="BI92" i="9"/>
  <c r="BJ10" i="8"/>
  <c r="AZ9" i="8"/>
  <c r="BA16" i="9"/>
  <c r="BK81" i="9"/>
  <c r="BK71" i="1"/>
  <c r="BK75" i="1"/>
  <c r="BH76" i="9"/>
  <c r="AZ10" i="8"/>
  <c r="BD75" i="8"/>
  <c r="BH72" i="1"/>
  <c r="BH40" i="8"/>
  <c r="BG45" i="9"/>
  <c r="BG95" i="9"/>
  <c r="BK66" i="1"/>
  <c r="BE14" i="9"/>
  <c r="BG45" i="1"/>
  <c r="BB71" i="8"/>
  <c r="BF16" i="9"/>
  <c r="BC76" i="9"/>
  <c r="AZ77" i="8"/>
  <c r="BC75" i="1"/>
  <c r="AZ63" i="8"/>
  <c r="BI39" i="8"/>
  <c r="BJ95" i="1"/>
  <c r="BA68" i="8"/>
  <c r="BJ66" i="1"/>
  <c r="BH73" i="1"/>
  <c r="BG66" i="8"/>
  <c r="BK77" i="8"/>
  <c r="BJ92" i="9"/>
  <c r="BK82" i="9"/>
  <c r="BA9" i="1"/>
  <c r="BK14" i="9"/>
  <c r="BD44" i="8"/>
  <c r="BH70" i="1"/>
  <c r="BC56" i="9"/>
  <c r="BJ78" i="1"/>
  <c r="BF66" i="9"/>
  <c r="BK9" i="1"/>
  <c r="BG10" i="9"/>
  <c r="BD45" i="8"/>
  <c r="AZ79" i="9"/>
  <c r="BK75" i="9"/>
  <c r="BC68" i="8"/>
  <c r="BF74" i="1"/>
  <c r="BC73" i="9"/>
  <c r="BE75" i="9"/>
  <c r="BC92" i="8"/>
  <c r="BB92" i="8"/>
  <c r="BH9" i="8"/>
  <c r="BH77" i="8"/>
  <c r="BH81" i="8"/>
  <c r="BH87" i="9"/>
  <c r="BK80" i="8"/>
  <c r="BD39" i="9"/>
  <c r="AZ65" i="9"/>
  <c r="AZ87" i="1"/>
  <c r="BD68" i="9"/>
  <c r="BC79" i="1"/>
  <c r="BA72" i="9"/>
  <c r="BF70" i="1"/>
  <c r="BG16" i="1"/>
  <c r="BI14" i="9"/>
  <c r="BB66" i="1"/>
  <c r="BE75" i="8"/>
  <c r="BJ39" i="8"/>
  <c r="BF56" i="8"/>
  <c r="BK38" i="1"/>
  <c r="BI80" i="9"/>
  <c r="BG69" i="1"/>
  <c r="BJ82" i="9"/>
  <c r="BB91" i="8"/>
  <c r="AZ65" i="1"/>
  <c r="BD72" i="1"/>
  <c r="BK38" i="8"/>
  <c r="BE10" i="9"/>
  <c r="BC40" i="1"/>
  <c r="BK95" i="1"/>
  <c r="BG14" i="9"/>
  <c r="BD16" i="9"/>
  <c r="BF91" i="1"/>
  <c r="BF10" i="8"/>
  <c r="BB56" i="1"/>
  <c r="BC73" i="1"/>
  <c r="BB73" i="9"/>
  <c r="BA14" i="1"/>
  <c r="BA78" i="1"/>
  <c r="BC74" i="9"/>
  <c r="BF38" i="8"/>
  <c r="AZ57" i="9"/>
  <c r="BD77" i="8"/>
  <c r="BJ39" i="1"/>
  <c r="BJ78" i="9"/>
  <c r="BC14" i="9"/>
  <c r="BE67" i="8"/>
  <c r="BG63" i="8"/>
  <c r="BE78" i="8"/>
  <c r="BB9" i="9"/>
  <c r="BC91" i="1"/>
  <c r="BG77" i="9"/>
  <c r="BC38" i="1"/>
  <c r="BG14" i="8"/>
  <c r="BJ91" i="9"/>
  <c r="BE38" i="1"/>
  <c r="BD88" i="1"/>
  <c r="BH72" i="8"/>
  <c r="BK45" i="9"/>
  <c r="BK10" i="1"/>
  <c r="AZ73" i="8"/>
  <c r="BC87" i="1"/>
  <c r="BH15" i="9"/>
  <c r="BC70" i="8"/>
  <c r="BE45" i="1"/>
  <c r="BC71" i="8"/>
  <c r="BB87" i="8"/>
  <c r="BE80" i="8"/>
  <c r="BG86" i="8"/>
  <c r="BB38" i="9"/>
  <c r="BG81" i="9"/>
  <c r="BF45" i="9"/>
  <c r="BC79" i="9"/>
  <c r="BD57" i="9"/>
  <c r="BE70" i="1"/>
  <c r="BH64" i="9"/>
  <c r="BC40" i="8"/>
  <c r="BD95" i="1"/>
  <c r="BH68" i="9"/>
  <c r="BE80" i="9"/>
  <c r="BE64" i="9"/>
  <c r="BG74" i="8"/>
  <c r="BE77" i="1"/>
  <c r="BA65" i="9"/>
  <c r="BE57" i="1"/>
  <c r="BD72" i="8"/>
  <c r="BC77" i="1"/>
  <c r="BH10" i="8"/>
  <c r="BC65" i="1"/>
  <c r="BA79" i="9"/>
  <c r="BJ8" i="8"/>
  <c r="BH68" i="1"/>
  <c r="BG66" i="9"/>
  <c r="BK92" i="8"/>
  <c r="BG65" i="1"/>
  <c r="BE56" i="8"/>
  <c r="BK70" i="8"/>
  <c r="BK8" i="9"/>
  <c r="BF9" i="9"/>
  <c r="BD71" i="9"/>
  <c r="BE87" i="1"/>
  <c r="BG80" i="1"/>
  <c r="BF80" i="9"/>
  <c r="BH73" i="9"/>
  <c r="BB8" i="9"/>
  <c r="BB74" i="9"/>
  <c r="BG71" i="9"/>
  <c r="BC70" i="9"/>
  <c r="BC88" i="9"/>
  <c r="BK70" i="9"/>
  <c r="BC95" i="8"/>
  <c r="BD46" i="1"/>
  <c r="BF88" i="1"/>
  <c r="BE78" i="9"/>
  <c r="BG73" i="9"/>
  <c r="BH67" i="1"/>
  <c r="BB79" i="8"/>
  <c r="BD82" i="8"/>
  <c r="BJ77" i="1"/>
  <c r="AZ88" i="9"/>
  <c r="BA40" i="8"/>
  <c r="BI64" i="1"/>
  <c r="BB40" i="8"/>
  <c r="BF73" i="9"/>
  <c r="BB86" i="8"/>
  <c r="BB44" i="9"/>
  <c r="BH57" i="9"/>
  <c r="BE68" i="9"/>
  <c r="AZ88" i="8"/>
  <c r="BG16" i="9"/>
  <c r="BG63" i="9"/>
  <c r="BC14" i="1"/>
  <c r="BI46" i="9"/>
  <c r="BG44" i="9"/>
  <c r="BI68" i="1"/>
  <c r="BA74" i="1"/>
  <c r="BF75" i="1"/>
  <c r="BH81" i="9"/>
  <c r="BJ40" i="1"/>
  <c r="BK77" i="1"/>
  <c r="BE65" i="1"/>
  <c r="BE8" i="1"/>
  <c r="BK56" i="8"/>
  <c r="BI79" i="1"/>
  <c r="BF82" i="8"/>
  <c r="BH46" i="8"/>
  <c r="BK75" i="8"/>
  <c r="BD76" i="9"/>
  <c r="BE78" i="1"/>
  <c r="BG78" i="8"/>
  <c r="BB88" i="8"/>
  <c r="BB8" i="1"/>
  <c r="BE74" i="9"/>
  <c r="BC82" i="8"/>
  <c r="BI77" i="8"/>
  <c r="BA71" i="9"/>
  <c r="BJ91" i="1"/>
  <c r="AZ39" i="1"/>
  <c r="BJ72" i="8"/>
  <c r="BG91" i="9"/>
  <c r="BB56" i="9"/>
  <c r="BH14" i="8"/>
  <c r="BA40" i="1"/>
  <c r="BK68" i="8"/>
  <c r="BF81" i="8"/>
  <c r="BB14" i="1"/>
  <c r="BI56" i="8"/>
  <c r="BE79" i="1"/>
  <c r="BF92" i="9"/>
  <c r="AZ74" i="9"/>
  <c r="BK40" i="8"/>
  <c r="BK92" i="9"/>
  <c r="BB87" i="9"/>
  <c r="BF40" i="1"/>
  <c r="BE63" i="9"/>
  <c r="BG72" i="8"/>
  <c r="BC91" i="8"/>
  <c r="AZ82" i="8"/>
  <c r="BA63" i="1"/>
  <c r="BC66" i="1"/>
  <c r="BA10" i="8"/>
  <c r="BD38" i="8"/>
  <c r="BD91" i="9"/>
  <c r="BE95" i="8"/>
  <c r="BI78" i="9"/>
  <c r="BC64" i="8"/>
  <c r="BH80" i="1"/>
  <c r="BK46" i="1"/>
  <c r="BG46" i="9"/>
  <c r="BK87" i="1"/>
  <c r="BI73" i="8"/>
  <c r="BB39" i="8"/>
  <c r="BI57" i="9"/>
  <c r="BJ16" i="9"/>
  <c r="BG39" i="9"/>
  <c r="BA15" i="9"/>
  <c r="BB80" i="8"/>
  <c r="BK76" i="9"/>
  <c r="BA69" i="8"/>
  <c r="BA66" i="8"/>
  <c r="BI40" i="8"/>
  <c r="AZ15" i="1"/>
  <c r="BG68" i="9"/>
  <c r="BA95" i="8"/>
  <c r="BI91" i="8"/>
  <c r="BG88" i="9"/>
  <c r="BH82" i="8"/>
  <c r="AZ15" i="9"/>
  <c r="BG56" i="1"/>
  <c r="BJ67" i="1"/>
  <c r="BI80" i="8"/>
  <c r="AZ38" i="8"/>
  <c r="BI39" i="1"/>
  <c r="BH14" i="1"/>
  <c r="BI76" i="9"/>
  <c r="AZ67" i="8"/>
  <c r="BD87" i="9"/>
  <c r="AZ72" i="9"/>
  <c r="BJ64" i="1"/>
  <c r="BD86" i="8"/>
  <c r="BK64" i="8"/>
  <c r="BB82" i="1"/>
  <c r="BE74" i="8"/>
  <c r="BA44" i="1"/>
  <c r="BA39" i="1"/>
  <c r="AZ57" i="1"/>
  <c r="BC67" i="9"/>
  <c r="BC44" i="9"/>
  <c r="BE64" i="1"/>
  <c r="AZ46" i="8"/>
  <c r="BA79" i="8"/>
  <c r="BD66" i="1"/>
  <c r="BJ95" i="8"/>
  <c r="BI67" i="9"/>
  <c r="BH66" i="8"/>
  <c r="BA73" i="9"/>
  <c r="BC44" i="8"/>
  <c r="BB88" i="1"/>
  <c r="BH71" i="1"/>
  <c r="BA69" i="9"/>
  <c r="BK70" i="1"/>
  <c r="BB74" i="1"/>
  <c r="BK88" i="1"/>
  <c r="BI71" i="9"/>
  <c r="BI44" i="1"/>
  <c r="BD68" i="1"/>
  <c r="BG79" i="1"/>
  <c r="BK79" i="1"/>
  <c r="BC65" i="9"/>
  <c r="BG80" i="9"/>
  <c r="BD8" i="8"/>
  <c r="BG95" i="1"/>
  <c r="BA71" i="1"/>
  <c r="BH86" i="8"/>
  <c r="BK39" i="8"/>
  <c r="BI64" i="8"/>
  <c r="BE76" i="8"/>
  <c r="BA57" i="1"/>
  <c r="BD44" i="1"/>
  <c r="BD45" i="1"/>
  <c r="BA68" i="1"/>
  <c r="BA72" i="8"/>
  <c r="BH44" i="8"/>
  <c r="BJ9" i="8"/>
  <c r="BH92" i="8"/>
  <c r="AZ40" i="9"/>
  <c r="BB71" i="9"/>
  <c r="BA66" i="1"/>
  <c r="BE38" i="8"/>
  <c r="BK95" i="9"/>
  <c r="BE71" i="1"/>
  <c r="BH74" i="9"/>
  <c r="BA87" i="8"/>
  <c r="BK64" i="9"/>
  <c r="BD10" i="8"/>
  <c r="BD40" i="9"/>
  <c r="BD64" i="9"/>
  <c r="BB14" i="9"/>
  <c r="BI56" i="1"/>
  <c r="BF40" i="8"/>
  <c r="BB57" i="1"/>
  <c r="BA68" i="9"/>
  <c r="BA82" i="1"/>
  <c r="BC87" i="8"/>
  <c r="BD63" i="9"/>
  <c r="BG76" i="8"/>
  <c r="BC40" i="9"/>
  <c r="BC74" i="1"/>
  <c r="BD82" i="1"/>
  <c r="BG64" i="9"/>
  <c r="AZ81" i="1"/>
  <c r="BI78" i="1"/>
  <c r="BB80" i="1"/>
  <c r="BH70" i="9"/>
  <c r="BJ46" i="1"/>
  <c r="BK91" i="9"/>
  <c r="BE74" i="1"/>
  <c r="BK79" i="8"/>
  <c r="BE72" i="9"/>
  <c r="BD69" i="9"/>
  <c r="BH66" i="9"/>
  <c r="BD16" i="8"/>
  <c r="BC95" i="9"/>
  <c r="BH78" i="1"/>
  <c r="BF79" i="8"/>
  <c r="BA95" i="9"/>
  <c r="AZ40" i="1"/>
  <c r="BJ65" i="1"/>
  <c r="BG72" i="9"/>
  <c r="BH69" i="9"/>
  <c r="BD78" i="1"/>
  <c r="BE65" i="9"/>
  <c r="AZ63" i="9"/>
  <c r="BK64" i="1"/>
  <c r="BE81" i="9"/>
  <c r="BA15" i="8"/>
  <c r="BB66" i="8"/>
  <c r="BG56" i="9"/>
  <c r="BI78" i="8"/>
  <c r="BD67" i="8"/>
  <c r="BK95" i="8"/>
  <c r="BE69" i="1"/>
  <c r="BH63" i="9"/>
  <c r="BA78" i="8"/>
  <c r="BH10" i="1"/>
  <c r="BI82" i="9"/>
  <c r="BE71" i="9"/>
  <c r="BI68" i="9"/>
  <c r="BI74" i="8"/>
  <c r="BD9" i="8"/>
  <c r="BI65" i="8"/>
  <c r="BH79" i="1"/>
  <c r="BJ69" i="8"/>
  <c r="BF88" i="8"/>
  <c r="BJ79" i="8"/>
  <c r="BE68" i="1"/>
  <c r="BH69" i="8"/>
  <c r="BB46" i="1"/>
  <c r="BH38" i="1"/>
  <c r="BA14" i="8"/>
  <c r="BG40" i="8"/>
  <c r="BK78" i="8"/>
  <c r="AZ87" i="9"/>
  <c r="BG80" i="8"/>
  <c r="AZ95" i="9"/>
  <c r="AZ73" i="9"/>
  <c r="BG15" i="8"/>
  <c r="BI15" i="9"/>
  <c r="BA80" i="1"/>
  <c r="BB70" i="8"/>
  <c r="BI71" i="1"/>
  <c r="AZ91" i="8"/>
  <c r="AZ67" i="9"/>
  <c r="BG75" i="1"/>
  <c r="BJ10" i="9"/>
  <c r="BA65" i="1"/>
  <c r="AZ91" i="9"/>
  <c r="BD87" i="8"/>
  <c r="BA81" i="1"/>
  <c r="BF64" i="1"/>
  <c r="BE95" i="1"/>
  <c r="BE73" i="8"/>
  <c r="AZ38" i="1"/>
  <c r="BJ77" i="8"/>
  <c r="BB75" i="1"/>
  <c r="AZ71" i="8"/>
  <c r="BI82" i="1"/>
  <c r="BH69" i="1"/>
  <c r="BD9" i="1"/>
  <c r="AZ68" i="8"/>
  <c r="BI44" i="8"/>
  <c r="BJ82" i="1"/>
  <c r="BH56" i="8"/>
  <c r="BE88" i="9"/>
  <c r="BC73" i="8"/>
  <c r="BG46" i="8"/>
  <c r="BF68" i="8"/>
  <c r="BE81" i="1"/>
  <c r="BK8" i="1"/>
  <c r="BK72" i="1"/>
  <c r="BI92" i="8"/>
  <c r="BE9" i="9"/>
  <c r="BI14" i="8"/>
  <c r="BJ65" i="9"/>
  <c r="BC63" i="9"/>
  <c r="BD38" i="1"/>
  <c r="BA57" i="9"/>
  <c r="AZ63" i="1"/>
  <c r="BF65" i="1"/>
  <c r="BA75" i="1"/>
  <c r="BA79" i="1"/>
  <c r="BE82" i="8"/>
  <c r="BE92" i="9"/>
  <c r="BD38" i="9"/>
  <c r="BF88" i="9"/>
  <c r="BE72" i="1"/>
  <c r="BH75" i="1"/>
  <c r="BC72" i="1"/>
  <c r="BH10" i="9"/>
  <c r="BD65" i="9"/>
  <c r="BJ69" i="1"/>
  <c r="BD64" i="1"/>
  <c r="BK76" i="1"/>
  <c r="BJ66" i="9"/>
  <c r="BE82" i="1"/>
  <c r="BE46" i="8"/>
  <c r="BF14" i="1"/>
  <c r="AZ92" i="9"/>
  <c r="BD69" i="8"/>
  <c r="BA76" i="1"/>
  <c r="BI69" i="8"/>
  <c r="BB70" i="1"/>
  <c r="BA82" i="8"/>
  <c r="BF72" i="9"/>
  <c r="BD15" i="9"/>
  <c r="BA95" i="1"/>
  <c r="BI67" i="1"/>
  <c r="BJ75" i="8"/>
  <c r="BE87" i="8"/>
  <c r="BD14" i="1"/>
  <c r="BG67" i="9"/>
  <c r="BG9" i="8"/>
  <c r="BD80" i="8"/>
  <c r="BB95" i="1"/>
  <c r="BH39" i="9"/>
  <c r="BB78" i="9"/>
  <c r="BG69" i="9"/>
  <c r="BB64" i="9"/>
  <c r="BF82" i="1"/>
  <c r="BE39" i="8"/>
  <c r="BB80" i="9"/>
  <c r="AZ44" i="9"/>
  <c r="BC67" i="8"/>
  <c r="BB79" i="9"/>
  <c r="BH76" i="8"/>
  <c r="BI40" i="9"/>
  <c r="BF39" i="8"/>
  <c r="BB9" i="1"/>
  <c r="BE9" i="1"/>
  <c r="BC56" i="8"/>
  <c r="BF86" i="9"/>
  <c r="BK71" i="8"/>
  <c r="BK78" i="1"/>
  <c r="BC88" i="8"/>
  <c r="BH92" i="9"/>
  <c r="BI77" i="1"/>
  <c r="BF70" i="9"/>
  <c r="BJ88" i="8"/>
  <c r="BG76" i="9"/>
  <c r="BI75" i="9"/>
  <c r="BG67" i="8"/>
  <c r="BJ56" i="1"/>
  <c r="BF39" i="1"/>
  <c r="AZ8" i="9"/>
  <c r="BE70" i="8"/>
  <c r="BD82" i="9"/>
  <c r="BF57" i="8"/>
  <c r="BF87" i="8"/>
  <c r="BA87" i="9"/>
  <c r="BF76" i="1"/>
  <c r="AZ70" i="9"/>
  <c r="BB39" i="1"/>
  <c r="BE76" i="9"/>
  <c r="BD8" i="9"/>
  <c r="BA88" i="1"/>
  <c r="BJ86" i="8"/>
  <c r="BD71" i="1"/>
  <c r="BB95" i="9"/>
  <c r="BG81" i="8"/>
  <c r="BI44" i="9"/>
  <c r="BJ77" i="9"/>
  <c r="BI72" i="8"/>
  <c r="BJ80" i="8"/>
  <c r="BF79" i="9"/>
  <c r="BI88" i="9"/>
  <c r="BA82" i="9"/>
  <c r="BK10" i="9"/>
  <c r="AZ39" i="9"/>
  <c r="BA67" i="8"/>
  <c r="BH39" i="8"/>
  <c r="BK63" i="9"/>
  <c r="AZ86" i="1"/>
  <c r="BA86" i="8"/>
  <c r="AZ69" i="8"/>
  <c r="BD73" i="9"/>
  <c r="BK9" i="9"/>
  <c r="BJ67" i="9"/>
  <c r="BI87" i="1"/>
  <c r="BD73" i="8"/>
  <c r="BJ71" i="8"/>
  <c r="BK73" i="8"/>
  <c r="BK39" i="1"/>
  <c r="BF14" i="9"/>
  <c r="BF63" i="8"/>
  <c r="BC78" i="1"/>
  <c r="BC46" i="1"/>
  <c r="BI63" i="8"/>
  <c r="BF80" i="1"/>
  <c r="BF75" i="9"/>
  <c r="AZ77" i="1"/>
  <c r="AZ75" i="8"/>
  <c r="BJ10" i="1"/>
  <c r="BK91" i="8"/>
  <c r="BB40" i="9"/>
  <c r="BI73" i="9"/>
  <c r="BC45" i="8"/>
  <c r="BF77" i="1"/>
  <c r="BD91" i="8"/>
  <c r="AZ46" i="1"/>
  <c r="BK79" i="9"/>
  <c r="BF56" i="9"/>
  <c r="BG91" i="8"/>
  <c r="BF64" i="8"/>
  <c r="BF78" i="9"/>
  <c r="BE79" i="8"/>
  <c r="AZ72" i="1"/>
  <c r="BK63" i="1"/>
  <c r="BG77" i="8"/>
  <c r="BC86" i="1"/>
  <c r="BF15" i="1"/>
  <c r="BC78" i="8"/>
  <c r="AZ72" i="8"/>
  <c r="BG87" i="8"/>
  <c r="BG95" i="8"/>
  <c r="BD95" i="8"/>
  <c r="BB79" i="1"/>
  <c r="BG82" i="1"/>
  <c r="BI70" i="1"/>
  <c r="BB87" i="1"/>
  <c r="BJ70" i="1"/>
  <c r="BA46" i="8"/>
  <c r="BA81" i="8"/>
  <c r="BA8" i="8"/>
  <c r="AZ79" i="1"/>
  <c r="BK81" i="8"/>
  <c r="BF87" i="9"/>
  <c r="BJ56" i="9"/>
  <c r="AZ10" i="9"/>
  <c r="BD72" i="9"/>
  <c r="BA74" i="8"/>
  <c r="BC70" i="1"/>
  <c r="BH79" i="9"/>
  <c r="BE15" i="8"/>
  <c r="BA92" i="9"/>
  <c r="BF44" i="9"/>
  <c r="AZ91" i="1"/>
  <c r="BJ73" i="1"/>
  <c r="BI10" i="1"/>
  <c r="BF71" i="9"/>
  <c r="BG92" i="8"/>
  <c r="BA45" i="8"/>
  <c r="AZ64" i="1"/>
  <c r="BG88" i="8"/>
  <c r="AZ10" i="1"/>
  <c r="BG64" i="8"/>
  <c r="BI10" i="9"/>
  <c r="BF75" i="8"/>
  <c r="BC39" i="9"/>
  <c r="BG67" i="1"/>
  <c r="BB65" i="9"/>
  <c r="AZ76" i="1"/>
  <c r="BI10" i="8"/>
  <c r="BK38" i="9"/>
  <c r="BD74" i="1"/>
  <c r="BG65" i="8"/>
  <c r="BK45" i="8"/>
  <c r="BF68" i="1"/>
  <c r="BF82" i="9"/>
  <c r="BD65" i="8"/>
  <c r="BG38" i="9"/>
  <c r="BE77" i="8"/>
  <c r="BJ57" i="1"/>
  <c r="BF76" i="8"/>
  <c r="BE57" i="9"/>
  <c r="BK76" i="8"/>
  <c r="BB72" i="8"/>
  <c r="BG77" i="1"/>
  <c r="BJ14" i="1"/>
  <c r="BE88" i="1"/>
  <c r="BH87" i="8"/>
  <c r="BK68" i="9"/>
  <c r="BD79" i="1"/>
  <c r="BD81" i="8"/>
  <c r="BC66" i="9"/>
  <c r="BA38" i="1"/>
  <c r="BK40" i="9"/>
  <c r="BK9" i="8"/>
  <c r="BD87" i="1"/>
  <c r="BA65" i="8"/>
  <c r="BG10" i="1"/>
  <c r="BD67" i="9"/>
  <c r="BG9" i="9"/>
  <c r="BD67" i="1"/>
  <c r="BE65" i="8"/>
  <c r="BH78" i="9"/>
  <c r="BB71" i="1"/>
  <c r="BB73" i="1"/>
  <c r="BJ44" i="1"/>
  <c r="BJ38" i="8"/>
  <c r="BG70" i="9"/>
  <c r="BK44" i="1"/>
  <c r="BK86" i="8"/>
  <c r="BE73" i="1"/>
  <c r="BH8" i="9"/>
  <c r="BI70" i="9"/>
  <c r="BC77" i="8"/>
  <c r="BC56" i="1"/>
  <c r="BA72" i="1"/>
  <c r="BB67" i="9"/>
  <c r="BB95" i="8"/>
  <c r="BE16" i="1"/>
  <c r="BE92" i="8"/>
  <c r="BB67" i="8"/>
  <c r="BE82" i="9"/>
  <c r="BE86" i="1"/>
  <c r="BG68" i="1"/>
  <c r="BG75" i="8"/>
  <c r="BI65" i="1"/>
  <c r="BK65" i="9"/>
  <c r="BE87" i="9"/>
  <c r="BC44" i="1"/>
  <c r="BH92" i="1"/>
  <c r="BA75" i="8"/>
  <c r="BH80" i="9"/>
  <c r="BI67" i="8"/>
  <c r="AZ65" i="8"/>
  <c r="BA76" i="8"/>
  <c r="BA71" i="8"/>
  <c r="BJ68" i="8"/>
  <c r="BD70" i="9"/>
  <c r="BA86" i="1"/>
  <c r="BF74" i="8"/>
  <c r="BB92" i="9"/>
  <c r="BB69" i="1"/>
  <c r="BE67" i="9"/>
  <c r="BH65" i="8"/>
  <c r="BD56" i="8"/>
  <c r="BE91" i="8"/>
  <c r="BH40" i="9"/>
  <c r="BJ75" i="9"/>
  <c r="BK82" i="1"/>
  <c r="BC66" i="8"/>
  <c r="BK82" i="8"/>
  <c r="BA39" i="9"/>
  <c r="BI8" i="8"/>
  <c r="BI69" i="9"/>
  <c r="BF81" i="9"/>
  <c r="BI86" i="8"/>
  <c r="BG75" i="9"/>
  <c r="BH86" i="9"/>
  <c r="BI45" i="1"/>
  <c r="BC57" i="9"/>
  <c r="BF78" i="1"/>
  <c r="BC15" i="9"/>
  <c r="BD86" i="9"/>
  <c r="BA46" i="1"/>
  <c r="BB81" i="9"/>
  <c r="BE15" i="1"/>
  <c r="BI45" i="8"/>
  <c r="BC9" i="9"/>
  <c r="BA39" i="8"/>
  <c r="BD57" i="1"/>
  <c r="BH39" i="1"/>
  <c r="BH16" i="1"/>
  <c r="BC80" i="1"/>
  <c r="BA80" i="9"/>
  <c r="AZ81" i="9"/>
  <c r="BE45" i="8"/>
  <c r="BD81" i="9"/>
  <c r="BG81" i="1"/>
  <c r="BI16" i="1"/>
  <c r="BB15" i="1"/>
  <c r="BG14" i="1"/>
  <c r="BF92" i="8"/>
  <c r="AZ9" i="9"/>
  <c r="BA73" i="8"/>
  <c r="BI75" i="1"/>
  <c r="BH8" i="8"/>
  <c r="BJ87" i="8"/>
  <c r="BE10" i="8"/>
  <c r="BB64" i="8"/>
  <c r="AZ56" i="9"/>
  <c r="BC88" i="1"/>
  <c r="BB45" i="1"/>
  <c r="BA44" i="8"/>
  <c r="BA16" i="8"/>
  <c r="AZ45" i="8"/>
  <c r="BK45" i="1"/>
  <c r="BH44" i="1"/>
  <c r="BD9" i="9"/>
  <c r="BA70" i="9"/>
  <c r="AZ92" i="8"/>
  <c r="BF92" i="1"/>
  <c r="AZ56" i="1"/>
  <c r="BJ38" i="9"/>
  <c r="BG71" i="1"/>
  <c r="BA64" i="1"/>
  <c r="BH15" i="8"/>
  <c r="BI72" i="9"/>
  <c r="AZ57" i="8"/>
  <c r="BI72" i="1"/>
  <c r="BA9" i="8"/>
  <c r="BI81" i="9"/>
  <c r="BD63" i="8"/>
  <c r="BK74" i="8"/>
  <c r="BB92" i="1"/>
  <c r="BG92" i="9"/>
  <c r="AZ9" i="1"/>
  <c r="BI38" i="9"/>
  <c r="BK8" i="8"/>
  <c r="BC14" i="8"/>
  <c r="BE66" i="8"/>
  <c r="BE69" i="8"/>
  <c r="BH64" i="8"/>
  <c r="BH64" i="1"/>
  <c r="AZ46" i="9"/>
  <c r="BE70" i="9"/>
  <c r="AZ69" i="1"/>
  <c r="BJ64" i="8"/>
  <c r="AZ78" i="9"/>
  <c r="BJ40" i="8"/>
  <c r="BI91" i="1"/>
  <c r="BA8" i="9"/>
  <c r="BA38" i="8"/>
  <c r="BE95" i="9"/>
  <c r="BI9" i="1"/>
  <c r="BF76" i="9"/>
  <c r="BD71" i="8"/>
  <c r="BD8" i="1"/>
  <c r="BJ16" i="8"/>
  <c r="BA40" i="9"/>
  <c r="BD74" i="8"/>
  <c r="BI95" i="9"/>
  <c r="BF86" i="8"/>
  <c r="BD88" i="9"/>
  <c r="BH38" i="9"/>
  <c r="BH70" i="8"/>
  <c r="BK67" i="9"/>
  <c r="BA91" i="1"/>
  <c r="BC65" i="8"/>
  <c r="BG79" i="9"/>
  <c r="BE75" i="1"/>
  <c r="BC87" i="9"/>
  <c r="BI9" i="8"/>
  <c r="BA77" i="1"/>
  <c r="BI46" i="8"/>
  <c r="AZ95" i="8"/>
  <c r="BF40" i="9"/>
  <c r="BK67" i="1"/>
  <c r="BD92" i="8"/>
  <c r="BH45" i="8"/>
  <c r="BD10" i="1"/>
  <c r="BB74" i="8"/>
  <c r="AZ56" i="8"/>
  <c r="BJ73" i="8"/>
  <c r="BK72" i="9"/>
  <c r="BD77" i="1"/>
  <c r="BH88" i="8"/>
  <c r="AZ68" i="1"/>
  <c r="AZ74" i="8"/>
  <c r="BJ8" i="9"/>
  <c r="AZ8" i="1"/>
  <c r="BI63" i="1"/>
  <c r="BI15" i="1"/>
  <c r="BB77" i="1"/>
  <c r="BJ91" i="8"/>
  <c r="BF44" i="1"/>
  <c r="BD14" i="9"/>
  <c r="BJ8" i="1"/>
  <c r="BB39" i="9"/>
  <c r="BG74" i="9"/>
  <c r="BE16" i="8"/>
  <c r="BK66" i="8"/>
  <c r="BJ69" i="9"/>
  <c r="BF71" i="1"/>
  <c r="BF91" i="8"/>
  <c r="BA69" i="1"/>
  <c r="AZ75" i="9"/>
  <c r="AZ45" i="1"/>
  <c r="BE72" i="8"/>
  <c r="BA81" i="9"/>
  <c r="BJ80" i="9"/>
  <c r="AZ45" i="9"/>
  <c r="BG8" i="1"/>
  <c r="BF73" i="1"/>
  <c r="BA45" i="1"/>
  <c r="BH9" i="9"/>
  <c r="AZ82" i="9"/>
  <c r="BI66" i="9"/>
  <c r="BJ39" i="9"/>
  <c r="BI46" i="1"/>
  <c r="BF67" i="9"/>
  <c r="BB68" i="9"/>
  <c r="BI76" i="8"/>
  <c r="BC80" i="9"/>
  <c r="BK15" i="1"/>
  <c r="BF67" i="1"/>
  <c r="BH95" i="1"/>
  <c r="BE64" i="8"/>
  <c r="BA80" i="8"/>
  <c r="BD56" i="9"/>
  <c r="AZ8" i="8"/>
  <c r="BG38" i="1"/>
  <c r="BH77" i="9"/>
  <c r="BA70" i="8"/>
  <c r="BI74" i="1"/>
  <c r="BJ44" i="8"/>
  <c r="BF67" i="8"/>
  <c r="AZ40" i="8"/>
  <c r="BI64" i="9"/>
  <c r="BJ46" i="8"/>
  <c r="BH15" i="1"/>
  <c r="BB81" i="1"/>
  <c r="BD80" i="9"/>
  <c r="BI87" i="8"/>
  <c r="BE63" i="8"/>
  <c r="BA46" i="9"/>
  <c r="BK86" i="9"/>
  <c r="BI15" i="8"/>
  <c r="BH16" i="9"/>
  <c r="BK14" i="1"/>
  <c r="BJ80" i="1"/>
  <c r="BI86" i="1"/>
  <c r="BC8" i="9"/>
  <c r="BE39" i="9"/>
  <c r="BF73" i="8"/>
  <c r="BI75" i="8"/>
  <c r="BI82" i="8"/>
  <c r="BF9" i="1"/>
  <c r="BH57" i="8"/>
  <c r="BF16" i="8"/>
  <c r="BJ74" i="1"/>
  <c r="BH66" i="1"/>
  <c r="BE46" i="1"/>
  <c r="BA10" i="9"/>
  <c r="BD91" i="1"/>
  <c r="BJ70" i="8"/>
  <c r="BA57" i="8"/>
  <c r="BA74" i="9"/>
  <c r="BC38" i="9"/>
  <c r="BE66" i="1"/>
  <c r="AZ76" i="9"/>
  <c r="BJ57" i="8"/>
  <c r="BG70" i="1"/>
  <c r="BH74" i="1"/>
  <c r="BC15" i="1"/>
  <c r="BC82" i="1"/>
  <c r="BH46" i="1"/>
  <c r="BI87" i="9"/>
  <c r="BJ46" i="9"/>
  <c r="BG72" i="1"/>
  <c r="BE38" i="9"/>
  <c r="BH63" i="8"/>
  <c r="BH88" i="1"/>
  <c r="BC91" i="9"/>
  <c r="BF46" i="8"/>
  <c r="BB16" i="1"/>
  <c r="BI56" i="9"/>
  <c r="BK15" i="9"/>
  <c r="BJ45" i="1"/>
  <c r="BF45" i="1"/>
  <c r="BE44" i="9"/>
  <c r="AZ92" i="1"/>
  <c r="BJ74" i="9"/>
  <c r="BK44" i="9"/>
  <c r="BD68" i="8"/>
  <c r="BC81" i="8"/>
  <c r="BC57" i="1"/>
  <c r="BD15" i="8"/>
  <c r="BI45" i="9"/>
  <c r="BI81" i="1"/>
  <c r="BF65" i="8"/>
  <c r="AZ77" i="9"/>
  <c r="AZ73" i="1"/>
  <c r="BE9" i="8"/>
  <c r="BH16" i="8"/>
  <c r="BB72" i="1"/>
  <c r="BC9" i="8"/>
  <c r="BH73" i="8"/>
  <c r="BB56" i="8"/>
  <c r="BK77" i="9"/>
  <c r="BK57" i="9"/>
  <c r="BF38" i="1"/>
  <c r="BK80" i="1"/>
  <c r="BD75" i="1"/>
  <c r="BA91" i="9"/>
  <c r="BC92" i="9"/>
  <c r="BC72" i="8"/>
  <c r="BH45" i="9"/>
  <c r="BD79" i="8"/>
  <c r="BF63" i="1"/>
  <c r="BF14" i="8"/>
  <c r="BI95" i="1"/>
  <c r="BG46" i="1"/>
  <c r="BG76" i="1"/>
  <c r="BJ9" i="9"/>
  <c r="BH95" i="8"/>
  <c r="BI70" i="8"/>
  <c r="BC9" i="1"/>
  <c r="BC16" i="1"/>
  <c r="BK39" i="9"/>
  <c r="BI8" i="9"/>
  <c r="BD46" i="8"/>
  <c r="BK57" i="1"/>
  <c r="BB70" i="9"/>
  <c r="BI80" i="1"/>
  <c r="BE56" i="1"/>
  <c r="BF77" i="8"/>
  <c r="BG38" i="8"/>
  <c r="AZ87" i="8"/>
  <c r="BG70" i="8"/>
  <c r="BG8" i="8"/>
  <c r="AZ16" i="8"/>
  <c r="BJ15" i="8"/>
  <c r="BC79" i="8"/>
  <c r="BK15" i="8"/>
  <c r="AZ16" i="1"/>
  <c r="BI76" i="1"/>
  <c r="BB16" i="8"/>
  <c r="BJ68" i="1"/>
  <c r="BF69" i="8"/>
  <c r="AZ70" i="8"/>
  <c r="BH40" i="1"/>
  <c r="BH71" i="9"/>
  <c r="BD66" i="9"/>
  <c r="BI86" i="9"/>
  <c r="AZ86" i="8"/>
  <c r="BF72" i="1"/>
  <c r="BK63" i="8"/>
  <c r="BF46" i="9"/>
  <c r="BH82" i="9"/>
  <c r="BE91" i="9"/>
  <c r="BC95" i="1"/>
  <c r="AZ86" i="9"/>
  <c r="BH56" i="9"/>
  <c r="BI9" i="9"/>
  <c r="BK88" i="8"/>
  <c r="BB44" i="1"/>
  <c r="BK73" i="9"/>
  <c r="BJ81" i="9"/>
  <c r="BG44" i="1"/>
  <c r="BJ16" i="1"/>
  <c r="BH38" i="8"/>
  <c r="BG57" i="1"/>
  <c r="BE86" i="9"/>
  <c r="BJ68" i="9"/>
  <c r="BC68" i="9"/>
  <c r="BJ72" i="9"/>
  <c r="BJ64" i="9"/>
  <c r="BH86" i="1"/>
  <c r="BE66" i="9"/>
  <c r="BC81" i="1"/>
  <c r="BC64" i="1"/>
  <c r="BG68" i="8"/>
  <c r="BJ76" i="1"/>
  <c r="BF56" i="1"/>
  <c r="BC46" i="9"/>
  <c r="BA67" i="1"/>
  <c r="BH14" i="9"/>
  <c r="BB16" i="9"/>
  <c r="BA14" i="9"/>
  <c r="BA92" i="8"/>
  <c r="BE15" i="9"/>
  <c r="BB46" i="9"/>
  <c r="BF8" i="8"/>
  <c r="BB10" i="9"/>
  <c r="BC80" i="8"/>
  <c r="BJ72" i="1"/>
  <c r="BJ81" i="8"/>
  <c r="AZ14" i="8"/>
  <c r="BE44" i="8"/>
  <c r="BA16" i="1"/>
  <c r="BA76" i="9"/>
  <c r="BD79" i="9"/>
  <c r="BH57" i="1"/>
  <c r="BC45" i="9"/>
  <c r="BF65" i="9"/>
  <c r="BI91" i="9"/>
  <c r="AZ76" i="8"/>
  <c r="BH9" i="1"/>
  <c r="BK69" i="9"/>
  <c r="BC16" i="8"/>
  <c r="AZ80" i="9"/>
  <c r="BF39" i="9"/>
  <c r="BA70" i="1"/>
  <c r="BJ14" i="9"/>
  <c r="BE79" i="9"/>
  <c r="BF91" i="9"/>
  <c r="BF8" i="1"/>
  <c r="BB45" i="8"/>
  <c r="AZ88" i="1"/>
  <c r="BI16" i="8"/>
  <c r="BJ73" i="9"/>
  <c r="BH8" i="1"/>
  <c r="BH75" i="8"/>
  <c r="BB76" i="8"/>
  <c r="BJ87" i="1"/>
  <c r="BG40" i="1"/>
  <c r="BJ74" i="8"/>
  <c r="BJ40" i="9"/>
  <c r="BK56" i="9"/>
  <c r="BK57" i="8"/>
  <c r="BC69" i="1"/>
  <c r="BG10" i="8"/>
  <c r="BH46" i="9"/>
  <c r="BH91" i="1"/>
  <c r="BK16" i="9"/>
  <c r="BG44" i="8"/>
  <c r="BJ82" i="8"/>
  <c r="AZ71" i="1"/>
  <c r="BC82" i="9"/>
  <c r="BE76" i="1"/>
  <c r="BG9" i="1"/>
  <c r="BD16" i="1"/>
  <c r="BB78" i="1"/>
  <c r="AZ67" i="1"/>
  <c r="BJ15" i="1"/>
  <c r="BC46" i="8"/>
  <c r="BC8" i="1"/>
  <c r="BE8" i="8"/>
  <c r="BB65" i="1"/>
  <c r="BD92" i="1"/>
  <c r="BI57" i="1"/>
  <c r="BK91" i="1"/>
  <c r="BE63" i="1"/>
  <c r="BH44" i="9"/>
  <c r="BC16" i="9"/>
  <c r="AZ82" i="1"/>
  <c r="BA86" i="9"/>
  <c r="AZ15" i="8"/>
  <c r="BA56" i="9"/>
  <c r="BK16" i="1"/>
  <c r="BF15" i="9"/>
  <c r="BH80" i="8"/>
  <c r="BJ9" i="1"/>
  <c r="BF44" i="8"/>
  <c r="BI40" i="1"/>
  <c r="BE92" i="1"/>
  <c r="BD64" i="8"/>
  <c r="BD40" i="1"/>
  <c r="BC39" i="1"/>
  <c r="BD65" i="1"/>
  <c r="BF77" i="9"/>
  <c r="BG63" i="1"/>
  <c r="BD15" i="1"/>
  <c r="BJ71" i="9"/>
  <c r="AZ14" i="9"/>
  <c r="BK40" i="1"/>
  <c r="BH65" i="1"/>
  <c r="BE86" i="8"/>
  <c r="BA9" i="9"/>
  <c r="BD95" i="9"/>
  <c r="BA88" i="8"/>
  <c r="BD70" i="8"/>
  <c r="BI79" i="8"/>
  <c r="BG15" i="9"/>
  <c r="BJ57" i="9"/>
  <c r="BA64" i="9"/>
  <c r="AZ80" i="8"/>
  <c r="BI39" i="9"/>
  <c r="AZ70" i="1"/>
  <c r="BI66" i="8"/>
  <c r="BK72" i="8"/>
  <c r="BG78" i="1"/>
  <c r="BE73" i="9"/>
  <c r="BH82" i="1"/>
  <c r="BA45" i="9"/>
  <c r="BH95" i="9"/>
  <c r="BF68" i="9"/>
  <c r="BJ65" i="8"/>
  <c r="BK56" i="1"/>
  <c r="BJ71" i="1"/>
  <c r="BJ38" i="1"/>
  <c r="BD46" i="9"/>
  <c r="BB9" i="8"/>
  <c r="BC38" i="8"/>
  <c r="BD69" i="1"/>
  <c r="BK92" i="1"/>
  <c r="BD78" i="9"/>
  <c r="BK71" i="9"/>
  <c r="BD14" i="8"/>
  <c r="BA87" i="1"/>
  <c r="BB63" i="9"/>
  <c r="AZ16" i="9"/>
  <c r="BH78" i="8"/>
  <c r="BC10" i="9"/>
  <c r="BB15" i="9"/>
  <c r="BJ56" i="8"/>
  <c r="BH56" i="1"/>
  <c r="BB44" i="8"/>
  <c r="BG15" i="1"/>
  <c r="BE81" i="8"/>
  <c r="BK46" i="8"/>
  <c r="BJ15" i="9"/>
  <c r="BA67" i="9"/>
  <c r="BA56" i="1"/>
  <c r="BJ45" i="8"/>
  <c r="BC76" i="8"/>
  <c r="BF72" i="8"/>
  <c r="BC15" i="8"/>
  <c r="BH68" i="8"/>
  <c r="BD86" i="1"/>
  <c r="AZ80" i="1"/>
  <c r="AZ64" i="8"/>
  <c r="BB68" i="8"/>
  <c r="BI66" i="1"/>
  <c r="BA77" i="9"/>
  <c r="BB77" i="8"/>
  <c r="BB63" i="1"/>
  <c r="BG45" i="8"/>
  <c r="BE40" i="8"/>
  <c r="BF15" i="8"/>
  <c r="BI68" i="8"/>
  <c r="BG87" i="9"/>
  <c r="BE67" i="1"/>
  <c r="BF69" i="1"/>
  <c r="BI88" i="8"/>
  <c r="BB88" i="9"/>
  <c r="BH76" i="1"/>
  <c r="BA64" i="8"/>
  <c r="BC39" i="8"/>
  <c r="BE40" i="9"/>
  <c r="BK10" i="8"/>
  <c r="BD63" i="1"/>
  <c r="BB77" i="9"/>
  <c r="AZ38" i="9"/>
  <c r="AZ39" i="8"/>
  <c r="BE57" i="8"/>
  <c r="BH87" i="1"/>
  <c r="BB76" i="1"/>
  <c r="BG16" i="8"/>
  <c r="BD39" i="8"/>
  <c r="BA75" i="9"/>
  <c r="BH81" i="1"/>
  <c r="BD74" i="9"/>
  <c r="BB45" i="9"/>
  <c r="BB75" i="9"/>
  <c r="BF79" i="1"/>
  <c r="BD57" i="8"/>
  <c r="BD75" i="9"/>
  <c r="BK44" i="8"/>
  <c r="BC74" i="8"/>
  <c r="BB46" i="8"/>
  <c r="BE68" i="8"/>
  <c r="BF10" i="1"/>
  <c r="BA78" i="9"/>
  <c r="BJ14" i="8"/>
  <c r="BG73" i="8"/>
  <c r="BG39" i="8"/>
  <c r="BF95" i="8"/>
  <c r="BH65" i="9"/>
  <c r="BH72" i="9"/>
  <c r="BJ87" i="9"/>
  <c r="BF57" i="1"/>
  <c r="BF16" i="1"/>
  <c r="BG92" i="1"/>
  <c r="BI14" i="1"/>
  <c r="BJ63" i="9"/>
  <c r="BE8" i="9"/>
  <c r="AZ78" i="1"/>
  <c r="BC45" i="1"/>
  <c r="AZ66" i="9"/>
  <c r="BA56" i="8"/>
  <c r="BI16" i="9"/>
  <c r="BJ66" i="8"/>
  <c r="AZ75" i="1"/>
  <c r="BC92" i="1"/>
  <c r="BF78" i="8"/>
  <c r="BI57" i="8"/>
  <c r="AZ68" i="9"/>
  <c r="BA73" i="1"/>
  <c r="BA88" i="9"/>
  <c r="BC68" i="1"/>
  <c r="BB14" i="8"/>
  <c r="BE56" i="9"/>
  <c r="BA77" i="8"/>
  <c r="BG86" i="9"/>
  <c r="BH75" i="9"/>
  <c r="BJ92" i="8"/>
  <c r="BD40" i="8"/>
  <c r="AZ66" i="8"/>
  <c r="BE46" i="9"/>
  <c r="AZ44" i="8"/>
  <c r="BG88" i="1"/>
  <c r="BG57" i="8"/>
  <c r="BF63" i="9"/>
  <c r="BB64" i="1"/>
  <c r="BH67" i="8"/>
  <c r="AZ44" i="1"/>
  <c r="BG82" i="8"/>
  <c r="BG40" i="9"/>
  <c r="BI69" i="1"/>
  <c r="BI38" i="1"/>
  <c r="BE69" i="9"/>
  <c r="BD45" i="9"/>
  <c r="BE44" i="1"/>
  <c r="L56" i="9"/>
  <c r="M45" i="9"/>
  <c r="AQ69" i="1"/>
  <c r="AG77" i="1"/>
  <c r="AB45" i="9"/>
  <c r="X40" i="8"/>
  <c r="S9" i="9"/>
  <c r="AV81" i="1"/>
  <c r="AG46" i="8"/>
  <c r="AL9" i="9"/>
  <c r="Q78" i="8"/>
  <c r="AJ56" i="9"/>
  <c r="D57" i="9"/>
  <c r="K9" i="1"/>
  <c r="AK64" i="1"/>
  <c r="AW44" i="9"/>
  <c r="AD39" i="8"/>
  <c r="X92" i="9"/>
  <c r="AL76" i="9"/>
  <c r="X67" i="9"/>
  <c r="T68" i="9"/>
  <c r="AM39" i="8"/>
  <c r="H71" i="9"/>
  <c r="V76" i="1"/>
  <c r="P77" i="8"/>
  <c r="L87" i="8"/>
  <c r="AU67" i="8"/>
  <c r="AS72" i="1"/>
  <c r="AU39" i="1"/>
  <c r="O86" i="1"/>
  <c r="J71" i="9"/>
  <c r="E74" i="9"/>
  <c r="E68" i="9"/>
  <c r="W78" i="9"/>
  <c r="W40" i="8"/>
  <c r="AV63" i="9"/>
  <c r="E88" i="1"/>
  <c r="AD91" i="1"/>
  <c r="S10" i="8"/>
  <c r="AJ9" i="9"/>
  <c r="U79" i="8"/>
  <c r="I95" i="8"/>
  <c r="W87" i="9"/>
  <c r="AB86" i="1"/>
  <c r="AF79" i="8"/>
  <c r="R39" i="1"/>
  <c r="G91" i="8"/>
  <c r="AS44" i="1"/>
  <c r="P92" i="9"/>
  <c r="Z14" i="9"/>
  <c r="AY65" i="9"/>
  <c r="W69" i="1"/>
  <c r="AF78" i="9"/>
  <c r="AD66" i="8"/>
  <c r="AA86" i="1"/>
  <c r="AS78" i="9"/>
  <c r="H65" i="9"/>
  <c r="AV77" i="8"/>
  <c r="N74" i="1"/>
  <c r="AB71" i="1"/>
  <c r="U81" i="8"/>
  <c r="AU76" i="8"/>
  <c r="S86" i="1"/>
  <c r="Z77" i="1"/>
  <c r="I92" i="1"/>
  <c r="W68" i="9"/>
  <c r="D75" i="9"/>
  <c r="AR77" i="1"/>
  <c r="AS66" i="9"/>
  <c r="I65" i="8"/>
  <c r="AF88" i="8"/>
  <c r="AN77" i="8"/>
  <c r="AV75" i="9"/>
  <c r="AA63" i="1"/>
  <c r="AH67" i="9"/>
  <c r="AH14" i="9"/>
  <c r="AB73" i="1"/>
  <c r="M79" i="9"/>
  <c r="AO39" i="1"/>
  <c r="M87" i="8"/>
  <c r="AC71" i="8"/>
  <c r="AH39" i="9"/>
  <c r="X78" i="8"/>
  <c r="AU87" i="9"/>
  <c r="Z45" i="9"/>
  <c r="AV72" i="8"/>
  <c r="AY8" i="8"/>
  <c r="H77" i="1"/>
  <c r="AH39" i="8"/>
  <c r="AX86" i="9"/>
  <c r="T40" i="1"/>
  <c r="AR66" i="9"/>
  <c r="E79" i="9"/>
  <c r="T69" i="1"/>
  <c r="AC68" i="1"/>
  <c r="Y9" i="1"/>
  <c r="AS82" i="9"/>
  <c r="AV82" i="9"/>
  <c r="AE92" i="8"/>
  <c r="I75" i="1"/>
  <c r="G44" i="9"/>
  <c r="AO95" i="8"/>
  <c r="V71" i="9"/>
  <c r="AU38" i="9"/>
  <c r="AD38" i="1"/>
  <c r="Z95" i="8"/>
  <c r="W77" i="9"/>
  <c r="AK68" i="8"/>
  <c r="AP78" i="8"/>
  <c r="AR74" i="9"/>
  <c r="R38" i="9"/>
  <c r="AO76" i="1"/>
  <c r="AK67" i="8"/>
  <c r="AB79" i="1"/>
  <c r="Y78" i="9"/>
  <c r="AE81" i="1"/>
  <c r="H75" i="8"/>
  <c r="J39" i="1"/>
  <c r="AS71" i="8"/>
  <c r="AV15" i="1"/>
  <c r="AM91" i="8"/>
  <c r="AP74" i="1"/>
  <c r="AF92" i="9"/>
  <c r="AE8" i="1"/>
  <c r="P86" i="8"/>
  <c r="AR82" i="9"/>
  <c r="AG68" i="9"/>
  <c r="V92" i="8"/>
  <c r="X65" i="9"/>
  <c r="AK78" i="8"/>
  <c r="AC91" i="9"/>
  <c r="J9" i="8"/>
  <c r="U57" i="8"/>
  <c r="O77" i="8"/>
  <c r="AT78" i="9"/>
  <c r="AV80" i="8"/>
  <c r="AA44" i="9"/>
  <c r="X86" i="8"/>
  <c r="AC74" i="1"/>
  <c r="O66" i="1"/>
  <c r="AV79" i="1"/>
  <c r="Q75" i="9"/>
  <c r="F95" i="9"/>
  <c r="I92" i="8"/>
  <c r="K46" i="8"/>
  <c r="D87" i="9"/>
  <c r="Q92" i="8"/>
  <c r="L74" i="1"/>
  <c r="AQ91" i="1"/>
  <c r="D38" i="9"/>
  <c r="R79" i="1"/>
  <c r="AA40" i="9"/>
  <c r="Z92" i="9"/>
  <c r="AI91" i="1"/>
  <c r="V39" i="8"/>
  <c r="AL87" i="8"/>
  <c r="K65" i="9"/>
  <c r="AH68" i="1"/>
  <c r="AS16" i="8"/>
  <c r="U82" i="1"/>
  <c r="I67" i="9"/>
  <c r="G46" i="1"/>
  <c r="H80" i="8"/>
  <c r="AA14" i="9"/>
  <c r="AU69" i="1"/>
  <c r="AF64" i="9"/>
  <c r="AW95" i="8"/>
  <c r="AY71" i="9"/>
  <c r="E64" i="1"/>
  <c r="N63" i="8"/>
  <c r="AU44" i="1"/>
  <c r="E92" i="1"/>
  <c r="L63" i="9"/>
  <c r="F8" i="1"/>
  <c r="AE69" i="9"/>
  <c r="AL81" i="9"/>
  <c r="AS14" i="8"/>
  <c r="AV75" i="8"/>
  <c r="O87" i="8"/>
  <c r="AB63" i="8"/>
  <c r="M78" i="8"/>
  <c r="AE66" i="8"/>
  <c r="AH40" i="8"/>
  <c r="P74" i="1"/>
  <c r="AO44" i="1"/>
  <c r="AW73" i="9"/>
  <c r="AQ8" i="8"/>
  <c r="AY16" i="9"/>
  <c r="AM78" i="9"/>
  <c r="AG95" i="9"/>
  <c r="W81" i="8"/>
  <c r="AV72" i="1"/>
  <c r="O75" i="8"/>
  <c r="AD72" i="9"/>
  <c r="K66" i="9"/>
  <c r="O16" i="8"/>
  <c r="AL63" i="9"/>
  <c r="AJ86" i="8"/>
  <c r="I71" i="1"/>
  <c r="L66" i="9"/>
  <c r="AQ88" i="9"/>
  <c r="S15" i="9"/>
  <c r="AN91" i="8"/>
  <c r="AA82" i="9"/>
  <c r="I68" i="1"/>
  <c r="AA71" i="1"/>
  <c r="AS40" i="1"/>
  <c r="AX46" i="1"/>
  <c r="AH72" i="9"/>
  <c r="U57" i="9"/>
  <c r="AE66" i="9"/>
  <c r="AP57" i="9"/>
  <c r="AU9" i="8"/>
  <c r="Q65" i="9"/>
  <c r="AR56" i="1"/>
  <c r="I10" i="9"/>
  <c r="U57" i="1"/>
  <c r="W46" i="1"/>
  <c r="G10" i="8"/>
  <c r="AQ16" i="1"/>
  <c r="AI63" i="8"/>
  <c r="AB16" i="8"/>
  <c r="AX68" i="9"/>
  <c r="U63" i="9"/>
  <c r="AQ76" i="9"/>
  <c r="S92" i="8"/>
  <c r="AC57" i="8"/>
  <c r="U46" i="1"/>
  <c r="AT86" i="8"/>
  <c r="F65" i="9"/>
  <c r="T69" i="9"/>
  <c r="AO76" i="9"/>
  <c r="V95" i="1"/>
  <c r="AB80" i="9"/>
  <c r="AT95" i="8"/>
  <c r="J80" i="8"/>
  <c r="AS65" i="1"/>
  <c r="O91" i="8"/>
  <c r="AN88" i="9"/>
  <c r="Q88" i="8"/>
  <c r="AN74" i="9"/>
  <c r="O87" i="9"/>
  <c r="AQ66" i="8"/>
  <c r="Q70" i="9"/>
  <c r="M86" i="9"/>
  <c r="AK72" i="9"/>
  <c r="AF15" i="9"/>
  <c r="E15" i="9"/>
  <c r="X92" i="8"/>
  <c r="N46" i="9"/>
  <c r="AF82" i="8"/>
  <c r="R78" i="8"/>
  <c r="F87" i="8"/>
  <c r="AL67" i="9"/>
  <c r="AO72" i="9"/>
  <c r="AA75" i="9"/>
  <c r="AP71" i="9"/>
  <c r="AP79" i="9"/>
  <c r="AN44" i="8"/>
  <c r="AL92" i="9"/>
  <c r="Y68" i="9"/>
  <c r="AE79" i="9"/>
  <c r="E95" i="8"/>
  <c r="AR92" i="9"/>
  <c r="AU68" i="9"/>
  <c r="H77" i="9"/>
  <c r="W45" i="9"/>
  <c r="AQ68" i="9"/>
  <c r="AO40" i="8"/>
  <c r="P78" i="9"/>
  <c r="V70" i="1"/>
  <c r="AM74" i="9"/>
  <c r="Y45" i="8"/>
  <c r="AE87" i="8"/>
  <c r="AO71" i="9"/>
  <c r="AQ80" i="8"/>
  <c r="AI80" i="9"/>
  <c r="I73" i="8"/>
  <c r="AX95" i="8"/>
  <c r="AM45" i="9"/>
  <c r="M39" i="8"/>
  <c r="AO77" i="8"/>
  <c r="AO72" i="1"/>
  <c r="AP87" i="9"/>
  <c r="AS64" i="9"/>
  <c r="AT15" i="9"/>
  <c r="G76" i="9"/>
  <c r="Y67" i="9"/>
  <c r="AT9" i="1"/>
  <c r="M44" i="9"/>
  <c r="AH38" i="9"/>
  <c r="AK70" i="8"/>
  <c r="AO69" i="8"/>
  <c r="G46" i="9"/>
  <c r="AO68" i="8"/>
  <c r="AH57" i="9"/>
  <c r="AL10" i="9"/>
  <c r="AD67" i="8"/>
  <c r="AQ67" i="1"/>
  <c r="AQ87" i="9"/>
  <c r="Q64" i="8"/>
  <c r="E87" i="8"/>
  <c r="N38" i="1"/>
  <c r="AJ67" i="9"/>
  <c r="AI82" i="9"/>
  <c r="O57" i="8"/>
  <c r="S88" i="9"/>
  <c r="H69" i="9"/>
  <c r="J86" i="9"/>
  <c r="AH80" i="1"/>
  <c r="AR91" i="8"/>
  <c r="AS44" i="9"/>
  <c r="L65" i="8"/>
  <c r="L67" i="8"/>
  <c r="AW8" i="9"/>
  <c r="AF78" i="8"/>
  <c r="AB87" i="8"/>
  <c r="AD87" i="9"/>
  <c r="AV73" i="1"/>
  <c r="U40" i="9"/>
  <c r="AO65" i="8"/>
  <c r="AL78" i="9"/>
  <c r="AV79" i="9"/>
  <c r="F63" i="9"/>
  <c r="N95" i="8"/>
  <c r="AD46" i="1"/>
  <c r="AU63" i="9"/>
  <c r="O64" i="9"/>
  <c r="V77" i="9"/>
  <c r="AE46" i="9"/>
  <c r="AU87" i="8"/>
  <c r="Q64" i="9"/>
  <c r="D67" i="8"/>
  <c r="AX70" i="9"/>
  <c r="M8" i="1"/>
  <c r="Q40" i="1"/>
  <c r="K57" i="9"/>
  <c r="AL74" i="1"/>
  <c r="AH66" i="1"/>
  <c r="L69" i="8"/>
  <c r="AO63" i="9"/>
  <c r="AI70" i="8"/>
  <c r="AU88" i="8"/>
  <c r="O10" i="9"/>
  <c r="R82" i="9"/>
  <c r="M72" i="1"/>
  <c r="AP65" i="1"/>
  <c r="Z74" i="8"/>
  <c r="V67" i="1"/>
  <c r="L45" i="9"/>
  <c r="G82" i="8"/>
  <c r="G10" i="1"/>
  <c r="AT68" i="8"/>
  <c r="AQ45" i="8"/>
  <c r="AU45" i="9"/>
  <c r="AW91" i="8"/>
  <c r="E91" i="9"/>
  <c r="AB69" i="9"/>
  <c r="U63" i="1"/>
  <c r="Z81" i="8"/>
  <c r="AS45" i="1"/>
  <c r="AK66" i="9"/>
  <c r="K74" i="1"/>
  <c r="AK88" i="9"/>
  <c r="AU73" i="9"/>
  <c r="X67" i="1"/>
  <c r="AF9" i="1"/>
  <c r="AP72" i="8"/>
  <c r="AU95" i="1"/>
  <c r="AO87" i="9"/>
  <c r="H87" i="8"/>
  <c r="D82" i="1"/>
  <c r="AS9" i="1"/>
  <c r="J69" i="8"/>
  <c r="Y91" i="9"/>
  <c r="I39" i="1"/>
  <c r="AO81" i="8"/>
  <c r="N57" i="9"/>
  <c r="J40" i="9"/>
  <c r="L82" i="1"/>
  <c r="Z76" i="1"/>
  <c r="AE91" i="8"/>
  <c r="Y68" i="1"/>
  <c r="R86" i="9"/>
  <c r="AX10" i="9"/>
  <c r="AN9" i="1"/>
  <c r="Z57" i="8"/>
  <c r="AA8" i="1"/>
  <c r="AP66" i="9"/>
  <c r="AY40" i="8"/>
  <c r="AJ38" i="9"/>
  <c r="AQ63" i="9"/>
  <c r="AH80" i="9"/>
  <c r="E81" i="9"/>
  <c r="H45" i="9"/>
  <c r="V66" i="9"/>
  <c r="AN72" i="1"/>
  <c r="AJ38" i="1"/>
  <c r="AX92" i="9"/>
  <c r="AR67" i="8"/>
  <c r="L80" i="1"/>
  <c r="I15" i="1"/>
  <c r="U73" i="9"/>
  <c r="V65" i="1"/>
  <c r="S15" i="8"/>
  <c r="W79" i="8"/>
  <c r="AQ91" i="8"/>
  <c r="R75" i="9"/>
  <c r="AI75" i="9"/>
  <c r="U86" i="8"/>
  <c r="N81" i="9"/>
  <c r="AA81" i="8"/>
  <c r="AY46" i="9"/>
  <c r="AY16" i="8"/>
  <c r="D77" i="8"/>
  <c r="N44" i="8"/>
  <c r="T74" i="9"/>
  <c r="AN57" i="9"/>
  <c r="K39" i="9"/>
  <c r="W92" i="8"/>
  <c r="R78" i="9"/>
  <c r="AR88" i="9"/>
  <c r="M77" i="8"/>
  <c r="M67" i="1"/>
  <c r="AP75" i="1"/>
  <c r="AK39" i="1"/>
  <c r="AM39" i="1"/>
  <c r="H73" i="8"/>
  <c r="AL73" i="9"/>
  <c r="E15" i="8"/>
  <c r="AM92" i="8"/>
  <c r="AJ70" i="8"/>
  <c r="AJ68" i="8"/>
  <c r="AK68" i="9"/>
  <c r="I38" i="8"/>
  <c r="AJ72" i="1"/>
  <c r="AY79" i="1"/>
  <c r="AH44" i="9"/>
  <c r="AM86" i="8"/>
  <c r="AD64" i="9"/>
  <c r="AK57" i="9"/>
  <c r="T88" i="9"/>
  <c r="V45" i="1"/>
  <c r="AK45" i="8"/>
  <c r="AW15" i="8"/>
  <c r="AC95" i="8"/>
  <c r="R16" i="8"/>
  <c r="AS65" i="8"/>
  <c r="V74" i="9"/>
  <c r="AM75" i="9"/>
  <c r="T80" i="1"/>
  <c r="AR44" i="9"/>
  <c r="K86" i="8"/>
  <c r="L68" i="9"/>
  <c r="K14" i="1"/>
  <c r="Q86" i="1"/>
  <c r="D40" i="9"/>
  <c r="M72" i="9"/>
  <c r="AM15" i="1"/>
  <c r="AR65" i="9"/>
  <c r="V64" i="1"/>
  <c r="E81" i="8"/>
  <c r="AV74" i="8"/>
  <c r="E66" i="8"/>
  <c r="AV81" i="8"/>
  <c r="K9" i="9"/>
  <c r="AN65" i="9"/>
  <c r="AU40" i="8"/>
  <c r="AN70" i="9"/>
  <c r="J70" i="8"/>
  <c r="AE77" i="1"/>
  <c r="F86" i="1"/>
  <c r="G39" i="1"/>
  <c r="AJ8" i="9"/>
  <c r="X56" i="1"/>
  <c r="I69" i="9"/>
  <c r="U65" i="1"/>
  <c r="AL72" i="8"/>
  <c r="AS92" i="8"/>
  <c r="U87" i="9"/>
  <c r="L81" i="8"/>
  <c r="AR68" i="9"/>
  <c r="AM16" i="8"/>
  <c r="T38" i="9"/>
  <c r="AN72" i="9"/>
  <c r="D74" i="9"/>
  <c r="AF57" i="8"/>
  <c r="AE56" i="9"/>
  <c r="D39" i="9"/>
  <c r="M91" i="9"/>
  <c r="S74" i="8"/>
  <c r="AD73" i="9"/>
  <c r="N66" i="8"/>
  <c r="AV40" i="8"/>
  <c r="AL91" i="1"/>
  <c r="I73" i="9"/>
  <c r="Y79" i="8"/>
  <c r="S88" i="8"/>
  <c r="W63" i="1"/>
  <c r="G8" i="8"/>
  <c r="AV16" i="9"/>
  <c r="T76" i="9"/>
  <c r="AW67" i="8"/>
  <c r="Q78" i="9"/>
  <c r="AJ46" i="9"/>
  <c r="AU79" i="9"/>
  <c r="P45" i="9"/>
  <c r="AA63" i="9"/>
  <c r="AM76" i="1"/>
  <c r="S92" i="1"/>
  <c r="F63" i="1"/>
  <c r="S86" i="8"/>
  <c r="W73" i="1"/>
  <c r="S82" i="9"/>
  <c r="Z91" i="1"/>
  <c r="M10" i="9"/>
  <c r="Z73" i="8"/>
  <c r="AD40" i="8"/>
  <c r="O44" i="9"/>
  <c r="AG67" i="8"/>
  <c r="AA67" i="9"/>
  <c r="AQ15" i="8"/>
  <c r="AV40" i="1"/>
  <c r="AC86" i="9"/>
  <c r="F65" i="1"/>
  <c r="AD10" i="8"/>
  <c r="N56" i="1"/>
  <c r="AV64" i="8"/>
  <c r="Y56" i="9"/>
  <c r="D69" i="9"/>
  <c r="Y39" i="1"/>
  <c r="AD67" i="9"/>
  <c r="AA77" i="9"/>
  <c r="H10" i="8"/>
  <c r="AP95" i="1"/>
  <c r="AR74" i="1"/>
  <c r="AU66" i="8"/>
  <c r="X87" i="8"/>
  <c r="AM66" i="9"/>
  <c r="AB81" i="9"/>
  <c r="AL66" i="9"/>
  <c r="AD73" i="8"/>
  <c r="N10" i="9"/>
  <c r="AJ14" i="8"/>
  <c r="X73" i="8"/>
  <c r="K71" i="8"/>
  <c r="I68" i="9"/>
  <c r="AY91" i="8"/>
  <c r="E88" i="8"/>
  <c r="AO80" i="8"/>
  <c r="AC92" i="8"/>
  <c r="Y15" i="8"/>
  <c r="H71" i="1"/>
  <c r="AU10" i="9"/>
  <c r="J92" i="1"/>
  <c r="O65" i="8"/>
  <c r="AY74" i="8"/>
  <c r="AB69" i="1"/>
  <c r="G95" i="9"/>
  <c r="AV78" i="8"/>
  <c r="D75" i="8"/>
  <c r="X82" i="9"/>
  <c r="AY57" i="8"/>
  <c r="Y78" i="8"/>
  <c r="W9" i="9"/>
  <c r="O86" i="8"/>
  <c r="AN67" i="1"/>
  <c r="AG44" i="9"/>
  <c r="AY92" i="9"/>
  <c r="Z68" i="1"/>
  <c r="AA65" i="9"/>
  <c r="J81" i="1"/>
  <c r="L64" i="1"/>
  <c r="AV9" i="9"/>
  <c r="X70" i="8"/>
  <c r="R92" i="8"/>
  <c r="P86" i="9"/>
  <c r="AQ69" i="9"/>
  <c r="H67" i="9"/>
  <c r="O95" i="9"/>
  <c r="AP8" i="8"/>
  <c r="M69" i="8"/>
  <c r="K66" i="8"/>
  <c r="J63" i="8"/>
  <c r="X95" i="8"/>
  <c r="L72" i="9"/>
  <c r="P78" i="8"/>
  <c r="AA75" i="8"/>
  <c r="AO92" i="9"/>
  <c r="P76" i="8"/>
  <c r="D81" i="1"/>
  <c r="AC82" i="8"/>
  <c r="E44" i="9"/>
  <c r="J80" i="9"/>
  <c r="Y95" i="8"/>
  <c r="AV95" i="8"/>
  <c r="AP67" i="9"/>
  <c r="X80" i="8"/>
  <c r="AU77" i="9"/>
  <c r="AV57" i="8"/>
  <c r="AR75" i="8"/>
  <c r="AV92" i="8"/>
  <c r="Y79" i="1"/>
  <c r="N68" i="8"/>
  <c r="N70" i="8"/>
  <c r="AE64" i="9"/>
  <c r="X77" i="9"/>
  <c r="AY87" i="9"/>
  <c r="AT64" i="1"/>
  <c r="I82" i="1"/>
  <c r="N9" i="9"/>
  <c r="AP67" i="8"/>
  <c r="G75" i="1"/>
  <c r="Z76" i="9"/>
  <c r="G9" i="8"/>
  <c r="Q81" i="1"/>
  <c r="Z91" i="8"/>
  <c r="AJ14" i="9"/>
  <c r="AK80" i="9"/>
  <c r="AD56" i="9"/>
  <c r="AL56" i="9"/>
  <c r="AL78" i="8"/>
  <c r="Q38" i="8"/>
  <c r="N68" i="9"/>
  <c r="AR70" i="9"/>
  <c r="AR15" i="1"/>
  <c r="AR64" i="8"/>
  <c r="V79" i="9"/>
  <c r="AX15" i="8"/>
  <c r="AU91" i="9"/>
  <c r="AU39" i="8"/>
  <c r="F82" i="8"/>
  <c r="K64" i="8"/>
  <c r="U87" i="8"/>
  <c r="AE72" i="1"/>
  <c r="AW73" i="1"/>
  <c r="AO9" i="8"/>
  <c r="R65" i="9"/>
  <c r="F44" i="8"/>
  <c r="S57" i="9"/>
  <c r="I9" i="9"/>
  <c r="AY88" i="9"/>
  <c r="AG68" i="8"/>
  <c r="I64" i="1"/>
  <c r="X82" i="1"/>
  <c r="AN78" i="8"/>
  <c r="M40" i="9"/>
  <c r="AN45" i="1"/>
  <c r="T15" i="8"/>
  <c r="O75" i="9"/>
  <c r="AA68" i="1"/>
  <c r="AW88" i="9"/>
  <c r="Z73" i="9"/>
  <c r="AX65" i="8"/>
  <c r="J74" i="1"/>
  <c r="AQ92" i="1"/>
  <c r="L38" i="9"/>
  <c r="AA71" i="9"/>
  <c r="E38" i="8"/>
  <c r="AT66" i="8"/>
  <c r="AB10" i="8"/>
  <c r="AQ77" i="8"/>
  <c r="D16" i="9"/>
  <c r="AR64" i="1"/>
  <c r="H95" i="9"/>
  <c r="AY65" i="8"/>
  <c r="AP38" i="9"/>
  <c r="AJ73" i="9"/>
  <c r="Y82" i="1"/>
  <c r="AR56" i="9"/>
  <c r="Z66" i="9"/>
  <c r="AH77" i="9"/>
  <c r="Y72" i="8"/>
  <c r="AT63" i="9"/>
  <c r="Q8" i="1"/>
  <c r="AI77" i="1"/>
  <c r="E40" i="9"/>
  <c r="Z45" i="1"/>
  <c r="AF40" i="8"/>
  <c r="H91" i="1"/>
  <c r="AC70" i="9"/>
  <c r="AG71" i="9"/>
  <c r="AP63" i="1"/>
  <c r="Y63" i="8"/>
  <c r="AX81" i="9"/>
  <c r="D78" i="1"/>
  <c r="AT69" i="9"/>
  <c r="AU10" i="8"/>
  <c r="AY78" i="1"/>
  <c r="F63" i="8"/>
  <c r="S44" i="9"/>
  <c r="AS75" i="9"/>
  <c r="AR67" i="9"/>
  <c r="AX88" i="9"/>
  <c r="U66" i="1"/>
  <c r="V95" i="8"/>
  <c r="AD65" i="9"/>
  <c r="S86" i="9"/>
  <c r="L72" i="8"/>
  <c r="Q9" i="1"/>
  <c r="W74" i="9"/>
  <c r="H46" i="9"/>
  <c r="R70" i="8"/>
  <c r="U82" i="8"/>
  <c r="AW9" i="9"/>
  <c r="R88" i="9"/>
  <c r="N77" i="9"/>
  <c r="T63" i="8"/>
  <c r="S91" i="8"/>
  <c r="U66" i="9"/>
  <c r="P69" i="9"/>
  <c r="Q87" i="8"/>
  <c r="F86" i="9"/>
  <c r="U10" i="1"/>
  <c r="T57" i="1"/>
  <c r="U64" i="9"/>
  <c r="E63" i="9"/>
  <c r="J79" i="1"/>
  <c r="AY75" i="9"/>
  <c r="AL76" i="1"/>
  <c r="AS67" i="9"/>
  <c r="AA75" i="1"/>
  <c r="X56" i="8"/>
  <c r="AQ91" i="9"/>
  <c r="AY67" i="1"/>
  <c r="AV38" i="8"/>
  <c r="AU45" i="8"/>
  <c r="AG57" i="1"/>
  <c r="U95" i="8"/>
  <c r="AH75" i="9"/>
  <c r="T78" i="1"/>
  <c r="AI15" i="8"/>
  <c r="AO67" i="8"/>
  <c r="V68" i="9"/>
  <c r="AP64" i="8"/>
  <c r="AO91" i="9"/>
  <c r="U88" i="9"/>
  <c r="AE38" i="9"/>
  <c r="E45" i="1"/>
  <c r="AW14" i="9"/>
  <c r="Y77" i="8"/>
  <c r="AO92" i="1"/>
  <c r="F67" i="1"/>
  <c r="G81" i="9"/>
  <c r="AU68" i="8"/>
  <c r="X65" i="1"/>
  <c r="F71" i="9"/>
  <c r="F81" i="8"/>
  <c r="AQ38" i="9"/>
  <c r="AJ74" i="9"/>
  <c r="R77" i="9"/>
  <c r="AE70" i="8"/>
  <c r="AP82" i="8"/>
  <c r="O81" i="8"/>
  <c r="X14" i="8"/>
  <c r="AY86" i="9"/>
  <c r="M88" i="9"/>
  <c r="AJ65" i="8"/>
  <c r="AD14" i="9"/>
  <c r="AY86" i="1"/>
  <c r="AR87" i="8"/>
  <c r="AL45" i="9"/>
  <c r="H68" i="8"/>
  <c r="AY91" i="9"/>
  <c r="AX69" i="1"/>
  <c r="G95" i="8"/>
  <c r="AK81" i="8"/>
  <c r="AR69" i="1"/>
  <c r="AJ66" i="9"/>
  <c r="S68" i="8"/>
  <c r="AW39" i="1"/>
  <c r="S69" i="8"/>
  <c r="L40" i="9"/>
  <c r="AS70" i="9"/>
  <c r="AE88" i="1"/>
  <c r="J88" i="9"/>
  <c r="AE75" i="1"/>
  <c r="V64" i="9"/>
  <c r="AO78" i="8"/>
  <c r="N79" i="9"/>
  <c r="Q39" i="9"/>
  <c r="AH45" i="9"/>
  <c r="R86" i="8"/>
  <c r="AB9" i="8"/>
  <c r="D80" i="9"/>
  <c r="Z80" i="9"/>
  <c r="AB87" i="9"/>
  <c r="AX73" i="1"/>
  <c r="AH71" i="1"/>
  <c r="AB95" i="8"/>
  <c r="AI8" i="8"/>
  <c r="AT45" i="8"/>
  <c r="AJ39" i="1"/>
  <c r="AK71" i="1"/>
  <c r="AU76" i="9"/>
  <c r="AQ88" i="8"/>
  <c r="I56" i="8"/>
  <c r="P46" i="9"/>
  <c r="AI95" i="9"/>
  <c r="P8" i="1"/>
  <c r="AP39" i="8"/>
  <c r="AG67" i="9"/>
  <c r="T44" i="8"/>
  <c r="AI57" i="1"/>
  <c r="D71" i="9"/>
  <c r="AY40" i="1"/>
  <c r="AI73" i="9"/>
  <c r="U66" i="8"/>
  <c r="Y57" i="9"/>
  <c r="K80" i="9"/>
  <c r="AO38" i="8"/>
  <c r="AQ8" i="9"/>
  <c r="AK72" i="8"/>
  <c r="AN92" i="9"/>
  <c r="U45" i="9"/>
  <c r="Z81" i="9"/>
  <c r="AD74" i="1"/>
  <c r="AU39" i="9"/>
  <c r="AB67" i="1"/>
  <c r="F57" i="9"/>
  <c r="AO72" i="8"/>
  <c r="M79" i="1"/>
  <c r="AD57" i="9"/>
  <c r="K78" i="1"/>
  <c r="AW76" i="9"/>
  <c r="AE78" i="8"/>
  <c r="AK86" i="9"/>
  <c r="AL74" i="9"/>
  <c r="AE88" i="8"/>
  <c r="AN88" i="8"/>
  <c r="Q88" i="9"/>
  <c r="AQ56" i="9"/>
  <c r="AQ71" i="9"/>
  <c r="AU38" i="8"/>
  <c r="AA88" i="8"/>
  <c r="AO87" i="1"/>
  <c r="Z72" i="8"/>
  <c r="AV71" i="9"/>
  <c r="J81" i="9"/>
  <c r="F64" i="1"/>
  <c r="AY78" i="8"/>
  <c r="AM68" i="8"/>
  <c r="AK67" i="9"/>
  <c r="AY39" i="8"/>
  <c r="S80" i="1"/>
  <c r="S40" i="9"/>
  <c r="W76" i="9"/>
  <c r="AP68" i="9"/>
  <c r="AV38" i="9"/>
  <c r="AT72" i="1"/>
  <c r="AU80" i="9"/>
  <c r="AQ78" i="9"/>
  <c r="AU57" i="1"/>
  <c r="X75" i="8"/>
  <c r="S80" i="8"/>
  <c r="AN45" i="8"/>
  <c r="J95" i="1"/>
  <c r="AP56" i="9"/>
  <c r="J91" i="9"/>
  <c r="AX64" i="1"/>
  <c r="AP81" i="9"/>
  <c r="AK79" i="8"/>
  <c r="M81" i="1"/>
  <c r="H75" i="9"/>
  <c r="AI65" i="9"/>
  <c r="AW57" i="9"/>
  <c r="P9" i="9"/>
  <c r="AH56" i="1"/>
  <c r="AH86" i="8"/>
  <c r="AN95" i="8"/>
  <c r="AS74" i="9"/>
  <c r="L8" i="9"/>
  <c r="S72" i="8"/>
  <c r="AC39" i="9"/>
  <c r="W88" i="9"/>
  <c r="AR91" i="1"/>
  <c r="AI63" i="1"/>
  <c r="AQ44" i="9"/>
  <c r="L63" i="1"/>
  <c r="P70" i="8"/>
  <c r="T81" i="8"/>
  <c r="AK80" i="1"/>
  <c r="AT65" i="9"/>
  <c r="AL95" i="9"/>
  <c r="AX82" i="9"/>
  <c r="AM92" i="9"/>
  <c r="AH82" i="9"/>
  <c r="AW16" i="9"/>
  <c r="AF69" i="1"/>
  <c r="AN8" i="1"/>
  <c r="AY39" i="9"/>
  <c r="N92" i="9"/>
  <c r="AJ38" i="8"/>
  <c r="AP70" i="1"/>
  <c r="Y9" i="8"/>
  <c r="K65" i="8"/>
  <c r="AG10" i="9"/>
  <c r="AE87" i="1"/>
  <c r="D10" i="9"/>
  <c r="AL8" i="9"/>
  <c r="S74" i="9"/>
  <c r="AR76" i="9"/>
  <c r="W68" i="1"/>
  <c r="AC15" i="9"/>
  <c r="AK95" i="8"/>
  <c r="AI66" i="1"/>
  <c r="AX57" i="1"/>
  <c r="AJ80" i="9"/>
  <c r="AE86" i="8"/>
  <c r="X39" i="1"/>
  <c r="AN10" i="8"/>
  <c r="AF65" i="9"/>
  <c r="AD15" i="1"/>
  <c r="F15" i="8"/>
  <c r="AX68" i="8"/>
  <c r="D16" i="8"/>
  <c r="O9" i="9"/>
  <c r="AB40" i="8"/>
  <c r="AI79" i="8"/>
  <c r="X40" i="9"/>
  <c r="AO79" i="8"/>
  <c r="W16" i="8"/>
  <c r="AD69" i="9"/>
  <c r="AI78" i="9"/>
  <c r="AQ73" i="1"/>
  <c r="AP75" i="9"/>
  <c r="AG63" i="9"/>
  <c r="AI86" i="9"/>
  <c r="Y38" i="8"/>
  <c r="AP78" i="9"/>
  <c r="X73" i="1"/>
  <c r="P78" i="1"/>
  <c r="T87" i="9"/>
  <c r="S71" i="9"/>
  <c r="AX39" i="1"/>
  <c r="H63" i="8"/>
  <c r="Q46" i="9"/>
  <c r="AU81" i="9"/>
  <c r="G77" i="1"/>
  <c r="AB65" i="9"/>
  <c r="AB64" i="9"/>
  <c r="Q45" i="1"/>
  <c r="AK15" i="9"/>
  <c r="X16" i="8"/>
  <c r="H64" i="8"/>
  <c r="Z40" i="9"/>
  <c r="AG86" i="8"/>
  <c r="AG72" i="9"/>
  <c r="AI80" i="1"/>
  <c r="P8" i="9"/>
  <c r="AJ87" i="8"/>
  <c r="E56" i="9"/>
  <c r="N40" i="9"/>
  <c r="N78" i="8"/>
  <c r="AH74" i="9"/>
  <c r="AJ74" i="8"/>
  <c r="V38" i="9"/>
  <c r="K80" i="8"/>
  <c r="O71" i="9"/>
  <c r="Y91" i="1"/>
  <c r="M67" i="9"/>
  <c r="Y73" i="8"/>
  <c r="I56" i="9"/>
  <c r="K67" i="1"/>
  <c r="AV81" i="9"/>
  <c r="Z67" i="9"/>
  <c r="E75" i="8"/>
  <c r="AM80" i="1"/>
  <c r="D86" i="1"/>
  <c r="J69" i="9"/>
  <c r="M63" i="9"/>
  <c r="AX63" i="9"/>
  <c r="Q95" i="9"/>
  <c r="AV80" i="9"/>
  <c r="AT15" i="8"/>
  <c r="AA77" i="8"/>
  <c r="X16" i="9"/>
  <c r="AT70" i="8"/>
  <c r="G40" i="8"/>
  <c r="S63" i="8"/>
  <c r="AL64" i="1"/>
  <c r="AV82" i="1"/>
  <c r="AX78" i="9"/>
  <c r="AB74" i="8"/>
  <c r="E72" i="9"/>
  <c r="AL75" i="9"/>
  <c r="G80" i="9"/>
  <c r="AQ74" i="8"/>
  <c r="E72" i="1"/>
  <c r="AI44" i="9"/>
  <c r="AX77" i="9"/>
  <c r="AM95" i="9"/>
  <c r="AT80" i="9"/>
  <c r="Q91" i="9"/>
  <c r="AV14" i="8"/>
  <c r="AI39" i="8"/>
  <c r="AE78" i="9"/>
  <c r="N39" i="1"/>
  <c r="AW67" i="9"/>
  <c r="AK16" i="9"/>
  <c r="AG39" i="1"/>
  <c r="AL80" i="8"/>
  <c r="I87" i="8"/>
  <c r="AC46" i="8"/>
  <c r="L70" i="9"/>
  <c r="AD91" i="8"/>
  <c r="AS56" i="8"/>
  <c r="I67" i="8"/>
  <c r="J57" i="9"/>
  <c r="G88" i="9"/>
  <c r="J40" i="8"/>
  <c r="AC45" i="8"/>
  <c r="AG64" i="8"/>
  <c r="AA82" i="1"/>
  <c r="AS79" i="9"/>
  <c r="W70" i="9"/>
  <c r="AP46" i="8"/>
  <c r="AQ40" i="9"/>
  <c r="W8" i="9"/>
  <c r="AR78" i="1"/>
  <c r="AM82" i="8"/>
  <c r="S69" i="9"/>
  <c r="AC8" i="9"/>
  <c r="E82" i="9"/>
  <c r="AF10" i="9"/>
  <c r="Y80" i="8"/>
  <c r="AU69" i="9"/>
  <c r="AD86" i="9"/>
  <c r="R65" i="8"/>
  <c r="I79" i="9"/>
  <c r="AP9" i="1"/>
  <c r="AD78" i="9"/>
  <c r="O70" i="9"/>
  <c r="G65" i="8"/>
  <c r="Z10" i="9"/>
  <c r="T65" i="1"/>
  <c r="AM86" i="1"/>
  <c r="I77" i="9"/>
  <c r="AS82" i="8"/>
  <c r="AD45" i="8"/>
  <c r="AC77" i="1"/>
  <c r="AJ78" i="1"/>
  <c r="AR75" i="1"/>
  <c r="H45" i="1"/>
  <c r="AB68" i="9"/>
  <c r="J76" i="9"/>
  <c r="AK68" i="1"/>
  <c r="AF86" i="9"/>
  <c r="AL86" i="9"/>
  <c r="N86" i="9"/>
  <c r="AX88" i="8"/>
  <c r="AR38" i="9"/>
  <c r="AX81" i="8"/>
  <c r="AU56" i="9"/>
  <c r="AC16" i="9"/>
  <c r="D40" i="8"/>
  <c r="M38" i="8"/>
  <c r="AU77" i="8"/>
  <c r="AV10" i="9"/>
  <c r="Q66" i="9"/>
  <c r="AO91" i="8"/>
  <c r="S57" i="8"/>
  <c r="AR10" i="8"/>
  <c r="AD46" i="9"/>
  <c r="E76" i="9"/>
  <c r="Z63" i="9"/>
  <c r="AX67" i="8"/>
  <c r="E80" i="9"/>
  <c r="AB46" i="9"/>
  <c r="AK14" i="9"/>
  <c r="K79" i="9"/>
  <c r="I71" i="9"/>
  <c r="G76" i="1"/>
  <c r="K82" i="8"/>
  <c r="Z39" i="9"/>
  <c r="AV68" i="9"/>
  <c r="V86" i="8"/>
  <c r="AT82" i="8"/>
  <c r="AQ72" i="1"/>
  <c r="AY76" i="9"/>
  <c r="M64" i="1"/>
  <c r="AB68" i="8"/>
  <c r="AI68" i="9"/>
  <c r="AF66" i="9"/>
  <c r="AG81" i="8"/>
  <c r="AW92" i="9"/>
  <c r="T15" i="9"/>
  <c r="M88" i="8"/>
  <c r="U86" i="9"/>
  <c r="R68" i="1"/>
  <c r="AW92" i="8"/>
  <c r="AF71" i="9"/>
  <c r="AT67" i="8"/>
  <c r="AY16" i="1"/>
  <c r="AN74" i="8"/>
  <c r="AY66" i="8"/>
  <c r="AW66" i="9"/>
  <c r="AM87" i="9"/>
  <c r="AD80" i="9"/>
  <c r="AV15" i="8"/>
  <c r="AD38" i="9"/>
  <c r="M76" i="9"/>
  <c r="W39" i="9"/>
  <c r="AY45" i="8"/>
  <c r="AF80" i="1"/>
  <c r="AL87" i="1"/>
  <c r="AA57" i="8"/>
  <c r="F9" i="8"/>
  <c r="AK66" i="8"/>
  <c r="AN8" i="9"/>
  <c r="AN14" i="8"/>
  <c r="Q57" i="8"/>
  <c r="AG75" i="9"/>
  <c r="AR87" i="9"/>
  <c r="AC63" i="8"/>
  <c r="AT8" i="8"/>
  <c r="G64" i="9"/>
  <c r="Y71" i="8"/>
  <c r="AR57" i="1"/>
  <c r="D95" i="9"/>
  <c r="AK87" i="8"/>
  <c r="U67" i="1"/>
  <c r="Y87" i="9"/>
  <c r="P95" i="1"/>
  <c r="S67" i="1"/>
  <c r="Y39" i="9"/>
  <c r="Q72" i="9"/>
  <c r="D91" i="1"/>
  <c r="H91" i="8"/>
  <c r="Z57" i="9"/>
  <c r="L76" i="8"/>
  <c r="F14" i="9"/>
  <c r="F38" i="9"/>
  <c r="H44" i="9"/>
  <c r="AN79" i="9"/>
  <c r="F39" i="9"/>
  <c r="T86" i="9"/>
  <c r="AW16" i="8"/>
  <c r="U74" i="9"/>
  <c r="K44" i="9"/>
  <c r="AM80" i="8"/>
  <c r="AY95" i="9"/>
  <c r="AF92" i="8"/>
  <c r="N88" i="8"/>
  <c r="AD10" i="1"/>
  <c r="AL70" i="9"/>
  <c r="T88" i="1"/>
  <c r="O46" i="1"/>
  <c r="T82" i="1"/>
  <c r="O71" i="1"/>
  <c r="X71" i="9"/>
  <c r="S64" i="9"/>
  <c r="AF91" i="9"/>
  <c r="AQ39" i="8"/>
  <c r="AU9" i="9"/>
  <c r="T57" i="8"/>
  <c r="T77" i="9"/>
  <c r="AU78" i="8"/>
  <c r="AG86" i="1"/>
  <c r="AS56" i="1"/>
  <c r="AS14" i="1"/>
  <c r="J57" i="8"/>
  <c r="S63" i="9"/>
  <c r="AE82" i="1"/>
  <c r="AP81" i="8"/>
  <c r="E39" i="9"/>
  <c r="Q45" i="9"/>
  <c r="L91" i="9"/>
  <c r="AC65" i="1"/>
  <c r="H77" i="8"/>
  <c r="V46" i="1"/>
  <c r="AL16" i="8"/>
  <c r="AM9" i="1"/>
  <c r="AA80" i="1"/>
  <c r="V10" i="8"/>
  <c r="L82" i="9"/>
  <c r="R92" i="9"/>
  <c r="AG74" i="9"/>
  <c r="L77" i="9"/>
  <c r="AF46" i="8"/>
  <c r="R72" i="8"/>
  <c r="V70" i="8"/>
  <c r="AV67" i="1"/>
  <c r="F40" i="8"/>
  <c r="Z88" i="9"/>
  <c r="I70" i="1"/>
  <c r="AQ81" i="1"/>
  <c r="AL57" i="9"/>
  <c r="AC10" i="9"/>
  <c r="Q15" i="8"/>
  <c r="K75" i="8"/>
  <c r="AC44" i="9"/>
  <c r="L71" i="1"/>
  <c r="F67" i="8"/>
  <c r="AH44" i="8"/>
  <c r="AM57" i="9"/>
  <c r="V72" i="9"/>
  <c r="AN67" i="9"/>
  <c r="AI81" i="8"/>
  <c r="S77" i="9"/>
  <c r="AC74" i="9"/>
  <c r="AB69" i="8"/>
  <c r="X74" i="8"/>
  <c r="AN87" i="8"/>
  <c r="AB87" i="1"/>
  <c r="AO9" i="1"/>
  <c r="M70" i="9"/>
  <c r="M46" i="9"/>
  <c r="D46" i="9"/>
  <c r="AU57" i="9"/>
  <c r="AX46" i="9"/>
  <c r="R16" i="9"/>
  <c r="AM64" i="9"/>
  <c r="AW91" i="1"/>
  <c r="P44" i="9"/>
  <c r="AA88" i="1"/>
  <c r="AF44" i="9"/>
  <c r="H70" i="1"/>
  <c r="AY68" i="9"/>
  <c r="AV76" i="9"/>
  <c r="AB16" i="9"/>
  <c r="AN64" i="9"/>
  <c r="AO87" i="8"/>
  <c r="AI16" i="9"/>
  <c r="AG95" i="8"/>
  <c r="X68" i="8"/>
  <c r="AF77" i="8"/>
  <c r="AM56" i="9"/>
  <c r="AT46" i="1"/>
  <c r="S87" i="8"/>
  <c r="M69" i="1"/>
  <c r="AW14" i="8"/>
  <c r="AG56" i="8"/>
  <c r="D65" i="9"/>
  <c r="Q92" i="9"/>
  <c r="U91" i="9"/>
  <c r="G92" i="8"/>
  <c r="AJ69" i="1"/>
  <c r="E69" i="9"/>
  <c r="N16" i="9"/>
  <c r="AG45" i="8"/>
  <c r="AQ78" i="1"/>
  <c r="W92" i="9"/>
  <c r="AX78" i="1"/>
  <c r="D88" i="9"/>
  <c r="AC76" i="8"/>
  <c r="AQ86" i="8"/>
  <c r="W67" i="1"/>
  <c r="T39" i="9"/>
  <c r="N69" i="9"/>
  <c r="AP80" i="8"/>
  <c r="AV45" i="9"/>
  <c r="AO95" i="9"/>
  <c r="AH56" i="9"/>
  <c r="AG66" i="1"/>
  <c r="S71" i="8"/>
  <c r="AD79" i="1"/>
  <c r="AT74" i="1"/>
  <c r="J78" i="8"/>
  <c r="S72" i="1"/>
  <c r="AQ95" i="8"/>
  <c r="N87" i="8"/>
  <c r="P91" i="9"/>
  <c r="AF95" i="9"/>
  <c r="AM16" i="9"/>
  <c r="AF87" i="9"/>
  <c r="AS72" i="9"/>
  <c r="AP73" i="1"/>
  <c r="AT72" i="9"/>
  <c r="AO66" i="8"/>
  <c r="AW86" i="9"/>
  <c r="F78" i="8"/>
  <c r="P38" i="9"/>
  <c r="AB80" i="1"/>
  <c r="AB64" i="1"/>
  <c r="AG95" i="1"/>
  <c r="T75" i="9"/>
  <c r="R86" i="1"/>
  <c r="AF81" i="1"/>
  <c r="Z87" i="8"/>
  <c r="U39" i="8"/>
  <c r="W65" i="8"/>
  <c r="J65" i="9"/>
  <c r="V14" i="9"/>
  <c r="K38" i="9"/>
  <c r="L57" i="9"/>
  <c r="L76" i="1"/>
  <c r="AO8" i="1"/>
  <c r="AM91" i="1"/>
  <c r="AK9" i="9"/>
  <c r="H67" i="8"/>
  <c r="AP63" i="9"/>
  <c r="AU40" i="9"/>
  <c r="AG69" i="9"/>
  <c r="L45" i="8"/>
  <c r="AI82" i="1"/>
  <c r="N95" i="9"/>
  <c r="P63" i="9"/>
  <c r="AW88" i="1"/>
  <c r="Z71" i="9"/>
  <c r="AR80" i="9"/>
  <c r="AP56" i="8"/>
  <c r="AW68" i="9"/>
  <c r="V64" i="8"/>
  <c r="R74" i="8"/>
  <c r="AX88" i="1"/>
  <c r="D63" i="1"/>
  <c r="AX71" i="9"/>
  <c r="X71" i="1"/>
  <c r="AH67" i="8"/>
  <c r="E79" i="8"/>
  <c r="AQ15" i="9"/>
  <c r="F88" i="9"/>
  <c r="AC14" i="8"/>
  <c r="AB70" i="1"/>
  <c r="V74" i="8"/>
  <c r="AE82" i="9"/>
  <c r="Q8" i="8"/>
  <c r="AL71" i="9"/>
  <c r="T65" i="9"/>
  <c r="O64" i="8"/>
  <c r="AB76" i="9"/>
  <c r="AN45" i="9"/>
  <c r="V92" i="9"/>
  <c r="F71" i="8"/>
  <c r="AI74" i="9"/>
  <c r="AD56" i="8"/>
  <c r="Z68" i="8"/>
  <c r="M65" i="9"/>
  <c r="AO66" i="9"/>
  <c r="AO8" i="9"/>
  <c r="E67" i="1"/>
  <c r="H65" i="8"/>
  <c r="L70" i="8"/>
  <c r="AH70" i="9"/>
  <c r="AE63" i="1"/>
  <c r="U56" i="9"/>
  <c r="AL75" i="8"/>
  <c r="AL88" i="8"/>
  <c r="P82" i="9"/>
  <c r="I79" i="8"/>
  <c r="I46" i="8"/>
  <c r="O64" i="1"/>
  <c r="O80" i="9"/>
  <c r="S88" i="1"/>
  <c r="Y86" i="1"/>
  <c r="I76" i="9"/>
  <c r="AK73" i="9"/>
  <c r="J39" i="8"/>
  <c r="O80" i="8"/>
  <c r="AH10" i="9"/>
  <c r="K67" i="9"/>
  <c r="R10" i="9"/>
  <c r="R88" i="8"/>
  <c r="G38" i="1"/>
  <c r="W86" i="1"/>
  <c r="AT82" i="9"/>
  <c r="P71" i="9"/>
  <c r="AP45" i="8"/>
  <c r="V68" i="8"/>
  <c r="AB70" i="9"/>
  <c r="AL16" i="9"/>
  <c r="AM10" i="9"/>
  <c r="V74" i="1"/>
  <c r="AS8" i="8"/>
  <c r="AT39" i="1"/>
  <c r="AN75" i="9"/>
  <c r="X10" i="9"/>
  <c r="AW64" i="1"/>
  <c r="Q15" i="9"/>
  <c r="AX91" i="9"/>
  <c r="P88" i="9"/>
  <c r="M82" i="1"/>
  <c r="L88" i="8"/>
  <c r="AE67" i="8"/>
  <c r="AE80" i="9"/>
  <c r="AH91" i="8"/>
  <c r="AI45" i="8"/>
  <c r="AO63" i="8"/>
  <c r="AB79" i="9"/>
  <c r="G78" i="8"/>
  <c r="M15" i="9"/>
  <c r="U72" i="8"/>
  <c r="AU71" i="1"/>
  <c r="L39" i="9"/>
  <c r="AB44" i="9"/>
  <c r="M74" i="1"/>
  <c r="O79" i="8"/>
  <c r="AX44" i="9"/>
  <c r="G73" i="1"/>
  <c r="X57" i="9"/>
  <c r="I95" i="1"/>
  <c r="P67" i="9"/>
  <c r="AQ46" i="8"/>
  <c r="AM77" i="9"/>
  <c r="G67" i="9"/>
  <c r="AI95" i="8"/>
  <c r="W71" i="9"/>
  <c r="P8" i="8"/>
  <c r="AV9" i="1"/>
  <c r="AS91" i="1"/>
  <c r="Q9" i="9"/>
  <c r="AP77" i="9"/>
  <c r="H46" i="1"/>
  <c r="AV39" i="9"/>
  <c r="R72" i="1"/>
  <c r="V57" i="9"/>
  <c r="AF39" i="8"/>
  <c r="AG68" i="1"/>
  <c r="AQ82" i="8"/>
  <c r="AG81" i="1"/>
  <c r="N15" i="8"/>
  <c r="AQ39" i="9"/>
  <c r="M64" i="9"/>
  <c r="AE8" i="8"/>
  <c r="AX46" i="8"/>
  <c r="O70" i="1"/>
  <c r="AK95" i="9"/>
  <c r="AU95" i="9"/>
  <c r="AV91" i="9"/>
  <c r="AL69" i="1"/>
  <c r="AA82" i="8"/>
  <c r="R63" i="9"/>
  <c r="AS81" i="8"/>
  <c r="G92" i="1"/>
  <c r="AO45" i="8"/>
  <c r="AT8" i="9"/>
  <c r="AT73" i="1"/>
  <c r="R80" i="1"/>
  <c r="G56" i="8"/>
  <c r="AN91" i="9"/>
  <c r="S67" i="8"/>
  <c r="AR86" i="8"/>
  <c r="R67" i="8"/>
  <c r="U81" i="1"/>
  <c r="T95" i="1"/>
  <c r="AH15" i="9"/>
  <c r="AK10" i="9"/>
  <c r="O75" i="1"/>
  <c r="AU92" i="8"/>
  <c r="E82" i="8"/>
  <c r="L67" i="9"/>
  <c r="U16" i="8"/>
  <c r="AJ10" i="9"/>
  <c r="AH64" i="1"/>
  <c r="V76" i="9"/>
  <c r="AN63" i="9"/>
  <c r="G57" i="9"/>
  <c r="AA91" i="9"/>
  <c r="I57" i="1"/>
  <c r="AT78" i="8"/>
  <c r="AJ69" i="8"/>
  <c r="N39" i="8"/>
  <c r="AP72" i="9"/>
  <c r="AO79" i="9"/>
  <c r="H57" i="8"/>
  <c r="AU16" i="8"/>
  <c r="W80" i="8"/>
  <c r="AP68" i="1"/>
  <c r="P10" i="1"/>
  <c r="AK15" i="1"/>
  <c r="AT74" i="9"/>
  <c r="AK45" i="9"/>
  <c r="AN78" i="1"/>
  <c r="AN39" i="1"/>
  <c r="AE88" i="9"/>
  <c r="AO16" i="1"/>
  <c r="X38" i="8"/>
  <c r="H57" i="9"/>
  <c r="AN95" i="1"/>
  <c r="X81" i="9"/>
  <c r="Y67" i="1"/>
  <c r="V15" i="9"/>
  <c r="X79" i="1"/>
  <c r="Q69" i="9"/>
  <c r="Y86" i="8"/>
  <c r="K16" i="1"/>
  <c r="U14" i="8"/>
  <c r="AG70" i="9"/>
  <c r="W76" i="1"/>
  <c r="S78" i="1"/>
  <c r="V10" i="9"/>
  <c r="AR65" i="8"/>
  <c r="Y92" i="9"/>
  <c r="V56" i="8"/>
  <c r="AY8" i="9"/>
  <c r="AC65" i="9"/>
  <c r="I88" i="9"/>
  <c r="N66" i="1"/>
  <c r="S81" i="8"/>
  <c r="AG78" i="1"/>
  <c r="G70" i="8"/>
  <c r="AU46" i="9"/>
  <c r="AT75" i="9"/>
  <c r="P15" i="8"/>
  <c r="AN91" i="1"/>
  <c r="X14" i="1"/>
  <c r="AA95" i="9"/>
  <c r="K63" i="8"/>
  <c r="D76" i="1"/>
  <c r="AE45" i="9"/>
  <c r="S70" i="1"/>
  <c r="AJ82" i="1"/>
  <c r="F91" i="8"/>
  <c r="X9" i="8"/>
  <c r="AJ78" i="9"/>
  <c r="H81" i="8"/>
  <c r="AL68" i="8"/>
  <c r="G72" i="8"/>
  <c r="J67" i="9"/>
  <c r="W67" i="9"/>
  <c r="V79" i="1"/>
  <c r="AJ95" i="9"/>
  <c r="AS71" i="9"/>
  <c r="AL68" i="9"/>
  <c r="AB14" i="1"/>
  <c r="S39" i="8"/>
  <c r="AY72" i="9"/>
  <c r="AI14" i="8"/>
  <c r="P16" i="9"/>
  <c r="AH65" i="1"/>
  <c r="E45" i="9"/>
  <c r="AJ76" i="8"/>
  <c r="Z87" i="1"/>
  <c r="AV68" i="8"/>
  <c r="AL79" i="1"/>
  <c r="AX79" i="1"/>
  <c r="I79" i="1"/>
  <c r="AH46" i="1"/>
  <c r="J56" i="8"/>
  <c r="AT64" i="9"/>
  <c r="J77" i="8"/>
  <c r="AR16" i="9"/>
  <c r="AR71" i="1"/>
  <c r="J66" i="1"/>
  <c r="AM65" i="9"/>
  <c r="AT95" i="9"/>
  <c r="R67" i="9"/>
  <c r="G77" i="9"/>
  <c r="AG88" i="1"/>
  <c r="AW40" i="9"/>
  <c r="M44" i="8"/>
  <c r="AK16" i="8"/>
  <c r="K76" i="9"/>
  <c r="AY81" i="9"/>
  <c r="AF16" i="1"/>
  <c r="H64" i="9"/>
  <c r="AR46" i="8"/>
  <c r="U91" i="1"/>
  <c r="AU44" i="8"/>
  <c r="W64" i="1"/>
  <c r="AH69" i="9"/>
  <c r="Q71" i="9"/>
  <c r="K16" i="9"/>
  <c r="AC9" i="9"/>
  <c r="H56" i="9"/>
  <c r="AM46" i="9"/>
  <c r="AW72" i="8"/>
  <c r="AK63" i="8"/>
  <c r="I14" i="9"/>
  <c r="AB72" i="9"/>
  <c r="AE80" i="1"/>
  <c r="T56" i="9"/>
  <c r="AX45" i="9"/>
  <c r="AM38" i="9"/>
  <c r="O66" i="9"/>
  <c r="J75" i="8"/>
  <c r="P56" i="9"/>
  <c r="W14" i="9"/>
  <c r="AS87" i="1"/>
  <c r="AO9" i="9"/>
  <c r="U46" i="9"/>
  <c r="D56" i="9"/>
  <c r="AB14" i="8"/>
  <c r="AG39" i="9"/>
  <c r="AY79" i="8"/>
  <c r="AE69" i="8"/>
  <c r="U75" i="1"/>
  <c r="AM88" i="9"/>
  <c r="AH78" i="8"/>
  <c r="AG45" i="9"/>
  <c r="AH91" i="1"/>
  <c r="AQ75" i="1"/>
  <c r="AX68" i="1"/>
  <c r="T67" i="9"/>
  <c r="AW77" i="9"/>
  <c r="AM86" i="9"/>
  <c r="O92" i="9"/>
  <c r="W44" i="1"/>
  <c r="AL40" i="8"/>
  <c r="Y66" i="9"/>
  <c r="N9" i="1"/>
  <c r="S75" i="8"/>
  <c r="AC63" i="1"/>
  <c r="T71" i="9"/>
  <c r="N16" i="8"/>
  <c r="AD92" i="9"/>
  <c r="AY66" i="1"/>
  <c r="AN9" i="8"/>
  <c r="G10" i="9"/>
  <c r="AN82" i="8"/>
  <c r="X71" i="8"/>
  <c r="W72" i="8"/>
  <c r="AB77" i="8"/>
  <c r="AG81" i="9"/>
  <c r="AU82" i="9"/>
  <c r="AB65" i="8"/>
  <c r="AH71" i="8"/>
  <c r="W91" i="9"/>
  <c r="AD8" i="8"/>
  <c r="AS75" i="8"/>
  <c r="U40" i="8"/>
  <c r="O72" i="9"/>
  <c r="D91" i="8"/>
  <c r="AU81" i="1"/>
  <c r="M39" i="1"/>
  <c r="AM64" i="8"/>
  <c r="AG91" i="9"/>
  <c r="AB15" i="9"/>
  <c r="Y70" i="9"/>
  <c r="AB8" i="9"/>
  <c r="AT14" i="8"/>
  <c r="J74" i="8"/>
  <c r="R73" i="8"/>
  <c r="AS65" i="9"/>
  <c r="K86" i="9"/>
  <c r="T38" i="8"/>
  <c r="AJ77" i="9"/>
  <c r="AV91" i="8"/>
  <c r="AW65" i="1"/>
  <c r="Y69" i="9"/>
  <c r="M40" i="1"/>
  <c r="AQ87" i="8"/>
  <c r="AG87" i="1"/>
  <c r="H88" i="9"/>
  <c r="AC80" i="8"/>
  <c r="AS91" i="8"/>
  <c r="T10" i="8"/>
  <c r="H10" i="1"/>
  <c r="R81" i="8"/>
  <c r="R76" i="8"/>
  <c r="P72" i="9"/>
  <c r="H68" i="1"/>
  <c r="O68" i="9"/>
  <c r="R69" i="1"/>
  <c r="AU81" i="8"/>
  <c r="Q57" i="9"/>
  <c r="O45" i="9"/>
  <c r="AQ67" i="9"/>
  <c r="K69" i="8"/>
  <c r="Q68" i="1"/>
  <c r="AD66" i="1"/>
  <c r="AT91" i="9"/>
  <c r="AA10" i="1"/>
  <c r="I8" i="9"/>
  <c r="AX73" i="8"/>
  <c r="W82" i="8"/>
  <c r="O82" i="8"/>
  <c r="AG80" i="9"/>
  <c r="AY88" i="8"/>
  <c r="W86" i="8"/>
  <c r="AP56" i="1"/>
  <c r="AT63" i="1"/>
  <c r="AQ73" i="9"/>
  <c r="AP76" i="1"/>
  <c r="J8" i="1"/>
  <c r="F86" i="8"/>
  <c r="M92" i="8"/>
  <c r="AN79" i="8"/>
  <c r="AL56" i="1"/>
  <c r="AY63" i="8"/>
  <c r="V38" i="8"/>
  <c r="AW10" i="9"/>
  <c r="Y40" i="9"/>
  <c r="AI44" i="8"/>
  <c r="I57" i="8"/>
  <c r="D76" i="9"/>
  <c r="AN15" i="9"/>
  <c r="D73" i="9"/>
  <c r="P86" i="1"/>
  <c r="AT91" i="8"/>
  <c r="AD88" i="8"/>
  <c r="AL75" i="1"/>
  <c r="AY15" i="9"/>
  <c r="AE39" i="9"/>
  <c r="AJ44" i="8"/>
  <c r="L64" i="9"/>
  <c r="AV10" i="1"/>
  <c r="S45" i="1"/>
  <c r="K87" i="8"/>
  <c r="AV70" i="9"/>
  <c r="Z72" i="9"/>
  <c r="R8" i="9"/>
  <c r="AY40" i="9"/>
  <c r="AL67" i="1"/>
  <c r="AS72" i="8"/>
  <c r="S46" i="8"/>
  <c r="AY86" i="8"/>
  <c r="S67" i="9"/>
  <c r="AH75" i="8"/>
  <c r="D91" i="9"/>
  <c r="AI77" i="9"/>
  <c r="AV77" i="9"/>
  <c r="J86" i="8"/>
  <c r="AC9" i="8"/>
  <c r="AF69" i="9"/>
  <c r="AD92" i="1"/>
  <c r="AK16" i="1"/>
  <c r="H86" i="9"/>
  <c r="AY9" i="9"/>
  <c r="M64" i="8"/>
  <c r="AG57" i="9"/>
  <c r="AA8" i="9"/>
  <c r="AK15" i="8"/>
  <c r="AA86" i="9"/>
  <c r="AC72" i="1"/>
  <c r="AN39" i="9"/>
  <c r="Q16" i="9"/>
  <c r="Q80" i="9"/>
  <c r="AA70" i="9"/>
  <c r="AY9" i="1"/>
  <c r="I86" i="8"/>
  <c r="F45" i="1"/>
  <c r="U92" i="9"/>
  <c r="AA80" i="9"/>
  <c r="AV45" i="1"/>
  <c r="W87" i="8"/>
  <c r="AM40" i="1"/>
  <c r="AC66" i="8"/>
  <c r="X79" i="8"/>
  <c r="AF70" i="9"/>
  <c r="AE74" i="8"/>
  <c r="AD8" i="9"/>
  <c r="D44" i="9"/>
  <c r="R73" i="9"/>
  <c r="AS95" i="1"/>
  <c r="AE65" i="9"/>
  <c r="K64" i="9"/>
  <c r="AT75" i="1"/>
  <c r="AC95" i="1"/>
  <c r="AE76" i="9"/>
  <c r="AH8" i="8"/>
  <c r="Y72" i="9"/>
  <c r="AU74" i="1"/>
  <c r="K92" i="9"/>
  <c r="K95" i="8"/>
  <c r="G70" i="1"/>
  <c r="AQ81" i="8"/>
  <c r="AR72" i="1"/>
  <c r="AL86" i="8"/>
  <c r="K45" i="9"/>
  <c r="I87" i="9"/>
  <c r="G44" i="8"/>
  <c r="H64" i="1"/>
  <c r="I88" i="8"/>
  <c r="F8" i="8"/>
  <c r="H16" i="9"/>
  <c r="AK81" i="9"/>
  <c r="AB40" i="1"/>
  <c r="AR77" i="8"/>
  <c r="AP40" i="1"/>
  <c r="AI57" i="8"/>
  <c r="AA74" i="1"/>
  <c r="E80" i="8"/>
  <c r="AR56" i="8"/>
  <c r="V69" i="8"/>
  <c r="X88" i="1"/>
  <c r="AC46" i="9"/>
  <c r="G38" i="8"/>
  <c r="AU80" i="8"/>
  <c r="I75" i="8"/>
  <c r="AK71" i="9"/>
  <c r="AU45" i="1"/>
  <c r="F40" i="1"/>
  <c r="F95" i="8"/>
  <c r="L38" i="8"/>
  <c r="AX87" i="9"/>
  <c r="AD76" i="8"/>
  <c r="AY79" i="9"/>
  <c r="AL46" i="1"/>
  <c r="O78" i="9"/>
  <c r="AJ64" i="8"/>
  <c r="X87" i="9"/>
  <c r="E71" i="1"/>
  <c r="P95" i="9"/>
  <c r="AW74" i="9"/>
  <c r="AK82" i="1"/>
  <c r="Y16" i="9"/>
  <c r="J14" i="9"/>
  <c r="Z9" i="9"/>
  <c r="AC38" i="9"/>
  <c r="AH70" i="8"/>
  <c r="AA66" i="8"/>
  <c r="D71" i="8"/>
  <c r="AG16" i="9"/>
  <c r="AM91" i="9"/>
  <c r="U80" i="1"/>
  <c r="L87" i="9"/>
  <c r="M40" i="8"/>
  <c r="O67" i="9"/>
  <c r="AG82" i="8"/>
  <c r="AP46" i="9"/>
  <c r="H78" i="1"/>
  <c r="AT87" i="1"/>
  <c r="V82" i="8"/>
  <c r="R45" i="9"/>
  <c r="AF73" i="9"/>
  <c r="S91" i="1"/>
  <c r="O39" i="9"/>
  <c r="AO77" i="1"/>
  <c r="Q91" i="8"/>
  <c r="AC73" i="8"/>
  <c r="T91" i="9"/>
  <c r="Z78" i="9"/>
  <c r="W80" i="9"/>
  <c r="X46" i="9"/>
  <c r="AO80" i="9"/>
  <c r="AF77" i="9"/>
  <c r="V75" i="9"/>
  <c r="P56" i="8"/>
  <c r="AU70" i="8"/>
  <c r="AG70" i="8"/>
  <c r="X45" i="9"/>
  <c r="AO56" i="8"/>
  <c r="AN64" i="8"/>
  <c r="AR80" i="1"/>
  <c r="AH45" i="8"/>
  <c r="Q95" i="8"/>
  <c r="D68" i="9"/>
  <c r="AE8" i="9"/>
  <c r="AS8" i="9"/>
  <c r="T77" i="1"/>
  <c r="AA9" i="9"/>
  <c r="AR86" i="9"/>
  <c r="X8" i="9"/>
  <c r="AS78" i="8"/>
  <c r="X9" i="9"/>
  <c r="AQ76" i="1"/>
  <c r="E73" i="9"/>
  <c r="AX76" i="9"/>
  <c r="I80" i="9"/>
  <c r="H8" i="8"/>
  <c r="AH46" i="8"/>
  <c r="AR68" i="8"/>
  <c r="AW82" i="8"/>
  <c r="T80" i="9"/>
  <c r="V76" i="8"/>
  <c r="S16" i="9"/>
  <c r="AF63" i="8"/>
  <c r="AX56" i="8"/>
  <c r="AX66" i="9"/>
  <c r="AX78" i="8"/>
  <c r="T44" i="1"/>
  <c r="AL57" i="1"/>
  <c r="AI72" i="9"/>
  <c r="AV40" i="9"/>
  <c r="AV38" i="1"/>
  <c r="AI73" i="8"/>
  <c r="AV39" i="1"/>
  <c r="AO38" i="1"/>
  <c r="T8" i="8"/>
  <c r="AG65" i="8"/>
  <c r="M81" i="9"/>
  <c r="K87" i="1"/>
  <c r="AR9" i="9"/>
  <c r="U95" i="9"/>
  <c r="AL65" i="1"/>
  <c r="V79" i="8"/>
  <c r="E38" i="9"/>
  <c r="AO15" i="9"/>
  <c r="AI68" i="8"/>
  <c r="AQ56" i="1"/>
  <c r="P16" i="1"/>
  <c r="K10" i="8"/>
  <c r="U78" i="9"/>
  <c r="AC92" i="1"/>
  <c r="H76" i="8"/>
  <c r="AR73" i="8"/>
  <c r="AW78" i="9"/>
  <c r="AA91" i="8"/>
  <c r="H82" i="9"/>
  <c r="AB88" i="9"/>
  <c r="N87" i="9"/>
  <c r="AR38" i="1"/>
  <c r="Z80" i="8"/>
  <c r="K95" i="9"/>
  <c r="T64" i="1"/>
  <c r="W44" i="8"/>
  <c r="AY95" i="8"/>
  <c r="AN80" i="9"/>
  <c r="AS15" i="9"/>
  <c r="S9" i="8"/>
  <c r="P70" i="9"/>
  <c r="AS88" i="9"/>
  <c r="D79" i="1"/>
  <c r="AK8" i="8"/>
  <c r="X95" i="1"/>
  <c r="AF75" i="1"/>
  <c r="AE71" i="8"/>
  <c r="P66" i="9"/>
  <c r="S16" i="8"/>
  <c r="AV73" i="8"/>
  <c r="AE15" i="9"/>
  <c r="AS91" i="9"/>
  <c r="Z77" i="8"/>
  <c r="J72" i="8"/>
  <c r="R38" i="8"/>
  <c r="V67" i="9"/>
  <c r="K77" i="9"/>
  <c r="Q81" i="9"/>
  <c r="F68" i="8"/>
  <c r="AY46" i="8"/>
  <c r="Y74" i="8"/>
  <c r="AD74" i="9"/>
  <c r="AH73" i="9"/>
  <c r="AW80" i="9"/>
  <c r="AW91" i="9"/>
  <c r="AL65" i="9"/>
  <c r="N14" i="8"/>
  <c r="P66" i="1"/>
  <c r="Q67" i="1"/>
  <c r="Q63" i="9"/>
  <c r="AQ92" i="8"/>
  <c r="AA64" i="9"/>
  <c r="AJ69" i="9"/>
  <c r="AQ10" i="1"/>
  <c r="X76" i="9"/>
  <c r="P91" i="8"/>
  <c r="F92" i="8"/>
  <c r="G56" i="9"/>
  <c r="W38" i="9"/>
  <c r="AR45" i="9"/>
  <c r="AL44" i="9"/>
  <c r="AK63" i="1"/>
  <c r="Z65" i="8"/>
  <c r="AC64" i="8"/>
  <c r="N76" i="8"/>
  <c r="T40" i="8"/>
  <c r="AV67" i="9"/>
  <c r="AC45" i="1"/>
  <c r="AH76" i="8"/>
  <c r="AP44" i="8"/>
  <c r="R40" i="9"/>
  <c r="AN76" i="1"/>
  <c r="G65" i="9"/>
  <c r="AT75" i="8"/>
  <c r="Z39" i="8"/>
  <c r="AF80" i="9"/>
  <c r="I81" i="9"/>
  <c r="L73" i="8"/>
  <c r="AE68" i="8"/>
  <c r="G88" i="1"/>
  <c r="AN56" i="9"/>
  <c r="K91" i="8"/>
  <c r="AB70" i="8"/>
  <c r="AR92" i="1"/>
  <c r="O76" i="1"/>
  <c r="R38" i="1"/>
  <c r="AA73" i="9"/>
  <c r="AK82" i="9"/>
  <c r="AJ88" i="9"/>
  <c r="AJ39" i="8"/>
  <c r="AX45" i="1"/>
  <c r="S8" i="8"/>
  <c r="AV8" i="9"/>
  <c r="AK38" i="9"/>
  <c r="T72" i="9"/>
  <c r="AN73" i="8"/>
  <c r="M75" i="8"/>
  <c r="AH68" i="9"/>
  <c r="R77" i="1"/>
  <c r="AJ75" i="8"/>
  <c r="R80" i="8"/>
  <c r="L66" i="8"/>
  <c r="AS95" i="8"/>
  <c r="Y63" i="9"/>
  <c r="AM95" i="8"/>
  <c r="E65" i="9"/>
  <c r="AS86" i="9"/>
  <c r="AS40" i="9"/>
  <c r="Z46" i="9"/>
  <c r="G45" i="9"/>
  <c r="Q77" i="9"/>
  <c r="AB86" i="9"/>
  <c r="AC71" i="9"/>
  <c r="V91" i="9"/>
  <c r="W64" i="9"/>
  <c r="AI44" i="1"/>
  <c r="R81" i="9"/>
  <c r="N79" i="8"/>
  <c r="H87" i="1"/>
  <c r="V46" i="8"/>
  <c r="T46" i="8"/>
  <c r="AB92" i="8"/>
  <c r="N80" i="1"/>
  <c r="U10" i="9"/>
  <c r="D86" i="8"/>
  <c r="U76" i="8"/>
  <c r="Y69" i="8"/>
  <c r="P39" i="8"/>
  <c r="E77" i="9"/>
  <c r="G14" i="1"/>
  <c r="L71" i="9"/>
  <c r="AK81" i="1"/>
  <c r="AT45" i="9"/>
  <c r="AL8" i="1"/>
  <c r="H72" i="8"/>
  <c r="N82" i="9"/>
  <c r="AD78" i="1"/>
  <c r="L73" i="9"/>
  <c r="AB56" i="8"/>
  <c r="AM56" i="8"/>
  <c r="V91" i="1"/>
  <c r="AC78" i="8"/>
  <c r="AN82" i="1"/>
  <c r="G14" i="9"/>
  <c r="AJ86" i="9"/>
  <c r="J56" i="9"/>
  <c r="R76" i="1"/>
  <c r="AU79" i="8"/>
  <c r="AY74" i="1"/>
  <c r="AR45" i="8"/>
  <c r="Y14" i="8"/>
  <c r="R46" i="8"/>
  <c r="AT44" i="8"/>
  <c r="V56" i="9"/>
  <c r="AR45" i="1"/>
  <c r="AQ72" i="8"/>
  <c r="AI57" i="9"/>
  <c r="AJ81" i="9"/>
  <c r="AJ91" i="1"/>
  <c r="K15" i="8"/>
  <c r="AR63" i="9"/>
  <c r="V69" i="9"/>
  <c r="W10" i="8"/>
  <c r="P16" i="8"/>
  <c r="AW45" i="8"/>
  <c r="AA68" i="9"/>
  <c r="AF86" i="1"/>
  <c r="J8" i="9"/>
  <c r="U71" i="9"/>
  <c r="AR75" i="9"/>
  <c r="I78" i="8"/>
  <c r="AJ73" i="8"/>
  <c r="L14" i="1"/>
  <c r="AA69" i="1"/>
  <c r="N78" i="9"/>
  <c r="AG56" i="9"/>
  <c r="H78" i="8"/>
  <c r="X44" i="9"/>
  <c r="AG64" i="9"/>
  <c r="AC69" i="8"/>
  <c r="AR88" i="8"/>
  <c r="AK75" i="1"/>
  <c r="AM46" i="8"/>
  <c r="W63" i="9"/>
  <c r="H39" i="1"/>
  <c r="E77" i="8"/>
  <c r="U65" i="8"/>
  <c r="Z70" i="1"/>
  <c r="N78" i="1"/>
  <c r="R71" i="9"/>
  <c r="AG79" i="8"/>
  <c r="K40" i="9"/>
  <c r="U81" i="9"/>
  <c r="F79" i="8"/>
  <c r="N64" i="9"/>
  <c r="AT73" i="9"/>
  <c r="S81" i="1"/>
  <c r="AK74" i="9"/>
  <c r="W73" i="9"/>
  <c r="L44" i="1"/>
  <c r="AT70" i="9"/>
  <c r="AD9" i="9"/>
  <c r="AI82" i="8"/>
  <c r="AN40" i="1"/>
  <c r="AM81" i="1"/>
  <c r="AT80" i="8"/>
  <c r="AH73" i="1"/>
  <c r="AV15" i="9"/>
  <c r="AE15" i="8"/>
  <c r="AU75" i="9"/>
  <c r="AG8" i="8"/>
  <c r="U75" i="9"/>
  <c r="I64" i="8"/>
  <c r="Y77" i="9"/>
  <c r="AS87" i="8"/>
  <c r="E69" i="8"/>
  <c r="L9" i="8"/>
  <c r="W57" i="8"/>
  <c r="L71" i="8"/>
  <c r="H80" i="9"/>
  <c r="AO73" i="8"/>
  <c r="AQ77" i="1"/>
  <c r="AM70" i="9"/>
  <c r="AX72" i="9"/>
  <c r="K56" i="9"/>
  <c r="AY87" i="1"/>
  <c r="F72" i="9"/>
  <c r="AJ70" i="1"/>
  <c r="AS45" i="8"/>
  <c r="AC64" i="9"/>
  <c r="J92" i="9"/>
  <c r="AA9" i="1"/>
  <c r="Y38" i="9"/>
  <c r="X80" i="9"/>
  <c r="AQ66" i="9"/>
  <c r="P14" i="9"/>
  <c r="AA68" i="8"/>
  <c r="E8" i="9"/>
  <c r="U14" i="1"/>
  <c r="AB78" i="8"/>
  <c r="M10" i="8"/>
  <c r="AV87" i="8"/>
  <c r="AE77" i="9"/>
  <c r="W15" i="8"/>
  <c r="AN86" i="8"/>
  <c r="AM77" i="1"/>
  <c r="J64" i="9"/>
  <c r="W45" i="8"/>
  <c r="AN38" i="1"/>
  <c r="X78" i="1"/>
  <c r="S10" i="9"/>
  <c r="AM82" i="1"/>
  <c r="AK79" i="9"/>
  <c r="AD95" i="9"/>
  <c r="AQ10" i="9"/>
  <c r="T40" i="9"/>
  <c r="J15" i="9"/>
  <c r="AP74" i="9"/>
  <c r="AD44" i="1"/>
  <c r="AN73" i="9"/>
  <c r="AM10" i="8"/>
  <c r="H39" i="9"/>
  <c r="Q66" i="8"/>
  <c r="D92" i="1"/>
  <c r="AF56" i="9"/>
  <c r="H92" i="9"/>
  <c r="AI16" i="8"/>
  <c r="X14" i="9"/>
  <c r="AR77" i="9"/>
  <c r="AG87" i="9"/>
  <c r="J39" i="9"/>
  <c r="L79" i="9"/>
  <c r="AT71" i="8"/>
  <c r="N81" i="8"/>
  <c r="AY67" i="8"/>
  <c r="K70" i="1"/>
  <c r="AN40" i="9"/>
  <c r="N39" i="9"/>
  <c r="P87" i="8"/>
  <c r="O78" i="8"/>
  <c r="AN76" i="9"/>
  <c r="AJ9" i="8"/>
  <c r="N72" i="1"/>
  <c r="K92" i="8"/>
  <c r="AQ10" i="8"/>
  <c r="M63" i="8"/>
  <c r="AF86" i="8"/>
  <c r="AE14" i="9"/>
  <c r="AK65" i="1"/>
  <c r="AP14" i="9"/>
  <c r="F73" i="1"/>
  <c r="P9" i="8"/>
  <c r="M56" i="9"/>
  <c r="AL92" i="1"/>
  <c r="Z38" i="1"/>
  <c r="Q77" i="1"/>
  <c r="AD79" i="8"/>
  <c r="R10" i="1"/>
  <c r="R87" i="1"/>
  <c r="R80" i="9"/>
  <c r="AF14" i="9"/>
  <c r="AX81" i="1"/>
  <c r="AX57" i="8"/>
  <c r="J92" i="8"/>
  <c r="O71" i="8"/>
  <c r="AF75" i="9"/>
  <c r="AW82" i="9"/>
  <c r="AM79" i="8"/>
  <c r="O8" i="9"/>
  <c r="AW46" i="1"/>
  <c r="Y88" i="9"/>
  <c r="AW64" i="8"/>
  <c r="AD79" i="9"/>
  <c r="AO38" i="9"/>
  <c r="U44" i="1"/>
  <c r="AQ69" i="8"/>
  <c r="AD92" i="8"/>
  <c r="AY77" i="8"/>
  <c r="I39" i="9"/>
  <c r="AG76" i="9"/>
  <c r="AE92" i="9"/>
  <c r="AW64" i="9"/>
  <c r="H70" i="9"/>
  <c r="AJ44" i="9"/>
  <c r="Q72" i="8"/>
  <c r="H76" i="9"/>
  <c r="P75" i="8"/>
  <c r="R14" i="8"/>
  <c r="AM15" i="9"/>
  <c r="R40" i="1"/>
  <c r="AB72" i="8"/>
  <c r="AD68" i="8"/>
  <c r="AN57" i="8"/>
  <c r="AD14" i="8"/>
  <c r="AE10" i="8"/>
  <c r="I69" i="8"/>
  <c r="AJ71" i="9"/>
  <c r="AM57" i="8"/>
  <c r="AP95" i="9"/>
  <c r="H15" i="1"/>
  <c r="S9" i="1"/>
  <c r="AI78" i="1"/>
  <c r="L78" i="8"/>
  <c r="R69" i="9"/>
  <c r="AU65" i="8"/>
  <c r="F77" i="9"/>
  <c r="AS73" i="8"/>
  <c r="AO44" i="9"/>
  <c r="AW78" i="1"/>
  <c r="AW38" i="8"/>
  <c r="AS39" i="9"/>
  <c r="AB56" i="9"/>
  <c r="S65" i="8"/>
  <c r="AY69" i="1"/>
  <c r="D56" i="8"/>
  <c r="AK66" i="1"/>
  <c r="O91" i="9"/>
  <c r="L15" i="9"/>
  <c r="N77" i="8"/>
  <c r="AM63" i="1"/>
  <c r="AS64" i="8"/>
  <c r="M68" i="9"/>
  <c r="I16" i="9"/>
  <c r="AT72" i="8"/>
  <c r="I65" i="9"/>
  <c r="T16" i="9"/>
  <c r="AB75" i="9"/>
  <c r="AX91" i="8"/>
  <c r="AN77" i="1"/>
  <c r="N91" i="8"/>
  <c r="K46" i="9"/>
  <c r="AL46" i="9"/>
  <c r="U74" i="8"/>
  <c r="AO10" i="9"/>
  <c r="M9" i="8"/>
  <c r="AS87" i="9"/>
  <c r="G15" i="9"/>
  <c r="AY15" i="1"/>
  <c r="S16" i="1"/>
  <c r="R77" i="8"/>
  <c r="AK92" i="8"/>
  <c r="W82" i="9"/>
  <c r="R68" i="9"/>
  <c r="J82" i="9"/>
  <c r="AS57" i="1"/>
  <c r="R8" i="8"/>
  <c r="AU16" i="9"/>
  <c r="AS57" i="8"/>
  <c r="P72" i="8"/>
  <c r="AS63" i="1"/>
  <c r="AX80" i="8"/>
  <c r="V73" i="9"/>
  <c r="K77" i="8"/>
  <c r="Q38" i="9"/>
  <c r="Y74" i="9"/>
  <c r="AT92" i="1"/>
  <c r="AK91" i="9"/>
  <c r="R14" i="1"/>
  <c r="P88" i="1"/>
  <c r="T57" i="9"/>
  <c r="Q65" i="1"/>
  <c r="F87" i="1"/>
  <c r="I44" i="8"/>
  <c r="Z15" i="9"/>
  <c r="AK80" i="8"/>
  <c r="AN71" i="9"/>
  <c r="K65" i="1"/>
  <c r="AI75" i="8"/>
  <c r="AQ68" i="1"/>
  <c r="X38" i="1"/>
  <c r="J70" i="1"/>
  <c r="AW63" i="8"/>
  <c r="AI70" i="1"/>
  <c r="U14" i="9"/>
  <c r="E86" i="8"/>
  <c r="AC40" i="1"/>
  <c r="S44" i="1"/>
  <c r="AN38" i="9"/>
  <c r="T68" i="8"/>
  <c r="Z16" i="1"/>
  <c r="AL82" i="9"/>
  <c r="W67" i="8"/>
  <c r="AO74" i="9"/>
  <c r="N67" i="1"/>
  <c r="D69" i="1"/>
  <c r="AN68" i="1"/>
  <c r="AU77" i="1"/>
  <c r="Q15" i="1"/>
  <c r="AX39" i="9"/>
  <c r="X69" i="8"/>
  <c r="Y46" i="1"/>
  <c r="P38" i="8"/>
  <c r="X69" i="9"/>
  <c r="P79" i="9"/>
  <c r="AH76" i="9"/>
  <c r="AY64" i="1"/>
  <c r="AK56" i="1"/>
  <c r="AJ92" i="9"/>
  <c r="Z68" i="9"/>
  <c r="G67" i="1"/>
  <c r="AC8" i="8"/>
  <c r="X10" i="8"/>
  <c r="AS9" i="9"/>
  <c r="AA40" i="8"/>
  <c r="AR70" i="8"/>
  <c r="G80" i="8"/>
  <c r="AW74" i="1"/>
  <c r="AT76" i="8"/>
  <c r="AD95" i="1"/>
  <c r="AX75" i="9"/>
  <c r="W77" i="8"/>
  <c r="O74" i="9"/>
  <c r="N44" i="9"/>
  <c r="AB76" i="1"/>
  <c r="X46" i="8"/>
  <c r="AY63" i="9"/>
  <c r="AB88" i="8"/>
  <c r="AX10" i="8"/>
  <c r="AI88" i="8"/>
  <c r="AS68" i="9"/>
  <c r="AT80" i="1"/>
  <c r="AX87" i="1"/>
  <c r="O15" i="8"/>
  <c r="AF56" i="8"/>
  <c r="T73" i="8"/>
  <c r="AD38" i="8"/>
  <c r="AH70" i="1"/>
  <c r="AD44" i="9"/>
  <c r="AW70" i="9"/>
  <c r="AY88" i="1"/>
  <c r="F16" i="9"/>
  <c r="D14" i="8"/>
  <c r="AX80" i="9"/>
  <c r="AX77" i="8"/>
  <c r="AF57" i="1"/>
  <c r="AU80" i="1"/>
  <c r="K72" i="8"/>
  <c r="AQ56" i="8"/>
  <c r="P64" i="9"/>
  <c r="AD86" i="8"/>
  <c r="X68" i="1"/>
  <c r="S91" i="9"/>
  <c r="F57" i="8"/>
  <c r="AP9" i="8"/>
  <c r="AN14" i="9"/>
  <c r="AE44" i="9"/>
  <c r="AK75" i="9"/>
  <c r="AM68" i="1"/>
  <c r="AP80" i="9"/>
  <c r="AS64" i="1"/>
  <c r="AR10" i="1"/>
  <c r="AG71" i="1"/>
  <c r="AD81" i="8"/>
  <c r="O67" i="8"/>
  <c r="AF88" i="9"/>
  <c r="S14" i="8"/>
  <c r="Q76" i="9"/>
  <c r="G57" i="8"/>
  <c r="AE81" i="8"/>
  <c r="AK74" i="8"/>
  <c r="L8" i="1"/>
  <c r="O65" i="9"/>
  <c r="V39" i="1"/>
  <c r="AE75" i="9"/>
  <c r="AY78" i="9"/>
  <c r="K56" i="8"/>
  <c r="AI63" i="9"/>
  <c r="X63" i="8"/>
  <c r="W40" i="1"/>
  <c r="V40" i="9"/>
  <c r="N70" i="9"/>
  <c r="S78" i="9"/>
  <c r="N76" i="9"/>
  <c r="S68" i="9"/>
  <c r="J77" i="9"/>
  <c r="AH79" i="9"/>
  <c r="M80" i="1"/>
  <c r="T64" i="9"/>
  <c r="J95" i="8"/>
  <c r="AQ80" i="9"/>
  <c r="Q44" i="8"/>
  <c r="AS79" i="8"/>
  <c r="AA38" i="1"/>
  <c r="V9" i="9"/>
  <c r="W40" i="9"/>
  <c r="D8" i="9"/>
  <c r="Q45" i="8"/>
  <c r="AB91" i="8"/>
  <c r="J88" i="8"/>
  <c r="G66" i="1"/>
  <c r="D88" i="1"/>
  <c r="AU38" i="1"/>
  <c r="AO74" i="8"/>
  <c r="AC79" i="8"/>
  <c r="AI86" i="1"/>
  <c r="AE81" i="9"/>
  <c r="AD57" i="8"/>
  <c r="AO16" i="9"/>
  <c r="Z66" i="1"/>
  <c r="AA88" i="9"/>
  <c r="D78" i="9"/>
  <c r="AK77" i="1"/>
  <c r="AG45" i="1"/>
  <c r="AU73" i="8"/>
  <c r="AM77" i="8"/>
  <c r="F46" i="1"/>
  <c r="J56" i="1"/>
  <c r="AW45" i="9"/>
  <c r="Z15" i="1"/>
  <c r="L91" i="1"/>
  <c r="N15" i="1"/>
  <c r="AD14" i="1"/>
  <c r="D70" i="1"/>
  <c r="H66" i="8"/>
  <c r="AV95" i="9"/>
  <c r="S64" i="1"/>
  <c r="AF79" i="1"/>
  <c r="U72" i="9"/>
  <c r="AT44" i="9"/>
  <c r="Q82" i="1"/>
  <c r="S66" i="9"/>
  <c r="AY69" i="9"/>
  <c r="AP91" i="9"/>
  <c r="AU78" i="1"/>
  <c r="E87" i="9"/>
  <c r="F88" i="1"/>
  <c r="AX56" i="9"/>
  <c r="AJ57" i="8"/>
  <c r="P74" i="9"/>
  <c r="U10" i="8"/>
  <c r="AC70" i="8"/>
  <c r="AK14" i="8"/>
  <c r="O9" i="1"/>
  <c r="D95" i="8"/>
  <c r="AN80" i="1"/>
  <c r="AA56" i="1"/>
  <c r="AO81" i="9"/>
  <c r="J46" i="1"/>
  <c r="AD75" i="9"/>
  <c r="P77" i="9"/>
  <c r="AP88" i="8"/>
  <c r="I57" i="9"/>
  <c r="AC92" i="9"/>
  <c r="AD86" i="1"/>
  <c r="F65" i="8"/>
  <c r="P38" i="1"/>
  <c r="AN71" i="1"/>
  <c r="I44" i="9"/>
  <c r="AO46" i="1"/>
  <c r="AI72" i="8"/>
  <c r="AD68" i="9"/>
  <c r="AU86" i="8"/>
  <c r="W92" i="1"/>
  <c r="AT57" i="9"/>
  <c r="U39" i="9"/>
  <c r="J77" i="1"/>
  <c r="AI68" i="1"/>
  <c r="AJ95" i="8"/>
  <c r="J38" i="9"/>
  <c r="K70" i="8"/>
  <c r="L86" i="1"/>
  <c r="AP15" i="1"/>
  <c r="AN87" i="9"/>
  <c r="AK40" i="9"/>
  <c r="N15" i="9"/>
  <c r="AN81" i="9"/>
  <c r="R64" i="8"/>
  <c r="AW77" i="8"/>
  <c r="AV88" i="1"/>
  <c r="M82" i="9"/>
  <c r="AB81" i="8"/>
  <c r="F79" i="9"/>
  <c r="V82" i="1"/>
  <c r="AO66" i="1"/>
  <c r="AM73" i="8"/>
  <c r="AE9" i="9"/>
  <c r="AP46" i="1"/>
  <c r="AT79" i="9"/>
  <c r="E73" i="8"/>
  <c r="G71" i="8"/>
  <c r="R75" i="8"/>
  <c r="S45" i="8"/>
  <c r="AV76" i="8"/>
  <c r="AF65" i="1"/>
  <c r="T75" i="8"/>
  <c r="AU9" i="1"/>
  <c r="S73" i="9"/>
  <c r="T76" i="1"/>
  <c r="G74" i="9"/>
  <c r="AT10" i="9"/>
  <c r="AG92" i="9"/>
  <c r="AJ92" i="1"/>
  <c r="U15" i="1"/>
  <c r="L46" i="9"/>
  <c r="AG73" i="1"/>
  <c r="AT57" i="8"/>
  <c r="AI14" i="9"/>
  <c r="T67" i="1"/>
  <c r="T92" i="9"/>
  <c r="V71" i="8"/>
  <c r="J72" i="1"/>
  <c r="AD9" i="8"/>
  <c r="AB38" i="1"/>
  <c r="F82" i="9"/>
  <c r="AH40" i="9"/>
  <c r="AP71" i="8"/>
  <c r="G16" i="8"/>
  <c r="I10" i="1"/>
  <c r="Z8" i="8"/>
  <c r="AW81" i="1"/>
  <c r="AI76" i="9"/>
  <c r="T79" i="9"/>
  <c r="P46" i="1"/>
  <c r="AW38" i="1"/>
  <c r="AQ45" i="9"/>
  <c r="E39" i="8"/>
  <c r="J64" i="1"/>
  <c r="L74" i="9"/>
  <c r="O74" i="8"/>
  <c r="I9" i="1"/>
  <c r="AO75" i="9"/>
  <c r="AF8" i="9"/>
  <c r="AM71" i="8"/>
  <c r="L73" i="1"/>
  <c r="F76" i="8"/>
  <c r="I15" i="8"/>
  <c r="AO82" i="9"/>
  <c r="X75" i="9"/>
  <c r="AH15" i="1"/>
  <c r="R64" i="9"/>
  <c r="M72" i="8"/>
  <c r="AC78" i="9"/>
  <c r="AF82" i="9"/>
  <c r="AJ15" i="9"/>
  <c r="T74" i="8"/>
  <c r="K8" i="9"/>
  <c r="AY56" i="8"/>
  <c r="T91" i="8"/>
  <c r="AF77" i="1"/>
  <c r="AS67" i="1"/>
  <c r="L79" i="8"/>
  <c r="AT69" i="8"/>
  <c r="AP57" i="8"/>
  <c r="AV71" i="1"/>
  <c r="AH72" i="8"/>
  <c r="T80" i="8"/>
  <c r="T14" i="9"/>
  <c r="AG44" i="8"/>
  <c r="AP72" i="1"/>
  <c r="AI38" i="1"/>
  <c r="R95" i="9"/>
  <c r="AQ46" i="1"/>
  <c r="K39" i="1"/>
  <c r="AL14" i="9"/>
  <c r="AB78" i="1"/>
  <c r="AA73" i="1"/>
  <c r="AG82" i="9"/>
  <c r="AP82" i="1"/>
  <c r="I78" i="9"/>
  <c r="I46" i="9"/>
  <c r="M87" i="9"/>
  <c r="D39" i="1"/>
  <c r="AM74" i="8"/>
  <c r="G72" i="1"/>
  <c r="AM40" i="9"/>
  <c r="AR78" i="8"/>
  <c r="AA76" i="8"/>
  <c r="AP77" i="8"/>
  <c r="H14" i="9"/>
  <c r="AN82" i="9"/>
  <c r="AV44" i="9"/>
  <c r="U82" i="9"/>
  <c r="O88" i="9"/>
  <c r="AS57" i="9"/>
  <c r="Q56" i="8"/>
  <c r="AS76" i="9"/>
  <c r="I8" i="1"/>
  <c r="AC45" i="9"/>
  <c r="H44" i="1"/>
  <c r="AJ79" i="9"/>
  <c r="Y78" i="1"/>
  <c r="S15" i="1"/>
  <c r="O76" i="9"/>
  <c r="P73" i="9"/>
  <c r="AO45" i="9"/>
  <c r="J10" i="9"/>
  <c r="N38" i="9"/>
  <c r="M46" i="1"/>
  <c r="H74" i="1"/>
  <c r="D64" i="9"/>
  <c r="AE14" i="1"/>
  <c r="AO10" i="8"/>
  <c r="AQ72" i="9"/>
  <c r="G75" i="9"/>
  <c r="AF16" i="8"/>
  <c r="AB39" i="9"/>
  <c r="M92" i="9"/>
  <c r="S79" i="1"/>
  <c r="P81" i="1"/>
  <c r="AA44" i="8"/>
  <c r="N65" i="1"/>
  <c r="H82" i="1"/>
  <c r="AF46" i="1"/>
  <c r="T45" i="9"/>
  <c r="O77" i="9"/>
  <c r="AP74" i="8"/>
  <c r="G88" i="8"/>
  <c r="Z74" i="9"/>
  <c r="G71" i="1"/>
  <c r="AL71" i="8"/>
  <c r="AU92" i="9"/>
  <c r="W16" i="1"/>
  <c r="AE76" i="8"/>
  <c r="AL95" i="8"/>
  <c r="U92" i="1"/>
  <c r="AU64" i="1"/>
  <c r="R78" i="1"/>
  <c r="AD82" i="1"/>
  <c r="X66" i="9"/>
  <c r="AY80" i="1"/>
  <c r="AB88" i="1"/>
  <c r="AN10" i="1"/>
  <c r="AJ75" i="9"/>
  <c r="T63" i="9"/>
  <c r="AT14" i="1"/>
  <c r="AL63" i="8"/>
  <c r="K81" i="9"/>
  <c r="AX16" i="1"/>
  <c r="AA92" i="9"/>
  <c r="AW88" i="8"/>
  <c r="AE56" i="8"/>
  <c r="L80" i="9"/>
  <c r="I16" i="8"/>
  <c r="AQ75" i="8"/>
  <c r="AP73" i="9"/>
  <c r="X39" i="8"/>
  <c r="AL64" i="9"/>
  <c r="AS81" i="9"/>
  <c r="W16" i="9"/>
  <c r="P75" i="1"/>
  <c r="M57" i="9"/>
  <c r="M66" i="9"/>
  <c r="E72" i="8"/>
  <c r="AH8" i="1"/>
  <c r="D88" i="8"/>
  <c r="AW72" i="1"/>
  <c r="AK10" i="8"/>
  <c r="U69" i="9"/>
  <c r="Y65" i="8"/>
  <c r="AB57" i="8"/>
  <c r="D63" i="9"/>
  <c r="AV70" i="1"/>
  <c r="U70" i="8"/>
  <c r="Z15" i="8"/>
  <c r="AN69" i="8"/>
  <c r="AW92" i="1"/>
  <c r="O77" i="1"/>
  <c r="AP38" i="8"/>
  <c r="S10" i="1"/>
  <c r="AR40" i="9"/>
  <c r="Y80" i="9"/>
  <c r="AB91" i="9"/>
  <c r="AH87" i="1"/>
  <c r="AI81" i="1"/>
  <c r="J76" i="8"/>
  <c r="E10" i="9"/>
  <c r="M71" i="9"/>
  <c r="V45" i="8"/>
  <c r="Y73" i="9"/>
  <c r="AP44" i="9"/>
  <c r="AG40" i="9"/>
  <c r="AD78" i="8"/>
  <c r="AE92" i="1"/>
  <c r="AX76" i="8"/>
  <c r="Z70" i="9"/>
  <c r="AG38" i="9"/>
  <c r="N65" i="9"/>
  <c r="T73" i="1"/>
  <c r="AA16" i="9"/>
  <c r="AP40" i="8"/>
  <c r="AA64" i="1"/>
  <c r="AH82" i="8"/>
  <c r="Z95" i="9"/>
  <c r="K44" i="8"/>
  <c r="AC65" i="8"/>
  <c r="AR79" i="9"/>
  <c r="AQ70" i="9"/>
  <c r="AM67" i="1"/>
  <c r="AC88" i="9"/>
  <c r="K81" i="8"/>
  <c r="AG76" i="1"/>
  <c r="S87" i="9"/>
  <c r="X88" i="9"/>
  <c r="X92" i="1"/>
  <c r="H92" i="8"/>
  <c r="V46" i="9"/>
  <c r="AB39" i="1"/>
  <c r="AP65" i="9"/>
  <c r="G87" i="8"/>
  <c r="X66" i="8"/>
  <c r="E45" i="8"/>
  <c r="AC56" i="9"/>
  <c r="AU14" i="9"/>
  <c r="E70" i="9"/>
  <c r="H40" i="8"/>
  <c r="I45" i="1"/>
  <c r="AY73" i="9"/>
  <c r="I76" i="1"/>
  <c r="G73" i="8"/>
  <c r="P74" i="8"/>
  <c r="Y95" i="9"/>
  <c r="AF38" i="1"/>
  <c r="W95" i="8"/>
  <c r="G68" i="9"/>
  <c r="J63" i="9"/>
  <c r="N8" i="9"/>
  <c r="S81" i="9"/>
  <c r="AO95" i="1"/>
  <c r="AF82" i="1"/>
  <c r="I74" i="8"/>
  <c r="F66" i="8"/>
  <c r="AO39" i="9"/>
  <c r="AU64" i="8"/>
  <c r="Y81" i="9"/>
  <c r="AL91" i="8"/>
  <c r="AK77" i="9"/>
  <c r="P73" i="8"/>
  <c r="AB78" i="9"/>
  <c r="AO70" i="9"/>
  <c r="G75" i="8"/>
  <c r="AC14" i="9"/>
  <c r="AT92" i="9"/>
  <c r="AM92" i="1"/>
  <c r="AB14" i="9"/>
  <c r="K88" i="9"/>
  <c r="E40" i="1"/>
  <c r="AC39" i="1"/>
  <c r="Q95" i="1"/>
  <c r="AW82" i="1"/>
  <c r="F45" i="8"/>
  <c r="Y46" i="8"/>
  <c r="P65" i="9"/>
  <c r="AK82" i="8"/>
  <c r="AA39" i="1"/>
  <c r="AF73" i="1"/>
  <c r="L46" i="8"/>
  <c r="Y56" i="1"/>
  <c r="AU46" i="8"/>
  <c r="AG80" i="8"/>
  <c r="AI87" i="9"/>
  <c r="AO40" i="9"/>
  <c r="AA45" i="8"/>
  <c r="F76" i="9"/>
  <c r="AF8" i="8"/>
  <c r="X15" i="1"/>
  <c r="H38" i="9"/>
  <c r="U45" i="1"/>
  <c r="AP78" i="1"/>
  <c r="AN77" i="9"/>
  <c r="AE95" i="8"/>
  <c r="F88" i="8"/>
  <c r="D10" i="1"/>
  <c r="AK40" i="8"/>
  <c r="X66" i="1"/>
  <c r="AT65" i="1"/>
  <c r="X57" i="8"/>
  <c r="Y79" i="9"/>
  <c r="W78" i="1"/>
  <c r="AF8" i="1"/>
  <c r="AM75" i="8"/>
  <c r="AX70" i="8"/>
  <c r="M78" i="1"/>
  <c r="K74" i="8"/>
  <c r="AH71" i="9"/>
  <c r="AH46" i="9"/>
  <c r="Z75" i="9"/>
  <c r="AQ81" i="9"/>
  <c r="E78" i="9"/>
  <c r="T70" i="9"/>
  <c r="J76" i="1"/>
  <c r="AX82" i="8"/>
  <c r="G46" i="8"/>
  <c r="V70" i="9"/>
  <c r="D46" i="1"/>
  <c r="W76" i="8"/>
  <c r="Q81" i="8"/>
  <c r="AT81" i="8"/>
  <c r="R66" i="8"/>
  <c r="K73" i="9"/>
  <c r="P70" i="1"/>
  <c r="AR73" i="9"/>
  <c r="AC57" i="9"/>
  <c r="S78" i="8"/>
  <c r="AR70" i="1"/>
  <c r="AL69" i="9"/>
  <c r="F91" i="1"/>
  <c r="AH65" i="9"/>
  <c r="D68" i="1"/>
  <c r="F72" i="8"/>
  <c r="E46" i="1"/>
  <c r="AG69" i="8"/>
  <c r="X44" i="1"/>
  <c r="AI40" i="9"/>
  <c r="AM81" i="9"/>
  <c r="AD15" i="9"/>
  <c r="AN66" i="9"/>
  <c r="AD69" i="8"/>
  <c r="M38" i="9"/>
  <c r="AT77" i="8"/>
  <c r="AJ16" i="8"/>
  <c r="D39" i="8"/>
  <c r="AI86" i="8"/>
  <c r="H76" i="1"/>
  <c r="Q79" i="8"/>
  <c r="AW72" i="9"/>
  <c r="H74" i="9"/>
  <c r="AA64" i="8"/>
  <c r="L91" i="8"/>
  <c r="S46" i="9"/>
  <c r="L64" i="8"/>
  <c r="H16" i="8"/>
  <c r="K10" i="9"/>
  <c r="T8" i="9"/>
  <c r="Z64" i="9"/>
  <c r="AF74" i="9"/>
  <c r="AL70" i="1"/>
  <c r="Q70" i="1"/>
  <c r="T67" i="8"/>
  <c r="K15" i="9"/>
  <c r="K44" i="1"/>
  <c r="AK78" i="9"/>
  <c r="G77" i="8"/>
  <c r="O15" i="1"/>
  <c r="AN64" i="1"/>
  <c r="H8" i="9"/>
  <c r="AK88" i="8"/>
  <c r="AO88" i="8"/>
  <c r="AX71" i="8"/>
  <c r="I45" i="9"/>
  <c r="AW87" i="9"/>
  <c r="AY56" i="9"/>
  <c r="D72" i="1"/>
  <c r="AH44" i="1"/>
  <c r="AR15" i="9"/>
  <c r="F87" i="9"/>
  <c r="K8" i="1"/>
  <c r="Q14" i="8"/>
  <c r="AL77" i="8"/>
  <c r="E87" i="1"/>
  <c r="V65" i="8"/>
  <c r="R76" i="9"/>
  <c r="K74" i="9"/>
  <c r="G73" i="9"/>
  <c r="I91" i="9"/>
  <c r="AA15" i="9"/>
  <c r="AM67" i="9"/>
  <c r="AB57" i="9"/>
  <c r="K91" i="1"/>
  <c r="AI14" i="1"/>
  <c r="T68" i="1"/>
  <c r="X74" i="9"/>
  <c r="N91" i="9"/>
  <c r="N63" i="1"/>
  <c r="AC87" i="9"/>
  <c r="AD75" i="8"/>
  <c r="AA74" i="9"/>
  <c r="AO86" i="8"/>
  <c r="F39" i="8"/>
  <c r="N45" i="9"/>
  <c r="J79" i="9"/>
  <c r="E14" i="9"/>
  <c r="AJ67" i="8"/>
  <c r="D66" i="1"/>
  <c r="E69" i="1"/>
  <c r="AV8" i="8"/>
  <c r="AB67" i="9"/>
  <c r="G69" i="9"/>
  <c r="E56" i="1"/>
  <c r="AX14" i="9"/>
  <c r="E44" i="8"/>
  <c r="AX65" i="9"/>
  <c r="R75" i="1"/>
  <c r="R57" i="9"/>
  <c r="AE64" i="1"/>
  <c r="K75" i="1"/>
  <c r="P46" i="8"/>
  <c r="AD16" i="9"/>
  <c r="AK8" i="9"/>
  <c r="G95" i="1"/>
  <c r="AF39" i="1"/>
  <c r="K14" i="8"/>
  <c r="V16" i="1"/>
  <c r="AT86" i="1"/>
  <c r="AC75" i="1"/>
  <c r="S56" i="9"/>
  <c r="E10" i="1"/>
  <c r="U68" i="8"/>
  <c r="P45" i="1"/>
  <c r="AI87" i="8"/>
  <c r="AP95" i="8"/>
  <c r="AB76" i="8"/>
  <c r="Z78" i="8"/>
  <c r="AB66" i="9"/>
  <c r="J78" i="1"/>
  <c r="J72" i="9"/>
  <c r="AM44" i="8"/>
  <c r="AL71" i="1"/>
  <c r="E73" i="1"/>
  <c r="W66" i="1"/>
  <c r="P40" i="1"/>
  <c r="AA81" i="1"/>
  <c r="AG66" i="8"/>
  <c r="AT69" i="1"/>
  <c r="AW71" i="8"/>
  <c r="G39" i="8"/>
  <c r="H46" i="8"/>
  <c r="AI88" i="9"/>
  <c r="Z67" i="1"/>
  <c r="AR76" i="8"/>
  <c r="N45" i="1"/>
  <c r="AS86" i="1"/>
  <c r="AB9" i="1"/>
  <c r="U38" i="9"/>
  <c r="AW39" i="8"/>
  <c r="AG79" i="9"/>
  <c r="Y76" i="9"/>
  <c r="AE63" i="8"/>
  <c r="V80" i="8"/>
  <c r="AD10" i="9"/>
  <c r="W81" i="9"/>
  <c r="V63" i="9"/>
  <c r="M87" i="1"/>
  <c r="AJ16" i="9"/>
  <c r="AO14" i="1"/>
  <c r="AL15" i="8"/>
  <c r="AG46" i="9"/>
  <c r="AK71" i="8"/>
  <c r="AT8" i="1"/>
  <c r="AV66" i="8"/>
  <c r="Z40" i="1"/>
  <c r="D70" i="9"/>
  <c r="AI39" i="9"/>
  <c r="Y86" i="9"/>
  <c r="AV64" i="9"/>
  <c r="AW70" i="8"/>
  <c r="AQ82" i="9"/>
  <c r="AE57" i="9"/>
  <c r="I75" i="9"/>
  <c r="L69" i="1"/>
  <c r="AD68" i="1"/>
  <c r="AN9" i="9"/>
  <c r="G92" i="9"/>
  <c r="P81" i="9"/>
  <c r="E66" i="9"/>
  <c r="AV45" i="8"/>
  <c r="L15" i="8"/>
  <c r="AH16" i="1"/>
  <c r="Z75" i="8"/>
  <c r="AG78" i="8"/>
  <c r="AB74" i="9"/>
  <c r="Z76" i="8"/>
  <c r="M57" i="1"/>
  <c r="P79" i="1"/>
  <c r="AT67" i="9"/>
  <c r="AQ9" i="9"/>
  <c r="D81" i="9"/>
  <c r="V82" i="9"/>
  <c r="AM71" i="1"/>
  <c r="R71" i="8"/>
  <c r="AI92" i="9"/>
  <c r="AU86" i="9"/>
  <c r="S38" i="8"/>
  <c r="G57" i="1"/>
  <c r="Z56" i="9"/>
  <c r="AX40" i="1"/>
  <c r="AK87" i="9"/>
  <c r="AM44" i="9"/>
  <c r="AF56" i="1"/>
  <c r="AD95" i="8"/>
  <c r="L10" i="8"/>
  <c r="AY56" i="1"/>
  <c r="AU70" i="9"/>
  <c r="AM80" i="9"/>
  <c r="G39" i="9"/>
  <c r="Y91" i="8"/>
  <c r="M91" i="1"/>
  <c r="R91" i="9"/>
  <c r="AJ72" i="8"/>
  <c r="AT14" i="9"/>
  <c r="AQ64" i="1"/>
  <c r="AW40" i="1"/>
  <c r="E75" i="9"/>
  <c r="AY39" i="1"/>
  <c r="AO15" i="1"/>
  <c r="X65" i="8"/>
  <c r="V65" i="9"/>
  <c r="N56" i="9"/>
  <c r="J81" i="8"/>
  <c r="AC88" i="1"/>
  <c r="J88" i="1"/>
  <c r="Y39" i="8"/>
  <c r="T44" i="9"/>
  <c r="AM87" i="8"/>
  <c r="H40" i="9"/>
  <c r="AP66" i="8"/>
  <c r="AS38" i="1"/>
  <c r="N16" i="1"/>
  <c r="Q68" i="9"/>
  <c r="AH86" i="9"/>
  <c r="J75" i="9"/>
  <c r="AL69" i="8"/>
  <c r="K45" i="1"/>
  <c r="H66" i="9"/>
  <c r="AL88" i="9"/>
  <c r="AM69" i="1"/>
  <c r="I80" i="8"/>
  <c r="AJ81" i="8"/>
  <c r="R9" i="8"/>
  <c r="AJ87" i="9"/>
  <c r="T78" i="8"/>
  <c r="R91" i="8"/>
  <c r="AE67" i="9"/>
  <c r="J16" i="9"/>
  <c r="P64" i="8"/>
  <c r="AN16" i="1"/>
  <c r="F80" i="1"/>
  <c r="AK69" i="8"/>
  <c r="G63" i="9"/>
  <c r="AO75" i="8"/>
  <c r="AG79" i="1"/>
  <c r="AX38" i="9"/>
  <c r="W44" i="9"/>
  <c r="V16" i="9"/>
  <c r="J15" i="1"/>
  <c r="AL10" i="8"/>
  <c r="AN46" i="1"/>
  <c r="Z44" i="9"/>
  <c r="AW66" i="1"/>
  <c r="N63" i="9"/>
  <c r="AM38" i="1"/>
  <c r="E39" i="1"/>
  <c r="K72" i="1"/>
  <c r="AC38" i="1"/>
  <c r="AU68" i="1"/>
  <c r="R56" i="9"/>
  <c r="AG65" i="9"/>
  <c r="AQ57" i="8"/>
  <c r="AO82" i="1"/>
  <c r="G63" i="8"/>
  <c r="Y75" i="9"/>
  <c r="AB75" i="8"/>
  <c r="Q75" i="8"/>
  <c r="AV65" i="9"/>
  <c r="G78" i="9"/>
  <c r="P95" i="8"/>
  <c r="V66" i="8"/>
  <c r="G87" i="9"/>
  <c r="AY76" i="8"/>
  <c r="S87" i="1"/>
  <c r="O46" i="8"/>
  <c r="AQ77" i="9"/>
  <c r="AY81" i="8"/>
  <c r="L66" i="1"/>
  <c r="N46" i="1"/>
  <c r="AB82" i="9"/>
  <c r="AX67" i="1"/>
  <c r="G87" i="1"/>
  <c r="X95" i="9"/>
  <c r="AS46" i="8"/>
  <c r="AJ64" i="9"/>
  <c r="AU65" i="1"/>
  <c r="AO14" i="9"/>
  <c r="AR39" i="9"/>
  <c r="Y75" i="8"/>
  <c r="AH9" i="8"/>
  <c r="AN66" i="8"/>
  <c r="N71" i="8"/>
  <c r="AP86" i="8"/>
  <c r="S77" i="8"/>
  <c r="J70" i="9"/>
  <c r="AC66" i="9"/>
  <c r="D46" i="8"/>
  <c r="D92" i="9"/>
  <c r="AQ92" i="9"/>
  <c r="AY44" i="8"/>
  <c r="AO69" i="9"/>
  <c r="AJ70" i="9"/>
  <c r="AA16" i="8"/>
  <c r="P69" i="8"/>
  <c r="AG57" i="8"/>
  <c r="K91" i="9"/>
  <c r="AH92" i="8"/>
  <c r="AL73" i="8"/>
  <c r="AD91" i="9"/>
  <c r="M70" i="8"/>
  <c r="AI69" i="1"/>
  <c r="I63" i="9"/>
  <c r="AM9" i="9"/>
  <c r="AC82" i="9"/>
  <c r="AJ14" i="1"/>
  <c r="Y63" i="1"/>
  <c r="AB66" i="8"/>
  <c r="AM9" i="8"/>
  <c r="X76" i="8"/>
  <c r="AR14" i="8"/>
  <c r="AW87" i="8"/>
  <c r="AW10" i="8"/>
  <c r="T81" i="1"/>
  <c r="AY68" i="1"/>
  <c r="AI77" i="8"/>
  <c r="R63" i="8"/>
  <c r="W77" i="1"/>
  <c r="AV86" i="1"/>
  <c r="W74" i="8"/>
  <c r="AK45" i="1"/>
  <c r="AK77" i="8"/>
  <c r="S65" i="9"/>
  <c r="S71" i="1"/>
  <c r="AY14" i="8"/>
  <c r="D64" i="8"/>
  <c r="Y16" i="1"/>
  <c r="AI67" i="9"/>
  <c r="S72" i="9"/>
  <c r="AE46" i="1"/>
  <c r="P69" i="1"/>
  <c r="E57" i="9"/>
  <c r="J15" i="8"/>
  <c r="N80" i="8"/>
  <c r="P71" i="8"/>
  <c r="AH8" i="9"/>
  <c r="T16" i="1"/>
  <c r="AL74" i="8"/>
  <c r="AB86" i="8"/>
  <c r="AM88" i="8"/>
  <c r="O56" i="8"/>
  <c r="AH87" i="9"/>
  <c r="D15" i="8"/>
  <c r="S76" i="9"/>
  <c r="AO75" i="1"/>
  <c r="AQ38" i="8"/>
  <c r="Z69" i="8"/>
  <c r="D65" i="8"/>
  <c r="G74" i="1"/>
  <c r="AK92" i="9"/>
  <c r="F15" i="9"/>
  <c r="AT68" i="9"/>
  <c r="AX74" i="8"/>
  <c r="AB45" i="1"/>
  <c r="AB81" i="1"/>
  <c r="U8" i="1"/>
  <c r="P10" i="8"/>
  <c r="AA78" i="8"/>
  <c r="Q39" i="8"/>
  <c r="G44" i="1"/>
  <c r="AD66" i="9"/>
  <c r="M16" i="8"/>
  <c r="AC86" i="8"/>
  <c r="AK9" i="1"/>
  <c r="AG78" i="9"/>
  <c r="E9" i="9"/>
  <c r="AX39" i="8"/>
  <c r="AP91" i="1"/>
  <c r="H95" i="8"/>
  <c r="AS86" i="8"/>
  <c r="AI38" i="9"/>
  <c r="F69" i="8"/>
  <c r="W95" i="1"/>
  <c r="S73" i="8"/>
  <c r="AX63" i="8"/>
  <c r="Y69" i="1"/>
  <c r="O91" i="1"/>
  <c r="F9" i="1"/>
  <c r="AX72" i="1"/>
  <c r="E68" i="8"/>
  <c r="J44" i="8"/>
  <c r="Z9" i="8"/>
  <c r="Q16" i="8"/>
  <c r="L75" i="9"/>
  <c r="L67" i="1"/>
  <c r="AF38" i="8"/>
  <c r="H63" i="9"/>
  <c r="AL57" i="8"/>
  <c r="AA45" i="1"/>
  <c r="AN56" i="8"/>
  <c r="X91" i="9"/>
  <c r="AA67" i="8"/>
  <c r="AF40" i="1"/>
  <c r="AP64" i="9"/>
  <c r="E15" i="1"/>
  <c r="V63" i="8"/>
  <c r="T92" i="8"/>
  <c r="AW79" i="9"/>
  <c r="S92" i="9"/>
  <c r="H87" i="9"/>
  <c r="J87" i="8"/>
  <c r="AT56" i="9"/>
  <c r="O56" i="9"/>
  <c r="U8" i="9"/>
  <c r="AB9" i="9"/>
  <c r="F67" i="9"/>
  <c r="Q56" i="1"/>
  <c r="P76" i="9"/>
  <c r="O67" i="1"/>
  <c r="O15" i="9"/>
  <c r="AD74" i="8"/>
  <c r="N71" i="9"/>
  <c r="Q82" i="9"/>
  <c r="AS14" i="9"/>
  <c r="AW76" i="8"/>
  <c r="H91" i="9"/>
  <c r="Z56" i="8"/>
  <c r="L57" i="1"/>
  <c r="Y71" i="9"/>
  <c r="AW68" i="8"/>
  <c r="AT74" i="8"/>
  <c r="AS56" i="9"/>
  <c r="D73" i="8"/>
  <c r="AA87" i="9"/>
  <c r="T56" i="1"/>
  <c r="Z57" i="1"/>
  <c r="S46" i="1"/>
  <c r="AO15" i="8"/>
  <c r="AO82" i="8"/>
  <c r="Y64" i="8"/>
  <c r="X39" i="9"/>
  <c r="AD73" i="1"/>
  <c r="AF75" i="8"/>
  <c r="AM88" i="1"/>
  <c r="Q74" i="8"/>
  <c r="T82" i="8"/>
  <c r="AG8" i="9"/>
  <c r="AP64" i="1"/>
  <c r="U56" i="1"/>
  <c r="AA66" i="9"/>
  <c r="AP92" i="1"/>
  <c r="N10" i="8"/>
  <c r="N68" i="1"/>
  <c r="J57" i="1"/>
  <c r="AR95" i="1"/>
  <c r="AQ67" i="8"/>
  <c r="I82" i="9"/>
  <c r="AV16" i="1"/>
  <c r="AG14" i="1"/>
  <c r="K95" i="1"/>
  <c r="S76" i="1"/>
  <c r="AQ44" i="1"/>
  <c r="R70" i="9"/>
  <c r="N74" i="9"/>
  <c r="AT38" i="1"/>
  <c r="AY38" i="9"/>
  <c r="AD76" i="9"/>
  <c r="AI45" i="9"/>
  <c r="AI8" i="1"/>
  <c r="AC79" i="1"/>
  <c r="AH75" i="1"/>
  <c r="AX92" i="1"/>
  <c r="AP88" i="9"/>
  <c r="AF72" i="8"/>
  <c r="AD87" i="8"/>
  <c r="AW44" i="1"/>
  <c r="AG71" i="8"/>
  <c r="L46" i="1"/>
  <c r="T10" i="9"/>
  <c r="N57" i="8"/>
  <c r="AO86" i="9"/>
  <c r="AY82" i="8"/>
  <c r="Q63" i="1"/>
  <c r="H56" i="1"/>
  <c r="Q46" i="1"/>
  <c r="AA76" i="9"/>
  <c r="W39" i="8"/>
  <c r="AM74" i="1"/>
  <c r="AH69" i="8"/>
  <c r="Z81" i="1"/>
  <c r="Z8" i="1"/>
  <c r="Z38" i="8"/>
  <c r="T66" i="9"/>
  <c r="G79" i="8"/>
  <c r="AV65" i="8"/>
  <c r="AI64" i="8"/>
  <c r="AW71" i="1"/>
  <c r="AR39" i="1"/>
  <c r="AR81" i="8"/>
  <c r="N75" i="9"/>
  <c r="AA72" i="1"/>
  <c r="AC10" i="8"/>
  <c r="AL80" i="9"/>
  <c r="D15" i="1"/>
  <c r="Y76" i="8"/>
  <c r="AT63" i="8"/>
  <c r="AX57" i="9"/>
  <c r="V67" i="8"/>
  <c r="AV64" i="1"/>
  <c r="U9" i="1"/>
  <c r="P15" i="1"/>
  <c r="K72" i="9"/>
  <c r="G8" i="9"/>
  <c r="AS80" i="8"/>
  <c r="AJ91" i="8"/>
  <c r="S76" i="8"/>
  <c r="W75" i="9"/>
  <c r="AE57" i="8"/>
  <c r="R9" i="1"/>
  <c r="AK88" i="1"/>
  <c r="V15" i="8"/>
  <c r="AQ95" i="9"/>
  <c r="D57" i="1"/>
  <c r="E56" i="8"/>
  <c r="T86" i="8"/>
  <c r="AJ56" i="1"/>
  <c r="AX44" i="8"/>
  <c r="AA76" i="1"/>
  <c r="AH76" i="1"/>
  <c r="AO16" i="8"/>
  <c r="F73" i="8"/>
  <c r="D79" i="8"/>
  <c r="AL68" i="1"/>
  <c r="AJ46" i="1"/>
  <c r="AL38" i="9"/>
  <c r="AB38" i="8"/>
  <c r="J38" i="8"/>
  <c r="AV44" i="8"/>
  <c r="AK70" i="1"/>
  <c r="AE9" i="1"/>
  <c r="U9" i="8"/>
  <c r="U86" i="1"/>
  <c r="J71" i="8"/>
  <c r="Y10" i="1"/>
  <c r="N81" i="1"/>
  <c r="G91" i="9"/>
  <c r="AS46" i="1"/>
  <c r="W88" i="1"/>
  <c r="Z88" i="8"/>
  <c r="AC69" i="1"/>
  <c r="D66" i="9"/>
  <c r="AR69" i="8"/>
  <c r="AT39" i="8"/>
  <c r="R46" i="1"/>
  <c r="AQ71" i="1"/>
  <c r="AL14" i="8"/>
  <c r="AF81" i="9"/>
  <c r="D82" i="9"/>
  <c r="AV57" i="9"/>
  <c r="AH63" i="9"/>
  <c r="L10" i="9"/>
  <c r="AV8" i="1"/>
  <c r="E86" i="9"/>
  <c r="E71" i="8"/>
  <c r="K16" i="8"/>
  <c r="AW63" i="9"/>
  <c r="O82" i="1"/>
  <c r="AY9" i="8"/>
  <c r="U67" i="9"/>
  <c r="AW66" i="8"/>
  <c r="L95" i="9"/>
  <c r="F80" i="9"/>
  <c r="AC81" i="9"/>
  <c r="AH10" i="1"/>
  <c r="V78" i="9"/>
  <c r="AR46" i="1"/>
  <c r="AX73" i="9"/>
  <c r="AT79" i="1"/>
  <c r="W10" i="9"/>
  <c r="AV88" i="9"/>
  <c r="AY82" i="9"/>
  <c r="AT38" i="8"/>
  <c r="AH66" i="9"/>
  <c r="AH73" i="8"/>
  <c r="H15" i="8"/>
  <c r="X67" i="8"/>
  <c r="AR46" i="9"/>
  <c r="AC72" i="9"/>
  <c r="AE10" i="9"/>
  <c r="K78" i="8"/>
  <c r="H73" i="1"/>
  <c r="I9" i="8"/>
  <c r="AS81" i="1"/>
  <c r="W68" i="8"/>
  <c r="N46" i="8"/>
  <c r="P75" i="9"/>
  <c r="AM78" i="1"/>
  <c r="AJ82" i="9"/>
  <c r="AM39" i="9"/>
  <c r="Y40" i="8"/>
  <c r="I86" i="1"/>
  <c r="R72" i="9"/>
  <c r="Y46" i="9"/>
  <c r="AP10" i="9"/>
  <c r="AO78" i="9"/>
  <c r="AI40" i="8"/>
  <c r="G80" i="1"/>
  <c r="X45" i="1"/>
  <c r="AD40" i="9"/>
  <c r="U79" i="1"/>
  <c r="K68" i="8"/>
  <c r="AH79" i="8"/>
  <c r="AC38" i="8"/>
  <c r="N95" i="1"/>
  <c r="AY77" i="9"/>
  <c r="H57" i="1"/>
  <c r="AU72" i="9"/>
  <c r="J16" i="8"/>
  <c r="AN14" i="1"/>
  <c r="AU66" i="9"/>
  <c r="S80" i="9"/>
  <c r="AQ63" i="8"/>
  <c r="O16" i="9"/>
  <c r="O56" i="1"/>
  <c r="AX74" i="9"/>
  <c r="AL72" i="1"/>
  <c r="AS78" i="1"/>
  <c r="AC56" i="8"/>
  <c r="AB46" i="8"/>
  <c r="AE63" i="9"/>
  <c r="W72" i="9"/>
  <c r="AA8" i="8"/>
  <c r="H92" i="1"/>
  <c r="G82" i="9"/>
  <c r="Y40" i="1"/>
  <c r="AW46" i="9"/>
  <c r="AI71" i="1"/>
  <c r="F44" i="9"/>
  <c r="L72" i="1"/>
  <c r="AR73" i="1"/>
  <c r="V86" i="9"/>
  <c r="Q69" i="1"/>
  <c r="D77" i="9"/>
  <c r="AM16" i="1"/>
  <c r="AI10" i="8"/>
  <c r="N72" i="9"/>
  <c r="AS69" i="9"/>
  <c r="AG9" i="1"/>
  <c r="M76" i="8"/>
  <c r="AK91" i="8"/>
  <c r="AV80" i="1"/>
  <c r="AA57" i="9"/>
  <c r="J79" i="8"/>
  <c r="AP70" i="9"/>
  <c r="H67" i="1"/>
  <c r="P57" i="9"/>
  <c r="W95" i="9"/>
  <c r="AC78" i="1"/>
  <c r="O92" i="1"/>
  <c r="AU66" i="1"/>
  <c r="AS46" i="9"/>
  <c r="U80" i="8"/>
  <c r="J68" i="9"/>
  <c r="AM66" i="8"/>
  <c r="D81" i="8"/>
  <c r="AC8" i="1"/>
  <c r="AN67" i="8"/>
  <c r="O69" i="9"/>
  <c r="G65" i="1"/>
  <c r="AF95" i="1"/>
  <c r="E57" i="8"/>
  <c r="AU87" i="1"/>
  <c r="V88" i="8"/>
  <c r="Y66" i="8"/>
  <c r="AA14" i="8"/>
  <c r="U69" i="1"/>
  <c r="AF68" i="9"/>
  <c r="H79" i="1"/>
  <c r="L74" i="8"/>
  <c r="AA95" i="8"/>
  <c r="O10" i="1"/>
  <c r="W38" i="8"/>
  <c r="AJ64" i="1"/>
  <c r="T75" i="1"/>
  <c r="AB71" i="8"/>
  <c r="I81" i="1"/>
  <c r="X86" i="9"/>
  <c r="AP70" i="8"/>
  <c r="AI73" i="1"/>
  <c r="S70" i="8"/>
  <c r="Z91" i="9"/>
  <c r="AB77" i="9"/>
  <c r="G86" i="9"/>
  <c r="P40" i="9"/>
  <c r="AP45" i="9"/>
  <c r="AP92" i="9"/>
  <c r="U45" i="8"/>
  <c r="AE65" i="8"/>
  <c r="AR95" i="8"/>
  <c r="P79" i="8"/>
  <c r="J44" i="9"/>
  <c r="AL9" i="8"/>
  <c r="AV86" i="9"/>
  <c r="F40" i="9"/>
  <c r="AI69" i="9"/>
  <c r="Q40" i="9"/>
  <c r="G86" i="1"/>
  <c r="AT46" i="8"/>
  <c r="AL45" i="1"/>
  <c r="AJ40" i="9"/>
  <c r="F15" i="1"/>
  <c r="AE65" i="1"/>
  <c r="T66" i="8"/>
  <c r="V44" i="8"/>
  <c r="AJ76" i="9"/>
  <c r="AI79" i="1"/>
  <c r="AG75" i="8"/>
  <c r="Z82" i="9"/>
  <c r="AS10" i="9"/>
  <c r="O73" i="9"/>
  <c r="O95" i="8"/>
  <c r="AG92" i="1"/>
  <c r="O69" i="1"/>
  <c r="F16" i="8"/>
  <c r="AH64" i="9"/>
  <c r="AO63" i="1"/>
  <c r="I68" i="8"/>
  <c r="Y82" i="9"/>
  <c r="AN10" i="9"/>
  <c r="AF88" i="1"/>
  <c r="Q86" i="8"/>
  <c r="AS82" i="1"/>
  <c r="AX69" i="9"/>
  <c r="S38" i="1"/>
  <c r="Y92" i="8"/>
  <c r="AM76" i="9"/>
  <c r="Y70" i="1"/>
  <c r="T15" i="1"/>
  <c r="AW9" i="8"/>
  <c r="AN78" i="9"/>
  <c r="AT87" i="9"/>
  <c r="AP76" i="8"/>
  <c r="H68" i="9"/>
  <c r="X78" i="9"/>
  <c r="S38" i="9"/>
  <c r="H86" i="1"/>
  <c r="AH95" i="1"/>
  <c r="O10" i="8"/>
  <c r="Z38" i="9"/>
  <c r="X72" i="8"/>
  <c r="M16" i="9"/>
  <c r="AN87" i="1"/>
  <c r="AP87" i="1"/>
  <c r="AU71" i="9"/>
  <c r="AJ77" i="8"/>
  <c r="AI78" i="8"/>
  <c r="Y66" i="1"/>
  <c r="AS73" i="9"/>
  <c r="AH77" i="8"/>
  <c r="AY80" i="9"/>
  <c r="AA63" i="8"/>
  <c r="S56" i="8"/>
  <c r="AO76" i="8"/>
  <c r="AJ68" i="1"/>
  <c r="AD77" i="8"/>
  <c r="Z77" i="9"/>
  <c r="AU56" i="8"/>
  <c r="AP16" i="9"/>
  <c r="AM73" i="1"/>
  <c r="AJ78" i="8"/>
  <c r="AP10" i="1"/>
  <c r="AM81" i="8"/>
  <c r="AB80" i="8"/>
  <c r="O45" i="1"/>
  <c r="T76" i="8"/>
  <c r="X64" i="8"/>
  <c r="O40" i="9"/>
  <c r="M39" i="9"/>
  <c r="AG9" i="9"/>
  <c r="Y72" i="1"/>
  <c r="O46" i="9"/>
  <c r="AL14" i="1"/>
  <c r="M80" i="9"/>
  <c r="AW38" i="9"/>
  <c r="J66" i="9"/>
  <c r="AL44" i="1"/>
  <c r="F45" i="9"/>
  <c r="T14" i="1"/>
  <c r="AG56" i="1"/>
  <c r="AH81" i="9"/>
  <c r="W14" i="8"/>
  <c r="L86" i="9"/>
  <c r="X77" i="8"/>
  <c r="AP75" i="8"/>
  <c r="E66" i="1"/>
  <c r="AF45" i="8"/>
  <c r="AL88" i="1"/>
  <c r="AM72" i="8"/>
  <c r="U77" i="1"/>
  <c r="AB10" i="9"/>
  <c r="I72" i="8"/>
  <c r="AV92" i="9"/>
  <c r="AV87" i="9"/>
  <c r="AP79" i="8"/>
  <c r="AX9" i="9"/>
  <c r="G78" i="1"/>
  <c r="AF16" i="9"/>
  <c r="M57" i="8"/>
  <c r="K70" i="9"/>
  <c r="D75" i="1"/>
  <c r="Y16" i="8"/>
  <c r="AC67" i="8"/>
  <c r="AQ75" i="9"/>
  <c r="Z92" i="8"/>
  <c r="P92" i="8"/>
  <c r="AI46" i="9"/>
  <c r="AD75" i="1"/>
  <c r="AM63" i="8"/>
  <c r="AW75" i="9"/>
  <c r="Y64" i="1"/>
  <c r="S40" i="8"/>
  <c r="H69" i="8"/>
  <c r="W46" i="9"/>
  <c r="Q87" i="1"/>
  <c r="U75" i="8"/>
  <c r="AO57" i="8"/>
  <c r="AI8" i="9"/>
  <c r="K79" i="8"/>
  <c r="T78" i="9"/>
  <c r="AO73" i="9"/>
  <c r="R69" i="8"/>
  <c r="N76" i="1"/>
  <c r="U15" i="8"/>
  <c r="G15" i="1"/>
  <c r="AY67" i="9"/>
  <c r="AV46" i="9"/>
  <c r="D45" i="9"/>
  <c r="J73" i="9"/>
  <c r="F69" i="9"/>
  <c r="AM15" i="8"/>
  <c r="AK86" i="1"/>
  <c r="AJ39" i="9"/>
  <c r="I70" i="8"/>
  <c r="V81" i="1"/>
  <c r="K71" i="9"/>
  <c r="AF9" i="8"/>
  <c r="Y15" i="1"/>
  <c r="E95" i="9"/>
  <c r="AF68" i="1"/>
  <c r="AU72" i="1"/>
  <c r="E70" i="1"/>
  <c r="AT88" i="8"/>
  <c r="AY15" i="8"/>
  <c r="AQ76" i="8"/>
  <c r="AD80" i="1"/>
  <c r="AI40" i="1"/>
  <c r="V77" i="8"/>
  <c r="Q44" i="9"/>
  <c r="AF76" i="8"/>
  <c r="J65" i="8"/>
  <c r="AM44" i="1"/>
  <c r="AK63" i="9"/>
  <c r="AL38" i="1"/>
  <c r="J46" i="9"/>
  <c r="Y68" i="8"/>
  <c r="AL87" i="9"/>
  <c r="AD8" i="1"/>
  <c r="AE16" i="8"/>
  <c r="S95" i="9"/>
  <c r="W66" i="9"/>
  <c r="AS15" i="1"/>
  <c r="AF87" i="8"/>
  <c r="M44" i="1"/>
  <c r="AB57" i="1"/>
  <c r="F10" i="1"/>
  <c r="AN70" i="8"/>
  <c r="I86" i="9"/>
  <c r="R15" i="8"/>
  <c r="AC63" i="9"/>
  <c r="AW75" i="1"/>
  <c r="M68" i="8"/>
  <c r="V73" i="8"/>
  <c r="AW70" i="1"/>
  <c r="V16" i="8"/>
  <c r="J67" i="1"/>
  <c r="U68" i="1"/>
  <c r="AX74" i="1"/>
  <c r="R57" i="8"/>
  <c r="AW67" i="1"/>
  <c r="Y14" i="9"/>
  <c r="AT66" i="9"/>
  <c r="AY14" i="9"/>
  <c r="W71" i="1"/>
  <c r="AG87" i="8"/>
  <c r="AH86" i="1"/>
  <c r="AU88" i="1"/>
  <c r="Q68" i="8"/>
  <c r="Y8" i="9"/>
  <c r="AF71" i="8"/>
  <c r="F77" i="1"/>
  <c r="AC68" i="9"/>
  <c r="T92" i="1"/>
  <c r="AL39" i="1"/>
  <c r="J9" i="9"/>
  <c r="E76" i="8"/>
  <c r="F70" i="9"/>
  <c r="M76" i="1"/>
  <c r="AM65" i="1"/>
  <c r="AO92" i="8"/>
  <c r="S75" i="9"/>
  <c r="E46" i="9"/>
  <c r="N70" i="1"/>
  <c r="P68" i="9"/>
  <c r="Q67" i="8"/>
  <c r="T95" i="9"/>
  <c r="L92" i="1"/>
  <c r="K76" i="8"/>
  <c r="T65" i="8"/>
  <c r="AP15" i="9"/>
  <c r="AE74" i="1"/>
  <c r="AL76" i="8"/>
  <c r="AW87" i="1"/>
  <c r="Q64" i="1"/>
  <c r="AR81" i="1"/>
  <c r="AA65" i="1"/>
  <c r="X64" i="9"/>
  <c r="AQ78" i="8"/>
  <c r="R39" i="8"/>
  <c r="AA15" i="1"/>
  <c r="V88" i="9"/>
  <c r="AB73" i="9"/>
  <c r="Q40" i="8"/>
  <c r="T81" i="9"/>
  <c r="Y56" i="8"/>
  <c r="AN68" i="9"/>
  <c r="V87" i="9"/>
  <c r="U40" i="1"/>
  <c r="AW75" i="8"/>
  <c r="AJ74" i="1"/>
  <c r="V10" i="1"/>
  <c r="AR78" i="9"/>
  <c r="AV9" i="8"/>
  <c r="AJ16" i="1"/>
  <c r="AM14" i="8"/>
  <c r="AU69" i="8"/>
  <c r="H44" i="8"/>
  <c r="AT87" i="8"/>
  <c r="E80" i="1"/>
  <c r="Q73" i="9"/>
  <c r="O76" i="8"/>
  <c r="AX8" i="9"/>
  <c r="H65" i="1"/>
  <c r="H72" i="1"/>
  <c r="AM46" i="1"/>
  <c r="AT45" i="1"/>
  <c r="H40" i="1"/>
  <c r="W65" i="1"/>
  <c r="F80" i="8"/>
  <c r="F46" i="9"/>
  <c r="AR39" i="8"/>
  <c r="U92" i="8"/>
  <c r="AI16" i="1"/>
  <c r="I77" i="1"/>
  <c r="AB15" i="1"/>
  <c r="Q71" i="1"/>
  <c r="G16" i="9"/>
  <c r="AK76" i="9"/>
  <c r="AO45" i="1"/>
  <c r="AT77" i="9"/>
  <c r="R95" i="1"/>
  <c r="AJ82" i="8"/>
  <c r="N67" i="9"/>
  <c r="AR67" i="1"/>
  <c r="AP44" i="1"/>
  <c r="M69" i="9"/>
  <c r="E71" i="9"/>
  <c r="U67" i="8"/>
  <c r="AI45" i="1"/>
  <c r="AB45" i="8"/>
  <c r="F8" i="9"/>
  <c r="AO68" i="9"/>
  <c r="J8" i="8"/>
  <c r="U16" i="9"/>
  <c r="E8" i="1"/>
  <c r="AS80" i="1"/>
  <c r="K76" i="1"/>
  <c r="AP65" i="8"/>
  <c r="AU8" i="1"/>
  <c r="AT64" i="8"/>
  <c r="AM69" i="9"/>
  <c r="M15" i="1"/>
  <c r="U68" i="9"/>
  <c r="AU15" i="1"/>
  <c r="Q80" i="8"/>
  <c r="K15" i="1"/>
  <c r="G56" i="1"/>
  <c r="AW79" i="1"/>
  <c r="L80" i="8"/>
  <c r="AF80" i="8"/>
  <c r="AP88" i="1"/>
  <c r="AF46" i="9"/>
  <c r="F91" i="9"/>
  <c r="AA56" i="9"/>
  <c r="AH88" i="1"/>
  <c r="Z70" i="8"/>
  <c r="H16" i="1"/>
  <c r="K82" i="9"/>
  <c r="AU56" i="1"/>
  <c r="AW73" i="8"/>
  <c r="AJ15" i="1"/>
  <c r="AF67" i="1"/>
  <c r="F73" i="9"/>
  <c r="AV91" i="1"/>
  <c r="F38" i="1"/>
  <c r="H38" i="1"/>
  <c r="AN39" i="8"/>
  <c r="AH38" i="1"/>
  <c r="AI92" i="8"/>
  <c r="AI9" i="9"/>
  <c r="AU10" i="1"/>
  <c r="AU74" i="9"/>
  <c r="AM66" i="1"/>
  <c r="AY65" i="1"/>
  <c r="K64" i="1"/>
  <c r="AX45" i="8"/>
  <c r="AD63" i="1"/>
  <c r="AH92" i="1"/>
  <c r="T77" i="8"/>
  <c r="AP39" i="9"/>
  <c r="AD16" i="8"/>
  <c r="AU86" i="1"/>
  <c r="N40" i="8"/>
  <c r="AE79" i="1"/>
  <c r="AC64" i="1"/>
  <c r="AG64" i="1"/>
  <c r="AD65" i="8"/>
  <c r="AO44" i="8"/>
  <c r="M75" i="1"/>
  <c r="I92" i="9"/>
  <c r="AN79" i="1"/>
  <c r="O38" i="9"/>
  <c r="I80" i="1"/>
  <c r="AK46" i="9"/>
  <c r="G64" i="1"/>
  <c r="AP14" i="1"/>
  <c r="AP76" i="9"/>
  <c r="AP45" i="1"/>
  <c r="E68" i="1"/>
  <c r="AS68" i="1"/>
  <c r="AM8" i="1"/>
  <c r="AJ45" i="8"/>
  <c r="AE16" i="9"/>
  <c r="AK10" i="1"/>
  <c r="AA95" i="1"/>
  <c r="AJ66" i="1"/>
  <c r="M95" i="9"/>
  <c r="AE14" i="8"/>
  <c r="AJ80" i="1"/>
  <c r="AB63" i="9"/>
  <c r="AF14" i="1"/>
  <c r="N56" i="8"/>
  <c r="Q56" i="9"/>
  <c r="AT40" i="8"/>
  <c r="V87" i="1"/>
  <c r="F78" i="1"/>
  <c r="AT15" i="1"/>
  <c r="G91" i="1"/>
  <c r="P65" i="8"/>
  <c r="Q72" i="1"/>
  <c r="G72" i="9"/>
  <c r="T14" i="8"/>
  <c r="AN88" i="1"/>
  <c r="X80" i="1"/>
  <c r="AH63" i="1"/>
  <c r="AQ87" i="1"/>
  <c r="V80" i="1"/>
  <c r="AD56" i="1"/>
  <c r="AK73" i="1"/>
  <c r="U46" i="8"/>
  <c r="AX75" i="8"/>
  <c r="W91" i="8"/>
  <c r="AF66" i="1"/>
  <c r="AR16" i="1"/>
  <c r="K10" i="1"/>
  <c r="AU63" i="1"/>
  <c r="AD63" i="8"/>
  <c r="AG8" i="1"/>
  <c r="AE72" i="8"/>
  <c r="X88" i="8"/>
  <c r="AQ74" i="1"/>
  <c r="AU46" i="1"/>
  <c r="AR8" i="9"/>
  <c r="H79" i="8"/>
  <c r="AR40" i="8"/>
  <c r="AR69" i="9"/>
  <c r="Y71" i="1"/>
  <c r="AT16" i="9"/>
  <c r="AB74" i="1"/>
  <c r="I40" i="1"/>
  <c r="AS39" i="8"/>
  <c r="AL91" i="9"/>
  <c r="AF15" i="8"/>
  <c r="AB75" i="1"/>
  <c r="AX40" i="8"/>
  <c r="AY72" i="1"/>
  <c r="AD82" i="9"/>
  <c r="AE44" i="1"/>
  <c r="D82" i="8"/>
  <c r="I72" i="1"/>
  <c r="R87" i="9"/>
  <c r="M56" i="8"/>
  <c r="F68" i="9"/>
  <c r="AW39" i="9"/>
  <c r="AC15" i="1"/>
  <c r="AR81" i="9"/>
  <c r="F66" i="9"/>
  <c r="AV73" i="9"/>
  <c r="Y88" i="1"/>
  <c r="AB82" i="1"/>
  <c r="AS77" i="9"/>
  <c r="V14" i="1"/>
  <c r="Z92" i="1"/>
  <c r="Z39" i="1"/>
  <c r="G40" i="1"/>
  <c r="AJ75" i="1"/>
  <c r="AP91" i="8"/>
  <c r="S39" i="1"/>
  <c r="J73" i="1"/>
  <c r="AE45" i="1"/>
  <c r="AY92" i="1"/>
  <c r="O45" i="8"/>
  <c r="R15" i="1"/>
  <c r="P87" i="1"/>
  <c r="AU78" i="9"/>
  <c r="Y88" i="8"/>
  <c r="AT46" i="9"/>
  <c r="AC91" i="1"/>
  <c r="AY69" i="8"/>
  <c r="AA38" i="9"/>
  <c r="AD88" i="1"/>
  <c r="E16" i="8"/>
  <c r="AH82" i="1"/>
  <c r="Z8" i="9"/>
  <c r="AT81" i="9"/>
  <c r="AO71" i="1"/>
  <c r="AR74" i="8"/>
  <c r="AN72" i="8"/>
  <c r="O8" i="8"/>
  <c r="AX77" i="1"/>
  <c r="AO91" i="1"/>
  <c r="AE91" i="9"/>
  <c r="X69" i="1"/>
  <c r="AD82" i="8"/>
  <c r="AF64" i="8"/>
  <c r="O38" i="1"/>
  <c r="AU63" i="8"/>
  <c r="AR88" i="1"/>
  <c r="AY77" i="1"/>
  <c r="AV10" i="8"/>
  <c r="F9" i="9"/>
  <c r="AE38" i="8"/>
  <c r="AI10" i="9"/>
  <c r="AC10" i="1"/>
  <c r="O39" i="1"/>
  <c r="AD77" i="1"/>
  <c r="AI56" i="8"/>
  <c r="AL66" i="8"/>
  <c r="L44" i="8"/>
  <c r="W73" i="8"/>
  <c r="AA46" i="9"/>
  <c r="AO39" i="8"/>
  <c r="M67" i="8"/>
  <c r="AI76" i="8"/>
  <c r="X10" i="1"/>
  <c r="AH14" i="1"/>
  <c r="G9" i="9"/>
  <c r="AO70" i="8"/>
  <c r="AR65" i="1"/>
  <c r="AG44" i="1"/>
  <c r="AK67" i="1"/>
  <c r="AS95" i="9"/>
  <c r="AJ45" i="9"/>
  <c r="AI74" i="1"/>
  <c r="AW81" i="9"/>
  <c r="AM70" i="8"/>
  <c r="D72" i="9"/>
  <c r="E46" i="8"/>
  <c r="P15" i="9"/>
  <c r="AC87" i="8"/>
  <c r="E92" i="8"/>
  <c r="Z86" i="1"/>
  <c r="N8" i="1"/>
  <c r="AO65" i="9"/>
  <c r="U56" i="8"/>
  <c r="AQ14" i="1"/>
  <c r="V80" i="9"/>
  <c r="S69" i="1"/>
  <c r="R82" i="1"/>
  <c r="AS92" i="1"/>
  <c r="H95" i="1"/>
  <c r="AI80" i="8"/>
  <c r="E67" i="8"/>
  <c r="AA72" i="9"/>
  <c r="I38" i="1"/>
  <c r="AL82" i="8"/>
  <c r="J10" i="1"/>
  <c r="AS10" i="8"/>
  <c r="AT82" i="1"/>
  <c r="AX70" i="1"/>
  <c r="S68" i="1"/>
  <c r="I14" i="8"/>
  <c r="AH77" i="1"/>
  <c r="Z87" i="9"/>
  <c r="Z45" i="8"/>
  <c r="P56" i="1"/>
  <c r="X15" i="9"/>
  <c r="AU67" i="1"/>
  <c r="AY95" i="1"/>
  <c r="AL86" i="1"/>
  <c r="D74" i="8"/>
  <c r="AS38" i="9"/>
  <c r="AC74" i="8"/>
  <c r="U44" i="9"/>
  <c r="AC81" i="8"/>
  <c r="AU82" i="1"/>
  <c r="W8" i="8"/>
  <c r="AH88" i="8"/>
  <c r="AC40" i="9"/>
  <c r="AC71" i="1"/>
  <c r="H45" i="8"/>
  <c r="AV82" i="8"/>
  <c r="W64" i="8"/>
  <c r="M86" i="1"/>
  <c r="AP8" i="9"/>
  <c r="T45" i="1"/>
  <c r="F75" i="8"/>
  <c r="M81" i="8"/>
  <c r="AU57" i="8"/>
  <c r="L87" i="1"/>
  <c r="Q10" i="1"/>
  <c r="T95" i="8"/>
  <c r="D95" i="1"/>
  <c r="AK65" i="9"/>
  <c r="AY64" i="8"/>
  <c r="Q44" i="1"/>
  <c r="S95" i="8"/>
  <c r="F74" i="1"/>
  <c r="AG40" i="8"/>
  <c r="Z72" i="1"/>
  <c r="U16" i="1"/>
  <c r="W79" i="1"/>
  <c r="L86" i="8"/>
  <c r="Y70" i="8"/>
  <c r="AS76" i="1"/>
  <c r="V91" i="8"/>
  <c r="R92" i="1"/>
  <c r="U78" i="1"/>
  <c r="AG74" i="8"/>
  <c r="J78" i="9"/>
  <c r="AF72" i="1"/>
  <c r="AA14" i="1"/>
  <c r="L92" i="9"/>
  <c r="T66" i="1"/>
  <c r="AW74" i="8"/>
  <c r="AL79" i="9"/>
  <c r="O63" i="8"/>
  <c r="O88" i="8"/>
  <c r="AV66" i="9"/>
  <c r="AN38" i="8"/>
  <c r="I77" i="8"/>
  <c r="AW81" i="8"/>
  <c r="AA44" i="1"/>
  <c r="AV68" i="1"/>
  <c r="P44" i="8"/>
  <c r="K82" i="1"/>
  <c r="L88" i="9"/>
  <c r="AS80" i="9"/>
  <c r="AN86" i="9"/>
  <c r="AS15" i="8"/>
  <c r="AD40" i="1"/>
  <c r="AO78" i="1"/>
  <c r="V40" i="8"/>
  <c r="AU91" i="1"/>
  <c r="D87" i="8"/>
  <c r="AJ15" i="8"/>
  <c r="E57" i="1"/>
  <c r="AF44" i="1"/>
  <c r="AL64" i="8"/>
  <c r="AJ63" i="1"/>
  <c r="AH78" i="1"/>
  <c r="AH39" i="1"/>
  <c r="Z16" i="9"/>
  <c r="AI79" i="9"/>
  <c r="I40" i="8"/>
  <c r="T45" i="8"/>
  <c r="O68" i="1"/>
  <c r="Y38" i="1"/>
  <c r="H39" i="8"/>
  <c r="AA79" i="9"/>
  <c r="AC69" i="9"/>
  <c r="AD39" i="1"/>
  <c r="Y67" i="8"/>
  <c r="X81" i="8"/>
  <c r="R39" i="9"/>
  <c r="AD80" i="8"/>
  <c r="R74" i="9"/>
  <c r="I66" i="9"/>
  <c r="AC9" i="1"/>
  <c r="AE86" i="1"/>
  <c r="AW56" i="9"/>
  <c r="AV76" i="1"/>
  <c r="AC75" i="9"/>
  <c r="AG39" i="8"/>
  <c r="AW80" i="1"/>
  <c r="AA15" i="8"/>
  <c r="AH66" i="8"/>
  <c r="AE67" i="1"/>
  <c r="AX8" i="1"/>
  <c r="AP69" i="9"/>
  <c r="W39" i="1"/>
  <c r="AY71" i="8"/>
  <c r="AS74" i="1"/>
  <c r="AE86" i="9"/>
  <c r="J86" i="1"/>
  <c r="AG63" i="8"/>
  <c r="H81" i="9"/>
  <c r="W9" i="8"/>
  <c r="AN40" i="8"/>
  <c r="AM72" i="9"/>
  <c r="F70" i="1"/>
  <c r="AJ45" i="1"/>
  <c r="L81" i="1"/>
  <c r="AX38" i="8"/>
  <c r="Z16" i="8"/>
  <c r="M66" i="1"/>
  <c r="K68" i="9"/>
  <c r="E74" i="8"/>
  <c r="AW14" i="1"/>
  <c r="U76" i="1"/>
  <c r="Q71" i="8"/>
  <c r="Y82" i="8"/>
  <c r="AX15" i="1"/>
  <c r="H73" i="9"/>
  <c r="AG15" i="9"/>
  <c r="AD39" i="9"/>
  <c r="AN16" i="9"/>
  <c r="AQ65" i="9"/>
  <c r="AG38" i="8"/>
  <c r="K8" i="8"/>
  <c r="AG72" i="1"/>
  <c r="AK76" i="1"/>
  <c r="N92" i="1"/>
  <c r="Z82" i="1"/>
  <c r="AY10" i="1"/>
  <c r="M73" i="1"/>
  <c r="AC44" i="8"/>
  <c r="AW78" i="8"/>
  <c r="M65" i="8"/>
  <c r="R65" i="1"/>
  <c r="AT68" i="1"/>
  <c r="Q8" i="9"/>
  <c r="L95" i="8"/>
  <c r="AC44" i="1"/>
  <c r="V88" i="1"/>
  <c r="P82" i="8"/>
  <c r="AN44" i="1"/>
  <c r="AX40" i="9"/>
  <c r="N44" i="1"/>
  <c r="AW69" i="1"/>
  <c r="T9" i="1"/>
  <c r="K63" i="1"/>
  <c r="AC79" i="9"/>
  <c r="AU65" i="9"/>
  <c r="AP57" i="1"/>
  <c r="Q73" i="8"/>
  <c r="P80" i="1"/>
  <c r="AY10" i="9"/>
  <c r="H66" i="1"/>
  <c r="AW57" i="8"/>
  <c r="V81" i="9"/>
  <c r="Z88" i="1"/>
  <c r="AS88" i="8"/>
  <c r="U8" i="8"/>
  <c r="U38" i="8"/>
  <c r="AX76" i="1"/>
  <c r="AT86" i="9"/>
  <c r="G15" i="8"/>
  <c r="AE80" i="8"/>
  <c r="M71" i="1"/>
  <c r="V39" i="9"/>
  <c r="AT10" i="1"/>
  <c r="U39" i="1"/>
  <c r="E75" i="1"/>
  <c r="AD64" i="8"/>
  <c r="H81" i="1"/>
  <c r="Z64" i="8"/>
  <c r="AV57" i="1"/>
  <c r="AV74" i="1"/>
  <c r="AF66" i="8"/>
  <c r="AH78" i="9"/>
  <c r="E78" i="1"/>
  <c r="AL65" i="8"/>
  <c r="AR91" i="9"/>
  <c r="I81" i="8"/>
  <c r="V38" i="1"/>
  <c r="AK76" i="8"/>
  <c r="X82" i="8"/>
  <c r="T64" i="8"/>
  <c r="AY74" i="9"/>
  <c r="AA78" i="9"/>
  <c r="AY76" i="1"/>
  <c r="Y8" i="8"/>
  <c r="Q78" i="1"/>
  <c r="K88" i="1"/>
  <c r="D8" i="8"/>
  <c r="O16" i="1"/>
  <c r="I45" i="8"/>
  <c r="AO88" i="1"/>
  <c r="AQ8" i="1"/>
  <c r="AC81" i="1"/>
  <c r="Q65" i="8"/>
  <c r="F57" i="1"/>
  <c r="N8" i="8"/>
  <c r="L79" i="1"/>
  <c r="O92" i="8"/>
  <c r="T71" i="8"/>
  <c r="AR64" i="9"/>
  <c r="AR57" i="9"/>
  <c r="AU74" i="8"/>
  <c r="AX95" i="9"/>
  <c r="E44" i="1"/>
  <c r="Z86" i="8"/>
  <c r="AP82" i="9"/>
  <c r="AG73" i="8"/>
  <c r="AK70" i="9"/>
  <c r="AQ82" i="1"/>
  <c r="AX16" i="9"/>
  <c r="AQ70" i="8"/>
  <c r="AQ65" i="8"/>
  <c r="E9" i="1"/>
  <c r="AA79" i="1"/>
  <c r="I15" i="9"/>
  <c r="F64" i="8"/>
  <c r="AT78" i="1"/>
  <c r="T16" i="8"/>
  <c r="AS40" i="8"/>
  <c r="AL39" i="8"/>
  <c r="Q74" i="9"/>
  <c r="O79" i="9"/>
  <c r="Y8" i="1"/>
  <c r="N92" i="8"/>
  <c r="AQ74" i="9"/>
  <c r="M16" i="1"/>
  <c r="D67" i="1"/>
  <c r="AF15" i="1"/>
  <c r="Y81" i="1"/>
  <c r="AV39" i="8"/>
  <c r="F92" i="1"/>
  <c r="I40" i="9"/>
  <c r="L44" i="9"/>
  <c r="Y57" i="8"/>
  <c r="AA46" i="8"/>
  <c r="AH65" i="8"/>
  <c r="AA92" i="8"/>
  <c r="AK46" i="8"/>
  <c r="N77" i="1"/>
  <c r="Y44" i="9"/>
  <c r="X76" i="1"/>
  <c r="AD9" i="1"/>
  <c r="I76" i="8"/>
  <c r="V45" i="9"/>
  <c r="AE40" i="9"/>
  <c r="AF79" i="9"/>
  <c r="AA80" i="8"/>
  <c r="AP38" i="1"/>
  <c r="E95" i="1"/>
  <c r="O14" i="9"/>
  <c r="R16" i="1"/>
  <c r="L82" i="8"/>
  <c r="AF44" i="8"/>
  <c r="AY57" i="1"/>
  <c r="AQ63" i="1"/>
  <c r="I10" i="8"/>
  <c r="Y14" i="1"/>
  <c r="AM63" i="9"/>
  <c r="AD57" i="1"/>
  <c r="AN70" i="1"/>
  <c r="AG72" i="8"/>
  <c r="P66" i="8"/>
  <c r="F69" i="1"/>
  <c r="AU79" i="1"/>
  <c r="AS9" i="8"/>
  <c r="F76" i="1"/>
  <c r="G9" i="1"/>
  <c r="AQ79" i="9"/>
  <c r="L45" i="1"/>
  <c r="O79" i="1"/>
  <c r="AR66" i="8"/>
  <c r="D76" i="8"/>
  <c r="J38" i="1"/>
  <c r="O81" i="1"/>
  <c r="M74" i="9"/>
  <c r="D92" i="8"/>
  <c r="F82" i="1"/>
  <c r="AL72" i="9"/>
  <c r="U95" i="1"/>
  <c r="AP9" i="9"/>
  <c r="M38" i="1"/>
  <c r="Q88" i="1"/>
  <c r="V44" i="1"/>
  <c r="I71" i="8"/>
  <c r="U44" i="8"/>
  <c r="AF67" i="9"/>
  <c r="AJ8" i="8"/>
  <c r="L65" i="9"/>
  <c r="P14" i="1"/>
  <c r="H74" i="8"/>
  <c r="D64" i="1"/>
  <c r="AR9" i="8"/>
  <c r="AL63" i="1"/>
  <c r="AQ95" i="1"/>
  <c r="AH15" i="8"/>
  <c r="V9" i="1"/>
  <c r="W15" i="1"/>
  <c r="W70" i="8"/>
  <c r="AD45" i="1"/>
  <c r="AG46" i="1"/>
  <c r="J74" i="9"/>
  <c r="AV56" i="8"/>
  <c r="AD81" i="9"/>
  <c r="AI66" i="9"/>
  <c r="G76" i="8"/>
  <c r="AS79" i="1"/>
  <c r="I67" i="1"/>
  <c r="S65" i="1"/>
  <c r="Z71" i="8"/>
  <c r="AE40" i="8"/>
  <c r="S73" i="1"/>
  <c r="E16" i="1"/>
  <c r="W74" i="1"/>
  <c r="P63" i="8"/>
  <c r="AO70" i="1"/>
  <c r="AO8" i="8"/>
  <c r="U74" i="1"/>
  <c r="AB92" i="9"/>
  <c r="AM78" i="8"/>
  <c r="AR14" i="1"/>
  <c r="N72" i="8"/>
  <c r="X72" i="1"/>
  <c r="AJ71" i="1"/>
  <c r="AC16" i="1"/>
  <c r="Z9" i="1"/>
  <c r="AV79" i="8"/>
  <c r="AF92" i="1"/>
  <c r="K92" i="1"/>
  <c r="AH16" i="8"/>
  <c r="AA78" i="1"/>
  <c r="AX64" i="8"/>
  <c r="X38" i="9"/>
  <c r="W86" i="9"/>
  <c r="F10" i="8"/>
  <c r="R9" i="9"/>
  <c r="D44" i="8"/>
  <c r="D77" i="1"/>
  <c r="D78" i="8"/>
  <c r="AA92" i="1"/>
  <c r="S77" i="1"/>
  <c r="R46" i="9"/>
  <c r="U88" i="8"/>
  <c r="N14" i="1"/>
  <c r="X44" i="8"/>
  <c r="AM71" i="9"/>
  <c r="K38" i="8"/>
  <c r="AN15" i="8"/>
  <c r="AT73" i="8"/>
  <c r="L77" i="1"/>
  <c r="R81" i="1"/>
  <c r="J71" i="1"/>
  <c r="AK69" i="9"/>
  <c r="AX80" i="1"/>
  <c r="AE68" i="9"/>
  <c r="L81" i="9"/>
  <c r="AV70" i="8"/>
  <c r="R74" i="1"/>
  <c r="AD70" i="8"/>
  <c r="Z10" i="8"/>
  <c r="T38" i="1"/>
  <c r="AU95" i="8"/>
  <c r="AA38" i="8"/>
  <c r="H56" i="8"/>
  <c r="Q10" i="9"/>
  <c r="AW16" i="1"/>
  <c r="V8" i="1"/>
  <c r="E91" i="1"/>
  <c r="AR79" i="1"/>
  <c r="AU8" i="8"/>
  <c r="AB71" i="9"/>
  <c r="U64" i="8"/>
  <c r="M92" i="1"/>
  <c r="P68" i="1"/>
  <c r="AD70" i="1"/>
  <c r="AW65" i="8"/>
  <c r="R44" i="1"/>
  <c r="AO67" i="9"/>
  <c r="AF14" i="8"/>
  <c r="AH95" i="9"/>
  <c r="I69" i="1"/>
  <c r="AW15" i="1"/>
  <c r="AF91" i="1"/>
  <c r="AV72" i="9"/>
  <c r="AW95" i="1"/>
  <c r="O44" i="1"/>
  <c r="H79" i="9"/>
  <c r="AV77" i="1"/>
  <c r="AX79" i="8"/>
  <c r="AG65" i="1"/>
  <c r="AG66" i="9"/>
  <c r="AP8" i="1"/>
  <c r="AK73" i="8"/>
  <c r="AQ65" i="1"/>
  <c r="AI88" i="1"/>
  <c r="T88" i="8"/>
  <c r="AE10" i="1"/>
  <c r="AF63" i="1"/>
  <c r="E86" i="1"/>
  <c r="U9" i="9"/>
  <c r="AW69" i="8"/>
  <c r="AU91" i="8"/>
  <c r="X64" i="1"/>
  <c r="AY87" i="8"/>
  <c r="M45" i="1"/>
  <c r="AI46" i="8"/>
  <c r="AS44" i="8"/>
  <c r="AT79" i="8"/>
  <c r="AU75" i="1"/>
  <c r="H78" i="9"/>
  <c r="E77" i="1"/>
  <c r="U77" i="9"/>
  <c r="M45" i="8"/>
  <c r="AS75" i="1"/>
  <c r="V81" i="8"/>
  <c r="AR71" i="8"/>
  <c r="N65" i="8"/>
  <c r="J45" i="8"/>
  <c r="D71" i="1"/>
  <c r="Q38" i="1"/>
  <c r="H69" i="1"/>
  <c r="E8" i="8"/>
  <c r="X56" i="9"/>
  <c r="AW56" i="8"/>
  <c r="AK65" i="8"/>
  <c r="P71" i="1"/>
  <c r="AG88" i="8"/>
  <c r="D56" i="1"/>
  <c r="AQ14" i="9"/>
  <c r="D73" i="1"/>
  <c r="V14" i="8"/>
  <c r="S45" i="9"/>
  <c r="D74" i="1"/>
  <c r="H38" i="8"/>
  <c r="AV69" i="8"/>
  <c r="AH9" i="1"/>
  <c r="V15" i="1"/>
  <c r="E76" i="1"/>
  <c r="Z71" i="1"/>
  <c r="AN69" i="9"/>
  <c r="AB67" i="8"/>
  <c r="AR15" i="8"/>
  <c r="W38" i="1"/>
  <c r="AU73" i="1"/>
  <c r="AD44" i="8"/>
  <c r="AX87" i="8"/>
  <c r="P82" i="1"/>
  <c r="F92" i="9"/>
  <c r="H63" i="1"/>
  <c r="G14" i="8"/>
  <c r="X15" i="8"/>
  <c r="AJ72" i="9"/>
  <c r="K14" i="9"/>
  <c r="AY57" i="9"/>
  <c r="AY44" i="9"/>
  <c r="AF70" i="8"/>
  <c r="Y75" i="1"/>
  <c r="D86" i="9"/>
  <c r="E81" i="1"/>
  <c r="U77" i="8"/>
  <c r="G64" i="8"/>
  <c r="M70" i="1"/>
  <c r="AG82" i="1"/>
  <c r="G81" i="8"/>
  <c r="AA69" i="8"/>
  <c r="AA39" i="9"/>
  <c r="X45" i="8"/>
  <c r="X16" i="1"/>
  <c r="Y57" i="1"/>
  <c r="AQ88" i="1"/>
  <c r="J87" i="1"/>
  <c r="K81" i="1"/>
  <c r="E88" i="9"/>
  <c r="AJ80" i="8"/>
  <c r="AV65" i="1"/>
  <c r="P39" i="1"/>
  <c r="K88" i="8"/>
  <c r="AF74" i="1"/>
  <c r="AY73" i="8"/>
  <c r="AR86" i="1"/>
  <c r="J9" i="1"/>
  <c r="AK91" i="1"/>
  <c r="I95" i="9"/>
  <c r="Z64" i="1"/>
  <c r="AX86" i="1"/>
  <c r="J46" i="8"/>
  <c r="Z65" i="1"/>
  <c r="AP69" i="8"/>
  <c r="AT16" i="8"/>
  <c r="AY38" i="8"/>
  <c r="AW86" i="8"/>
  <c r="V86" i="1"/>
  <c r="Q75" i="1"/>
  <c r="AH68" i="8"/>
  <c r="T87" i="1"/>
  <c r="AE40" i="1"/>
  <c r="N71" i="1"/>
  <c r="U38" i="1"/>
  <c r="AF95" i="8"/>
  <c r="AD16" i="1"/>
  <c r="G66" i="9"/>
  <c r="N57" i="1"/>
  <c r="AR16" i="8"/>
  <c r="U63" i="8"/>
  <c r="L9" i="1"/>
  <c r="Y92" i="1"/>
  <c r="N80" i="9"/>
  <c r="AQ64" i="9"/>
  <c r="W57" i="1"/>
  <c r="V44" i="9"/>
  <c r="X91" i="1"/>
  <c r="AW56" i="1"/>
  <c r="AF74" i="8"/>
  <c r="N64" i="1"/>
  <c r="E82" i="1"/>
  <c r="AN73" i="1"/>
  <c r="AL9" i="1"/>
  <c r="AO57" i="9"/>
  <c r="F72" i="1"/>
  <c r="AA91" i="1"/>
  <c r="AO68" i="1"/>
  <c r="AK44" i="1"/>
  <c r="AR92" i="8"/>
  <c r="K63" i="9"/>
  <c r="AE91" i="1"/>
  <c r="AT44" i="1"/>
  <c r="AN75" i="1"/>
  <c r="Y73" i="1"/>
  <c r="Z44" i="1"/>
  <c r="AF76" i="9"/>
  <c r="O73" i="8"/>
  <c r="Q69" i="8"/>
  <c r="K79" i="1"/>
  <c r="O74" i="1"/>
  <c r="Y65" i="1"/>
  <c r="AX79" i="9"/>
  <c r="AU67" i="9"/>
  <c r="U65" i="9"/>
  <c r="Z46" i="1"/>
  <c r="V57" i="8"/>
  <c r="Q63" i="8"/>
  <c r="N9" i="8"/>
  <c r="S74" i="1"/>
  <c r="AW65" i="9"/>
  <c r="J69" i="1"/>
  <c r="E16" i="9"/>
  <c r="N73" i="9"/>
  <c r="AI95" i="1"/>
  <c r="W88" i="8"/>
  <c r="J45" i="9"/>
  <c r="D45" i="8"/>
  <c r="AC82" i="1"/>
  <c r="AU8" i="9"/>
  <c r="AA10" i="8"/>
  <c r="F56" i="1"/>
  <c r="AK78" i="1"/>
  <c r="W57" i="9"/>
  <c r="AB56" i="1"/>
  <c r="AF40" i="9"/>
  <c r="Z82" i="8"/>
  <c r="AC70" i="1"/>
  <c r="G45" i="1"/>
  <c r="AC80" i="9"/>
  <c r="AK86" i="8"/>
  <c r="D72" i="8"/>
  <c r="AP87" i="8"/>
  <c r="Z95" i="1"/>
  <c r="W9" i="1"/>
  <c r="AN56" i="1"/>
  <c r="AE38" i="1"/>
  <c r="AC67" i="9"/>
  <c r="AP71" i="1"/>
  <c r="U79" i="9"/>
  <c r="AY68" i="8"/>
  <c r="Q79" i="9"/>
  <c r="R45" i="1"/>
  <c r="AL38" i="8"/>
  <c r="AI67" i="1"/>
  <c r="Z78" i="1"/>
  <c r="AL73" i="1"/>
  <c r="K68" i="1"/>
  <c r="AM69" i="8"/>
  <c r="G67" i="8"/>
  <c r="W56" i="1"/>
  <c r="AE39" i="8"/>
  <c r="AS39" i="1"/>
  <c r="AO64" i="1"/>
  <c r="D45" i="1"/>
  <c r="AO69" i="1"/>
  <c r="AC87" i="1"/>
  <c r="H14" i="1"/>
  <c r="AN46" i="9"/>
  <c r="T39" i="8"/>
  <c r="P64" i="1"/>
  <c r="AE57" i="1"/>
  <c r="AX10" i="1"/>
  <c r="T73" i="9"/>
  <c r="O72" i="8"/>
  <c r="J91" i="1"/>
  <c r="AJ44" i="1"/>
  <c r="L68" i="1"/>
  <c r="L16" i="1"/>
  <c r="AQ39" i="1"/>
  <c r="AO74" i="1"/>
  <c r="AD71" i="8"/>
  <c r="G45" i="8"/>
  <c r="AJ73" i="1"/>
  <c r="AS69" i="8"/>
  <c r="L16" i="8"/>
  <c r="AT57" i="1"/>
  <c r="AX14" i="1"/>
  <c r="Q39" i="1"/>
  <c r="P77" i="1"/>
  <c r="AE9" i="8"/>
  <c r="AE71" i="9"/>
  <c r="N69" i="8"/>
  <c r="E70" i="8"/>
  <c r="W80" i="1"/>
  <c r="AT71" i="9"/>
  <c r="AK14" i="1"/>
  <c r="AQ40" i="1"/>
  <c r="AU40" i="1"/>
  <c r="AQ46" i="9"/>
  <c r="AE68" i="1"/>
  <c r="Q86" i="9"/>
  <c r="AB10" i="1"/>
  <c r="M88" i="1"/>
  <c r="Q9" i="8"/>
  <c r="AG16" i="1"/>
  <c r="AB92" i="1"/>
  <c r="AL56" i="8"/>
  <c r="I91" i="1"/>
  <c r="AN66" i="1"/>
  <c r="AI71" i="8"/>
  <c r="AM10" i="1"/>
  <c r="AS67" i="8"/>
  <c r="AP39" i="1"/>
  <c r="P39" i="9"/>
  <c r="AG38" i="1"/>
  <c r="S79" i="8"/>
  <c r="O63" i="9"/>
  <c r="T70" i="1"/>
  <c r="Q80" i="1"/>
  <c r="AW8" i="8"/>
  <c r="N69" i="1"/>
  <c r="AO86" i="1"/>
  <c r="AG15" i="1"/>
  <c r="P92" i="1"/>
  <c r="AM45" i="8"/>
  <c r="AW79" i="8"/>
  <c r="AN76" i="8"/>
  <c r="AV14" i="1"/>
  <c r="O9" i="8"/>
  <c r="K87" i="9"/>
  <c r="AF64" i="1"/>
  <c r="K78" i="9"/>
  <c r="L63" i="8"/>
  <c r="W65" i="9"/>
  <c r="K40" i="1"/>
  <c r="I66" i="1"/>
  <c r="V68" i="1"/>
  <c r="AF38" i="9"/>
  <c r="AD71" i="9"/>
  <c r="AR38" i="8"/>
  <c r="AH45" i="1"/>
  <c r="J44" i="1"/>
  <c r="L39" i="1"/>
  <c r="AE73" i="1"/>
  <c r="I8" i="8"/>
  <c r="AV87" i="1"/>
  <c r="AJ46" i="8"/>
  <c r="R82" i="8"/>
  <c r="Z86" i="9"/>
  <c r="AC56" i="1"/>
  <c r="AY75" i="8"/>
  <c r="AO64" i="9"/>
  <c r="W78" i="8"/>
  <c r="AH74" i="1"/>
  <c r="AQ40" i="8"/>
  <c r="AH80" i="8"/>
  <c r="AC57" i="1"/>
  <c r="M79" i="8"/>
  <c r="AH74" i="8"/>
  <c r="D68" i="8"/>
  <c r="AV74" i="9"/>
  <c r="AC73" i="1"/>
  <c r="AS76" i="8"/>
  <c r="I63" i="8"/>
  <c r="W79" i="9"/>
  <c r="O44" i="8"/>
  <c r="W87" i="1"/>
  <c r="O81" i="9"/>
  <c r="AW95" i="9"/>
  <c r="AF69" i="8"/>
  <c r="AU75" i="8"/>
  <c r="AB95" i="9"/>
  <c r="AN16" i="8"/>
  <c r="AJ63" i="9"/>
  <c r="AX38" i="1"/>
  <c r="AX66" i="1"/>
  <c r="O69" i="8"/>
  <c r="AV67" i="8"/>
  <c r="N86" i="8"/>
  <c r="AJ79" i="8"/>
  <c r="H88" i="1"/>
  <c r="X73" i="9"/>
  <c r="AX9" i="8"/>
  <c r="U73" i="8"/>
  <c r="AF45" i="1"/>
  <c r="Y77" i="1"/>
  <c r="AA16" i="1"/>
  <c r="O40" i="8"/>
  <c r="AK46" i="1"/>
  <c r="AS73" i="1"/>
  <c r="AN44" i="9"/>
  <c r="S63" i="1"/>
  <c r="AJ65" i="9"/>
  <c r="D67" i="9"/>
  <c r="F81" i="9"/>
  <c r="X72" i="9"/>
  <c r="G79" i="9"/>
  <c r="L68" i="8"/>
  <c r="V72" i="1"/>
  <c r="AO56" i="9"/>
  <c r="AV14" i="9"/>
  <c r="AT65" i="8"/>
  <c r="R64" i="1"/>
  <c r="D40" i="1"/>
  <c r="AA74" i="8"/>
  <c r="M65" i="1"/>
  <c r="P63" i="1"/>
  <c r="Y81" i="8"/>
  <c r="D38" i="1"/>
  <c r="AB72" i="1"/>
  <c r="AX63" i="1"/>
  <c r="I88" i="1"/>
  <c r="AE87" i="9"/>
  <c r="X75" i="1"/>
  <c r="AJ87" i="1"/>
  <c r="AI69" i="8"/>
  <c r="AL81" i="8"/>
  <c r="F10" i="9"/>
  <c r="U70" i="1"/>
  <c r="O57" i="1"/>
  <c r="AC77" i="8"/>
  <c r="K86" i="1"/>
  <c r="E10" i="8"/>
  <c r="K66" i="1"/>
  <c r="AG74" i="1"/>
  <c r="T56" i="8"/>
  <c r="AV78" i="1"/>
  <c r="AH67" i="1"/>
  <c r="I72" i="9"/>
  <c r="R15" i="9"/>
  <c r="Y9" i="9"/>
  <c r="X46" i="1"/>
  <c r="AO77" i="9"/>
  <c r="AO79" i="1"/>
  <c r="AS71" i="1"/>
  <c r="Z66" i="8"/>
  <c r="V8" i="8"/>
  <c r="AK95" i="1"/>
  <c r="M14" i="1"/>
  <c r="AC66" i="1"/>
  <c r="AN71" i="8"/>
  <c r="AT76" i="1"/>
  <c r="G38" i="9"/>
  <c r="Y15" i="9"/>
  <c r="X8" i="1"/>
  <c r="D44" i="1"/>
  <c r="AA87" i="8"/>
  <c r="Z65" i="9"/>
  <c r="P80" i="9"/>
  <c r="AF87" i="1"/>
  <c r="E14" i="1"/>
  <c r="F46" i="8"/>
  <c r="Q10" i="8"/>
  <c r="AO81" i="1"/>
  <c r="O66" i="8"/>
  <c r="F75" i="9"/>
  <c r="I74" i="1"/>
  <c r="AT66" i="1"/>
  <c r="AY71" i="1"/>
  <c r="S14" i="9"/>
  <c r="T74" i="1"/>
  <c r="S8" i="9"/>
  <c r="AN92" i="8"/>
  <c r="N87" i="1"/>
  <c r="Z79" i="9"/>
  <c r="E92" i="9"/>
  <c r="AP63" i="8"/>
  <c r="I87" i="1"/>
  <c r="W15" i="9"/>
  <c r="E91" i="8"/>
  <c r="AK75" i="8"/>
  <c r="AM45" i="1"/>
  <c r="N64" i="8"/>
  <c r="J66" i="8"/>
  <c r="AJ8" i="1"/>
  <c r="R56" i="8"/>
  <c r="AB73" i="8"/>
  <c r="AX92" i="8"/>
  <c r="AI9" i="1"/>
  <c r="X77" i="1"/>
  <c r="AL40" i="1"/>
  <c r="AU71" i="8"/>
  <c r="V66" i="1"/>
  <c r="J16" i="1"/>
  <c r="AQ14" i="8"/>
  <c r="AI66" i="8"/>
  <c r="AF67" i="8"/>
  <c r="AE70" i="1"/>
  <c r="AP86" i="9"/>
  <c r="X81" i="1"/>
  <c r="N86" i="1"/>
  <c r="N79" i="1"/>
  <c r="AT40" i="9"/>
  <c r="X40" i="1"/>
  <c r="AA71" i="8"/>
  <c r="Y45" i="9"/>
  <c r="AC40" i="8"/>
  <c r="AR57" i="8"/>
  <c r="W72" i="1"/>
  <c r="H9" i="8"/>
  <c r="AC46" i="1"/>
  <c r="AE77" i="8"/>
  <c r="J67" i="8"/>
  <c r="W8" i="1"/>
  <c r="O95" i="1"/>
  <c r="D80" i="8"/>
  <c r="AK39" i="9"/>
  <c r="AI64" i="1"/>
  <c r="O88" i="1"/>
  <c r="AN92" i="1"/>
  <c r="V92" i="1"/>
  <c r="AS69" i="1"/>
  <c r="AB46" i="1"/>
  <c r="L76" i="9"/>
  <c r="L70" i="1"/>
  <c r="AR9" i="1"/>
  <c r="U69" i="8"/>
  <c r="AK40" i="1"/>
  <c r="AT70" i="1"/>
  <c r="M66" i="8"/>
  <c r="AP66" i="1"/>
  <c r="AD67" i="1"/>
  <c r="F71" i="1"/>
  <c r="T9" i="9"/>
  <c r="AJ40" i="1"/>
  <c r="AA77" i="1"/>
  <c r="D9" i="9"/>
  <c r="AI46" i="1"/>
  <c r="AY80" i="8"/>
  <c r="AV16" i="8"/>
  <c r="E65" i="8"/>
  <c r="J91" i="8"/>
  <c r="R66" i="1"/>
  <c r="K57" i="1"/>
  <c r="AF78" i="1"/>
  <c r="AG80" i="1"/>
  <c r="AE70" i="9"/>
  <c r="AN15" i="1"/>
  <c r="K39" i="8"/>
  <c r="R70" i="1"/>
  <c r="T91" i="1"/>
  <c r="U73" i="1"/>
  <c r="AM79" i="1"/>
  <c r="AX75" i="1"/>
  <c r="AL77" i="9"/>
  <c r="AW46" i="8"/>
  <c r="AF70" i="1"/>
  <c r="G82" i="1"/>
  <c r="AN81" i="8"/>
  <c r="T79" i="8"/>
  <c r="AO40" i="1"/>
  <c r="G8" i="1"/>
  <c r="AG91" i="1"/>
  <c r="AG10" i="8"/>
  <c r="X70" i="9"/>
  <c r="M95" i="1"/>
  <c r="M8" i="8"/>
  <c r="K38" i="1"/>
  <c r="AV44" i="1"/>
  <c r="K73" i="8"/>
  <c r="AW80" i="8"/>
  <c r="AJ88" i="1"/>
  <c r="AH95" i="8"/>
  <c r="AK9" i="8"/>
  <c r="AI10" i="1"/>
  <c r="AC67" i="1"/>
  <c r="K77" i="1"/>
  <c r="L88" i="1"/>
  <c r="G69" i="1"/>
  <c r="AE79" i="8"/>
  <c r="O73" i="1"/>
  <c r="AS45" i="9"/>
  <c r="J80" i="1"/>
  <c r="U64" i="1"/>
  <c r="Y95" i="1"/>
  <c r="H9" i="9"/>
  <c r="AC15" i="8"/>
  <c r="E63" i="1"/>
  <c r="Q91" i="1"/>
  <c r="AJ95" i="1"/>
  <c r="O38" i="8"/>
  <c r="K56" i="1"/>
  <c r="AB8" i="1"/>
  <c r="AS77" i="8"/>
  <c r="U70" i="9"/>
  <c r="D69" i="8"/>
  <c r="O72" i="1"/>
  <c r="O57" i="9"/>
  <c r="AO14" i="8"/>
  <c r="Z74" i="1"/>
  <c r="Q82" i="8"/>
  <c r="AO10" i="1"/>
  <c r="D14" i="9"/>
  <c r="Z14" i="1"/>
  <c r="D79" i="9"/>
  <c r="M73" i="9"/>
  <c r="AY63" i="1"/>
  <c r="AP16" i="8"/>
  <c r="H10" i="9"/>
  <c r="AG76" i="8"/>
  <c r="AQ71" i="8"/>
  <c r="AA81" i="9"/>
  <c r="M77" i="9"/>
  <c r="AE74" i="9"/>
  <c r="AW8" i="1"/>
  <c r="AE15" i="1"/>
  <c r="AO73" i="1"/>
  <c r="AM70" i="1"/>
  <c r="N74" i="8"/>
  <c r="X79" i="9"/>
  <c r="W69" i="9"/>
  <c r="AO71" i="8"/>
  <c r="AX16" i="8"/>
  <c r="AJ92" i="8"/>
  <c r="J68" i="8"/>
  <c r="AM64" i="1"/>
  <c r="AI15" i="1"/>
  <c r="R8" i="1"/>
  <c r="AB44" i="1"/>
  <c r="X68" i="9"/>
  <c r="AN95" i="9"/>
  <c r="AX86" i="8"/>
  <c r="AP92" i="8"/>
  <c r="N40" i="1"/>
  <c r="T87" i="8"/>
  <c r="AM65" i="8"/>
  <c r="X63" i="1"/>
  <c r="AG88" i="9"/>
  <c r="AH79" i="1"/>
  <c r="AQ86" i="1"/>
  <c r="AA86" i="8"/>
  <c r="AI72" i="1"/>
  <c r="AQ9" i="8"/>
  <c r="J73" i="8"/>
  <c r="H9" i="1"/>
  <c r="AE44" i="8"/>
  <c r="AG40" i="1"/>
  <c r="AH72" i="1"/>
  <c r="X70" i="1"/>
  <c r="AO88" i="9"/>
  <c r="F14" i="1"/>
  <c r="AV69" i="1"/>
  <c r="D15" i="9"/>
  <c r="Y45" i="1"/>
  <c r="AG67" i="1"/>
  <c r="AB16" i="1"/>
  <c r="AK57" i="8"/>
  <c r="AH40" i="1"/>
  <c r="AD88" i="9"/>
  <c r="AI91" i="8"/>
  <c r="AN81" i="1"/>
  <c r="AG86" i="9"/>
  <c r="J75" i="1"/>
  <c r="I46" i="1"/>
  <c r="O82" i="9"/>
  <c r="R87" i="8"/>
  <c r="N82" i="8"/>
  <c r="AV56" i="9"/>
  <c r="P88" i="8"/>
  <c r="AJ57" i="9"/>
  <c r="AD76" i="1"/>
  <c r="S66" i="1"/>
  <c r="AJ63" i="8"/>
  <c r="AB15" i="8"/>
  <c r="I44" i="1"/>
  <c r="AH14" i="8"/>
  <c r="G16" i="1"/>
  <c r="AV56" i="1"/>
  <c r="S14" i="1"/>
  <c r="AC73" i="9"/>
  <c r="AH56" i="8"/>
  <c r="R66" i="9"/>
  <c r="W82" i="1"/>
  <c r="AX72" i="8"/>
  <c r="AK38" i="1"/>
  <c r="I38" i="9"/>
  <c r="D9" i="8"/>
  <c r="J82" i="1"/>
  <c r="AE75" i="8"/>
  <c r="N91" i="1"/>
  <c r="W46" i="8"/>
  <c r="AV63" i="8"/>
  <c r="F39" i="1"/>
  <c r="S75" i="1"/>
  <c r="AR80" i="8"/>
  <c r="AJ57" i="1"/>
  <c r="AR72" i="8"/>
  <c r="AE39" i="1"/>
  <c r="AH38" i="8"/>
  <c r="Y87" i="1"/>
  <c r="AI56" i="9"/>
  <c r="X8" i="8"/>
  <c r="Y74" i="1"/>
  <c r="AL77" i="1"/>
  <c r="R68" i="8"/>
  <c r="O39" i="8"/>
  <c r="AC88" i="8"/>
  <c r="AM38" i="8"/>
  <c r="AW57" i="1"/>
  <c r="L56" i="8"/>
  <c r="V40" i="1"/>
  <c r="L57" i="8"/>
  <c r="AW77" i="1"/>
  <c r="AG70" i="1"/>
  <c r="AR76" i="1"/>
  <c r="L40" i="1"/>
  <c r="H88" i="8"/>
  <c r="P72" i="1"/>
  <c r="J45" i="1"/>
  <c r="AS38" i="8"/>
  <c r="V77" i="1"/>
  <c r="AX66" i="8"/>
  <c r="AB39" i="8"/>
  <c r="M9" i="9"/>
  <c r="M8" i="9"/>
  <c r="O40" i="1"/>
  <c r="AW68" i="1"/>
  <c r="AJ71" i="8"/>
  <c r="AP67" i="1"/>
  <c r="L8" i="8"/>
  <c r="AQ38" i="1"/>
  <c r="AJ81" i="1"/>
  <c r="E63" i="8"/>
  <c r="AI81" i="9"/>
  <c r="AW40" i="8"/>
  <c r="AY82" i="1"/>
  <c r="AI92" i="1"/>
  <c r="R95" i="8"/>
  <c r="AD77" i="9"/>
  <c r="F74" i="9"/>
  <c r="AB95" i="1"/>
  <c r="AM68" i="9"/>
  <c r="AU15" i="9"/>
  <c r="S64" i="8"/>
  <c r="Q16" i="1"/>
  <c r="AA87" i="1"/>
  <c r="AD46" i="8"/>
  <c r="L56" i="1"/>
  <c r="AL15" i="1"/>
  <c r="AA69" i="9"/>
  <c r="W14" i="1"/>
  <c r="AG14" i="9"/>
  <c r="I65" i="1"/>
  <c r="P68" i="8"/>
  <c r="AL79" i="8"/>
  <c r="AT95" i="1"/>
  <c r="AI65" i="8"/>
  <c r="AF73" i="8"/>
  <c r="Q79" i="1"/>
  <c r="AD15" i="8"/>
  <c r="AU15" i="8"/>
  <c r="AP73" i="8"/>
  <c r="K57" i="8"/>
  <c r="Q77" i="8"/>
  <c r="AD69" i="1"/>
  <c r="AW9" i="1"/>
  <c r="W56" i="9"/>
  <c r="AJ76" i="1"/>
  <c r="AR87" i="1"/>
  <c r="V71" i="1"/>
  <c r="Y76" i="1"/>
  <c r="AO56" i="1"/>
  <c r="X9" i="1"/>
  <c r="K9" i="8"/>
  <c r="AQ64" i="8"/>
  <c r="AY91" i="1"/>
  <c r="AV92" i="1"/>
  <c r="R71" i="1"/>
  <c r="T72" i="8"/>
  <c r="AR79" i="8"/>
  <c r="AU44" i="9"/>
  <c r="AA10" i="9"/>
  <c r="Q67" i="9"/>
  <c r="G81" i="1"/>
  <c r="AT16" i="1"/>
  <c r="F68" i="1"/>
  <c r="Y10" i="9"/>
  <c r="U71" i="8"/>
  <c r="AA9" i="8"/>
  <c r="AG10" i="1"/>
  <c r="Y10" i="8"/>
  <c r="Q74" i="1"/>
  <c r="Z79" i="1"/>
  <c r="Q46" i="8"/>
  <c r="O87" i="1"/>
  <c r="AX14" i="8"/>
  <c r="AK56" i="9"/>
  <c r="AF57" i="9"/>
  <c r="I78" i="1"/>
  <c r="L77" i="8"/>
  <c r="AR8" i="8"/>
  <c r="AW44" i="8"/>
  <c r="AJ77" i="1"/>
  <c r="AS74" i="8"/>
  <c r="F38" i="8"/>
  <c r="H82" i="8"/>
  <c r="AI75" i="1"/>
  <c r="AH63" i="8"/>
  <c r="K69" i="9"/>
  <c r="E40" i="8"/>
  <c r="AE95" i="1"/>
  <c r="H14" i="8"/>
  <c r="AP16" i="1"/>
  <c r="F66" i="1"/>
  <c r="AE76" i="1"/>
  <c r="M63" i="1"/>
  <c r="AY70" i="9"/>
  <c r="O14" i="1"/>
  <c r="U76" i="9"/>
  <c r="AH81" i="8"/>
  <c r="AA66" i="1"/>
  <c r="V56" i="1"/>
  <c r="R73" i="1"/>
  <c r="AK72" i="1"/>
  <c r="AD72" i="8"/>
  <c r="AF10" i="1"/>
  <c r="AH57" i="1"/>
  <c r="Y87" i="8"/>
  <c r="L39" i="8"/>
  <c r="AM95" i="1"/>
  <c r="H71" i="8"/>
  <c r="I73" i="1"/>
  <c r="M14" i="8"/>
  <c r="I64" i="9"/>
  <c r="D66" i="8"/>
  <c r="AG73" i="9"/>
  <c r="AH10" i="8"/>
  <c r="F16" i="1"/>
  <c r="AW69" i="9"/>
  <c r="AF76" i="1"/>
  <c r="L40" i="8"/>
  <c r="AY92" i="8"/>
  <c r="M75" i="9"/>
  <c r="AG14" i="8"/>
  <c r="P9" i="1"/>
  <c r="AT38" i="9"/>
  <c r="AX69" i="8"/>
  <c r="AB82" i="8"/>
  <c r="Q66" i="1"/>
  <c r="U15" i="9"/>
  <c r="E38" i="1"/>
  <c r="AN80" i="8"/>
  <c r="AY72" i="8"/>
  <c r="AG77" i="8"/>
  <c r="E74" i="1"/>
  <c r="J68" i="1"/>
  <c r="W56" i="8"/>
  <c r="G71" i="9"/>
  <c r="W63" i="8"/>
  <c r="R88" i="1"/>
  <c r="AL81" i="1"/>
  <c r="N73" i="8"/>
  <c r="P10" i="9"/>
  <c r="AL80" i="1"/>
  <c r="AR44" i="1"/>
  <c r="AO46" i="9"/>
  <c r="D70" i="8"/>
  <c r="W70" i="1"/>
  <c r="AF39" i="9"/>
  <c r="AK8" i="1"/>
  <c r="S95" i="1"/>
  <c r="AL66" i="1"/>
  <c r="V75" i="1"/>
  <c r="D9" i="1"/>
  <c r="AP81" i="1"/>
  <c r="V75" i="8"/>
  <c r="AU70" i="1"/>
  <c r="K69" i="1"/>
  <c r="E79" i="1"/>
  <c r="P91" i="1"/>
  <c r="J65" i="1"/>
  <c r="AT9" i="8"/>
  <c r="H8" i="1"/>
  <c r="M77" i="1"/>
  <c r="I74" i="9"/>
  <c r="G68" i="8"/>
  <c r="AI9" i="8"/>
  <c r="AQ66" i="1"/>
  <c r="AA39" i="8"/>
  <c r="F81" i="1"/>
  <c r="F70" i="8"/>
  <c r="AE73" i="9"/>
  <c r="P65" i="1"/>
  <c r="AJ79" i="1"/>
  <c r="AI87" i="1"/>
  <c r="V72" i="8"/>
  <c r="M80" i="8"/>
  <c r="AE56" i="1"/>
  <c r="V69" i="1"/>
  <c r="AS16" i="1"/>
  <c r="G74" i="8"/>
  <c r="Q57" i="1"/>
  <c r="AC14" i="1"/>
  <c r="AO46" i="8"/>
  <c r="M91" i="8"/>
  <c r="AQ79" i="8"/>
  <c r="N73" i="1"/>
  <c r="AR82" i="1"/>
  <c r="AB63" i="1"/>
  <c r="AG77" i="9"/>
  <c r="AX91" i="1"/>
  <c r="AA45" i="9"/>
  <c r="S66" i="8"/>
  <c r="Q14" i="9"/>
  <c r="K45" i="8"/>
  <c r="AA56" i="8"/>
  <c r="M15" i="8"/>
  <c r="L95" i="1"/>
  <c r="N88" i="1"/>
  <c r="P67" i="8"/>
  <c r="AH87" i="8"/>
  <c r="K73" i="1"/>
  <c r="AK79" i="1"/>
  <c r="W75" i="8"/>
  <c r="R14" i="9"/>
  <c r="E67" i="9"/>
  <c r="AP69" i="1"/>
  <c r="AU92" i="1"/>
  <c r="Z44" i="8"/>
  <c r="AP86" i="1"/>
  <c r="AC91" i="8"/>
  <c r="AL82" i="1"/>
  <c r="T79" i="1"/>
  <c r="M14" i="9"/>
  <c r="N75" i="8"/>
  <c r="M9" i="1"/>
  <c r="L65" i="1"/>
  <c r="AK69" i="1"/>
  <c r="AQ70" i="1"/>
  <c r="AA57" i="1"/>
  <c r="AP15" i="8"/>
  <c r="AD64" i="1"/>
  <c r="AT40" i="1"/>
  <c r="AY75" i="1"/>
  <c r="AL15" i="9"/>
  <c r="AG9" i="8"/>
  <c r="AO80" i="1"/>
  <c r="AE73" i="8"/>
  <c r="AI15" i="9"/>
  <c r="AC76" i="9"/>
  <c r="AF91" i="8"/>
  <c r="J64" i="8"/>
  <c r="AE45" i="8"/>
  <c r="AF71" i="1"/>
  <c r="Q14" i="1"/>
  <c r="AR66" i="1"/>
  <c r="I91" i="8"/>
  <c r="AF72" i="9"/>
  <c r="AB64" i="8"/>
  <c r="AV75" i="1"/>
  <c r="J14" i="8"/>
  <c r="Z63" i="8"/>
  <c r="AX67" i="9"/>
  <c r="F56" i="8"/>
  <c r="F75" i="1"/>
  <c r="R56" i="1"/>
  <c r="AR8" i="1"/>
  <c r="Q76" i="1"/>
  <c r="AG92" i="8"/>
  <c r="T9" i="8"/>
  <c r="AF9" i="9"/>
  <c r="AT76" i="9"/>
  <c r="AI70" i="9"/>
  <c r="AO57" i="1"/>
  <c r="T39" i="1"/>
  <c r="AD71" i="1"/>
  <c r="AK44" i="9"/>
  <c r="AA73" i="8"/>
  <c r="AA70" i="8"/>
  <c r="N67" i="8"/>
  <c r="AJ67" i="1"/>
  <c r="AV95" i="1"/>
  <c r="AF65" i="8"/>
  <c r="AN46" i="8"/>
  <c r="AQ73" i="8"/>
  <c r="AY46" i="1"/>
  <c r="AF10" i="8"/>
  <c r="L10" i="1"/>
  <c r="W81" i="1"/>
  <c r="AN68" i="8"/>
  <c r="AI74" i="8"/>
  <c r="AL39" i="9"/>
  <c r="Z14" i="8"/>
  <c r="D8" i="1"/>
  <c r="K80" i="1"/>
  <c r="AD45" i="9"/>
  <c r="AN65" i="1"/>
  <c r="AA70" i="1"/>
  <c r="V78" i="1"/>
  <c r="AN57" i="1"/>
  <c r="AA72" i="8"/>
  <c r="AS68" i="8"/>
  <c r="P44" i="1"/>
  <c r="AW71" i="9"/>
  <c r="AO65" i="1"/>
  <c r="AC95" i="9"/>
  <c r="AQ68" i="8"/>
  <c r="D65" i="1"/>
  <c r="F14" i="8"/>
  <c r="M68" i="1"/>
  <c r="AQ15" i="1"/>
  <c r="AD72" i="1"/>
  <c r="AT81" i="1"/>
  <c r="K40" i="8"/>
  <c r="AE78" i="1"/>
  <c r="AM67" i="8"/>
  <c r="AN65" i="8"/>
  <c r="V95" i="9"/>
  <c r="AX9" i="1"/>
  <c r="AK64" i="8"/>
  <c r="AR95" i="9"/>
  <c r="K46" i="1"/>
  <c r="AT92" i="8"/>
  <c r="AN74" i="1"/>
  <c r="AS10" i="1"/>
  <c r="N75" i="1"/>
  <c r="AY10" i="8"/>
  <c r="M74" i="8"/>
  <c r="AH9" i="9"/>
  <c r="V78" i="8"/>
  <c r="AG63" i="1"/>
  <c r="AU88" i="9"/>
  <c r="M10" i="1"/>
  <c r="AX56" i="1"/>
  <c r="AS66" i="1"/>
  <c r="M78" i="9"/>
  <c r="AQ45" i="1"/>
  <c r="L78" i="9"/>
  <c r="AV71" i="8"/>
  <c r="AY38" i="1"/>
  <c r="AB8" i="8"/>
  <c r="L14" i="9"/>
  <c r="AJ65" i="1"/>
  <c r="AU64" i="9"/>
  <c r="F78" i="9"/>
  <c r="P57" i="8"/>
  <c r="AE46" i="8"/>
  <c r="K75" i="9"/>
  <c r="S70" i="9"/>
  <c r="R45" i="8"/>
  <c r="V8" i="9"/>
  <c r="AP10" i="8"/>
  <c r="AC86" i="1"/>
  <c r="M71" i="8"/>
  <c r="AN69" i="1"/>
  <c r="AS63" i="9"/>
  <c r="AP79" i="1"/>
  <c r="O86" i="9"/>
  <c r="AS63" i="8"/>
  <c r="K67" i="8"/>
  <c r="O65" i="1"/>
  <c r="M73" i="8"/>
  <c r="I63" i="1"/>
  <c r="S56" i="1"/>
  <c r="AR14" i="9"/>
  <c r="AE16" i="1"/>
  <c r="AI67" i="8"/>
  <c r="AC80" i="1"/>
  <c r="AY64" i="9"/>
  <c r="S79" i="9"/>
  <c r="AH16" i="9"/>
  <c r="AR63" i="1"/>
  <c r="N38" i="8"/>
  <c r="V57" i="1"/>
  <c r="N45" i="8"/>
  <c r="P14" i="8"/>
  <c r="Z67" i="8"/>
  <c r="AK92" i="1"/>
  <c r="I16" i="1"/>
  <c r="L75" i="8"/>
  <c r="AV66" i="1"/>
  <c r="AJ91" i="9"/>
  <c r="AL8" i="8"/>
  <c r="T86" i="1"/>
  <c r="M56" i="1"/>
  <c r="J87" i="9"/>
  <c r="L69" i="9"/>
  <c r="AQ16" i="9"/>
  <c r="Q70" i="8"/>
  <c r="AX95" i="1"/>
  <c r="T8" i="1"/>
  <c r="AW76" i="1"/>
  <c r="AC16" i="8"/>
  <c r="Q73" i="1"/>
  <c r="W71" i="8"/>
  <c r="AT9" i="9"/>
  <c r="X74" i="1"/>
  <c r="F95" i="1"/>
  <c r="AL67" i="8"/>
  <c r="AJ56" i="8"/>
  <c r="Z79" i="8"/>
  <c r="T82" i="9"/>
  <c r="AE82" i="8"/>
  <c r="AN8" i="8"/>
  <c r="U72" i="1"/>
  <c r="W66" i="8"/>
  <c r="AB66" i="1"/>
  <c r="T63" i="1"/>
  <c r="P57" i="1"/>
  <c r="AQ44" i="8"/>
  <c r="U88" i="1"/>
  <c r="AU14" i="1"/>
  <c r="R79" i="9"/>
  <c r="E14" i="8"/>
  <c r="AK64" i="9"/>
  <c r="AS66" i="8"/>
  <c r="AK44" i="8"/>
  <c r="T72" i="1"/>
  <c r="P40" i="8"/>
  <c r="G68" i="1"/>
  <c r="AI65" i="1"/>
  <c r="AK57" i="1"/>
  <c r="AQ80" i="1"/>
  <c r="J10" i="8"/>
  <c r="AW63" i="1"/>
  <c r="T46" i="9"/>
  <c r="AX65" i="1"/>
  <c r="O80" i="1"/>
  <c r="AG15" i="8"/>
  <c r="AY70" i="8"/>
  <c r="AH57" i="8"/>
  <c r="P45" i="8"/>
  <c r="AY66" i="9"/>
  <c r="AC39" i="8"/>
  <c r="AJ68" i="9"/>
  <c r="AB79" i="8"/>
  <c r="AY45" i="9"/>
  <c r="AV86" i="8"/>
  <c r="AB44" i="8"/>
  <c r="AS88" i="1"/>
  <c r="O68" i="8"/>
  <c r="I66" i="8"/>
  <c r="AS70" i="8"/>
  <c r="AJ86" i="1"/>
  <c r="W45" i="1"/>
  <c r="AO67" i="1"/>
  <c r="AG16" i="8"/>
  <c r="J82" i="8"/>
  <c r="AG91" i="8"/>
  <c r="AE72" i="9"/>
  <c r="AR44" i="8"/>
  <c r="D10" i="8"/>
  <c r="AB40" i="9"/>
  <c r="Z46" i="8"/>
  <c r="E64" i="8"/>
  <c r="U71" i="1"/>
  <c r="AU16" i="1"/>
  <c r="AL46" i="8"/>
  <c r="AV46" i="1"/>
  <c r="AD63" i="9"/>
  <c r="Z10" i="1"/>
  <c r="AP68" i="8"/>
  <c r="O8" i="1"/>
  <c r="AV69" i="9"/>
  <c r="AM72" i="1"/>
  <c r="F56" i="9"/>
  <c r="X91" i="8"/>
  <c r="AD81" i="1"/>
  <c r="F74" i="8"/>
  <c r="AK87" i="1"/>
  <c r="AR82" i="8"/>
  <c r="V63" i="1"/>
  <c r="U78" i="8"/>
  <c r="AM75" i="1"/>
  <c r="AU76" i="1"/>
  <c r="G66" i="8"/>
  <c r="Y44" i="8"/>
  <c r="AN75" i="8"/>
  <c r="AR71" i="9"/>
  <c r="X63" i="9"/>
  <c r="AM40" i="8"/>
  <c r="M95" i="8"/>
  <c r="F64" i="9"/>
  <c r="W75" i="1"/>
  <c r="I14" i="1"/>
  <c r="L14" i="8"/>
  <c r="P67" i="1"/>
  <c r="AD87" i="1"/>
  <c r="AA65" i="8"/>
  <c r="AB65" i="1"/>
  <c r="AL78" i="1"/>
  <c r="I70" i="9"/>
  <c r="AN86" i="1"/>
  <c r="L78" i="1"/>
  <c r="S44" i="8"/>
  <c r="AM56" i="1"/>
  <c r="T46" i="1"/>
  <c r="AE95" i="9"/>
  <c r="AQ79" i="1"/>
  <c r="AL70" i="8"/>
  <c r="AS16" i="9"/>
  <c r="AQ16" i="8"/>
  <c r="AM76" i="8"/>
  <c r="AA79" i="8"/>
  <c r="E65" i="1"/>
  <c r="P80" i="8"/>
  <c r="O78" i="1"/>
  <c r="X86" i="1"/>
  <c r="AU72" i="8"/>
  <c r="AW86" i="1"/>
  <c r="R40" i="8"/>
  <c r="Q92" i="1"/>
  <c r="AJ10" i="1"/>
  <c r="AR63" i="8"/>
  <c r="AF63" i="9"/>
  <c r="AE71" i="1"/>
  <c r="U87" i="1"/>
  <c r="AW45" i="1"/>
  <c r="AE66" i="1"/>
  <c r="AW15" i="9"/>
  <c r="AX82" i="1"/>
  <c r="V73" i="1"/>
  <c r="AM73" i="9"/>
  <c r="I56" i="1"/>
  <c r="L92" i="8"/>
  <c r="Y64" i="9"/>
  <c r="AT56" i="1"/>
  <c r="H86" i="8"/>
  <c r="T71" i="1"/>
  <c r="D38" i="8"/>
  <c r="AY8" i="1"/>
  <c r="AC77" i="9"/>
  <c r="AG75" i="1"/>
  <c r="S57" i="1"/>
  <c r="D87" i="1"/>
  <c r="N66" i="9"/>
  <c r="N10" i="1"/>
  <c r="AM8" i="9"/>
  <c r="AS92" i="9"/>
  <c r="AK38" i="8"/>
  <c r="AJ40" i="8"/>
  <c r="AH92" i="9"/>
  <c r="AB38" i="9"/>
  <c r="W91" i="1"/>
  <c r="G40" i="9"/>
  <c r="AY70" i="1"/>
  <c r="X87" i="1"/>
  <c r="AM14" i="9"/>
  <c r="AP80" i="1"/>
  <c r="AL92" i="8"/>
  <c r="AM82" i="9"/>
  <c r="AY81" i="1"/>
  <c r="AI91" i="9"/>
  <c r="AJ10" i="8"/>
  <c r="AX64" i="9"/>
  <c r="AN63" i="1"/>
  <c r="H80" i="1"/>
  <c r="T69" i="8"/>
  <c r="AL45" i="8"/>
  <c r="Q87" i="9"/>
  <c r="F44" i="1"/>
  <c r="M46" i="8"/>
  <c r="G63" i="1"/>
  <c r="Z75" i="1"/>
  <c r="AQ57" i="1"/>
  <c r="AM87" i="1"/>
  <c r="AT67" i="1"/>
  <c r="Q76" i="8"/>
  <c r="Y44" i="1"/>
  <c r="P87" i="9"/>
  <c r="AF68" i="8"/>
  <c r="P81" i="8"/>
  <c r="AV63" i="1"/>
  <c r="AB91" i="1"/>
  <c r="AW10" i="1"/>
  <c r="AS77" i="1"/>
  <c r="H72" i="9"/>
  <c r="AL44" i="8"/>
  <c r="AY73" i="1"/>
  <c r="AX8" i="8"/>
  <c r="V9" i="8"/>
  <c r="AV46" i="8"/>
  <c r="AL10" i="1"/>
  <c r="AY44" i="1"/>
  <c r="AB77" i="1"/>
  <c r="X57" i="1"/>
  <c r="R67" i="1"/>
  <c r="J63" i="1"/>
  <c r="M86" i="8"/>
  <c r="R57" i="1"/>
  <c r="AB68" i="1"/>
  <c r="P73" i="1"/>
  <c r="I39" i="8"/>
  <c r="AA40" i="1"/>
  <c r="AF45" i="9"/>
  <c r="AT91" i="1"/>
  <c r="Z69" i="1"/>
  <c r="AH91" i="9"/>
  <c r="L16" i="9"/>
  <c r="T70" i="8"/>
  <c r="AR10" i="9"/>
  <c r="AI38" i="8"/>
  <c r="AI56" i="1"/>
  <c r="R44" i="8"/>
  <c r="AF81" i="8"/>
  <c r="E78" i="8"/>
  <c r="O70" i="8"/>
  <c r="AA67" i="1"/>
  <c r="T10" i="1"/>
  <c r="AM8" i="8"/>
  <c r="R91" i="1"/>
  <c r="Z80" i="1"/>
  <c r="AU14" i="8"/>
  <c r="G70" i="9"/>
  <c r="AX71" i="1"/>
  <c r="AC76" i="1"/>
  <c r="AT10" i="8"/>
  <c r="U91" i="8"/>
  <c r="L75" i="1"/>
  <c r="R44" i="9"/>
  <c r="W10" i="1"/>
  <c r="AV88" i="8"/>
  <c r="E9" i="8"/>
  <c r="AJ88" i="8"/>
  <c r="AR72" i="9"/>
  <c r="AA46" i="1"/>
  <c r="AH69" i="1"/>
  <c r="AU82" i="8"/>
  <c r="G86" i="8"/>
  <c r="F77" i="8"/>
  <c r="M82" i="8"/>
  <c r="D80" i="1"/>
  <c r="R79" i="8"/>
  <c r="AJ9" i="1"/>
  <c r="AM14" i="1"/>
  <c r="Z63" i="1"/>
  <c r="AP14" i="8"/>
  <c r="J95" i="9"/>
  <c r="AO64" i="8"/>
  <c r="Z69" i="9"/>
  <c r="J14" i="1"/>
  <c r="O14" i="8"/>
  <c r="W69" i="8"/>
  <c r="AC75" i="8"/>
  <c r="AP77" i="1"/>
  <c r="D57" i="8"/>
  <c r="AP40" i="9"/>
  <c r="N88" i="9"/>
  <c r="AE69" i="1"/>
  <c r="R10" i="8"/>
  <c r="AQ86" i="9"/>
  <c r="H15" i="9"/>
  <c r="AT56" i="8"/>
  <c r="D14" i="1"/>
  <c r="L15" i="1"/>
  <c r="AM79" i="9"/>
  <c r="AX44" i="1"/>
  <c r="S8" i="1"/>
  <c r="AS70" i="1"/>
  <c r="P76" i="1"/>
  <c r="N82" i="1"/>
  <c r="O63" i="1"/>
  <c r="AL40" i="9"/>
  <c r="AL95" i="1"/>
  <c r="AT71" i="1"/>
  <c r="AY14" i="1"/>
  <c r="S82" i="1"/>
  <c r="G79" i="1"/>
  <c r="AT88" i="1"/>
  <c r="Z40" i="8"/>
  <c r="AQ9" i="1"/>
  <c r="U80" i="9"/>
  <c r="AI39" i="1"/>
  <c r="E64" i="9"/>
  <c r="N14" i="9"/>
  <c r="AX15" i="9"/>
  <c r="L38" i="1"/>
  <c r="AT88" i="9"/>
  <c r="AI71" i="9"/>
  <c r="Z73" i="1"/>
  <c r="AV78" i="9"/>
  <c r="S82" i="8"/>
  <c r="AY45" i="1"/>
  <c r="AD65" i="1"/>
  <c r="Z56" i="1"/>
  <c r="AG69" i="1"/>
  <c r="I82" i="8"/>
  <c r="AM57" i="1"/>
  <c r="F79" i="1"/>
  <c r="S39" i="9"/>
  <c r="AJ66" i="8"/>
  <c r="AK74" i="1"/>
  <c r="AL16" i="1"/>
  <c r="Y80" i="1"/>
  <c r="AD70" i="9"/>
  <c r="G69" i="8"/>
  <c r="AK56" i="8"/>
  <c r="AS8" i="1"/>
  <c r="H75" i="1"/>
  <c r="J40" i="1"/>
  <c r="V87" i="8"/>
  <c r="AR68" i="1"/>
  <c r="AH88" i="9"/>
  <c r="K71" i="1"/>
  <c r="S40" i="1"/>
  <c r="AN63" i="8"/>
  <c r="AH81" i="1"/>
  <c r="L9" i="9"/>
  <c r="AQ57" i="9"/>
  <c r="AC68" i="8"/>
  <c r="H70" i="8"/>
  <c r="AI76" i="1"/>
  <c r="AE64" i="8"/>
  <c r="AH64" i="8"/>
  <c r="D16" i="1"/>
  <c r="R63" i="1"/>
  <c r="AR40" i="1"/>
  <c r="AT39" i="9"/>
  <c r="D63" i="8"/>
  <c r="Y65" i="9"/>
  <c r="AT77" i="1"/>
  <c r="AC72" i="8"/>
  <c r="AI64" i="9"/>
  <c r="AK39" i="8"/>
  <c r="AZ28" i="9" l="1"/>
  <c r="BJ50" i="8"/>
  <c r="BJ20" i="8"/>
  <c r="BJ41" i="8"/>
  <c r="AZ9" i="14"/>
  <c r="AZ9" i="10"/>
  <c r="BD67" i="14"/>
  <c r="BD67" i="10"/>
  <c r="BK14" i="14"/>
  <c r="BK17" i="1"/>
  <c r="BK14" i="10"/>
  <c r="BI57" i="14"/>
  <c r="BI57" i="10"/>
  <c r="BB81" i="14"/>
  <c r="BB81" i="10"/>
  <c r="BD83" i="8"/>
  <c r="BD15" i="14"/>
  <c r="BD15" i="10"/>
  <c r="BJ44" i="10"/>
  <c r="BJ26" i="1"/>
  <c r="BJ47" i="1"/>
  <c r="BJ44" i="14"/>
  <c r="BI76" i="14"/>
  <c r="BI76" i="10"/>
  <c r="BB71" i="10"/>
  <c r="BB71" i="14"/>
  <c r="BA22" i="9"/>
  <c r="BA52" i="9"/>
  <c r="BA89" i="9"/>
  <c r="BI41" i="9"/>
  <c r="BI20" i="9"/>
  <c r="BI50" i="9"/>
  <c r="BD92" i="10"/>
  <c r="BD92" i="14"/>
  <c r="BB73" i="14"/>
  <c r="BB73" i="10"/>
  <c r="BB92" i="10"/>
  <c r="BB92" i="14"/>
  <c r="BG10" i="10"/>
  <c r="BG10" i="14"/>
  <c r="BH11" i="9"/>
  <c r="AZ51" i="8"/>
  <c r="AZ21" i="8"/>
  <c r="BB65" i="14"/>
  <c r="BB65" i="10"/>
  <c r="AZ16" i="10"/>
  <c r="AZ16" i="14"/>
  <c r="BH15" i="10"/>
  <c r="BH15" i="14"/>
  <c r="BI72" i="14"/>
  <c r="BI72" i="10"/>
  <c r="BB64" i="14"/>
  <c r="BB64" i="10"/>
  <c r="AZ20" i="9"/>
  <c r="AZ41" i="9"/>
  <c r="AZ50" i="9"/>
  <c r="BE11" i="8"/>
  <c r="BD87" i="14"/>
  <c r="BD87" i="10"/>
  <c r="BI65" i="14"/>
  <c r="BI65" i="10"/>
  <c r="BH64" i="14"/>
  <c r="BH64" i="10"/>
  <c r="BC11" i="1"/>
  <c r="BC8" i="10"/>
  <c r="BC8" i="14"/>
  <c r="BJ28" i="8"/>
  <c r="BD51" i="8"/>
  <c r="BD21" i="8"/>
  <c r="AZ82" i="10"/>
  <c r="AZ82" i="14"/>
  <c r="BD63" i="10"/>
  <c r="BD63" i="14"/>
  <c r="BD83" i="1"/>
  <c r="BC28" i="8"/>
  <c r="BK22" i="9"/>
  <c r="BK52" i="9"/>
  <c r="BG63" i="14"/>
  <c r="BG83" i="1"/>
  <c r="BG63" i="10"/>
  <c r="BJ15" i="10"/>
  <c r="BJ15" i="14"/>
  <c r="AZ22" i="8"/>
  <c r="AZ52" i="8"/>
  <c r="BA64" i="14"/>
  <c r="BA64" i="10"/>
  <c r="BA20" i="1"/>
  <c r="BA38" i="14"/>
  <c r="BA41" i="1"/>
  <c r="BA38" i="10"/>
  <c r="BA50" i="1"/>
  <c r="BE52" i="9"/>
  <c r="BE22" i="9"/>
  <c r="AZ67" i="10"/>
  <c r="AZ67" i="14"/>
  <c r="BG11" i="8"/>
  <c r="BG71" i="14"/>
  <c r="BG71" i="10"/>
  <c r="BB44" i="10"/>
  <c r="BB44" i="14"/>
  <c r="BB47" i="1"/>
  <c r="BB26" i="1"/>
  <c r="BE73" i="10"/>
  <c r="BE73" i="14"/>
  <c r="BC21" i="8"/>
  <c r="BC51" i="8"/>
  <c r="BB78" i="10"/>
  <c r="BB78" i="14"/>
  <c r="BJ47" i="8"/>
  <c r="BJ26" i="8"/>
  <c r="BJ50" i="9"/>
  <c r="BJ20" i="9"/>
  <c r="BJ41" i="9"/>
  <c r="BE46" i="10"/>
  <c r="BE46" i="14"/>
  <c r="BE28" i="1"/>
  <c r="BD16" i="14"/>
  <c r="BD16" i="10"/>
  <c r="BI74" i="10"/>
  <c r="BI74" i="14"/>
  <c r="AZ58" i="1"/>
  <c r="AZ56" i="14"/>
  <c r="AZ56" i="10"/>
  <c r="BD79" i="14"/>
  <c r="BD79" i="10"/>
  <c r="BH76" i="14"/>
  <c r="BH76" i="10"/>
  <c r="BG9" i="14"/>
  <c r="BG9" i="10"/>
  <c r="BG20" i="8"/>
  <c r="BG50" i="8"/>
  <c r="BG41" i="8"/>
  <c r="BF92" i="14"/>
  <c r="BF92" i="10"/>
  <c r="BD8" i="14"/>
  <c r="BD8" i="10"/>
  <c r="BD11" i="1"/>
  <c r="BE76" i="10"/>
  <c r="BE76" i="14"/>
  <c r="BH22" i="1"/>
  <c r="BH40" i="14"/>
  <c r="BH40" i="10"/>
  <c r="BH52" i="1"/>
  <c r="BE56" i="14"/>
  <c r="BE58" i="14" s="1"/>
  <c r="BE58" i="1"/>
  <c r="BE56" i="10"/>
  <c r="BG50" i="1"/>
  <c r="BG38" i="10"/>
  <c r="BG20" i="1"/>
  <c r="BG38" i="14"/>
  <c r="BG41" i="1"/>
  <c r="BE88" i="14"/>
  <c r="BE88" i="10"/>
  <c r="BK89" i="8"/>
  <c r="BF69" i="14"/>
  <c r="BF69" i="10"/>
  <c r="AZ71" i="10"/>
  <c r="AZ71" i="14"/>
  <c r="BI80" i="14"/>
  <c r="BI80" i="10"/>
  <c r="AZ11" i="8"/>
  <c r="BJ17" i="1"/>
  <c r="BJ14" i="10"/>
  <c r="BJ14" i="14"/>
  <c r="BH26" i="9"/>
  <c r="BH47" i="9"/>
  <c r="BE67" i="14"/>
  <c r="BE67" i="10"/>
  <c r="BD58" i="9"/>
  <c r="BH26" i="1"/>
  <c r="BH44" i="14"/>
  <c r="BH44" i="10"/>
  <c r="BH47" i="1"/>
  <c r="BG77" i="10"/>
  <c r="BG77" i="14"/>
  <c r="BH66" i="10"/>
  <c r="BH66" i="14"/>
  <c r="BG47" i="8"/>
  <c r="BG26" i="8"/>
  <c r="BK57" i="10"/>
  <c r="BK57" i="14"/>
  <c r="BK45" i="14"/>
  <c r="BK45" i="10"/>
  <c r="BK27" i="1"/>
  <c r="BG68" i="10"/>
  <c r="BG68" i="14"/>
  <c r="BD28" i="8"/>
  <c r="AZ27" i="8"/>
  <c r="BK89" i="9"/>
  <c r="BH93" i="1"/>
  <c r="BH91" i="10"/>
  <c r="BH91" i="14"/>
  <c r="BI11" i="9"/>
  <c r="BH96" i="1"/>
  <c r="BH95" i="10"/>
  <c r="BH96" i="10" s="1"/>
  <c r="BH95" i="14"/>
  <c r="BH96" i="14" s="1"/>
  <c r="BD65" i="14"/>
  <c r="BD65" i="10"/>
  <c r="BK44" i="14"/>
  <c r="BK26" i="1"/>
  <c r="BK44" i="10"/>
  <c r="BK47" i="1"/>
  <c r="BK29" i="1" s="1"/>
  <c r="BE22" i="8"/>
  <c r="BE52" i="8"/>
  <c r="BH28" i="9"/>
  <c r="BK51" i="9"/>
  <c r="BK21" i="9"/>
  <c r="BF67" i="10"/>
  <c r="BF67" i="14"/>
  <c r="BA26" i="8"/>
  <c r="BA47" i="8"/>
  <c r="BG27" i="8"/>
  <c r="BC16" i="14"/>
  <c r="BC16" i="10"/>
  <c r="BK15" i="14"/>
  <c r="BK15" i="10"/>
  <c r="BB45" i="10"/>
  <c r="BB45" i="14"/>
  <c r="BB27" i="1"/>
  <c r="BJ57" i="10"/>
  <c r="BJ57" i="14"/>
  <c r="BJ74" i="10"/>
  <c r="BJ74" i="14"/>
  <c r="BB76" i="14"/>
  <c r="BB76" i="10"/>
  <c r="BB63" i="14"/>
  <c r="BB83" i="1"/>
  <c r="BB63" i="10"/>
  <c r="BC69" i="10"/>
  <c r="BC69" i="14"/>
  <c r="BC9" i="10"/>
  <c r="BC9" i="14"/>
  <c r="BC88" i="10"/>
  <c r="BC88" i="14"/>
  <c r="BE86" i="14"/>
  <c r="BE89" i="1"/>
  <c r="BE86" i="10"/>
  <c r="BE63" i="10"/>
  <c r="BE83" i="1"/>
  <c r="BE63" i="14"/>
  <c r="AZ58" i="9"/>
  <c r="BG41" i="9"/>
  <c r="BG50" i="9"/>
  <c r="BG20" i="9"/>
  <c r="BK58" i="9"/>
  <c r="BH96" i="8"/>
  <c r="BC39" i="14"/>
  <c r="BC21" i="1"/>
  <c r="BC51" i="1"/>
  <c r="BC39" i="10"/>
  <c r="BA28" i="9"/>
  <c r="BI66" i="10"/>
  <c r="BI66" i="14"/>
  <c r="BJ22" i="9"/>
  <c r="BJ52" i="9"/>
  <c r="BH58" i="9"/>
  <c r="BC17" i="8"/>
  <c r="BG76" i="14"/>
  <c r="BG76" i="10"/>
  <c r="BI46" i="14"/>
  <c r="BI46" i="10"/>
  <c r="BI28" i="1"/>
  <c r="BF68" i="10"/>
  <c r="BF68" i="14"/>
  <c r="BI9" i="14"/>
  <c r="BI9" i="10"/>
  <c r="BG22" i="1"/>
  <c r="BG40" i="14"/>
  <c r="BG40" i="10"/>
  <c r="BG52" i="1"/>
  <c r="BG46" i="14"/>
  <c r="BG46" i="10"/>
  <c r="BG28" i="1"/>
  <c r="BJ51" i="9"/>
  <c r="BJ21" i="9"/>
  <c r="BH11" i="8"/>
  <c r="BK27" i="8"/>
  <c r="BK91" i="14"/>
  <c r="BK93" i="1"/>
  <c r="BK91" i="10"/>
  <c r="BK93" i="10" s="1"/>
  <c r="AZ80" i="10"/>
  <c r="AZ80" i="14"/>
  <c r="BJ87" i="10"/>
  <c r="BJ87" i="14"/>
  <c r="BI95" i="14"/>
  <c r="BI96" i="14" s="1"/>
  <c r="BI96" i="1"/>
  <c r="BI95" i="10"/>
  <c r="BI96" i="10" s="1"/>
  <c r="BI75" i="10"/>
  <c r="BI75" i="14"/>
  <c r="BH87" i="14"/>
  <c r="BH87" i="10"/>
  <c r="BD86" i="10"/>
  <c r="BD86" i="14"/>
  <c r="BD89" i="1"/>
  <c r="BF17" i="8"/>
  <c r="BD74" i="14"/>
  <c r="BD74" i="10"/>
  <c r="BD40" i="14"/>
  <c r="BD22" i="1"/>
  <c r="BD40" i="10"/>
  <c r="BD52" i="1"/>
  <c r="BK11" i="8"/>
  <c r="BF83" i="1"/>
  <c r="BF63" i="14"/>
  <c r="BF63" i="10"/>
  <c r="BK50" i="9"/>
  <c r="BK41" i="9"/>
  <c r="BK20" i="9"/>
  <c r="BE96" i="9"/>
  <c r="BE83" i="8"/>
  <c r="BH11" i="1"/>
  <c r="BH8" i="14"/>
  <c r="BH11" i="14" s="1"/>
  <c r="BH8" i="10"/>
  <c r="BA45" i="10"/>
  <c r="BA45" i="14"/>
  <c r="BA27" i="1"/>
  <c r="BJ68" i="10"/>
  <c r="BJ68" i="14"/>
  <c r="BH27" i="9"/>
  <c r="BF73" i="14"/>
  <c r="BF73" i="10"/>
  <c r="BG14" i="14"/>
  <c r="BG17" i="1"/>
  <c r="BG14" i="10"/>
  <c r="AZ76" i="10"/>
  <c r="AZ76" i="14"/>
  <c r="BE26" i="1"/>
  <c r="BE44" i="14"/>
  <c r="BE47" i="1"/>
  <c r="BE44" i="10"/>
  <c r="BF83" i="9"/>
  <c r="BG11" i="1"/>
  <c r="BG8" i="10"/>
  <c r="BG8" i="14"/>
  <c r="BB15" i="14"/>
  <c r="BB15" i="10"/>
  <c r="BB17" i="10" s="1"/>
  <c r="AZ89" i="9"/>
  <c r="BJ27" i="8"/>
  <c r="AZ88" i="14"/>
  <c r="AZ88" i="10"/>
  <c r="AZ27" i="9"/>
  <c r="BI16" i="14"/>
  <c r="BI16" i="10"/>
  <c r="BG67" i="10"/>
  <c r="BG67" i="14"/>
  <c r="BG88" i="10"/>
  <c r="BG88" i="14"/>
  <c r="BA56" i="14"/>
  <c r="BA56" i="10"/>
  <c r="BA58" i="1"/>
  <c r="BB27" i="8"/>
  <c r="BA93" i="9"/>
  <c r="BG81" i="14"/>
  <c r="BG81" i="10"/>
  <c r="BC21" i="9"/>
  <c r="BC51" i="9"/>
  <c r="AZ47" i="8"/>
  <c r="AZ26" i="8"/>
  <c r="BF11" i="1"/>
  <c r="BG102" i="1" s="1"/>
  <c r="BF8" i="10"/>
  <c r="BF8" i="14"/>
  <c r="BD75" i="14"/>
  <c r="BD75" i="10"/>
  <c r="BE92" i="14"/>
  <c r="BE92" i="10"/>
  <c r="BE28" i="9"/>
  <c r="BF93" i="9"/>
  <c r="BK80" i="10"/>
  <c r="BK80" i="14"/>
  <c r="BE27" i="8"/>
  <c r="BD27" i="9"/>
  <c r="BK28" i="8"/>
  <c r="BF41" i="1"/>
  <c r="BF50" i="1"/>
  <c r="BF38" i="10"/>
  <c r="BF20" i="1"/>
  <c r="BF38" i="14"/>
  <c r="AZ45" i="14"/>
  <c r="AZ27" i="1"/>
  <c r="AZ45" i="10"/>
  <c r="BA20" i="8"/>
  <c r="BA32" i="8" s="1"/>
  <c r="BA50" i="8"/>
  <c r="BA41" i="8"/>
  <c r="BD22" i="8"/>
  <c r="BD34" i="8" s="1"/>
  <c r="BD52" i="8"/>
  <c r="BJ17" i="9"/>
  <c r="AZ10" i="10"/>
  <c r="AZ10" i="14"/>
  <c r="BG15" i="10"/>
  <c r="BG15" i="14"/>
  <c r="BA70" i="14"/>
  <c r="BA70" i="10"/>
  <c r="BP70" i="10" s="1"/>
  <c r="BA69" i="10"/>
  <c r="BA69" i="14"/>
  <c r="BC80" i="10"/>
  <c r="BC80" i="14"/>
  <c r="BC95" i="10"/>
  <c r="BC96" i="10" s="1"/>
  <c r="BC96" i="1"/>
  <c r="BC95" i="14"/>
  <c r="BC96" i="14" s="1"/>
  <c r="BB26" i="8"/>
  <c r="BB47" i="8"/>
  <c r="BF51" i="9"/>
  <c r="BF21" i="9"/>
  <c r="BB58" i="8"/>
  <c r="BF93" i="8"/>
  <c r="BH16" i="14"/>
  <c r="BH16" i="10"/>
  <c r="AZ64" i="14"/>
  <c r="BP64" i="14" s="1"/>
  <c r="AZ64" i="10"/>
  <c r="BF9" i="14"/>
  <c r="BF9" i="10"/>
  <c r="BG89" i="9"/>
  <c r="BH56" i="10"/>
  <c r="BH56" i="14"/>
  <c r="BH58" i="1"/>
  <c r="BF71" i="10"/>
  <c r="BF71" i="14"/>
  <c r="BH39" i="14"/>
  <c r="BH51" i="1"/>
  <c r="BH39" i="10"/>
  <c r="BH21" i="1"/>
  <c r="BA27" i="8"/>
  <c r="BI40" i="10"/>
  <c r="BI40" i="14"/>
  <c r="BI52" i="1"/>
  <c r="BI22" i="1"/>
  <c r="BI34" i="1" s="1"/>
  <c r="BJ58" i="8"/>
  <c r="BD57" i="10"/>
  <c r="BD57" i="14"/>
  <c r="BE93" i="9"/>
  <c r="BE58" i="9"/>
  <c r="BB72" i="14"/>
  <c r="BB72" i="10"/>
  <c r="BA21" i="8"/>
  <c r="BA51" i="8"/>
  <c r="BB17" i="8"/>
  <c r="BH9" i="14"/>
  <c r="BH9" i="10"/>
  <c r="BI10" i="14"/>
  <c r="BI10" i="10"/>
  <c r="BA11" i="9"/>
  <c r="BC68" i="14"/>
  <c r="BC68" i="10"/>
  <c r="BI27" i="8"/>
  <c r="BJ73" i="10"/>
  <c r="BJ73" i="14"/>
  <c r="BI93" i="9"/>
  <c r="AZ73" i="10"/>
  <c r="AZ73" i="14"/>
  <c r="BB51" i="9"/>
  <c r="BB21" i="9"/>
  <c r="BE15" i="10"/>
  <c r="BE15" i="14"/>
  <c r="AZ91" i="14"/>
  <c r="AZ91" i="10"/>
  <c r="AZ93" i="1"/>
  <c r="BE16" i="10"/>
  <c r="BE16" i="14"/>
  <c r="BA73" i="14"/>
  <c r="BA73" i="10"/>
  <c r="BB83" i="9"/>
  <c r="BJ11" i="1"/>
  <c r="BJ8" i="10"/>
  <c r="BJ8" i="14"/>
  <c r="BJ11" i="14" s="1"/>
  <c r="BF26" i="9"/>
  <c r="BF47" i="9"/>
  <c r="BF47" i="8"/>
  <c r="BF26" i="8"/>
  <c r="BA87" i="14"/>
  <c r="BA87" i="10"/>
  <c r="BC27" i="9"/>
  <c r="BD17" i="9"/>
  <c r="BA28" i="1"/>
  <c r="BA46" i="10"/>
  <c r="BA28" i="10" s="1"/>
  <c r="BA46" i="14"/>
  <c r="BD17" i="8"/>
  <c r="BH57" i="10"/>
  <c r="BH57" i="14"/>
  <c r="BI81" i="10"/>
  <c r="BI81" i="14"/>
  <c r="BF44" i="14"/>
  <c r="BF26" i="1"/>
  <c r="BF44" i="10"/>
  <c r="BF47" i="1"/>
  <c r="BD89" i="9"/>
  <c r="BI27" i="9"/>
  <c r="BJ93" i="8"/>
  <c r="BI50" i="1"/>
  <c r="BI41" i="1"/>
  <c r="BI38" i="14"/>
  <c r="BI20" i="1"/>
  <c r="BI38" i="10"/>
  <c r="BC92" i="14"/>
  <c r="BC92" i="10"/>
  <c r="BB77" i="10"/>
  <c r="BB77" i="14"/>
  <c r="BF78" i="10"/>
  <c r="BF78" i="14"/>
  <c r="BC70" i="14"/>
  <c r="BC70" i="10"/>
  <c r="BF77" i="10"/>
  <c r="BF77" i="14"/>
  <c r="BI91" i="10"/>
  <c r="BI91" i="14"/>
  <c r="BI93" i="1"/>
  <c r="AZ75" i="10"/>
  <c r="AZ75" i="14"/>
  <c r="BK92" i="10"/>
  <c r="BK92" i="14"/>
  <c r="BA16" i="14"/>
  <c r="BA16" i="10"/>
  <c r="BC57" i="14"/>
  <c r="BC58" i="14" s="1"/>
  <c r="BC57" i="10"/>
  <c r="BI15" i="10"/>
  <c r="BI15" i="14"/>
  <c r="BC27" i="8"/>
  <c r="BB96" i="8"/>
  <c r="BE65" i="10"/>
  <c r="BE65" i="14"/>
  <c r="BD69" i="10"/>
  <c r="BD69" i="14"/>
  <c r="BE47" i="8"/>
  <c r="BE26" i="8"/>
  <c r="BI63" i="14"/>
  <c r="BI83" i="1"/>
  <c r="BI63" i="10"/>
  <c r="BI45" i="14"/>
  <c r="BI45" i="10"/>
  <c r="BI27" i="10" s="1"/>
  <c r="BI27" i="1"/>
  <c r="BK77" i="14"/>
  <c r="BK77" i="10"/>
  <c r="BJ9" i="10"/>
  <c r="BJ9" i="14"/>
  <c r="BC50" i="8"/>
  <c r="BC41" i="8"/>
  <c r="BC20" i="8"/>
  <c r="BB52" i="9"/>
  <c r="BB22" i="9"/>
  <c r="AZ17" i="8"/>
  <c r="AZ11" i="1"/>
  <c r="AZ8" i="14"/>
  <c r="AZ11" i="14" s="1"/>
  <c r="AZ8" i="10"/>
  <c r="BJ40" i="14"/>
  <c r="BJ52" i="1"/>
  <c r="BJ40" i="10"/>
  <c r="BJ22" i="1"/>
  <c r="BH89" i="9"/>
  <c r="BF28" i="9"/>
  <c r="BK93" i="8"/>
  <c r="BA58" i="8"/>
  <c r="BP9" i="8"/>
  <c r="BK47" i="9"/>
  <c r="BK26" i="9"/>
  <c r="BJ11" i="9"/>
  <c r="BJ10" i="14"/>
  <c r="BJ10" i="10"/>
  <c r="BJ58" i="9"/>
  <c r="BH47" i="8"/>
  <c r="BH26" i="8"/>
  <c r="BF75" i="10"/>
  <c r="BF75" i="14"/>
  <c r="BD28" i="9"/>
  <c r="BJ72" i="10"/>
  <c r="BJ72" i="14"/>
  <c r="BA74" i="14"/>
  <c r="BA74" i="10"/>
  <c r="BI89" i="8"/>
  <c r="AZ77" i="14"/>
  <c r="AZ77" i="10"/>
  <c r="BJ22" i="8"/>
  <c r="BJ52" i="8"/>
  <c r="BC27" i="1"/>
  <c r="BC45" i="10"/>
  <c r="BC45" i="14"/>
  <c r="BA68" i="10"/>
  <c r="BA68" i="14"/>
  <c r="BI68" i="14"/>
  <c r="BI68" i="10"/>
  <c r="BJ41" i="1"/>
  <c r="BJ20" i="1"/>
  <c r="BJ32" i="1" s="1"/>
  <c r="BJ38" i="10"/>
  <c r="BJ50" i="1"/>
  <c r="BJ38" i="14"/>
  <c r="AZ92" i="14"/>
  <c r="AZ92" i="10"/>
  <c r="AZ68" i="14"/>
  <c r="AZ68" i="10"/>
  <c r="BD45" i="14"/>
  <c r="BD27" i="14" s="1"/>
  <c r="BD45" i="10"/>
  <c r="BD27" i="10" s="1"/>
  <c r="BD27" i="1"/>
  <c r="BG26" i="9"/>
  <c r="BG47" i="9"/>
  <c r="BI69" i="14"/>
  <c r="BI69" i="10"/>
  <c r="AZ78" i="14"/>
  <c r="AZ78" i="10"/>
  <c r="BF80" i="14"/>
  <c r="BF80" i="10"/>
  <c r="BJ71" i="14"/>
  <c r="BJ71" i="10"/>
  <c r="BP10" i="9"/>
  <c r="BD26" i="1"/>
  <c r="BD47" i="1"/>
  <c r="BD44" i="10"/>
  <c r="BD44" i="14"/>
  <c r="BI28" i="9"/>
  <c r="BE47" i="9"/>
  <c r="BE26" i="9"/>
  <c r="BI83" i="8"/>
  <c r="AZ79" i="10"/>
  <c r="AZ79" i="14"/>
  <c r="BA57" i="14"/>
  <c r="BA57" i="10"/>
  <c r="BC14" i="14"/>
  <c r="BC14" i="10"/>
  <c r="BC17" i="1"/>
  <c r="BE11" i="9"/>
  <c r="BK58" i="1"/>
  <c r="BK56" i="14"/>
  <c r="BK56" i="10"/>
  <c r="BF11" i="8"/>
  <c r="BC28" i="1"/>
  <c r="BC46" i="10"/>
  <c r="BC28" i="10" s="1"/>
  <c r="BC46" i="14"/>
  <c r="BC28" i="14" s="1"/>
  <c r="BF45" i="10"/>
  <c r="BF27" i="1"/>
  <c r="BF45" i="14"/>
  <c r="BD77" i="10"/>
  <c r="BD77" i="14"/>
  <c r="BG83" i="9"/>
  <c r="BI11" i="8"/>
  <c r="BA11" i="8"/>
  <c r="BP102" i="8" s="1"/>
  <c r="BC78" i="10"/>
  <c r="BC78" i="14"/>
  <c r="BJ83" i="9"/>
  <c r="BK8" i="14"/>
  <c r="BK11" i="1"/>
  <c r="BK8" i="10"/>
  <c r="BB28" i="9"/>
  <c r="BJ45" i="14"/>
  <c r="BJ27" i="14" s="1"/>
  <c r="BJ27" i="1"/>
  <c r="BJ45" i="10"/>
  <c r="BJ27" i="10" s="1"/>
  <c r="BF83" i="8"/>
  <c r="BE81" i="14"/>
  <c r="BE81" i="10"/>
  <c r="BK21" i="8"/>
  <c r="BK33" i="8" s="1"/>
  <c r="BK51" i="8"/>
  <c r="BA51" i="9"/>
  <c r="BA21" i="9"/>
  <c r="BA33" i="9" s="1"/>
  <c r="BE51" i="9"/>
  <c r="BE21" i="9"/>
  <c r="BF17" i="9"/>
  <c r="BI14" i="10"/>
  <c r="BI17" i="1"/>
  <c r="BI14" i="14"/>
  <c r="BH89" i="8"/>
  <c r="BK39" i="14"/>
  <c r="BK51" i="1"/>
  <c r="BK39" i="10"/>
  <c r="BK21" i="1"/>
  <c r="BG28" i="8"/>
  <c r="BA71" i="14"/>
  <c r="BA71" i="10"/>
  <c r="BA28" i="8"/>
  <c r="BK83" i="8"/>
  <c r="BG92" i="10"/>
  <c r="BG92" i="14"/>
  <c r="BG95" i="10"/>
  <c r="BG96" i="10" s="1"/>
  <c r="BG95" i="14"/>
  <c r="BG96" i="14" s="1"/>
  <c r="BG96" i="1"/>
  <c r="BB47" i="9"/>
  <c r="BB26" i="9"/>
  <c r="BH96" i="9"/>
  <c r="BI58" i="9"/>
  <c r="AZ58" i="8"/>
  <c r="BD11" i="8"/>
  <c r="BE102" i="8" s="1"/>
  <c r="BB89" i="8"/>
  <c r="BJ70" i="10"/>
  <c r="BJ70" i="14"/>
  <c r="BF16" i="10"/>
  <c r="BF17" i="10" s="1"/>
  <c r="BF16" i="14"/>
  <c r="BH58" i="8"/>
  <c r="BI17" i="9"/>
  <c r="BA27" i="9"/>
  <c r="BA17" i="9"/>
  <c r="BI87" i="14"/>
  <c r="BI87" i="10"/>
  <c r="BB16" i="10"/>
  <c r="BP16" i="10" s="1"/>
  <c r="BB16" i="14"/>
  <c r="BJ82" i="10"/>
  <c r="BJ82" i="14"/>
  <c r="BB52" i="8"/>
  <c r="BB22" i="8"/>
  <c r="BG16" i="10"/>
  <c r="BG16" i="14"/>
  <c r="BK82" i="14"/>
  <c r="BK82" i="10"/>
  <c r="BB87" i="10"/>
  <c r="BB87" i="14"/>
  <c r="BB89" i="14" s="1"/>
  <c r="BI26" i="8"/>
  <c r="BI47" i="8"/>
  <c r="BK79" i="14"/>
  <c r="BK79" i="10"/>
  <c r="BI64" i="10"/>
  <c r="BI64" i="14"/>
  <c r="BF70" i="10"/>
  <c r="BF70" i="14"/>
  <c r="BA72" i="10"/>
  <c r="BA72" i="14"/>
  <c r="BF57" i="14"/>
  <c r="BF57" i="10"/>
  <c r="BH82" i="10"/>
  <c r="BH82" i="14"/>
  <c r="BG79" i="14"/>
  <c r="BG79" i="10"/>
  <c r="BA52" i="8"/>
  <c r="BA22" i="8"/>
  <c r="BF28" i="8"/>
  <c r="BD10" i="10"/>
  <c r="BD10" i="14"/>
  <c r="BD9" i="14"/>
  <c r="BD9" i="10"/>
  <c r="BD68" i="14"/>
  <c r="BD68" i="10"/>
  <c r="BC79" i="14"/>
  <c r="BC79" i="10"/>
  <c r="BI70" i="14"/>
  <c r="BI70" i="10"/>
  <c r="BG22" i="9"/>
  <c r="BG52" i="9"/>
  <c r="BH69" i="10"/>
  <c r="BH69" i="14"/>
  <c r="BI44" i="10"/>
  <c r="BI44" i="14"/>
  <c r="BI47" i="1"/>
  <c r="BI26" i="1"/>
  <c r="BJ77" i="10"/>
  <c r="BJ77" i="14"/>
  <c r="BA89" i="8"/>
  <c r="BH17" i="9"/>
  <c r="BI82" i="14"/>
  <c r="BI82" i="10"/>
  <c r="AZ87" i="10"/>
  <c r="AZ87" i="14"/>
  <c r="BP87" i="14" s="1"/>
  <c r="BC93" i="9"/>
  <c r="BH27" i="8"/>
  <c r="AZ89" i="1"/>
  <c r="AZ86" i="10"/>
  <c r="AZ86" i="14"/>
  <c r="BH22" i="9"/>
  <c r="BH34" i="9" s="1"/>
  <c r="BH52" i="9"/>
  <c r="BK88" i="14"/>
  <c r="BK88" i="10"/>
  <c r="BG82" i="14"/>
  <c r="BG82" i="10"/>
  <c r="BK83" i="9"/>
  <c r="BB75" i="14"/>
  <c r="BB75" i="10"/>
  <c r="BB74" i="14"/>
  <c r="BB74" i="10"/>
  <c r="BP74" i="10" s="1"/>
  <c r="BH67" i="10"/>
  <c r="BH67" i="14"/>
  <c r="BD21" i="9"/>
  <c r="BD33" i="9" s="1"/>
  <c r="BD51" i="9"/>
  <c r="BG78" i="14"/>
  <c r="BG78" i="10"/>
  <c r="BA67" i="14"/>
  <c r="BA67" i="10"/>
  <c r="BP67" i="10" s="1"/>
  <c r="BH51" i="8"/>
  <c r="BH21" i="8"/>
  <c r="BH33" i="8" s="1"/>
  <c r="BH88" i="10"/>
  <c r="BH88" i="14"/>
  <c r="BK70" i="10"/>
  <c r="BK70" i="14"/>
  <c r="BB93" i="9"/>
  <c r="BE93" i="8"/>
  <c r="AZ50" i="1"/>
  <c r="AZ20" i="1"/>
  <c r="AZ41" i="1"/>
  <c r="AZ38" i="10"/>
  <c r="AZ38" i="14"/>
  <c r="BB79" i="14"/>
  <c r="BB79" i="10"/>
  <c r="BJ92" i="10"/>
  <c r="BJ92" i="14"/>
  <c r="AZ51" i="9"/>
  <c r="AZ21" i="9"/>
  <c r="BF72" i="14"/>
  <c r="BF72" i="10"/>
  <c r="BH71" i="14"/>
  <c r="BH71" i="10"/>
  <c r="BF88" i="14"/>
  <c r="BF88" i="10"/>
  <c r="BG93" i="1"/>
  <c r="BG91" i="10"/>
  <c r="BG91" i="14"/>
  <c r="BE95" i="14"/>
  <c r="BE96" i="14" s="1"/>
  <c r="BE96" i="1"/>
  <c r="BE95" i="10"/>
  <c r="BE96" i="10" s="1"/>
  <c r="BB88" i="10"/>
  <c r="BP88" i="10" s="1"/>
  <c r="BB88" i="14"/>
  <c r="BD46" i="14"/>
  <c r="BD28" i="14" s="1"/>
  <c r="BD46" i="10"/>
  <c r="BD28" i="10" s="1"/>
  <c r="BD28" i="1"/>
  <c r="BC28" i="9"/>
  <c r="BJ88" i="14"/>
  <c r="BJ88" i="10"/>
  <c r="BH83" i="8"/>
  <c r="BH98" i="8" s="1"/>
  <c r="BF64" i="14"/>
  <c r="BF64" i="10"/>
  <c r="BC47" i="8"/>
  <c r="BC29" i="8" s="1"/>
  <c r="BC26" i="8"/>
  <c r="BC96" i="8"/>
  <c r="BK67" i="14"/>
  <c r="BK67" i="10"/>
  <c r="BD58" i="8"/>
  <c r="BA81" i="10"/>
  <c r="BA81" i="14"/>
  <c r="BD96" i="8"/>
  <c r="BC11" i="9"/>
  <c r="BF96" i="8"/>
  <c r="AZ93" i="9"/>
  <c r="BF58" i="1"/>
  <c r="BF56" i="14"/>
  <c r="BF58" i="14" s="1"/>
  <c r="BF56" i="10"/>
  <c r="BJ96" i="9"/>
  <c r="BE50" i="9"/>
  <c r="BE41" i="9"/>
  <c r="BE20" i="9"/>
  <c r="BA65" i="14"/>
  <c r="BA65" i="10"/>
  <c r="BJ96" i="8"/>
  <c r="BF22" i="9"/>
  <c r="BF34" i="9" s="1"/>
  <c r="BF52" i="9"/>
  <c r="BD66" i="14"/>
  <c r="BD66" i="10"/>
  <c r="BF74" i="14"/>
  <c r="BF74" i="10"/>
  <c r="BG96" i="8"/>
  <c r="BF87" i="10"/>
  <c r="BF87" i="14"/>
  <c r="BI26" i="9"/>
  <c r="BI47" i="9"/>
  <c r="BI29" i="9" s="1"/>
  <c r="BG75" i="10"/>
  <c r="BG75" i="14"/>
  <c r="BB11" i="9"/>
  <c r="BC102" i="9" s="1"/>
  <c r="BP8" i="9"/>
  <c r="BG51" i="8"/>
  <c r="BG21" i="8"/>
  <c r="BG33" i="8" s="1"/>
  <c r="AZ70" i="14"/>
  <c r="AZ70" i="10"/>
  <c r="AZ28" i="8"/>
  <c r="BJ76" i="14"/>
  <c r="BJ76" i="10"/>
  <c r="BH63" i="10"/>
  <c r="BH83" i="1"/>
  <c r="BH98" i="1" s="1"/>
  <c r="BH63" i="14"/>
  <c r="BB96" i="9"/>
  <c r="BG72" i="14"/>
  <c r="BG72" i="10"/>
  <c r="AZ93" i="8"/>
  <c r="BE64" i="10"/>
  <c r="BE64" i="14"/>
  <c r="AZ96" i="8"/>
  <c r="BK74" i="10"/>
  <c r="BK74" i="14"/>
  <c r="BD71" i="14"/>
  <c r="BD71" i="10"/>
  <c r="BI71" i="14"/>
  <c r="BI71" i="10"/>
  <c r="BC47" i="9"/>
  <c r="BC26" i="9"/>
  <c r="BG80" i="10"/>
  <c r="BG80" i="14"/>
  <c r="BD27" i="8"/>
  <c r="BJ89" i="8"/>
  <c r="BC56" i="10"/>
  <c r="BC56" i="14"/>
  <c r="BC58" i="1"/>
  <c r="BE87" i="14"/>
  <c r="BE87" i="10"/>
  <c r="BA88" i="14"/>
  <c r="BA88" i="10"/>
  <c r="BI51" i="9"/>
  <c r="BI21" i="9"/>
  <c r="BA80" i="10"/>
  <c r="BA80" i="14"/>
  <c r="AZ57" i="10"/>
  <c r="BP57" i="10" s="1"/>
  <c r="AZ57" i="14"/>
  <c r="BK9" i="14"/>
  <c r="BK9" i="10"/>
  <c r="BF50" i="9"/>
  <c r="BF20" i="9"/>
  <c r="BF32" i="9" s="1"/>
  <c r="BF41" i="9"/>
  <c r="BD11" i="9"/>
  <c r="BE102" i="9" s="1"/>
  <c r="BJ28" i="9"/>
  <c r="BA51" i="1"/>
  <c r="BA21" i="1"/>
  <c r="BA33" i="1" s="1"/>
  <c r="BA39" i="10"/>
  <c r="BA39" i="14"/>
  <c r="BI28" i="8"/>
  <c r="BB69" i="14"/>
  <c r="BB69" i="10"/>
  <c r="BA44" i="10"/>
  <c r="BA47" i="1"/>
  <c r="BA26" i="1"/>
  <c r="BA44" i="14"/>
  <c r="BK11" i="9"/>
  <c r="BJ78" i="14"/>
  <c r="BJ78" i="10"/>
  <c r="BB39" i="10"/>
  <c r="BB51" i="1"/>
  <c r="BB21" i="1"/>
  <c r="BB33" i="1" s="1"/>
  <c r="BB39" i="14"/>
  <c r="BC58" i="9"/>
  <c r="BJ17" i="8"/>
  <c r="AZ96" i="9"/>
  <c r="BB82" i="10"/>
  <c r="BB82" i="14"/>
  <c r="BE58" i="8"/>
  <c r="BH70" i="14"/>
  <c r="BH70" i="10"/>
  <c r="BC64" i="14"/>
  <c r="BC64" i="10"/>
  <c r="BC11" i="8"/>
  <c r="BD102" i="8" s="1"/>
  <c r="BF76" i="14"/>
  <c r="BF76" i="10"/>
  <c r="BG65" i="14"/>
  <c r="BG65" i="10"/>
  <c r="BD47" i="8"/>
  <c r="BD29" i="8" s="1"/>
  <c r="BD26" i="8"/>
  <c r="BA77" i="14"/>
  <c r="BA77" i="10"/>
  <c r="BE51" i="1"/>
  <c r="BE21" i="1"/>
  <c r="BE39" i="10"/>
  <c r="BE39" i="14"/>
  <c r="BD89" i="8"/>
  <c r="BK17" i="9"/>
  <c r="BF66" i="10"/>
  <c r="BF66" i="14"/>
  <c r="BK16" i="10"/>
  <c r="BK16" i="14"/>
  <c r="BJ64" i="14"/>
  <c r="BJ64" i="10"/>
  <c r="BA9" i="14"/>
  <c r="BA9" i="10"/>
  <c r="BD73" i="14"/>
  <c r="BD73" i="10"/>
  <c r="BG52" i="8"/>
  <c r="BG22" i="8"/>
  <c r="BH68" i="14"/>
  <c r="BH68" i="10"/>
  <c r="BC81" i="14"/>
  <c r="BC81" i="10"/>
  <c r="BH46" i="14"/>
  <c r="BH28" i="14" s="1"/>
  <c r="BH28" i="1"/>
  <c r="BH46" i="10"/>
  <c r="BH28" i="10" s="1"/>
  <c r="BA17" i="8"/>
  <c r="BJ11" i="8"/>
  <c r="BK102" i="8" s="1"/>
  <c r="BH50" i="1"/>
  <c r="BH38" i="14"/>
  <c r="BH38" i="10"/>
  <c r="BH41" i="1"/>
  <c r="BH20" i="1"/>
  <c r="BH32" i="1" s="1"/>
  <c r="BF15" i="14"/>
  <c r="BF15" i="10"/>
  <c r="AZ11" i="9"/>
  <c r="BP102" i="9" s="1"/>
  <c r="AZ89" i="8"/>
  <c r="BB28" i="1"/>
  <c r="BB46" i="10"/>
  <c r="BB46" i="14"/>
  <c r="BC65" i="10"/>
  <c r="BC65" i="14"/>
  <c r="BF10" i="14"/>
  <c r="BF10" i="10"/>
  <c r="BB91" i="14"/>
  <c r="BB91" i="10"/>
  <c r="BB93" i="1"/>
  <c r="BF21" i="1"/>
  <c r="BF39" i="10"/>
  <c r="BF51" i="1"/>
  <c r="BF39" i="14"/>
  <c r="BH17" i="1"/>
  <c r="BH14" i="14"/>
  <c r="BH17" i="14" s="1"/>
  <c r="BH14" i="10"/>
  <c r="BH73" i="10"/>
  <c r="BH73" i="14"/>
  <c r="BJ58" i="1"/>
  <c r="BJ56" i="14"/>
  <c r="BJ58" i="14" s="1"/>
  <c r="BJ56" i="10"/>
  <c r="BJ58" i="10" s="1"/>
  <c r="BC82" i="10"/>
  <c r="BC82" i="14"/>
  <c r="BE68" i="14"/>
  <c r="BE68" i="10"/>
  <c r="BI21" i="1"/>
  <c r="BI51" i="1"/>
  <c r="BI39" i="14"/>
  <c r="BI39" i="10"/>
  <c r="BC77" i="14"/>
  <c r="BC77" i="10"/>
  <c r="BJ66" i="14"/>
  <c r="BJ66" i="10"/>
  <c r="BI8" i="14"/>
  <c r="BI11" i="1"/>
  <c r="BJ102" i="1" s="1"/>
  <c r="BI8" i="10"/>
  <c r="BA86" i="14"/>
  <c r="BA86" i="10"/>
  <c r="BA89" i="10" s="1"/>
  <c r="BA89" i="1"/>
  <c r="AZ41" i="8"/>
  <c r="AZ20" i="8"/>
  <c r="AZ32" i="8" s="1"/>
  <c r="AZ50" i="8"/>
  <c r="BC86" i="14"/>
  <c r="BC89" i="1"/>
  <c r="BC86" i="10"/>
  <c r="AZ69" i="10"/>
  <c r="AZ69" i="14"/>
  <c r="BE57" i="10"/>
  <c r="BE57" i="14"/>
  <c r="BJ95" i="10"/>
  <c r="BJ96" i="10" s="1"/>
  <c r="BJ95" i="14"/>
  <c r="BJ96" i="14" s="1"/>
  <c r="BJ96" i="1"/>
  <c r="BH93" i="8"/>
  <c r="BJ67" i="14"/>
  <c r="BJ67" i="10"/>
  <c r="BI51" i="8"/>
  <c r="BI21" i="8"/>
  <c r="BI33" i="8" s="1"/>
  <c r="BH89" i="1"/>
  <c r="BH86" i="14"/>
  <c r="BH89" i="14" s="1"/>
  <c r="BH86" i="10"/>
  <c r="AZ17" i="1"/>
  <c r="AZ14" i="10"/>
  <c r="BP14" i="10" s="1"/>
  <c r="AZ14" i="14"/>
  <c r="BC15" i="14"/>
  <c r="BC15" i="10"/>
  <c r="BH79" i="14"/>
  <c r="BH79" i="10"/>
  <c r="BG56" i="10"/>
  <c r="BG58" i="1"/>
  <c r="BG56" i="14"/>
  <c r="BG58" i="14" s="1"/>
  <c r="BE77" i="10"/>
  <c r="BE77" i="14"/>
  <c r="AZ83" i="8"/>
  <c r="BE75" i="14"/>
  <c r="BE75" i="10"/>
  <c r="BK73" i="10"/>
  <c r="BK73" i="14"/>
  <c r="BC75" i="14"/>
  <c r="BC75" i="10"/>
  <c r="BI73" i="10"/>
  <c r="BI73" i="14"/>
  <c r="BI77" i="14"/>
  <c r="BI77" i="10"/>
  <c r="BI89" i="1"/>
  <c r="BI86" i="10"/>
  <c r="BI86" i="14"/>
  <c r="BI89" i="14" s="1"/>
  <c r="BB28" i="8"/>
  <c r="BD70" i="10"/>
  <c r="BD70" i="14"/>
  <c r="BH74" i="14"/>
  <c r="BH74" i="10"/>
  <c r="BI93" i="8"/>
  <c r="BF46" i="10"/>
  <c r="BF46" i="14"/>
  <c r="BF28" i="14" s="1"/>
  <c r="BF28" i="1"/>
  <c r="BK78" i="14"/>
  <c r="BK78" i="10"/>
  <c r="BA96" i="8"/>
  <c r="BD95" i="10"/>
  <c r="BD96" i="10" s="1"/>
  <c r="BD96" i="1"/>
  <c r="BD95" i="14"/>
  <c r="BD96" i="14" s="1"/>
  <c r="BK63" i="10"/>
  <c r="BK63" i="14"/>
  <c r="BK83" i="1"/>
  <c r="BG87" i="10"/>
  <c r="BG87" i="14"/>
  <c r="BA58" i="9"/>
  <c r="BC52" i="8"/>
  <c r="BC22" i="8"/>
  <c r="BC34" i="8" s="1"/>
  <c r="BG27" i="1"/>
  <c r="BG45" i="10"/>
  <c r="BG27" i="10" s="1"/>
  <c r="BG45" i="14"/>
  <c r="BG27" i="14" s="1"/>
  <c r="BG11" i="9"/>
  <c r="BH102" i="9" s="1"/>
  <c r="BF89" i="9"/>
  <c r="BH10" i="14"/>
  <c r="BH10" i="10"/>
  <c r="BH11" i="10" s="1"/>
  <c r="AZ15" i="14"/>
  <c r="AZ15" i="10"/>
  <c r="BP15" i="10" s="1"/>
  <c r="BE17" i="9"/>
  <c r="BE10" i="10"/>
  <c r="BE10" i="14"/>
  <c r="BC58" i="8"/>
  <c r="BG70" i="14"/>
  <c r="BG70" i="10"/>
  <c r="BI52" i="8"/>
  <c r="BI22" i="8"/>
  <c r="BI34" i="8" s="1"/>
  <c r="BE70" i="14"/>
  <c r="BE70" i="10"/>
  <c r="BK66" i="10"/>
  <c r="BK66" i="14"/>
  <c r="BE9" i="10"/>
  <c r="BE9" i="14"/>
  <c r="BH83" i="9"/>
  <c r="BG96" i="9"/>
  <c r="BG98" i="9" s="1"/>
  <c r="AZ72" i="10"/>
  <c r="AZ72" i="14"/>
  <c r="BB9" i="10"/>
  <c r="BB9" i="14"/>
  <c r="BP9" i="1"/>
  <c r="BE69" i="10"/>
  <c r="BE69" i="14"/>
  <c r="BG27" i="9"/>
  <c r="BG33" i="9" s="1"/>
  <c r="BK26" i="8"/>
  <c r="BK47" i="8"/>
  <c r="BF51" i="8"/>
  <c r="BF21" i="8"/>
  <c r="BK96" i="8"/>
  <c r="BF27" i="9"/>
  <c r="BH52" i="8"/>
  <c r="BH22" i="8"/>
  <c r="BH34" i="8" s="1"/>
  <c r="BC10" i="10"/>
  <c r="BC10" i="14"/>
  <c r="BI22" i="9"/>
  <c r="BI52" i="9"/>
  <c r="BH72" i="10"/>
  <c r="BH72" i="14"/>
  <c r="BA91" i="10"/>
  <c r="BA91" i="14"/>
  <c r="BA93" i="1"/>
  <c r="BB50" i="9"/>
  <c r="BB20" i="9"/>
  <c r="BB41" i="9"/>
  <c r="BK17" i="8"/>
  <c r="AZ47" i="1"/>
  <c r="AZ44" i="14"/>
  <c r="AZ44" i="10"/>
  <c r="BP44" i="10" s="1"/>
  <c r="AZ26" i="1"/>
  <c r="BG58" i="9"/>
  <c r="BG21" i="9"/>
  <c r="BG51" i="9"/>
  <c r="BG89" i="8"/>
  <c r="BD96" i="9"/>
  <c r="AZ47" i="9"/>
  <c r="AZ26" i="9"/>
  <c r="BK75" i="14"/>
  <c r="BK75" i="10"/>
  <c r="BB38" i="10"/>
  <c r="BB50" i="1"/>
  <c r="BB38" i="14"/>
  <c r="BB41" i="1"/>
  <c r="BB20" i="1"/>
  <c r="BB32" i="1" s="1"/>
  <c r="BB51" i="8"/>
  <c r="BB21" i="8"/>
  <c r="BB33" i="8" s="1"/>
  <c r="BK71" i="10"/>
  <c r="BK71" i="14"/>
  <c r="BA83" i="9"/>
  <c r="BE51" i="8"/>
  <c r="BE21" i="8"/>
  <c r="BE33" i="8" s="1"/>
  <c r="BK64" i="10"/>
  <c r="BK64" i="14"/>
  <c r="BE45" i="10"/>
  <c r="BE27" i="10" s="1"/>
  <c r="BE27" i="1"/>
  <c r="BE45" i="14"/>
  <c r="BE27" i="14" s="1"/>
  <c r="BG39" i="10"/>
  <c r="BG51" i="1"/>
  <c r="BG39" i="14"/>
  <c r="BG21" i="1"/>
  <c r="BF82" i="10"/>
  <c r="BF82" i="14"/>
  <c r="AZ83" i="9"/>
  <c r="BK87" i="10"/>
  <c r="BK87" i="14"/>
  <c r="BP8" i="8"/>
  <c r="BB11" i="8"/>
  <c r="BG28" i="9"/>
  <c r="BH77" i="14"/>
  <c r="BH77" i="10"/>
  <c r="BD78" i="10"/>
  <c r="BD78" i="14"/>
  <c r="BK28" i="1"/>
  <c r="BK46" i="10"/>
  <c r="BK28" i="10" s="1"/>
  <c r="BK46" i="14"/>
  <c r="BC87" i="14"/>
  <c r="BC87" i="10"/>
  <c r="BC89" i="10" s="1"/>
  <c r="BI92" i="14"/>
  <c r="BI92" i="10"/>
  <c r="BF11" i="9"/>
  <c r="BG102" i="9" s="1"/>
  <c r="BE89" i="9"/>
  <c r="BH80" i="14"/>
  <c r="BH80" i="10"/>
  <c r="BK86" i="10"/>
  <c r="BK89" i="1"/>
  <c r="BK86" i="14"/>
  <c r="BF96" i="9"/>
  <c r="BH21" i="9"/>
  <c r="BH33" i="9" s="1"/>
  <c r="BH51" i="9"/>
  <c r="BE66" i="10"/>
  <c r="BE66" i="14"/>
  <c r="BK10" i="14"/>
  <c r="BK10" i="10"/>
  <c r="BK11" i="10" s="1"/>
  <c r="BJ27" i="9"/>
  <c r="BB95" i="14"/>
  <c r="BB96" i="14" s="1"/>
  <c r="BB95" i="10"/>
  <c r="BB96" i="1"/>
  <c r="BJ65" i="14"/>
  <c r="BJ65" i="10"/>
  <c r="BK27" i="9"/>
  <c r="AZ40" i="14"/>
  <c r="AZ40" i="10"/>
  <c r="AZ52" i="1"/>
  <c r="AZ22" i="1"/>
  <c r="BE96" i="8"/>
  <c r="BJ89" i="9"/>
  <c r="BA96" i="9"/>
  <c r="BD93" i="9"/>
  <c r="BD88" i="10"/>
  <c r="BD88" i="14"/>
  <c r="BC89" i="8"/>
  <c r="BD20" i="8"/>
  <c r="BD32" i="8" s="1"/>
  <c r="BD50" i="8"/>
  <c r="BD41" i="8"/>
  <c r="BE50" i="1"/>
  <c r="BE38" i="10"/>
  <c r="BE38" i="14"/>
  <c r="BE41" i="1"/>
  <c r="BE20" i="1"/>
  <c r="BE32" i="1" s="1"/>
  <c r="BF27" i="8"/>
  <c r="BD14" i="14"/>
  <c r="BD14" i="10"/>
  <c r="BD17" i="10" s="1"/>
  <c r="BD17" i="1"/>
  <c r="BF79" i="14"/>
  <c r="BF79" i="10"/>
  <c r="BH78" i="14"/>
  <c r="BH78" i="10"/>
  <c r="BJ93" i="9"/>
  <c r="BD80" i="14"/>
  <c r="BD80" i="10"/>
  <c r="BE89" i="8"/>
  <c r="BC96" i="9"/>
  <c r="BC66" i="10"/>
  <c r="BC66" i="14"/>
  <c r="BG17" i="8"/>
  <c r="BG57" i="10"/>
  <c r="BG57" i="14"/>
  <c r="BA83" i="1"/>
  <c r="BA63" i="10"/>
  <c r="BA63" i="14"/>
  <c r="BC50" i="1"/>
  <c r="BC20" i="1"/>
  <c r="BC41" i="1"/>
  <c r="BC38" i="10"/>
  <c r="BC38" i="14"/>
  <c r="BK69" i="14"/>
  <c r="BK69" i="10"/>
  <c r="BI67" i="10"/>
  <c r="BI67" i="14"/>
  <c r="BC50" i="9"/>
  <c r="BC20" i="9"/>
  <c r="BC41" i="9"/>
  <c r="BK65" i="10"/>
  <c r="BK65" i="14"/>
  <c r="BA10" i="14"/>
  <c r="BA10" i="10"/>
  <c r="BA96" i="1"/>
  <c r="BA95" i="10"/>
  <c r="BA96" i="10" s="1"/>
  <c r="BA95" i="14"/>
  <c r="BA96" i="14" s="1"/>
  <c r="BH50" i="9"/>
  <c r="BH20" i="9"/>
  <c r="BH32" i="9" s="1"/>
  <c r="BH41" i="9"/>
  <c r="BC93" i="8"/>
  <c r="BC93" i="1"/>
  <c r="BC91" i="10"/>
  <c r="BC93" i="10" s="1"/>
  <c r="BC91" i="14"/>
  <c r="BC93" i="14" s="1"/>
  <c r="BP9" i="9"/>
  <c r="BB22" i="1"/>
  <c r="BB34" i="1" s="1"/>
  <c r="BB40" i="10"/>
  <c r="BB52" i="1"/>
  <c r="BB40" i="14"/>
  <c r="BI88" i="10"/>
  <c r="BI88" i="14"/>
  <c r="BG93" i="8"/>
  <c r="BE83" i="9"/>
  <c r="BE98" i="9" s="1"/>
  <c r="BJ79" i="14"/>
  <c r="BJ79" i="10"/>
  <c r="BJ80" i="10"/>
  <c r="BJ80" i="14"/>
  <c r="BE74" i="10"/>
  <c r="BE74" i="14"/>
  <c r="BF40" i="14"/>
  <c r="BF52" i="1"/>
  <c r="BF40" i="10"/>
  <c r="BF22" i="1"/>
  <c r="BG83" i="8"/>
  <c r="BD58" i="1"/>
  <c r="BD56" i="10"/>
  <c r="BD58" i="10" s="1"/>
  <c r="BD56" i="14"/>
  <c r="BD58" i="14" s="1"/>
  <c r="BJ75" i="14"/>
  <c r="BJ75" i="10"/>
  <c r="BB70" i="10"/>
  <c r="BB70" i="14"/>
  <c r="BK93" i="9"/>
  <c r="AZ74" i="10"/>
  <c r="AZ74" i="14"/>
  <c r="BP74" i="14" s="1"/>
  <c r="BB10" i="14"/>
  <c r="BP10" i="14" s="1"/>
  <c r="BB10" i="10"/>
  <c r="BP10" i="1"/>
  <c r="BH65" i="14"/>
  <c r="BH65" i="10"/>
  <c r="BJ28" i="1"/>
  <c r="BJ46" i="14"/>
  <c r="BJ46" i="10"/>
  <c r="BJ28" i="10" s="1"/>
  <c r="BC17" i="9"/>
  <c r="BC29" i="9" s="1"/>
  <c r="BG64" i="10"/>
  <c r="BG64" i="14"/>
  <c r="BA83" i="8"/>
  <c r="BA76" i="10"/>
  <c r="BA76" i="14"/>
  <c r="BH41" i="8"/>
  <c r="BH50" i="8"/>
  <c r="BH20" i="8"/>
  <c r="BH32" i="8" s="1"/>
  <c r="BK52" i="8"/>
  <c r="BK22" i="8"/>
  <c r="BK34" i="8" s="1"/>
  <c r="BD47" i="9"/>
  <c r="BD26" i="9"/>
  <c r="BC83" i="8"/>
  <c r="BI96" i="8"/>
  <c r="BB80" i="14"/>
  <c r="BB80" i="10"/>
  <c r="BP80" i="10" s="1"/>
  <c r="BJ39" i="10"/>
  <c r="BJ39" i="14"/>
  <c r="BJ21" i="1"/>
  <c r="BJ33" i="1" s="1"/>
  <c r="BJ51" i="1"/>
  <c r="BE14" i="14"/>
  <c r="BE17" i="14" s="1"/>
  <c r="BE17" i="1"/>
  <c r="BE14" i="10"/>
  <c r="BE17" i="10" s="1"/>
  <c r="BF81" i="14"/>
  <c r="BF81" i="10"/>
  <c r="BI78" i="10"/>
  <c r="BI78" i="14"/>
  <c r="BA20" i="9"/>
  <c r="BA41" i="9"/>
  <c r="BA50" i="9"/>
  <c r="BF14" i="10"/>
  <c r="BF17" i="1"/>
  <c r="BF14" i="14"/>
  <c r="BF17" i="14" s="1"/>
  <c r="AZ81" i="10"/>
  <c r="AZ81" i="14"/>
  <c r="BE79" i="14"/>
  <c r="BE79" i="10"/>
  <c r="BD81" i="10"/>
  <c r="BD81" i="14"/>
  <c r="BB67" i="14"/>
  <c r="BB67" i="10"/>
  <c r="BE28" i="8"/>
  <c r="BF58" i="9"/>
  <c r="BI58" i="8"/>
  <c r="BF20" i="8"/>
  <c r="BF32" i="8" s="1"/>
  <c r="BF41" i="8"/>
  <c r="BF50" i="8"/>
  <c r="BG66" i="10"/>
  <c r="BG66" i="14"/>
  <c r="BE82" i="10"/>
  <c r="BE82" i="14"/>
  <c r="BI89" i="9"/>
  <c r="BD82" i="14"/>
  <c r="BD82" i="10"/>
  <c r="BB17" i="1"/>
  <c r="BB14" i="14"/>
  <c r="BB17" i="14" s="1"/>
  <c r="BB14" i="10"/>
  <c r="BB20" i="8"/>
  <c r="BB41" i="8"/>
  <c r="BB50" i="8"/>
  <c r="BG73" i="14"/>
  <c r="BG73" i="10"/>
  <c r="BB27" i="9"/>
  <c r="BC74" i="14"/>
  <c r="BC74" i="10"/>
  <c r="BA78" i="14"/>
  <c r="BA78" i="10"/>
  <c r="BH93" i="9"/>
  <c r="BE27" i="9"/>
  <c r="BK76" i="10"/>
  <c r="BK76" i="14"/>
  <c r="BK22" i="1"/>
  <c r="BK34" i="1" s="1"/>
  <c r="BK52" i="1"/>
  <c r="BK40" i="10"/>
  <c r="BK40" i="14"/>
  <c r="BC22" i="9"/>
  <c r="BC52" i="9"/>
  <c r="BA14" i="14"/>
  <c r="BA17" i="1"/>
  <c r="BA14" i="10"/>
  <c r="BC71" i="14"/>
  <c r="BC71" i="10"/>
  <c r="BD64" i="14"/>
  <c r="BD64" i="10"/>
  <c r="BJ16" i="14"/>
  <c r="BJ16" i="10"/>
  <c r="BA22" i="1"/>
  <c r="BA34" i="1" s="1"/>
  <c r="BA52" i="1"/>
  <c r="BA40" i="14"/>
  <c r="BA40" i="10"/>
  <c r="BP10" i="8"/>
  <c r="BG58" i="8"/>
  <c r="BD76" i="10"/>
  <c r="BD76" i="14"/>
  <c r="BJ69" i="10"/>
  <c r="BJ69" i="14"/>
  <c r="BD83" i="9"/>
  <c r="BH17" i="8"/>
  <c r="BC73" i="14"/>
  <c r="BC73" i="10"/>
  <c r="BA93" i="8"/>
  <c r="BD39" i="10"/>
  <c r="BD51" i="1"/>
  <c r="BD21" i="1"/>
  <c r="BD33" i="1" s="1"/>
  <c r="BD39" i="14"/>
  <c r="BF89" i="8"/>
  <c r="BB58" i="9"/>
  <c r="BB56" i="10"/>
  <c r="BB56" i="14"/>
  <c r="BB58" i="1"/>
  <c r="BK28" i="9"/>
  <c r="BH92" i="14"/>
  <c r="BH92" i="10"/>
  <c r="BA82" i="10"/>
  <c r="BA82" i="14"/>
  <c r="BG93" i="9"/>
  <c r="BC63" i="14"/>
  <c r="BC83" i="1"/>
  <c r="BC63" i="10"/>
  <c r="BH27" i="1"/>
  <c r="BH45" i="14"/>
  <c r="BH27" i="14" s="1"/>
  <c r="BH45" i="10"/>
  <c r="BC72" i="14"/>
  <c r="BC72" i="10"/>
  <c r="BF93" i="1"/>
  <c r="BF91" i="10"/>
  <c r="BF91" i="14"/>
  <c r="BF93" i="14" s="1"/>
  <c r="BC76" i="14"/>
  <c r="BC76" i="10"/>
  <c r="BH75" i="10"/>
  <c r="BH75" i="14"/>
  <c r="BB57" i="10"/>
  <c r="BB57" i="14"/>
  <c r="AZ51" i="1"/>
  <c r="AZ39" i="10"/>
  <c r="AZ39" i="14"/>
  <c r="AZ21" i="1"/>
  <c r="AZ33" i="1" s="1"/>
  <c r="BE72" i="10"/>
  <c r="BE72" i="14"/>
  <c r="BF22" i="8"/>
  <c r="BF52" i="8"/>
  <c r="BJ93" i="1"/>
  <c r="BJ91" i="10"/>
  <c r="BJ91" i="14"/>
  <c r="BG17" i="9"/>
  <c r="BI83" i="9"/>
  <c r="AZ17" i="9"/>
  <c r="BI58" i="1"/>
  <c r="BI56" i="14"/>
  <c r="BI58" i="14" s="1"/>
  <c r="BI56" i="10"/>
  <c r="BI58" i="10" s="1"/>
  <c r="BK96" i="1"/>
  <c r="BK95" i="10"/>
  <c r="BK96" i="10" s="1"/>
  <c r="BK95" i="14"/>
  <c r="BK96" i="14" s="1"/>
  <c r="BB83" i="8"/>
  <c r="BJ83" i="8"/>
  <c r="BJ98" i="8" s="1"/>
  <c r="BG74" i="10"/>
  <c r="BG74" i="14"/>
  <c r="BD50" i="9"/>
  <c r="BD20" i="9"/>
  <c r="BD32" i="9" s="1"/>
  <c r="BD41" i="9"/>
  <c r="BG26" i="1"/>
  <c r="BG44" i="10"/>
  <c r="BG44" i="14"/>
  <c r="BG47" i="1"/>
  <c r="BG29" i="1" s="1"/>
  <c r="BB17" i="9"/>
  <c r="BC40" i="10"/>
  <c r="BC22" i="1"/>
  <c r="BC40" i="14"/>
  <c r="BC52" i="1"/>
  <c r="BJ47" i="9"/>
  <c r="BJ26" i="9"/>
  <c r="BC89" i="9"/>
  <c r="BA11" i="1"/>
  <c r="BA8" i="10"/>
  <c r="BA8" i="14"/>
  <c r="BA11" i="14" s="1"/>
  <c r="BF95" i="14"/>
  <c r="BF96" i="14" s="1"/>
  <c r="BF96" i="1"/>
  <c r="BF95" i="10"/>
  <c r="BF96" i="10" s="1"/>
  <c r="BI96" i="9"/>
  <c r="BD22" i="9"/>
  <c r="BD34" i="9" s="1"/>
  <c r="BD52" i="9"/>
  <c r="BK50" i="8"/>
  <c r="BK41" i="8"/>
  <c r="BK20" i="8"/>
  <c r="BK32" i="8" s="1"/>
  <c r="BA79" i="14"/>
  <c r="BA79" i="10"/>
  <c r="BC44" i="10"/>
  <c r="BC47" i="1"/>
  <c r="BC44" i="14"/>
  <c r="BC26" i="1"/>
  <c r="BB11" i="1"/>
  <c r="BB8" i="14"/>
  <c r="BP8" i="1"/>
  <c r="BB8" i="10"/>
  <c r="BD72" i="10"/>
  <c r="BD72" i="14"/>
  <c r="BK81" i="14"/>
  <c r="BK81" i="10"/>
  <c r="BA15" i="14"/>
  <c r="BA15" i="10"/>
  <c r="BA75" i="14"/>
  <c r="BA75" i="10"/>
  <c r="AZ28" i="1"/>
  <c r="AZ46" i="14"/>
  <c r="AZ46" i="10"/>
  <c r="AZ28" i="10" s="1"/>
  <c r="AZ65" i="10"/>
  <c r="AZ65" i="14"/>
  <c r="BP65" i="14" s="1"/>
  <c r="AZ96" i="1"/>
  <c r="AZ95" i="10"/>
  <c r="AZ96" i="10" s="1"/>
  <c r="AZ95" i="14"/>
  <c r="BB68" i="14"/>
  <c r="BB68" i="10"/>
  <c r="BF65" i="14"/>
  <c r="BF65" i="10"/>
  <c r="BB93" i="8"/>
  <c r="AZ66" i="10"/>
  <c r="BP66" i="10" s="1"/>
  <c r="AZ66" i="14"/>
  <c r="BJ83" i="1"/>
  <c r="BJ63" i="10"/>
  <c r="BJ63" i="14"/>
  <c r="AZ83" i="1"/>
  <c r="AZ63" i="10"/>
  <c r="AZ63" i="14"/>
  <c r="BH81" i="14"/>
  <c r="BH81" i="10"/>
  <c r="BE78" i="10"/>
  <c r="BE78" i="14"/>
  <c r="BJ86" i="14"/>
  <c r="BJ89" i="14" s="1"/>
  <c r="BJ89" i="1"/>
  <c r="BJ86" i="10"/>
  <c r="BJ89" i="10" s="1"/>
  <c r="BC67" i="10"/>
  <c r="BC67" i="14"/>
  <c r="BE52" i="1"/>
  <c r="BE40" i="10"/>
  <c r="BE40" i="14"/>
  <c r="BE22" i="1"/>
  <c r="BE34" i="1" s="1"/>
  <c r="BE71" i="14"/>
  <c r="BE71" i="10"/>
  <c r="BG69" i="14"/>
  <c r="BG69" i="10"/>
  <c r="BJ81" i="14"/>
  <c r="BJ81" i="10"/>
  <c r="BD38" i="10"/>
  <c r="BD38" i="14"/>
  <c r="BD50" i="1"/>
  <c r="BD41" i="1"/>
  <c r="BD20" i="1"/>
  <c r="BD32" i="1" s="1"/>
  <c r="BK96" i="9"/>
  <c r="BK98" i="9" s="1"/>
  <c r="BI50" i="8"/>
  <c r="BI41" i="8"/>
  <c r="BI20" i="8"/>
  <c r="BI32" i="8" s="1"/>
  <c r="BE93" i="1"/>
  <c r="BE91" i="14"/>
  <c r="BE93" i="14" s="1"/>
  <c r="BE91" i="10"/>
  <c r="BE93" i="10" s="1"/>
  <c r="BC83" i="9"/>
  <c r="BD93" i="1"/>
  <c r="BD91" i="10"/>
  <c r="BD93" i="10" s="1"/>
  <c r="BD91" i="14"/>
  <c r="BD93" i="14" s="1"/>
  <c r="BE41" i="8"/>
  <c r="BE50" i="8"/>
  <c r="BE20" i="8"/>
  <c r="BE32" i="8" s="1"/>
  <c r="BH28" i="8"/>
  <c r="BK38" i="14"/>
  <c r="BK38" i="10"/>
  <c r="BK50" i="1"/>
  <c r="BK20" i="1"/>
  <c r="BK41" i="1"/>
  <c r="BG89" i="1"/>
  <c r="BG86" i="14"/>
  <c r="BG89" i="14" s="1"/>
  <c r="BG86" i="10"/>
  <c r="BA92" i="10"/>
  <c r="BA92" i="14"/>
  <c r="BA66" i="10"/>
  <c r="BA66" i="14"/>
  <c r="BF58" i="8"/>
  <c r="BB89" i="1"/>
  <c r="BB86" i="10"/>
  <c r="BB86" i="14"/>
  <c r="BI17" i="8"/>
  <c r="BI79" i="14"/>
  <c r="BI79" i="10"/>
  <c r="BJ51" i="8"/>
  <c r="BJ21" i="8"/>
  <c r="BJ33" i="8" s="1"/>
  <c r="BK68" i="10"/>
  <c r="BK68" i="14"/>
  <c r="BE17" i="8"/>
  <c r="BE80" i="10"/>
  <c r="BE80" i="14"/>
  <c r="BE83" i="14" s="1"/>
  <c r="BD93" i="8"/>
  <c r="AZ52" i="9"/>
  <c r="AZ22" i="9"/>
  <c r="AZ34" i="9" s="1"/>
  <c r="BK58" i="8"/>
  <c r="BF86" i="14"/>
  <c r="BF89" i="1"/>
  <c r="BF86" i="10"/>
  <c r="BA26" i="9"/>
  <c r="BA47" i="9"/>
  <c r="BA29" i="9" s="1"/>
  <c r="BK72" i="14"/>
  <c r="BK72" i="10"/>
  <c r="BE11" i="1"/>
  <c r="BF102" i="1" s="1"/>
  <c r="BE8" i="14"/>
  <c r="BE8" i="10"/>
  <c r="BB66" i="14"/>
  <c r="BP66" i="14" s="1"/>
  <c r="BB66" i="10"/>
  <c r="BB89" i="9"/>
  <c r="BB98" i="9" s="1"/>
  <c r="BP9" i="14"/>
  <c r="BJ34" i="8"/>
  <c r="BA28" i="14"/>
  <c r="BE11" i="10"/>
  <c r="BB93" i="14"/>
  <c r="BH89" i="10"/>
  <c r="BB29" i="8"/>
  <c r="BG32" i="8"/>
  <c r="BC98" i="9"/>
  <c r="BI11" i="10"/>
  <c r="BI102" i="10" s="1"/>
  <c r="BF93" i="10"/>
  <c r="BC33" i="8"/>
  <c r="BI102" i="1"/>
  <c r="BG34" i="1"/>
  <c r="AY75" i="10"/>
  <c r="AY75" i="14"/>
  <c r="AH96" i="8"/>
  <c r="U72" i="10"/>
  <c r="U72" i="14"/>
  <c r="S26" i="8"/>
  <c r="S47" i="8"/>
  <c r="K27" i="8"/>
  <c r="AN47" i="1"/>
  <c r="AN44" i="14"/>
  <c r="AN26" i="1"/>
  <c r="AN44" i="10"/>
  <c r="BO44" i="1"/>
  <c r="D83" i="8"/>
  <c r="AM11" i="8"/>
  <c r="AV66" i="14"/>
  <c r="AV66" i="10"/>
  <c r="AQ39" i="14"/>
  <c r="AQ51" i="1"/>
  <c r="AQ39" i="10"/>
  <c r="AQ21" i="1"/>
  <c r="AC15" i="10"/>
  <c r="AC15" i="14"/>
  <c r="AS16" i="14"/>
  <c r="AS16" i="10"/>
  <c r="Y71" i="10"/>
  <c r="Y71" i="14"/>
  <c r="AE56" i="10"/>
  <c r="AE56" i="14"/>
  <c r="AE58" i="1"/>
  <c r="AX80" i="14"/>
  <c r="AX80" i="10"/>
  <c r="AY76" i="14"/>
  <c r="AY76" i="10"/>
  <c r="F57" i="10"/>
  <c r="F57" i="14"/>
  <c r="X57" i="14"/>
  <c r="X57" i="10"/>
  <c r="AE68" i="14"/>
  <c r="AE68" i="10"/>
  <c r="AA66" i="14"/>
  <c r="AA66" i="10"/>
  <c r="K10" i="10"/>
  <c r="K11" i="10" s="1"/>
  <c r="K10" i="14"/>
  <c r="E75" i="14"/>
  <c r="E75" i="10"/>
  <c r="S57" i="14"/>
  <c r="S57" i="10"/>
  <c r="AK57" i="14"/>
  <c r="AK57" i="10"/>
  <c r="Q78" i="14"/>
  <c r="BS78" i="14" s="1"/>
  <c r="Q78" i="10"/>
  <c r="AY92" i="14"/>
  <c r="AY92" i="10"/>
  <c r="AP69" i="10"/>
  <c r="AP69" i="14"/>
  <c r="AG65" i="14"/>
  <c r="AG65" i="10"/>
  <c r="AQ11" i="1"/>
  <c r="AQ102" i="1" s="1"/>
  <c r="AQ8" i="10"/>
  <c r="AQ8" i="14"/>
  <c r="J80" i="14"/>
  <c r="J80" i="10"/>
  <c r="AG17" i="9"/>
  <c r="T72" i="10"/>
  <c r="T72" i="14"/>
  <c r="AI46" i="14"/>
  <c r="AI47" i="14" s="1"/>
  <c r="AI28" i="1"/>
  <c r="AI46" i="10"/>
  <c r="AD64" i="10"/>
  <c r="AD64" i="14"/>
  <c r="AF93" i="1"/>
  <c r="AF91" i="10"/>
  <c r="AF91" i="14"/>
  <c r="AL11" i="8"/>
  <c r="AM102" i="8" s="1"/>
  <c r="D45" i="14"/>
  <c r="D27" i="1"/>
  <c r="D45" i="10"/>
  <c r="F66" i="14"/>
  <c r="F66" i="10"/>
  <c r="AJ26" i="1"/>
  <c r="AJ44" i="10"/>
  <c r="AJ47" i="1"/>
  <c r="AJ44" i="14"/>
  <c r="AS8" i="14"/>
  <c r="AS8" i="10"/>
  <c r="AS11" i="1"/>
  <c r="AN92" i="14"/>
  <c r="AN92" i="10"/>
  <c r="BO92" i="1"/>
  <c r="AP66" i="14"/>
  <c r="AP66" i="10"/>
  <c r="AL15" i="14"/>
  <c r="AL15" i="10"/>
  <c r="D71" i="10"/>
  <c r="D71" i="14"/>
  <c r="W93" i="8"/>
  <c r="AT16" i="14"/>
  <c r="AT16" i="10"/>
  <c r="AX20" i="8"/>
  <c r="AX41" i="8"/>
  <c r="AX50" i="8"/>
  <c r="N10" i="10"/>
  <c r="N10" i="14"/>
  <c r="T10" i="14"/>
  <c r="T10" i="10"/>
  <c r="F81" i="10"/>
  <c r="BT81" i="10" s="1"/>
  <c r="F81" i="14"/>
  <c r="AC93" i="8"/>
  <c r="M58" i="8"/>
  <c r="AX52" i="8"/>
  <c r="AX22" i="8"/>
  <c r="X86" i="10"/>
  <c r="X89" i="1"/>
  <c r="X86" i="14"/>
  <c r="BO68" i="8"/>
  <c r="O20" i="8"/>
  <c r="O41" i="8"/>
  <c r="O50" i="8"/>
  <c r="T28" i="9"/>
  <c r="AU83" i="8"/>
  <c r="N69" i="14"/>
  <c r="N69" i="10"/>
  <c r="W80" i="14"/>
  <c r="W80" i="10"/>
  <c r="AJ58" i="8"/>
  <c r="AX75" i="14"/>
  <c r="AX75" i="10"/>
  <c r="AW16" i="14"/>
  <c r="AW16" i="10"/>
  <c r="AE21" i="8"/>
  <c r="AE33" i="8" s="1"/>
  <c r="AE51" i="8"/>
  <c r="AX71" i="14"/>
  <c r="AX71" i="10"/>
  <c r="V51" i="9"/>
  <c r="V21" i="9"/>
  <c r="AC96" i="9"/>
  <c r="D8" i="14"/>
  <c r="D11" i="1"/>
  <c r="D8" i="10"/>
  <c r="K63" i="14"/>
  <c r="K63" i="10"/>
  <c r="K83" i="1"/>
  <c r="T71" i="10"/>
  <c r="T71" i="14"/>
  <c r="AS96" i="9"/>
  <c r="O39" i="10"/>
  <c r="O21" i="10" s="1"/>
  <c r="O33" i="10" s="1"/>
  <c r="O21" i="1"/>
  <c r="O51" i="1"/>
  <c r="O39" i="14"/>
  <c r="I66" i="14"/>
  <c r="I66" i="10"/>
  <c r="G22" i="9"/>
  <c r="G52" i="9"/>
  <c r="M77" i="10"/>
  <c r="M77" i="14"/>
  <c r="AE95" i="14"/>
  <c r="AE96" i="14" s="1"/>
  <c r="AE95" i="10"/>
  <c r="AE96" i="10" s="1"/>
  <c r="AE96" i="1"/>
  <c r="AJ52" i="1"/>
  <c r="AJ22" i="1"/>
  <c r="AJ40" i="10"/>
  <c r="AJ40" i="14"/>
  <c r="AJ52" i="14" s="1"/>
  <c r="R66" i="14"/>
  <c r="R66" i="10"/>
  <c r="AB75" i="14"/>
  <c r="AB75" i="10"/>
  <c r="R81" i="14"/>
  <c r="R81" i="10"/>
  <c r="AJ28" i="8"/>
  <c r="R47" i="8"/>
  <c r="R53" i="8" s="1"/>
  <c r="R60" i="8" s="1"/>
  <c r="R26" i="8"/>
  <c r="AA20" i="8"/>
  <c r="AA41" i="8"/>
  <c r="AA50" i="8"/>
  <c r="G8" i="14"/>
  <c r="G8" i="10"/>
  <c r="G11" i="1"/>
  <c r="AT89" i="9"/>
  <c r="AJ93" i="9"/>
  <c r="T70" i="10"/>
  <c r="T70" i="14"/>
  <c r="J14" i="14"/>
  <c r="J17" i="1"/>
  <c r="J14" i="10"/>
  <c r="T11" i="1"/>
  <c r="T8" i="14"/>
  <c r="T11" i="14" s="1"/>
  <c r="U102" i="14" s="1"/>
  <c r="T8" i="10"/>
  <c r="AK73" i="10"/>
  <c r="AK73" i="14"/>
  <c r="AD51" i="9"/>
  <c r="AD21" i="9"/>
  <c r="I73" i="14"/>
  <c r="I73" i="10"/>
  <c r="AY38" i="14"/>
  <c r="AY20" i="1"/>
  <c r="AY41" i="1"/>
  <c r="AY38" i="10"/>
  <c r="AY50" i="1"/>
  <c r="T91" i="10"/>
  <c r="T93" i="1"/>
  <c r="T91" i="14"/>
  <c r="P27" i="8"/>
  <c r="P33" i="8" s="1"/>
  <c r="W14" i="14"/>
  <c r="W17" i="1"/>
  <c r="W14" i="10"/>
  <c r="AN11" i="8"/>
  <c r="S39" i="14"/>
  <c r="S51" i="1"/>
  <c r="S21" i="1"/>
  <c r="S39" i="10"/>
  <c r="S51" i="10" s="1"/>
  <c r="AY91" i="14"/>
  <c r="AY93" i="1"/>
  <c r="AY91" i="10"/>
  <c r="AY93" i="10" s="1"/>
  <c r="AE73" i="14"/>
  <c r="AE73" i="10"/>
  <c r="E63" i="10"/>
  <c r="E83" i="1"/>
  <c r="E63" i="14"/>
  <c r="I69" i="10"/>
  <c r="I69" i="14"/>
  <c r="M56" i="10"/>
  <c r="M58" i="1"/>
  <c r="M56" i="14"/>
  <c r="V38" i="10"/>
  <c r="V41" i="1"/>
  <c r="V50" i="1"/>
  <c r="V38" i="14"/>
  <c r="V20" i="1"/>
  <c r="M27" i="8"/>
  <c r="AE10" i="14"/>
  <c r="AE10" i="10"/>
  <c r="AL58" i="8"/>
  <c r="M73" i="10"/>
  <c r="M73" i="14"/>
  <c r="BO15" i="8"/>
  <c r="BW15" i="8"/>
  <c r="AD27" i="9"/>
  <c r="AR65" i="10"/>
  <c r="AR65" i="14"/>
  <c r="AY77" i="14"/>
  <c r="AY77" i="10"/>
  <c r="Q74" i="14"/>
  <c r="Q74" i="10"/>
  <c r="AJ73" i="14"/>
  <c r="AJ73" i="10"/>
  <c r="AA87" i="14"/>
  <c r="AA87" i="10"/>
  <c r="AP80" i="10"/>
  <c r="AP80" i="14"/>
  <c r="G40" i="10"/>
  <c r="G52" i="1"/>
  <c r="G40" i="14"/>
  <c r="G22" i="1"/>
  <c r="P80" i="14"/>
  <c r="P80" i="10"/>
  <c r="X58" i="9"/>
  <c r="J65" i="14"/>
  <c r="J65" i="10"/>
  <c r="AT81" i="10"/>
  <c r="AT81" i="14"/>
  <c r="L51" i="8"/>
  <c r="L21" i="8"/>
  <c r="Q39" i="10"/>
  <c r="Q51" i="1"/>
  <c r="Q39" i="14"/>
  <c r="Q21" i="1"/>
  <c r="Q33" i="1" s="1"/>
  <c r="AI50" i="8"/>
  <c r="AI41" i="8"/>
  <c r="AI20" i="8"/>
  <c r="AB65" i="14"/>
  <c r="AB65" i="10"/>
  <c r="H20" i="8"/>
  <c r="H50" i="8"/>
  <c r="H41" i="8"/>
  <c r="K77" i="10"/>
  <c r="K77" i="14"/>
  <c r="N92" i="14"/>
  <c r="N92" i="10"/>
  <c r="AG38" i="14"/>
  <c r="AG20" i="1"/>
  <c r="AG50" i="1"/>
  <c r="AG41" i="1"/>
  <c r="AG23" i="1" s="1"/>
  <c r="AG35" i="1" s="1"/>
  <c r="AG38" i="10"/>
  <c r="AE71" i="10"/>
  <c r="AE71" i="14"/>
  <c r="M45" i="14"/>
  <c r="M27" i="1"/>
  <c r="M45" i="10"/>
  <c r="AN15" i="14"/>
  <c r="AN15" i="10"/>
  <c r="AN21" i="10" s="1"/>
  <c r="BO15" i="1"/>
  <c r="BW15" i="1"/>
  <c r="AJ67" i="14"/>
  <c r="AJ67" i="10"/>
  <c r="AE66" i="14"/>
  <c r="AE66" i="10"/>
  <c r="O78" i="10"/>
  <c r="O78" i="14"/>
  <c r="AJ77" i="14"/>
  <c r="AJ77" i="10"/>
  <c r="G68" i="10"/>
  <c r="G68" i="14"/>
  <c r="X9" i="10"/>
  <c r="X9" i="14"/>
  <c r="Q92" i="14"/>
  <c r="Q92" i="10"/>
  <c r="D50" i="8"/>
  <c r="D41" i="8"/>
  <c r="D20" i="8"/>
  <c r="AO21" i="8"/>
  <c r="AO51" i="8"/>
  <c r="L83" i="8"/>
  <c r="AM56" i="14"/>
  <c r="AM56" i="10"/>
  <c r="AM58" i="10" s="1"/>
  <c r="AM58" i="1"/>
  <c r="V17" i="8"/>
  <c r="R57" i="14"/>
  <c r="R57" i="10"/>
  <c r="AH45" i="14"/>
  <c r="AH45" i="10"/>
  <c r="AH27" i="1"/>
  <c r="AH69" i="14"/>
  <c r="AH69" i="10"/>
  <c r="O14" i="14"/>
  <c r="O14" i="10"/>
  <c r="O17" i="1"/>
  <c r="AV57" i="14"/>
  <c r="AV57" i="10"/>
  <c r="T9" i="14"/>
  <c r="T9" i="10"/>
  <c r="AO91" i="14"/>
  <c r="AO93" i="1"/>
  <c r="AO91" i="10"/>
  <c r="X26" i="8"/>
  <c r="X47" i="8"/>
  <c r="T51" i="8"/>
  <c r="T21" i="8"/>
  <c r="AQ65" i="10"/>
  <c r="AQ65" i="14"/>
  <c r="AS51" i="8"/>
  <c r="AS21" i="8"/>
  <c r="AJ10" i="10"/>
  <c r="AJ10" i="14"/>
  <c r="AE96" i="9"/>
  <c r="AC17" i="1"/>
  <c r="AC14" i="14"/>
  <c r="AC14" i="10"/>
  <c r="R67" i="10"/>
  <c r="R67" i="14"/>
  <c r="AJ9" i="14"/>
  <c r="AJ9" i="10"/>
  <c r="AY8" i="14"/>
  <c r="AY11" i="1"/>
  <c r="AY8" i="10"/>
  <c r="AY11" i="10" s="1"/>
  <c r="AF10" i="10"/>
  <c r="AF10" i="14"/>
  <c r="V14" i="10"/>
  <c r="V14" i="14"/>
  <c r="V17" i="1"/>
  <c r="Y11" i="8"/>
  <c r="J93" i="8"/>
  <c r="AO74" i="10"/>
  <c r="BO74" i="10" s="1"/>
  <c r="AO74" i="14"/>
  <c r="AX91" i="14"/>
  <c r="AX93" i="1"/>
  <c r="AX91" i="10"/>
  <c r="AX52" i="9"/>
  <c r="AX22" i="9"/>
  <c r="AD70" i="10"/>
  <c r="AD70" i="14"/>
  <c r="AJ76" i="10"/>
  <c r="AJ76" i="14"/>
  <c r="AD69" i="14"/>
  <c r="AD69" i="10"/>
  <c r="AU63" i="14"/>
  <c r="AU63" i="10"/>
  <c r="AU83" i="1"/>
  <c r="N11" i="8"/>
  <c r="AU93" i="8"/>
  <c r="K11" i="8"/>
  <c r="O27" i="8"/>
  <c r="AO69" i="14"/>
  <c r="AO69" i="10"/>
  <c r="E17" i="8"/>
  <c r="AJ86" i="14"/>
  <c r="AJ89" i="1"/>
  <c r="AJ86" i="10"/>
  <c r="AD65" i="14"/>
  <c r="AD65" i="10"/>
  <c r="Q89" i="9"/>
  <c r="H75" i="14"/>
  <c r="H75" i="10"/>
  <c r="AR83" i="8"/>
  <c r="T63" i="14"/>
  <c r="T83" i="1"/>
  <c r="T63" i="10"/>
  <c r="AG69" i="14"/>
  <c r="AG69" i="10"/>
  <c r="AO65" i="10"/>
  <c r="AO65" i="14"/>
  <c r="Q38" i="14"/>
  <c r="Q38" i="10"/>
  <c r="Q20" i="1"/>
  <c r="Q50" i="1"/>
  <c r="Q41" i="1"/>
  <c r="AC81" i="14"/>
  <c r="AC81" i="10"/>
  <c r="V92" i="10"/>
  <c r="V92" i="14"/>
  <c r="D56" i="14"/>
  <c r="D56" i="10"/>
  <c r="D58" i="1"/>
  <c r="AH82" i="14"/>
  <c r="AH82" i="10"/>
  <c r="L68" i="10"/>
  <c r="L68" i="14"/>
  <c r="V78" i="14"/>
  <c r="V78" i="10"/>
  <c r="BO72" i="8"/>
  <c r="U64" i="10"/>
  <c r="U64" i="14"/>
  <c r="AO86" i="14"/>
  <c r="AO86" i="10"/>
  <c r="AO89" i="1"/>
  <c r="U11" i="8"/>
  <c r="AS10" i="10"/>
  <c r="AS10" i="14"/>
  <c r="AF66" i="14"/>
  <c r="AF66" i="10"/>
  <c r="P65" i="10"/>
  <c r="P65" i="14"/>
  <c r="AF76" i="14"/>
  <c r="AF76" i="10"/>
  <c r="AK58" i="9"/>
  <c r="W72" i="14"/>
  <c r="W72" i="10"/>
  <c r="AP86" i="10"/>
  <c r="AP86" i="14"/>
  <c r="AP89" i="1"/>
  <c r="F68" i="14"/>
  <c r="F68" i="10"/>
  <c r="AR88" i="14"/>
  <c r="AR88" i="10"/>
  <c r="W58" i="9"/>
  <c r="V8" i="14"/>
  <c r="V11" i="1"/>
  <c r="V8" i="10"/>
  <c r="K56" i="14"/>
  <c r="K56" i="10"/>
  <c r="K58" i="1"/>
  <c r="BO76" i="8"/>
  <c r="V88" i="10"/>
  <c r="V88" i="14"/>
  <c r="W91" i="14"/>
  <c r="W91" i="10"/>
  <c r="W93" i="1"/>
  <c r="L47" i="8"/>
  <c r="L26" i="8"/>
  <c r="AT10" i="10"/>
  <c r="AT10" i="14"/>
  <c r="AR22" i="8"/>
  <c r="AR52" i="8"/>
  <c r="T28" i="1"/>
  <c r="T46" i="10"/>
  <c r="T46" i="14"/>
  <c r="J71" i="14"/>
  <c r="J83" i="14" s="1"/>
  <c r="J71" i="10"/>
  <c r="AA58" i="8"/>
  <c r="AE76" i="14"/>
  <c r="AE76" i="10"/>
  <c r="AA41" i="9"/>
  <c r="AA20" i="9"/>
  <c r="AA50" i="9"/>
  <c r="Y27" i="9"/>
  <c r="Y33" i="9" s="1"/>
  <c r="AV77" i="10"/>
  <c r="AV77" i="14"/>
  <c r="K69" i="14"/>
  <c r="K69" i="10"/>
  <c r="P22" i="8"/>
  <c r="P52" i="8"/>
  <c r="M95" i="10"/>
  <c r="M96" i="10" s="1"/>
  <c r="M95" i="14"/>
  <c r="M96" i="14" s="1"/>
  <c r="M96" i="1"/>
  <c r="AQ47" i="8"/>
  <c r="AQ26" i="8"/>
  <c r="AA77" i="14"/>
  <c r="AA77" i="10"/>
  <c r="F17" i="8"/>
  <c r="AW9" i="14"/>
  <c r="AW9" i="10"/>
  <c r="M17" i="8"/>
  <c r="AW76" i="10"/>
  <c r="AW76" i="14"/>
  <c r="AD77" i="14"/>
  <c r="AD77" i="10"/>
  <c r="I27" i="8"/>
  <c r="J63" i="14"/>
  <c r="J63" i="10"/>
  <c r="J83" i="1"/>
  <c r="O73" i="10"/>
  <c r="O73" i="14"/>
  <c r="AN65" i="10"/>
  <c r="AN65" i="14"/>
  <c r="BO65" i="1"/>
  <c r="AN86" i="10"/>
  <c r="AN86" i="14"/>
  <c r="AN89" i="1"/>
  <c r="BO86" i="1"/>
  <c r="H58" i="8"/>
  <c r="H17" i="8"/>
  <c r="U28" i="8"/>
  <c r="R91" i="10"/>
  <c r="R93" i="1"/>
  <c r="R91" i="14"/>
  <c r="AU75" i="14"/>
  <c r="AU75" i="10"/>
  <c r="J73" i="14"/>
  <c r="J73" i="10"/>
  <c r="AV95" i="10"/>
  <c r="AV96" i="10" s="1"/>
  <c r="AV95" i="14"/>
  <c r="AV96" i="14" s="1"/>
  <c r="AV96" i="1"/>
  <c r="AG91" i="14"/>
  <c r="AG91" i="10"/>
  <c r="AG93" i="1"/>
  <c r="P57" i="14"/>
  <c r="P57" i="10"/>
  <c r="Q73" i="14"/>
  <c r="Q73" i="10"/>
  <c r="I91" i="14"/>
  <c r="I93" i="1"/>
  <c r="I91" i="10"/>
  <c r="AU11" i="8"/>
  <c r="AS39" i="10"/>
  <c r="AS51" i="1"/>
  <c r="AS39" i="14"/>
  <c r="AS21" i="1"/>
  <c r="AC76" i="14"/>
  <c r="AC76" i="10"/>
  <c r="BR76" i="10" s="1"/>
  <c r="Z69" i="10"/>
  <c r="Z69" i="14"/>
  <c r="Q91" i="10"/>
  <c r="Q91" i="14"/>
  <c r="Q93" i="1"/>
  <c r="X87" i="10"/>
  <c r="X87" i="14"/>
  <c r="O96" i="1"/>
  <c r="O95" i="14"/>
  <c r="O96" i="14" s="1"/>
  <c r="O95" i="10"/>
  <c r="O96" i="10" s="1"/>
  <c r="AC47" i="8"/>
  <c r="AC26" i="8"/>
  <c r="AJ27" i="9"/>
  <c r="I11" i="8"/>
  <c r="R17" i="9"/>
  <c r="AS75" i="14"/>
  <c r="AS75" i="10"/>
  <c r="I72" i="14"/>
  <c r="I72" i="10"/>
  <c r="AK40" i="14"/>
  <c r="AK22" i="1"/>
  <c r="AK40" i="10"/>
  <c r="AK52" i="1"/>
  <c r="AD28" i="8"/>
  <c r="AG75" i="14"/>
  <c r="AG75" i="10"/>
  <c r="Q79" i="14"/>
  <c r="Q79" i="10"/>
  <c r="AT28" i="9"/>
  <c r="Z79" i="14"/>
  <c r="Z79" i="10"/>
  <c r="AA27" i="9"/>
  <c r="AA33" i="9" s="1"/>
  <c r="AR68" i="10"/>
  <c r="AR68" i="14"/>
  <c r="AQ79" i="10"/>
  <c r="AQ79" i="14"/>
  <c r="AT52" i="9"/>
  <c r="AT22" i="9"/>
  <c r="AQ74" i="14"/>
  <c r="AQ74" i="10"/>
  <c r="Q80" i="14"/>
  <c r="Q80" i="10"/>
  <c r="AJ75" i="14"/>
  <c r="AJ75" i="10"/>
  <c r="AG44" i="14"/>
  <c r="AG44" i="10"/>
  <c r="AG47" i="1"/>
  <c r="AG26" i="1"/>
  <c r="AG32" i="1" s="1"/>
  <c r="P77" i="10"/>
  <c r="P77" i="14"/>
  <c r="W8" i="14"/>
  <c r="W11" i="1"/>
  <c r="W102" i="1" s="1"/>
  <c r="W8" i="10"/>
  <c r="Q57" i="14"/>
  <c r="Q57" i="10"/>
  <c r="U73" i="14"/>
  <c r="U73" i="10"/>
  <c r="AF17" i="8"/>
  <c r="AB11" i="8"/>
  <c r="T38" i="14"/>
  <c r="T20" i="1"/>
  <c r="T38" i="10"/>
  <c r="T50" i="1"/>
  <c r="T41" i="1"/>
  <c r="AV92" i="14"/>
  <c r="AV92" i="10"/>
  <c r="Z82" i="14"/>
  <c r="Z82" i="10"/>
  <c r="W75" i="14"/>
  <c r="W75" i="10"/>
  <c r="AE78" i="14"/>
  <c r="AE78" i="10"/>
  <c r="AV74" i="10"/>
  <c r="AV74" i="14"/>
  <c r="G89" i="8"/>
  <c r="AB68" i="14"/>
  <c r="AB68" i="10"/>
  <c r="M68" i="10"/>
  <c r="M68" i="14"/>
  <c r="AI88" i="10"/>
  <c r="AI88" i="14"/>
  <c r="AX65" i="14"/>
  <c r="AX65" i="10"/>
  <c r="AK26" i="8"/>
  <c r="AK47" i="8"/>
  <c r="K21" i="8"/>
  <c r="K51" i="8"/>
  <c r="J44" i="14"/>
  <c r="J26" i="1"/>
  <c r="J47" i="1"/>
  <c r="J44" i="10"/>
  <c r="Y80" i="14"/>
  <c r="Y80" i="10"/>
  <c r="AL93" i="9"/>
  <c r="AG83" i="1"/>
  <c r="AG63" i="14"/>
  <c r="AG63" i="10"/>
  <c r="S27" i="9"/>
  <c r="AR93" i="9"/>
  <c r="Z58" i="1"/>
  <c r="Z56" i="14"/>
  <c r="Z56" i="10"/>
  <c r="AM95" i="10"/>
  <c r="AM96" i="10" s="1"/>
  <c r="AM95" i="14"/>
  <c r="AM96" i="14" s="1"/>
  <c r="AM96" i="1"/>
  <c r="AE93" i="9"/>
  <c r="AM57" i="14"/>
  <c r="AM58" i="14" s="1"/>
  <c r="AM57" i="10"/>
  <c r="O80" i="14"/>
  <c r="O80" i="10"/>
  <c r="AT95" i="14"/>
  <c r="AT96" i="14" s="1"/>
  <c r="AT96" i="1"/>
  <c r="AT95" i="10"/>
  <c r="AT96" i="10" s="1"/>
  <c r="AD83" i="8"/>
  <c r="AK51" i="8"/>
  <c r="AK21" i="8"/>
  <c r="L88" i="14"/>
  <c r="L88" i="10"/>
  <c r="AR11" i="8"/>
  <c r="Z92" i="10"/>
  <c r="Z92" i="14"/>
  <c r="AL73" i="14"/>
  <c r="AL73" i="10"/>
  <c r="AT68" i="10"/>
  <c r="AT68" i="14"/>
  <c r="K52" i="8"/>
  <c r="K22" i="8"/>
  <c r="E28" i="8"/>
  <c r="AI28" i="8"/>
  <c r="AQ15" i="14"/>
  <c r="AQ15" i="10"/>
  <c r="P73" i="10"/>
  <c r="P73" i="14"/>
  <c r="AT40" i="14"/>
  <c r="AT22" i="1"/>
  <c r="AT40" i="10"/>
  <c r="AT22" i="10" s="1"/>
  <c r="AT34" i="10" s="1"/>
  <c r="AT52" i="1"/>
  <c r="AN57" i="14"/>
  <c r="AN57" i="10"/>
  <c r="BO57" i="1"/>
  <c r="AG16" i="14"/>
  <c r="AG16" i="10"/>
  <c r="N44" i="14"/>
  <c r="N26" i="1"/>
  <c r="N32" i="1" s="1"/>
  <c r="N44" i="10"/>
  <c r="N47" i="1"/>
  <c r="AH57" i="10"/>
  <c r="AH57" i="14"/>
  <c r="AG72" i="10"/>
  <c r="AG72" i="14"/>
  <c r="AC87" i="14"/>
  <c r="AC87" i="10"/>
  <c r="BR87" i="10" s="1"/>
  <c r="H69" i="14"/>
  <c r="H69" i="10"/>
  <c r="AJ79" i="14"/>
  <c r="AJ79" i="10"/>
  <c r="AB74" i="10"/>
  <c r="AB74" i="14"/>
  <c r="AI10" i="14"/>
  <c r="AI10" i="10"/>
  <c r="AB95" i="14"/>
  <c r="AB96" i="1"/>
  <c r="AB95" i="10"/>
  <c r="AB96" i="10" s="1"/>
  <c r="X74" i="14"/>
  <c r="X74" i="10"/>
  <c r="V68" i="14"/>
  <c r="V68" i="10"/>
  <c r="Z11" i="9"/>
  <c r="Z102" i="9" s="1"/>
  <c r="AG10" i="10"/>
  <c r="AG10" i="14"/>
  <c r="L70" i="14"/>
  <c r="L70" i="10"/>
  <c r="E79" i="14"/>
  <c r="E79" i="10"/>
  <c r="X64" i="14"/>
  <c r="X64" i="10"/>
  <c r="N73" i="10"/>
  <c r="N73" i="14"/>
  <c r="AP21" i="1"/>
  <c r="AP51" i="1"/>
  <c r="AP39" i="14"/>
  <c r="AP39" i="10"/>
  <c r="W45" i="10"/>
  <c r="W45" i="14"/>
  <c r="W27" i="1"/>
  <c r="U41" i="8"/>
  <c r="U50" i="8"/>
  <c r="U20" i="8"/>
  <c r="AW17" i="1"/>
  <c r="AW14" i="10"/>
  <c r="AW14" i="14"/>
  <c r="U88" i="14"/>
  <c r="U89" i="14" s="1"/>
  <c r="U88" i="10"/>
  <c r="AB10" i="10"/>
  <c r="AB10" i="14"/>
  <c r="AQ17" i="9"/>
  <c r="AG80" i="14"/>
  <c r="AG80" i="10"/>
  <c r="S21" i="9"/>
  <c r="S51" i="9"/>
  <c r="AA57" i="10"/>
  <c r="AA57" i="14"/>
  <c r="AA22" i="1"/>
  <c r="AA40" i="10"/>
  <c r="AA52" i="1"/>
  <c r="AA40" i="14"/>
  <c r="O11" i="8"/>
  <c r="Y76" i="14"/>
  <c r="Y76" i="10"/>
  <c r="U87" i="14"/>
  <c r="U87" i="10"/>
  <c r="E91" i="14"/>
  <c r="E91" i="10"/>
  <c r="E93" i="1"/>
  <c r="AA67" i="14"/>
  <c r="AA67" i="10"/>
  <c r="AS69" i="10"/>
  <c r="AS69" i="14"/>
  <c r="AW28" i="8"/>
  <c r="AC51" i="8"/>
  <c r="AC21" i="8"/>
  <c r="AF64" i="14"/>
  <c r="AF64" i="10"/>
  <c r="M66" i="10"/>
  <c r="M66" i="14"/>
  <c r="AL21" i="9"/>
  <c r="AL51" i="9"/>
  <c r="H81" i="14"/>
  <c r="H81" i="10"/>
  <c r="L22" i="8"/>
  <c r="L52" i="8"/>
  <c r="L17" i="9"/>
  <c r="H14" i="14"/>
  <c r="H17" i="1"/>
  <c r="H14" i="10"/>
  <c r="AH81" i="14"/>
  <c r="AH81" i="10"/>
  <c r="M63" i="14"/>
  <c r="M63" i="10"/>
  <c r="M83" i="1"/>
  <c r="AP8" i="14"/>
  <c r="BO8" i="14" s="1"/>
  <c r="BO8" i="1"/>
  <c r="AP11" i="1"/>
  <c r="AP8" i="10"/>
  <c r="AW21" i="9"/>
  <c r="AW51" i="9"/>
  <c r="S22" i="1"/>
  <c r="S52" i="1"/>
  <c r="S40" i="14"/>
  <c r="S40" i="10"/>
  <c r="AK72" i="14"/>
  <c r="AK72" i="10"/>
  <c r="M11" i="8"/>
  <c r="AY46" i="10"/>
  <c r="AY46" i="14"/>
  <c r="AY28" i="1"/>
  <c r="AV14" i="14"/>
  <c r="AV17" i="1"/>
  <c r="AV14" i="10"/>
  <c r="AJ88" i="14"/>
  <c r="AJ88" i="10"/>
  <c r="AH93" i="9"/>
  <c r="L16" i="14"/>
  <c r="L16" i="10"/>
  <c r="L17" i="10" s="1"/>
  <c r="AC52" i="8"/>
  <c r="AC22" i="8"/>
  <c r="U39" i="10"/>
  <c r="U51" i="1"/>
  <c r="U39" i="14"/>
  <c r="U21" i="1"/>
  <c r="AE45" i="14"/>
  <c r="AE27" i="1"/>
  <c r="AE45" i="10"/>
  <c r="R65" i="14"/>
  <c r="R65" i="10"/>
  <c r="AR16" i="14"/>
  <c r="AR16" i="10"/>
  <c r="AD72" i="14"/>
  <c r="AD72" i="10"/>
  <c r="AO88" i="14"/>
  <c r="AO88" i="10"/>
  <c r="AQ28" i="9"/>
  <c r="AS27" i="9"/>
  <c r="AN28" i="9"/>
  <c r="BO46" i="9"/>
  <c r="AW27" i="1"/>
  <c r="AW45" i="10"/>
  <c r="AW45" i="14"/>
  <c r="AW51" i="14" s="1"/>
  <c r="AI58" i="8"/>
  <c r="AO64" i="14"/>
  <c r="AO64" i="10"/>
  <c r="AB8" i="14"/>
  <c r="AB8" i="10"/>
  <c r="AB11" i="1"/>
  <c r="AP16" i="10"/>
  <c r="AP16" i="14"/>
  <c r="J91" i="14"/>
  <c r="J93" i="1"/>
  <c r="J91" i="10"/>
  <c r="O88" i="10"/>
  <c r="O88" i="14"/>
  <c r="AN66" i="10"/>
  <c r="AN66" i="14"/>
  <c r="BO66" i="1"/>
  <c r="L56" i="14"/>
  <c r="L56" i="10"/>
  <c r="L58" i="1"/>
  <c r="AI74" i="14"/>
  <c r="AI74" i="10"/>
  <c r="J27" i="8"/>
  <c r="G81" i="14"/>
  <c r="G81" i="10"/>
  <c r="L81" i="14"/>
  <c r="L81" i="10"/>
  <c r="AN28" i="8"/>
  <c r="BO46" i="8"/>
  <c r="AJ65" i="10"/>
  <c r="AJ65" i="14"/>
  <c r="AD88" i="14"/>
  <c r="AD88" i="10"/>
  <c r="BR88" i="10" s="1"/>
  <c r="AR82" i="14"/>
  <c r="AR82" i="10"/>
  <c r="F16" i="10"/>
  <c r="F16" i="14"/>
  <c r="AT70" i="14"/>
  <c r="AT70" i="10"/>
  <c r="AU92" i="14"/>
  <c r="AU92" i="10"/>
  <c r="Z88" i="14"/>
  <c r="Z88" i="10"/>
  <c r="O17" i="8"/>
  <c r="O23" i="8" s="1"/>
  <c r="AJ95" i="14"/>
  <c r="AJ96" i="14" s="1"/>
  <c r="AJ96" i="1"/>
  <c r="AJ95" i="10"/>
  <c r="AJ96" i="10" s="1"/>
  <c r="AD87" i="10"/>
  <c r="AD87" i="14"/>
  <c r="BR87" i="14" s="1"/>
  <c r="V69" i="14"/>
  <c r="V69" i="10"/>
  <c r="AX15" i="14"/>
  <c r="AX15" i="10"/>
  <c r="O38" i="14"/>
  <c r="O20" i="1"/>
  <c r="O38" i="10"/>
  <c r="O41" i="1"/>
  <c r="O50" i="1"/>
  <c r="AW11" i="8"/>
  <c r="X40" i="14"/>
  <c r="X40" i="10"/>
  <c r="X52" i="1"/>
  <c r="X22" i="1"/>
  <c r="AM27" i="8"/>
  <c r="Q17" i="9"/>
  <c r="F20" i="8"/>
  <c r="F50" i="8"/>
  <c r="F41" i="8"/>
  <c r="AM79" i="14"/>
  <c r="AM79" i="10"/>
  <c r="W56" i="10"/>
  <c r="W56" i="14"/>
  <c r="W58" i="1"/>
  <c r="AC93" i="1"/>
  <c r="AC91" i="10"/>
  <c r="AC91" i="14"/>
  <c r="AI76" i="14"/>
  <c r="AI76" i="10"/>
  <c r="M71" i="14"/>
  <c r="M71" i="10"/>
  <c r="R71" i="14"/>
  <c r="R71" i="10"/>
  <c r="I14" i="14"/>
  <c r="I14" i="10"/>
  <c r="I17" i="1"/>
  <c r="AK67" i="14"/>
  <c r="AK67" i="10"/>
  <c r="H66" i="14"/>
  <c r="H66" i="10"/>
  <c r="AC10" i="10"/>
  <c r="AC10" i="14"/>
  <c r="O44" i="10"/>
  <c r="O44" i="14"/>
  <c r="O47" i="1"/>
  <c r="O26" i="1"/>
  <c r="K52" i="1"/>
  <c r="K40" i="10"/>
  <c r="K22" i="1"/>
  <c r="K40" i="14"/>
  <c r="AW15" i="10"/>
  <c r="AW15" i="14"/>
  <c r="F79" i="14"/>
  <c r="F79" i="10"/>
  <c r="AF83" i="9"/>
  <c r="P44" i="10"/>
  <c r="P47" i="1"/>
  <c r="P44" i="14"/>
  <c r="P26" i="1"/>
  <c r="E52" i="8"/>
  <c r="E22" i="8"/>
  <c r="AK17" i="1"/>
  <c r="AK14" i="10"/>
  <c r="AK14" i="14"/>
  <c r="L77" i="14"/>
  <c r="L77" i="10"/>
  <c r="AV87" i="14"/>
  <c r="AV87" i="10"/>
  <c r="F95" i="14"/>
  <c r="F96" i="14" s="1"/>
  <c r="F96" i="1"/>
  <c r="F95" i="10"/>
  <c r="AU96" i="8"/>
  <c r="AO40" i="14"/>
  <c r="AO40" i="10"/>
  <c r="AO52" i="1"/>
  <c r="AO22" i="1"/>
  <c r="AX10" i="10"/>
  <c r="AX10" i="14"/>
  <c r="P91" i="10"/>
  <c r="P93" i="1"/>
  <c r="P91" i="14"/>
  <c r="O83" i="9"/>
  <c r="AN74" i="14"/>
  <c r="AN74" i="10"/>
  <c r="BO74" i="1"/>
  <c r="AA21" i="8"/>
  <c r="AA51" i="8"/>
  <c r="AD58" i="1"/>
  <c r="AD56" i="10"/>
  <c r="AD56" i="14"/>
  <c r="AY72" i="14"/>
  <c r="AY72" i="10"/>
  <c r="AL82" i="10"/>
  <c r="AL82" i="14"/>
  <c r="R70" i="14"/>
  <c r="R70" i="10"/>
  <c r="AO67" i="10"/>
  <c r="AO67" i="14"/>
  <c r="W81" i="10"/>
  <c r="W81" i="14"/>
  <c r="G27" i="8"/>
  <c r="L79" i="14"/>
  <c r="L79" i="10"/>
  <c r="G69" i="10"/>
  <c r="G69" i="14"/>
  <c r="AP93" i="8"/>
  <c r="L51" i="1"/>
  <c r="L39" i="10"/>
  <c r="L39" i="14"/>
  <c r="L21" i="1"/>
  <c r="AG8" i="14"/>
  <c r="AG11" i="1"/>
  <c r="AG8" i="10"/>
  <c r="AS47" i="8"/>
  <c r="AS26" i="8"/>
  <c r="AH96" i="9"/>
  <c r="H8" i="14"/>
  <c r="H11" i="1"/>
  <c r="H8" i="10"/>
  <c r="K68" i="10"/>
  <c r="K68" i="14"/>
  <c r="AW58" i="8"/>
  <c r="AB92" i="10"/>
  <c r="AB92" i="14"/>
  <c r="AY10" i="14"/>
  <c r="AY10" i="10"/>
  <c r="K20" i="8"/>
  <c r="K41" i="8"/>
  <c r="K23" i="8" s="1"/>
  <c r="K50" i="8"/>
  <c r="AT77" i="10"/>
  <c r="AT77" i="14"/>
  <c r="AF27" i="9"/>
  <c r="Q16" i="10"/>
  <c r="Q16" i="14"/>
  <c r="AB63" i="14"/>
  <c r="AB63" i="10"/>
  <c r="AB83" i="1"/>
  <c r="Z21" i="1"/>
  <c r="Z39" i="10"/>
  <c r="Z51" i="1"/>
  <c r="Z39" i="14"/>
  <c r="E65" i="14"/>
  <c r="E65" i="10"/>
  <c r="E11" i="8"/>
  <c r="AR9" i="14"/>
  <c r="AR9" i="10"/>
  <c r="AU17" i="1"/>
  <c r="AU14" i="10"/>
  <c r="AU14" i="14"/>
  <c r="R44" i="10"/>
  <c r="R47" i="1"/>
  <c r="R44" i="14"/>
  <c r="R26" i="1"/>
  <c r="AI56" i="14"/>
  <c r="AI58" i="1"/>
  <c r="AI56" i="10"/>
  <c r="AX17" i="1"/>
  <c r="AX14" i="10"/>
  <c r="AX14" i="14"/>
  <c r="AV44" i="10"/>
  <c r="AV47" i="1"/>
  <c r="AV26" i="1"/>
  <c r="AV44" i="14"/>
  <c r="U76" i="14"/>
  <c r="U76" i="10"/>
  <c r="D74" i="14"/>
  <c r="D74" i="10"/>
  <c r="AC67" i="14"/>
  <c r="AC67" i="10"/>
  <c r="AK76" i="10"/>
  <c r="AK76" i="14"/>
  <c r="P21" i="9"/>
  <c r="P51" i="9"/>
  <c r="Y27" i="1"/>
  <c r="Y45" i="10"/>
  <c r="Y45" i="14"/>
  <c r="Y51" i="14" s="1"/>
  <c r="AX76" i="14"/>
  <c r="AX76" i="10"/>
  <c r="AC46" i="10"/>
  <c r="AC28" i="1"/>
  <c r="AC46" i="14"/>
  <c r="AI65" i="10"/>
  <c r="AI65" i="14"/>
  <c r="P68" i="14"/>
  <c r="P68" i="10"/>
  <c r="X69" i="14"/>
  <c r="X69" i="10"/>
  <c r="AH79" i="14"/>
  <c r="AH79" i="10"/>
  <c r="AQ70" i="14"/>
  <c r="AQ70" i="10"/>
  <c r="AL16" i="10"/>
  <c r="AL17" i="10" s="1"/>
  <c r="AL16" i="14"/>
  <c r="AG50" i="8"/>
  <c r="AG20" i="8"/>
  <c r="AG41" i="8"/>
  <c r="D87" i="14"/>
  <c r="D87" i="10"/>
  <c r="BO63" i="8"/>
  <c r="AN83" i="8"/>
  <c r="AW47" i="8"/>
  <c r="AW26" i="8"/>
  <c r="X27" i="8"/>
  <c r="M88" i="14"/>
  <c r="M88" i="10"/>
  <c r="AO56" i="10"/>
  <c r="AO58" i="1"/>
  <c r="AO56" i="14"/>
  <c r="AR79" i="14"/>
  <c r="AR79" i="10"/>
  <c r="AA28" i="9"/>
  <c r="AJ81" i="14"/>
  <c r="AJ81" i="10"/>
  <c r="Z17" i="8"/>
  <c r="AK74" i="14"/>
  <c r="AK74" i="10"/>
  <c r="AU17" i="8"/>
  <c r="D73" i="14"/>
  <c r="D73" i="10"/>
  <c r="T86" i="14"/>
  <c r="T89" i="1"/>
  <c r="T86" i="10"/>
  <c r="AR50" i="8"/>
  <c r="AR41" i="8"/>
  <c r="AR53" i="8" s="1"/>
  <c r="AR60" i="8" s="1"/>
  <c r="AR20" i="8"/>
  <c r="L17" i="8"/>
  <c r="AW69" i="14"/>
  <c r="AW69" i="10"/>
  <c r="AB46" i="14"/>
  <c r="AB28" i="1"/>
  <c r="AB46" i="10"/>
  <c r="AX77" i="10"/>
  <c r="AX77" i="14"/>
  <c r="Q83" i="8"/>
  <c r="N17" i="1"/>
  <c r="N14" i="14"/>
  <c r="N14" i="10"/>
  <c r="E78" i="14"/>
  <c r="E78" i="10"/>
  <c r="Y65" i="14"/>
  <c r="Y83" i="14" s="1"/>
  <c r="Y65" i="10"/>
  <c r="K38" i="14"/>
  <c r="K41" i="1"/>
  <c r="K20" i="1"/>
  <c r="K50" i="1"/>
  <c r="K38" i="10"/>
  <c r="Z22" i="8"/>
  <c r="Z52" i="8"/>
  <c r="AK95" i="14"/>
  <c r="AK96" i="14" s="1"/>
  <c r="AK96" i="1"/>
  <c r="AK95" i="10"/>
  <c r="AK96" i="10" s="1"/>
  <c r="I40" i="14"/>
  <c r="I40" i="10"/>
  <c r="I22" i="1"/>
  <c r="I52" i="1"/>
  <c r="X46" i="14"/>
  <c r="X52" i="14" s="1"/>
  <c r="X28" i="1"/>
  <c r="X46" i="10"/>
  <c r="AX17" i="8"/>
  <c r="I78" i="14"/>
  <c r="I78" i="10"/>
  <c r="Z47" i="8"/>
  <c r="Z29" i="8" s="1"/>
  <c r="Z26" i="8"/>
  <c r="K80" i="14"/>
  <c r="K80" i="10"/>
  <c r="AF28" i="9"/>
  <c r="N75" i="14"/>
  <c r="N75" i="10"/>
  <c r="AI92" i="14"/>
  <c r="AI92" i="10"/>
  <c r="O83" i="8"/>
  <c r="AB16" i="10"/>
  <c r="AB16" i="14"/>
  <c r="Z75" i="14"/>
  <c r="Z75" i="10"/>
  <c r="AO79" i="14"/>
  <c r="AO79" i="10"/>
  <c r="E74" i="14"/>
  <c r="E74" i="10"/>
  <c r="AC44" i="14"/>
  <c r="AC26" i="14" s="1"/>
  <c r="AC26" i="1"/>
  <c r="AC47" i="1"/>
  <c r="AC29" i="1" s="1"/>
  <c r="AC44" i="10"/>
  <c r="AO28" i="8"/>
  <c r="AH22" i="1"/>
  <c r="AH40" i="14"/>
  <c r="AH40" i="10"/>
  <c r="AH52" i="1"/>
  <c r="AA89" i="8"/>
  <c r="S8" i="14"/>
  <c r="S11" i="1"/>
  <c r="T102" i="1" s="1"/>
  <c r="S8" i="10"/>
  <c r="J68" i="14"/>
  <c r="J68" i="10"/>
  <c r="AA58" i="9"/>
  <c r="Y10" i="14"/>
  <c r="Y11" i="14" s="1"/>
  <c r="Y102" i="14" s="1"/>
  <c r="Y10" i="10"/>
  <c r="AE27" i="8"/>
  <c r="Y81" i="10"/>
  <c r="Y81" i="14"/>
  <c r="W88" i="14"/>
  <c r="W88" i="10"/>
  <c r="G63" i="10"/>
  <c r="G63" i="14"/>
  <c r="G83" i="1"/>
  <c r="AY45" i="14"/>
  <c r="AY27" i="1"/>
  <c r="AY45" i="10"/>
  <c r="AQ88" i="10"/>
  <c r="AQ88" i="14"/>
  <c r="G93" i="9"/>
  <c r="AV28" i="8"/>
  <c r="AV34" i="8" s="1"/>
  <c r="R52" i="8"/>
  <c r="R22" i="8"/>
  <c r="Q28" i="8"/>
  <c r="AY82" i="14"/>
  <c r="AY82" i="10"/>
  <c r="AE86" i="14"/>
  <c r="AE86" i="10"/>
  <c r="AE89" i="1"/>
  <c r="AL10" i="10"/>
  <c r="AL10" i="14"/>
  <c r="AA15" i="10"/>
  <c r="AA15" i="14"/>
  <c r="O16" i="10"/>
  <c r="O16" i="14"/>
  <c r="AJ71" i="14"/>
  <c r="AJ71" i="10"/>
  <c r="S74" i="14"/>
  <c r="S74" i="10"/>
  <c r="AP81" i="14"/>
  <c r="AP81" i="10"/>
  <c r="W15" i="10"/>
  <c r="W15" i="14"/>
  <c r="AA70" i="14"/>
  <c r="AA70" i="10"/>
  <c r="J69" i="10"/>
  <c r="J69" i="14"/>
  <c r="AC66" i="14"/>
  <c r="AC66" i="10"/>
  <c r="AE93" i="1"/>
  <c r="AE91" i="14"/>
  <c r="AE91" i="10"/>
  <c r="F72" i="14"/>
  <c r="F72" i="10"/>
  <c r="AT76" i="14"/>
  <c r="AT76" i="10"/>
  <c r="F58" i="9"/>
  <c r="AD27" i="1"/>
  <c r="AD45" i="10"/>
  <c r="AD45" i="14"/>
  <c r="AY27" i="9"/>
  <c r="AY33" i="9" s="1"/>
  <c r="Q11" i="9"/>
  <c r="AF67" i="14"/>
  <c r="AF67" i="10"/>
  <c r="W58" i="8"/>
  <c r="P63" i="14"/>
  <c r="P63" i="10"/>
  <c r="P83" i="1"/>
  <c r="AS66" i="14"/>
  <c r="AS66" i="10"/>
  <c r="AO68" i="14"/>
  <c r="AO68" i="10"/>
  <c r="AV17" i="9"/>
  <c r="AU28" i="1"/>
  <c r="AU46" i="10"/>
  <c r="AU46" i="14"/>
  <c r="AQ57" i="14"/>
  <c r="AQ57" i="10"/>
  <c r="AN69" i="10"/>
  <c r="AN69" i="14"/>
  <c r="BQ69" i="14" s="1"/>
  <c r="BO69" i="1"/>
  <c r="S63" i="14"/>
  <c r="S63" i="10"/>
  <c r="S83" i="1"/>
  <c r="AM72" i="10"/>
  <c r="AM72" i="14"/>
  <c r="I16" i="14"/>
  <c r="I16" i="10"/>
  <c r="AS70" i="14"/>
  <c r="AS70" i="10"/>
  <c r="R8" i="14"/>
  <c r="R8" i="10"/>
  <c r="R11" i="1"/>
  <c r="S102" i="1" s="1"/>
  <c r="BS8" i="1"/>
  <c r="AL86" i="14"/>
  <c r="AL86" i="10"/>
  <c r="AL89" i="1"/>
  <c r="X63" i="10"/>
  <c r="X63" i="14"/>
  <c r="X83" i="1"/>
  <c r="R64" i="10"/>
  <c r="R64" i="14"/>
  <c r="V11" i="9"/>
  <c r="N79" i="14"/>
  <c r="N79" i="10"/>
  <c r="AM17" i="9"/>
  <c r="I22" i="9"/>
  <c r="I52" i="9"/>
  <c r="AY44" i="10"/>
  <c r="AY44" i="14"/>
  <c r="AY26" i="1"/>
  <c r="AY47" i="1"/>
  <c r="AQ17" i="8"/>
  <c r="H80" i="10"/>
  <c r="H80" i="14"/>
  <c r="AR67" i="14"/>
  <c r="AR67" i="10"/>
  <c r="AI9" i="10"/>
  <c r="AI9" i="14"/>
  <c r="AB66" i="14"/>
  <c r="AB66" i="10"/>
  <c r="AU70" i="14"/>
  <c r="AU70" i="10"/>
  <c r="AV76" i="14"/>
  <c r="AV76" i="10"/>
  <c r="AA96" i="1"/>
  <c r="AA95" i="14"/>
  <c r="AA96" i="14" s="1"/>
  <c r="AA95" i="10"/>
  <c r="AA96" i="10" s="1"/>
  <c r="V66" i="14"/>
  <c r="V66" i="10"/>
  <c r="AY95" i="10"/>
  <c r="AY96" i="10" s="1"/>
  <c r="AY95" i="14"/>
  <c r="AY96" i="14" s="1"/>
  <c r="AY96" i="1"/>
  <c r="E68" i="10"/>
  <c r="E68" i="14"/>
  <c r="AE20" i="8"/>
  <c r="AE50" i="8"/>
  <c r="AE41" i="8"/>
  <c r="AG51" i="8"/>
  <c r="AG21" i="8"/>
  <c r="AL40" i="10"/>
  <c r="AL52" i="1"/>
  <c r="AL40" i="14"/>
  <c r="AL22" i="1"/>
  <c r="AF47" i="1"/>
  <c r="AF44" i="10"/>
  <c r="AF44" i="14"/>
  <c r="AF26" i="1"/>
  <c r="AH83" i="8"/>
  <c r="I67" i="14"/>
  <c r="I67" i="10"/>
  <c r="AN75" i="14"/>
  <c r="AN75" i="10"/>
  <c r="BO75" i="1"/>
  <c r="AJ11" i="8"/>
  <c r="AH39" i="14"/>
  <c r="AH51" i="14" s="1"/>
  <c r="AH39" i="10"/>
  <c r="AH21" i="1"/>
  <c r="AH33" i="1" s="1"/>
  <c r="AH51" i="1"/>
  <c r="AM8" i="14"/>
  <c r="AM11" i="1"/>
  <c r="AM8" i="10"/>
  <c r="M38" i="10"/>
  <c r="M38" i="14"/>
  <c r="M20" i="1"/>
  <c r="M50" i="1"/>
  <c r="M41" i="1"/>
  <c r="BO81" i="8"/>
  <c r="R83" i="1"/>
  <c r="R63" i="14"/>
  <c r="R63" i="10"/>
  <c r="Z26" i="1"/>
  <c r="Z44" i="14"/>
  <c r="Z47" i="14" s="1"/>
  <c r="Z44" i="10"/>
  <c r="Z47" i="1"/>
  <c r="J96" i="9"/>
  <c r="U47" i="8"/>
  <c r="U53" i="8" s="1"/>
  <c r="U26" i="8"/>
  <c r="AJ63" i="14"/>
  <c r="AJ63" i="10"/>
  <c r="AJ83" i="1"/>
  <c r="J75" i="14"/>
  <c r="J75" i="10"/>
  <c r="AT93" i="1"/>
  <c r="AT91" i="10"/>
  <c r="AT91" i="14"/>
  <c r="K88" i="10"/>
  <c r="K88" i="14"/>
  <c r="X93" i="8"/>
  <c r="D38" i="10"/>
  <c r="D38" i="14"/>
  <c r="D20" i="1"/>
  <c r="D50" i="1"/>
  <c r="D41" i="1"/>
  <c r="V44" i="14"/>
  <c r="V26" i="1"/>
  <c r="V44" i="10"/>
  <c r="V47" i="1"/>
  <c r="V29" i="1" s="1"/>
  <c r="AX63" i="10"/>
  <c r="AX83" i="1"/>
  <c r="AX63" i="14"/>
  <c r="V86" i="14"/>
  <c r="V89" i="1"/>
  <c r="V86" i="10"/>
  <c r="AY20" i="8"/>
  <c r="AY50" i="8"/>
  <c r="AY41" i="8"/>
  <c r="U77" i="10"/>
  <c r="U77" i="14"/>
  <c r="Z78" i="14"/>
  <c r="Z78" i="10"/>
  <c r="AP71" i="10"/>
  <c r="AP71" i="14"/>
  <c r="M17" i="9"/>
  <c r="AH14" i="14"/>
  <c r="AH17" i="1"/>
  <c r="AH14" i="10"/>
  <c r="AF14" i="14"/>
  <c r="AF14" i="10"/>
  <c r="AF17" i="1"/>
  <c r="AP89" i="9"/>
  <c r="M96" i="9"/>
  <c r="T39" i="14"/>
  <c r="T39" i="10"/>
  <c r="T51" i="1"/>
  <c r="T21" i="1"/>
  <c r="AE50" i="1"/>
  <c r="AE38" i="14"/>
  <c r="AE41" i="1"/>
  <c r="AE20" i="1"/>
  <c r="AE38" i="10"/>
  <c r="AT58" i="1"/>
  <c r="AT56" i="14"/>
  <c r="AT56" i="10"/>
  <c r="AJ80" i="14"/>
  <c r="AJ80" i="10"/>
  <c r="T27" i="8"/>
  <c r="T33" i="8" s="1"/>
  <c r="M75" i="10"/>
  <c r="M75" i="14"/>
  <c r="W9" i="10"/>
  <c r="W9" i="14"/>
  <c r="N52" i="8"/>
  <c r="N22" i="8"/>
  <c r="AI87" i="14"/>
  <c r="AI87" i="10"/>
  <c r="AL63" i="10"/>
  <c r="AL63" i="14"/>
  <c r="AL83" i="1"/>
  <c r="Y50" i="1"/>
  <c r="Y20" i="1"/>
  <c r="Y38" i="14"/>
  <c r="Y38" i="10"/>
  <c r="Y41" i="1"/>
  <c r="P14" i="14"/>
  <c r="P14" i="10"/>
  <c r="P17" i="1"/>
  <c r="AO57" i="14"/>
  <c r="AO57" i="10"/>
  <c r="I44" i="14"/>
  <c r="I26" i="14" s="1"/>
  <c r="I26" i="1"/>
  <c r="I44" i="10"/>
  <c r="I50" i="10" s="1"/>
  <c r="I47" i="1"/>
  <c r="I29" i="1" s="1"/>
  <c r="D64" i="10"/>
  <c r="D64" i="14"/>
  <c r="AD76" i="10"/>
  <c r="AD76" i="14"/>
  <c r="K82" i="14"/>
  <c r="K82" i="10"/>
  <c r="AC64" i="14"/>
  <c r="BR64" i="14" s="1"/>
  <c r="AC64" i="10"/>
  <c r="AL95" i="14"/>
  <c r="AL96" i="14" s="1"/>
  <c r="AL96" i="1"/>
  <c r="AL95" i="10"/>
  <c r="AL96" i="10" s="1"/>
  <c r="AF78" i="14"/>
  <c r="AF78" i="10"/>
  <c r="AD16" i="14"/>
  <c r="AD16" i="10"/>
  <c r="AD28" i="10" s="1"/>
  <c r="AJ83" i="8"/>
  <c r="AE40" i="14"/>
  <c r="AE22" i="1"/>
  <c r="AE40" i="10"/>
  <c r="AE52" i="1"/>
  <c r="AT71" i="14"/>
  <c r="AT71" i="10"/>
  <c r="AV68" i="14"/>
  <c r="AV68" i="10"/>
  <c r="O17" i="9"/>
  <c r="V71" i="10"/>
  <c r="V71" i="14"/>
  <c r="U38" i="14"/>
  <c r="U20" i="1"/>
  <c r="U38" i="10"/>
  <c r="U41" i="1"/>
  <c r="U50" i="1"/>
  <c r="J9" i="10"/>
  <c r="J9" i="14"/>
  <c r="X76" i="14"/>
  <c r="X76" i="10"/>
  <c r="AY57" i="10"/>
  <c r="AY57" i="14"/>
  <c r="O65" i="14"/>
  <c r="O65" i="10"/>
  <c r="W11" i="8"/>
  <c r="I96" i="9"/>
  <c r="H88" i="14"/>
  <c r="H88" i="10"/>
  <c r="AS73" i="10"/>
  <c r="AS73" i="14"/>
  <c r="R28" i="9"/>
  <c r="BT10" i="8"/>
  <c r="AA17" i="8"/>
  <c r="K92" i="14"/>
  <c r="K92" i="10"/>
  <c r="D65" i="10"/>
  <c r="D65" i="14"/>
  <c r="R45" i="14"/>
  <c r="R27" i="1"/>
  <c r="R45" i="10"/>
  <c r="K73" i="14"/>
  <c r="K73" i="10"/>
  <c r="L52" i="1"/>
  <c r="L40" i="14"/>
  <c r="L40" i="10"/>
  <c r="L22" i="1"/>
  <c r="X50" i="9"/>
  <c r="X20" i="9"/>
  <c r="X41" i="9"/>
  <c r="L58" i="8"/>
  <c r="R73" i="14"/>
  <c r="R73" i="10"/>
  <c r="G64" i="14"/>
  <c r="G64" i="10"/>
  <c r="AD71" i="10"/>
  <c r="BR71" i="10" s="1"/>
  <c r="AD71" i="14"/>
  <c r="AN79" i="10"/>
  <c r="AN79" i="14"/>
  <c r="BO79" i="1"/>
  <c r="AG70" i="10"/>
  <c r="AG70" i="14"/>
  <c r="AA78" i="14"/>
  <c r="AA78" i="10"/>
  <c r="AU91" i="10"/>
  <c r="AU91" i="14"/>
  <c r="AU93" i="14" s="1"/>
  <c r="AU93" i="1"/>
  <c r="I80" i="14"/>
  <c r="I80" i="10"/>
  <c r="AM66" i="14"/>
  <c r="AM66" i="10"/>
  <c r="AN51" i="8"/>
  <c r="BO39" i="8"/>
  <c r="AN21" i="8"/>
  <c r="E86" i="10"/>
  <c r="E89" i="1"/>
  <c r="E86" i="14"/>
  <c r="S82" i="14"/>
  <c r="S82" i="10"/>
  <c r="AO78" i="14"/>
  <c r="AO78" i="10"/>
  <c r="AY14" i="14"/>
  <c r="AY17" i="1"/>
  <c r="AY14" i="10"/>
  <c r="K86" i="10"/>
  <c r="K86" i="14"/>
  <c r="K89" i="1"/>
  <c r="AU10" i="14"/>
  <c r="AU10" i="10"/>
  <c r="AU52" i="1"/>
  <c r="AU22" i="1"/>
  <c r="AU40" i="10"/>
  <c r="AU40" i="14"/>
  <c r="I83" i="1"/>
  <c r="I63" i="14"/>
  <c r="I63" i="10"/>
  <c r="AM83" i="9"/>
  <c r="S96" i="8"/>
  <c r="O57" i="10"/>
  <c r="O57" i="14"/>
  <c r="Q10" i="14"/>
  <c r="Q10" i="10"/>
  <c r="I51" i="8"/>
  <c r="I21" i="8"/>
  <c r="I33" i="8" s="1"/>
  <c r="P67" i="14"/>
  <c r="P67" i="10"/>
  <c r="AN70" i="14"/>
  <c r="AN70" i="10"/>
  <c r="BO70" i="1"/>
  <c r="BT10" i="9"/>
  <c r="AI64" i="10"/>
  <c r="AI64" i="14"/>
  <c r="J87" i="10"/>
  <c r="J87" i="14"/>
  <c r="AE22" i="9"/>
  <c r="AE52" i="9"/>
  <c r="X16" i="10"/>
  <c r="X16" i="14"/>
  <c r="AJ46" i="14"/>
  <c r="AJ28" i="1"/>
  <c r="AJ46" i="10"/>
  <c r="D96" i="1"/>
  <c r="D95" i="10"/>
  <c r="D96" i="10" s="1"/>
  <c r="D95" i="14"/>
  <c r="AA76" i="14"/>
  <c r="AA76" i="10"/>
  <c r="AJ45" i="14"/>
  <c r="AJ27" i="1"/>
  <c r="AJ33" i="1" s="1"/>
  <c r="AJ45" i="10"/>
  <c r="AJ47" i="10" s="1"/>
  <c r="X81" i="14"/>
  <c r="X81" i="10"/>
  <c r="U71" i="14"/>
  <c r="U71" i="10"/>
  <c r="D26" i="8"/>
  <c r="D47" i="8"/>
  <c r="J86" i="14"/>
  <c r="J89" i="1"/>
  <c r="J86" i="10"/>
  <c r="AX44" i="14"/>
  <c r="AX26" i="1"/>
  <c r="AX44" i="10"/>
  <c r="AX26" i="10" s="1"/>
  <c r="AX47" i="1"/>
  <c r="AX8" i="14"/>
  <c r="AX11" i="1"/>
  <c r="AX8" i="10"/>
  <c r="P72" i="14"/>
  <c r="P72" i="10"/>
  <c r="AL66" i="14"/>
  <c r="AL66" i="10"/>
  <c r="AS74" i="14"/>
  <c r="AS74" i="10"/>
  <c r="AL47" i="8"/>
  <c r="AL26" i="8"/>
  <c r="K71" i="10"/>
  <c r="K71" i="14"/>
  <c r="K46" i="14"/>
  <c r="K52" i="14" s="1"/>
  <c r="K46" i="10"/>
  <c r="K28" i="1"/>
  <c r="AS20" i="8"/>
  <c r="AS50" i="8"/>
  <c r="AS41" i="8"/>
  <c r="AS53" i="8" s="1"/>
  <c r="Y87" i="14"/>
  <c r="Y87" i="10"/>
  <c r="AY73" i="14"/>
  <c r="AY73" i="10"/>
  <c r="W39" i="14"/>
  <c r="W21" i="1"/>
  <c r="W39" i="10"/>
  <c r="W51" i="1"/>
  <c r="S75" i="14"/>
  <c r="S75" i="10"/>
  <c r="P92" i="14"/>
  <c r="P92" i="10"/>
  <c r="K64" i="10"/>
  <c r="K64" i="14"/>
  <c r="AR8" i="14"/>
  <c r="AR11" i="1"/>
  <c r="AS102" i="1" s="1"/>
  <c r="AR8" i="10"/>
  <c r="AE39" i="14"/>
  <c r="AE21" i="1"/>
  <c r="AE51" i="1"/>
  <c r="AE39" i="10"/>
  <c r="S95" i="14"/>
  <c r="S96" i="14" s="1"/>
  <c r="S96" i="1"/>
  <c r="S95" i="10"/>
  <c r="S96" i="10" s="1"/>
  <c r="AH67" i="14"/>
  <c r="AH67" i="10"/>
  <c r="AD63" i="14"/>
  <c r="AD63" i="10"/>
  <c r="AD83" i="1"/>
  <c r="K66" i="14"/>
  <c r="K66" i="10"/>
  <c r="W57" i="14"/>
  <c r="W57" i="10"/>
  <c r="AJ57" i="14"/>
  <c r="AJ57" i="10"/>
  <c r="AW95" i="14"/>
  <c r="AW96" i="14" s="1"/>
  <c r="AW96" i="1"/>
  <c r="AW95" i="10"/>
  <c r="AW96" i="10" s="1"/>
  <c r="L89" i="8"/>
  <c r="T58" i="8"/>
  <c r="AG22" i="8"/>
  <c r="AG52" i="8"/>
  <c r="M15" i="10"/>
  <c r="M15" i="14"/>
  <c r="R56" i="14"/>
  <c r="R56" i="10"/>
  <c r="R58" i="1"/>
  <c r="AS80" i="14"/>
  <c r="AS80" i="10"/>
  <c r="F71" i="14"/>
  <c r="F71" i="10"/>
  <c r="U16" i="14"/>
  <c r="U16" i="10"/>
  <c r="M86" i="14"/>
  <c r="M89" i="1"/>
  <c r="M86" i="10"/>
  <c r="L9" i="14"/>
  <c r="L9" i="10"/>
  <c r="AU16" i="14"/>
  <c r="AU16" i="10"/>
  <c r="AE57" i="10"/>
  <c r="AE57" i="14"/>
  <c r="AE9" i="14"/>
  <c r="AE9" i="10"/>
  <c r="T45" i="14"/>
  <c r="T51" i="14" s="1"/>
  <c r="T27" i="1"/>
  <c r="T45" i="10"/>
  <c r="AB50" i="8"/>
  <c r="AB41" i="8"/>
  <c r="AB20" i="8"/>
  <c r="V83" i="8"/>
  <c r="N77" i="14"/>
  <c r="N77" i="10"/>
  <c r="AN58" i="8"/>
  <c r="BO56" i="8"/>
  <c r="V80" i="14"/>
  <c r="V80" i="10"/>
  <c r="AV26" i="8"/>
  <c r="AV47" i="8"/>
  <c r="AV29" i="8" s="1"/>
  <c r="Q72" i="14"/>
  <c r="Q72" i="10"/>
  <c r="O52" i="8"/>
  <c r="O22" i="8"/>
  <c r="AT22" i="8"/>
  <c r="AT52" i="8"/>
  <c r="M93" i="8"/>
  <c r="BO40" i="8"/>
  <c r="AN52" i="8"/>
  <c r="AN22" i="8"/>
  <c r="AX11" i="8"/>
  <c r="G91" i="10"/>
  <c r="G91" i="14"/>
  <c r="G93" i="1"/>
  <c r="BO92" i="8"/>
  <c r="O21" i="8"/>
  <c r="O33" i="8" s="1"/>
  <c r="O51" i="8"/>
  <c r="V75" i="14"/>
  <c r="V75" i="10"/>
  <c r="X11" i="8"/>
  <c r="W70" i="10"/>
  <c r="W70" i="14"/>
  <c r="AP83" i="8"/>
  <c r="F78" i="14"/>
  <c r="BT78" i="14" s="1"/>
  <c r="F78" i="10"/>
  <c r="AB91" i="14"/>
  <c r="AB93" i="14" s="1"/>
  <c r="AB93" i="1"/>
  <c r="AB91" i="10"/>
  <c r="AB93" i="10" s="1"/>
  <c r="E77" i="14"/>
  <c r="E77" i="10"/>
  <c r="AR96" i="9"/>
  <c r="AL77" i="14"/>
  <c r="AL77" i="10"/>
  <c r="AW10" i="14"/>
  <c r="AW10" i="10"/>
  <c r="AV56" i="14"/>
  <c r="AV58" i="14" s="1"/>
  <c r="AV56" i="10"/>
  <c r="AV58" i="10" s="1"/>
  <c r="AV58" i="1"/>
  <c r="P87" i="10"/>
  <c r="P87" i="14"/>
  <c r="E82" i="14"/>
  <c r="E82" i="10"/>
  <c r="Q76" i="14"/>
  <c r="Q76" i="10"/>
  <c r="X91" i="14"/>
  <c r="X93" i="1"/>
  <c r="X91" i="10"/>
  <c r="AP57" i="14"/>
  <c r="BO57" i="14" s="1"/>
  <c r="AP57" i="10"/>
  <c r="AW79" i="10"/>
  <c r="AW79" i="14"/>
  <c r="AU15" i="14"/>
  <c r="AU15" i="10"/>
  <c r="AU17" i="10" s="1"/>
  <c r="L45" i="14"/>
  <c r="L51" i="14" s="1"/>
  <c r="L27" i="1"/>
  <c r="L45" i="10"/>
  <c r="L51" i="10" s="1"/>
  <c r="D16" i="14"/>
  <c r="D16" i="10"/>
  <c r="AT57" i="14"/>
  <c r="AT57" i="10"/>
  <c r="J11" i="8"/>
  <c r="K15" i="10"/>
  <c r="K15" i="14"/>
  <c r="AI45" i="10"/>
  <c r="AI27" i="1"/>
  <c r="AI45" i="14"/>
  <c r="W10" i="14"/>
  <c r="W10" i="10"/>
  <c r="AX56" i="14"/>
  <c r="AX56" i="10"/>
  <c r="AX58" i="1"/>
  <c r="G9" i="14"/>
  <c r="G9" i="10"/>
  <c r="R74" i="14"/>
  <c r="R74" i="10"/>
  <c r="L47" i="9"/>
  <c r="L26" i="9"/>
  <c r="F11" i="9"/>
  <c r="BT8" i="9"/>
  <c r="AV51" i="8"/>
  <c r="AV21" i="8"/>
  <c r="AC71" i="14"/>
  <c r="AC71" i="10"/>
  <c r="Z10" i="14"/>
  <c r="Z10" i="10"/>
  <c r="AW63" i="14"/>
  <c r="AW63" i="10"/>
  <c r="AW83" i="1"/>
  <c r="AB44" i="14"/>
  <c r="AB26" i="1"/>
  <c r="AB44" i="10"/>
  <c r="AB47" i="1"/>
  <c r="T17" i="8"/>
  <c r="AB20" i="9"/>
  <c r="AB41" i="9"/>
  <c r="AB50" i="9"/>
  <c r="AV65" i="10"/>
  <c r="AV65" i="14"/>
  <c r="X83" i="9"/>
  <c r="AP77" i="10"/>
  <c r="AP77" i="14"/>
  <c r="AJ8" i="14"/>
  <c r="AJ11" i="1"/>
  <c r="AJ8" i="10"/>
  <c r="AJ11" i="10" s="1"/>
  <c r="X80" i="14"/>
  <c r="X80" i="10"/>
  <c r="AK78" i="14"/>
  <c r="AK78" i="10"/>
  <c r="AM22" i="8"/>
  <c r="AM52" i="8"/>
  <c r="AO82" i="14"/>
  <c r="AO82" i="10"/>
  <c r="BO82" i="10" s="1"/>
  <c r="J27" i="9"/>
  <c r="AS77" i="14"/>
  <c r="AS77" i="10"/>
  <c r="AK69" i="14"/>
  <c r="AK69" i="10"/>
  <c r="N91" i="14"/>
  <c r="N93" i="14" s="1"/>
  <c r="N93" i="1"/>
  <c r="N91" i="10"/>
  <c r="N93" i="10" s="1"/>
  <c r="AF21" i="9"/>
  <c r="AF33" i="9" s="1"/>
  <c r="AF51" i="9"/>
  <c r="I20" i="9"/>
  <c r="I41" i="9"/>
  <c r="I50" i="9"/>
  <c r="AL80" i="14"/>
  <c r="AL80" i="10"/>
  <c r="E14" i="14"/>
  <c r="E20" i="14" s="1"/>
  <c r="E17" i="1"/>
  <c r="E14" i="10"/>
  <c r="AC82" i="14"/>
  <c r="AC82" i="10"/>
  <c r="AY70" i="10"/>
  <c r="AY70" i="14"/>
  <c r="F82" i="14"/>
  <c r="F82" i="10"/>
  <c r="BT82" i="10" s="1"/>
  <c r="J82" i="14"/>
  <c r="J82" i="10"/>
  <c r="J20" i="1"/>
  <c r="J50" i="1"/>
  <c r="J41" i="1"/>
  <c r="J23" i="1" s="1"/>
  <c r="J38" i="14"/>
  <c r="J20" i="14" s="1"/>
  <c r="J38" i="10"/>
  <c r="AA17" i="1"/>
  <c r="AA14" i="10"/>
  <c r="AA14" i="14"/>
  <c r="V93" i="8"/>
  <c r="AB82" i="14"/>
  <c r="AB82" i="10"/>
  <c r="AK41" i="8"/>
  <c r="AK53" i="8" s="1"/>
  <c r="AK50" i="8"/>
  <c r="AK20" i="8"/>
  <c r="AK32" i="8" s="1"/>
  <c r="AG40" i="10"/>
  <c r="AG52" i="1"/>
  <c r="AG40" i="14"/>
  <c r="AG22" i="1"/>
  <c r="M92" i="14"/>
  <c r="M92" i="10"/>
  <c r="I93" i="8"/>
  <c r="O8" i="14"/>
  <c r="O11" i="14" s="1"/>
  <c r="O8" i="10"/>
  <c r="O11" i="1"/>
  <c r="AR66" i="10"/>
  <c r="AR66" i="14"/>
  <c r="F14" i="10"/>
  <c r="F14" i="14"/>
  <c r="F17" i="1"/>
  <c r="U78" i="14"/>
  <c r="U78" i="10"/>
  <c r="AC89" i="1"/>
  <c r="AC86" i="10"/>
  <c r="AC86" i="14"/>
  <c r="V96" i="9"/>
  <c r="AB15" i="14"/>
  <c r="AB15" i="10"/>
  <c r="AP26" i="1"/>
  <c r="AP44" i="10"/>
  <c r="AP44" i="14"/>
  <c r="AP47" i="1"/>
  <c r="X70" i="14"/>
  <c r="X70" i="10"/>
  <c r="R96" i="8"/>
  <c r="AF70" i="10"/>
  <c r="AF70" i="14"/>
  <c r="M96" i="8"/>
  <c r="AQ20" i="1"/>
  <c r="AQ38" i="10"/>
  <c r="AQ50" i="1"/>
  <c r="AQ38" i="14"/>
  <c r="AQ41" i="1"/>
  <c r="N89" i="8"/>
  <c r="M11" i="9"/>
  <c r="N102" i="9" s="1"/>
  <c r="G45" i="14"/>
  <c r="G45" i="10"/>
  <c r="G27" i="1"/>
  <c r="AS88" i="10"/>
  <c r="AS88" i="14"/>
  <c r="AB56" i="10"/>
  <c r="AB58" i="1"/>
  <c r="AB56" i="14"/>
  <c r="AP67" i="14"/>
  <c r="AP67" i="10"/>
  <c r="I77" i="10"/>
  <c r="I77" i="14"/>
  <c r="E16" i="10"/>
  <c r="E16" i="14"/>
  <c r="P71" i="10"/>
  <c r="P71" i="14"/>
  <c r="BS71" i="14" s="1"/>
  <c r="AY71" i="10"/>
  <c r="AY71" i="14"/>
  <c r="AO11" i="8"/>
  <c r="BQ8" i="8"/>
  <c r="AW68" i="14"/>
  <c r="AW68" i="10"/>
  <c r="O74" i="10"/>
  <c r="O74" i="14"/>
  <c r="AO71" i="14"/>
  <c r="AO71" i="10"/>
  <c r="AV83" i="1"/>
  <c r="AV63" i="14"/>
  <c r="AV63" i="10"/>
  <c r="I74" i="14"/>
  <c r="I74" i="10"/>
  <c r="V11" i="8"/>
  <c r="W102" i="8" s="1"/>
  <c r="P83" i="8"/>
  <c r="O87" i="10"/>
  <c r="O87" i="14"/>
  <c r="AR44" i="14"/>
  <c r="AR26" i="1"/>
  <c r="AR47" i="1"/>
  <c r="AR44" i="10"/>
  <c r="T66" i="14"/>
  <c r="T66" i="10"/>
  <c r="H16" i="10"/>
  <c r="H16" i="14"/>
  <c r="AS71" i="10"/>
  <c r="AS71" i="14"/>
  <c r="AP88" i="10"/>
  <c r="AP88" i="14"/>
  <c r="L78" i="10"/>
  <c r="L78" i="14"/>
  <c r="AG67" i="14"/>
  <c r="AG67" i="10"/>
  <c r="O89" i="9"/>
  <c r="AH88" i="10"/>
  <c r="AH88" i="14"/>
  <c r="P76" i="14"/>
  <c r="P76" i="10"/>
  <c r="BS76" i="10" s="1"/>
  <c r="L96" i="8"/>
  <c r="AQ89" i="1"/>
  <c r="AQ86" i="10"/>
  <c r="AQ86" i="14"/>
  <c r="N82" i="14"/>
  <c r="N82" i="10"/>
  <c r="F93" i="9"/>
  <c r="AR11" i="9"/>
  <c r="AR102" i="9" s="1"/>
  <c r="U47" i="9"/>
  <c r="U26" i="9"/>
  <c r="AI72" i="10"/>
  <c r="AI72" i="14"/>
  <c r="Q52" i="8"/>
  <c r="Q22" i="8"/>
  <c r="Q34" i="8" s="1"/>
  <c r="AS46" i="14"/>
  <c r="AS28" i="1"/>
  <c r="AS46" i="10"/>
  <c r="AS28" i="10" s="1"/>
  <c r="AP79" i="10"/>
  <c r="AP79" i="14"/>
  <c r="AB77" i="10"/>
  <c r="AB77" i="14"/>
  <c r="AQ66" i="14"/>
  <c r="AQ66" i="10"/>
  <c r="BO10" i="8"/>
  <c r="E83" i="8"/>
  <c r="N81" i="10"/>
  <c r="N81" i="14"/>
  <c r="P17" i="8"/>
  <c r="D80" i="14"/>
  <c r="D80" i="10"/>
  <c r="AC16" i="14"/>
  <c r="AC16" i="10"/>
  <c r="AC28" i="10" s="1"/>
  <c r="AW22" i="8"/>
  <c r="AW34" i="8" s="1"/>
  <c r="AW52" i="8"/>
  <c r="AR14" i="14"/>
  <c r="AR17" i="1"/>
  <c r="AR14" i="10"/>
  <c r="AC9" i="10"/>
  <c r="AC9" i="14"/>
  <c r="R21" i="8"/>
  <c r="R33" i="8" s="1"/>
  <c r="R51" i="8"/>
  <c r="D11" i="8"/>
  <c r="D102" i="8" s="1"/>
  <c r="X72" i="14"/>
  <c r="X72" i="10"/>
  <c r="AV58" i="8"/>
  <c r="Z73" i="14"/>
  <c r="Z73" i="10"/>
  <c r="V9" i="10"/>
  <c r="V9" i="14"/>
  <c r="G20" i="9"/>
  <c r="G50" i="9"/>
  <c r="G41" i="9"/>
  <c r="M17" i="1"/>
  <c r="M14" i="14"/>
  <c r="M14" i="10"/>
  <c r="K83" i="9"/>
  <c r="AG46" i="10"/>
  <c r="AG28" i="10" s="1"/>
  <c r="AG46" i="14"/>
  <c r="AG28" i="14" s="1"/>
  <c r="AG28" i="1"/>
  <c r="R51" i="9"/>
  <c r="R21" i="9"/>
  <c r="AK58" i="8"/>
  <c r="BO71" i="8"/>
  <c r="AU56" i="14"/>
  <c r="AU58" i="1"/>
  <c r="AU56" i="10"/>
  <c r="AK44" i="14"/>
  <c r="AK26" i="1"/>
  <c r="AK44" i="10"/>
  <c r="AK47" i="1"/>
  <c r="I58" i="1"/>
  <c r="I56" i="14"/>
  <c r="I56" i="10"/>
  <c r="AU26" i="9"/>
  <c r="AU47" i="9"/>
  <c r="AL22" i="9"/>
  <c r="AL52" i="9"/>
  <c r="AJ15" i="14"/>
  <c r="AJ15" i="10"/>
  <c r="O63" i="14"/>
  <c r="O83" i="1"/>
  <c r="O63" i="10"/>
  <c r="M65" i="14"/>
  <c r="M65" i="10"/>
  <c r="N88" i="14"/>
  <c r="N88" i="10"/>
  <c r="AA93" i="1"/>
  <c r="AA91" i="10"/>
  <c r="AA91" i="14"/>
  <c r="AO58" i="9"/>
  <c r="AE47" i="1"/>
  <c r="AE44" i="14"/>
  <c r="AE26" i="1"/>
  <c r="AE44" i="10"/>
  <c r="AS83" i="8"/>
  <c r="D40" i="14"/>
  <c r="D52" i="1"/>
  <c r="D22" i="1"/>
  <c r="D40" i="10"/>
  <c r="Z83" i="8"/>
  <c r="Y77" i="14"/>
  <c r="Y77" i="10"/>
  <c r="AO45" i="14"/>
  <c r="AO45" i="10"/>
  <c r="AO27" i="1"/>
  <c r="F44" i="14"/>
  <c r="F44" i="10"/>
  <c r="F26" i="1"/>
  <c r="F47" i="1"/>
  <c r="Q71" i="14"/>
  <c r="Q71" i="10"/>
  <c r="R47" i="9"/>
  <c r="R29" i="9" s="1"/>
  <c r="R35" i="9" s="1"/>
  <c r="R26" i="9"/>
  <c r="Q14" i="10"/>
  <c r="Q14" i="14"/>
  <c r="Q17" i="1"/>
  <c r="Q23" i="1" s="1"/>
  <c r="N86" i="14"/>
  <c r="N89" i="1"/>
  <c r="N86" i="10"/>
  <c r="L10" i="10"/>
  <c r="L10" i="14"/>
  <c r="AK92" i="14"/>
  <c r="AK92" i="10"/>
  <c r="J16" i="10"/>
  <c r="J16" i="14"/>
  <c r="AA51" i="9"/>
  <c r="AA21" i="9"/>
  <c r="Z80" i="14"/>
  <c r="Z80" i="10"/>
  <c r="AW80" i="10"/>
  <c r="AW80" i="14"/>
  <c r="AW58" i="9"/>
  <c r="AK10" i="10"/>
  <c r="AK10" i="14"/>
  <c r="AP27" i="1"/>
  <c r="AP45" i="10"/>
  <c r="AP27" i="10" s="1"/>
  <c r="AP45" i="14"/>
  <c r="AP51" i="14" s="1"/>
  <c r="BT9" i="9"/>
  <c r="S65" i="10"/>
  <c r="S65" i="14"/>
  <c r="AJ27" i="8"/>
  <c r="X77" i="14"/>
  <c r="X77" i="10"/>
  <c r="E57" i="10"/>
  <c r="BT57" i="10" s="1"/>
  <c r="E57" i="14"/>
  <c r="AI75" i="14"/>
  <c r="AI75" i="10"/>
  <c r="AS79" i="14"/>
  <c r="AS79" i="10"/>
  <c r="AT44" i="14"/>
  <c r="AT47" i="1"/>
  <c r="AT26" i="1"/>
  <c r="AT32" i="1" s="1"/>
  <c r="AT44" i="10"/>
  <c r="AH78" i="10"/>
  <c r="AH78" i="14"/>
  <c r="AS68" i="14"/>
  <c r="AS68" i="10"/>
  <c r="BO9" i="9"/>
  <c r="G82" i="14"/>
  <c r="G82" i="10"/>
  <c r="Y73" i="10"/>
  <c r="Y73" i="14"/>
  <c r="AV58" i="9"/>
  <c r="AG89" i="9"/>
  <c r="AX95" i="14"/>
  <c r="AX96" i="14" s="1"/>
  <c r="AX96" i="1"/>
  <c r="AX95" i="10"/>
  <c r="AX96" i="10" s="1"/>
  <c r="I88" i="14"/>
  <c r="I88" i="10"/>
  <c r="F58" i="8"/>
  <c r="Q75" i="14"/>
  <c r="Q75" i="10"/>
  <c r="Q88" i="10"/>
  <c r="Q88" i="14"/>
  <c r="Z65" i="14"/>
  <c r="Z65" i="10"/>
  <c r="AL78" i="14"/>
  <c r="AL78" i="10"/>
  <c r="AB72" i="14"/>
  <c r="AB72" i="10"/>
  <c r="AN26" i="9"/>
  <c r="AN47" i="9"/>
  <c r="BO44" i="9"/>
  <c r="AW89" i="8"/>
  <c r="I46" i="14"/>
  <c r="I28" i="1"/>
  <c r="I46" i="10"/>
  <c r="BO65" i="8"/>
  <c r="AI67" i="14"/>
  <c r="AI67" i="10"/>
  <c r="I65" i="10"/>
  <c r="I65" i="14"/>
  <c r="Y57" i="14"/>
  <c r="Y57" i="10"/>
  <c r="X10" i="14"/>
  <c r="X10" i="10"/>
  <c r="AB83" i="9"/>
  <c r="AE70" i="14"/>
  <c r="AE70" i="10"/>
  <c r="AJ66" i="14"/>
  <c r="AJ66" i="10"/>
  <c r="AN56" i="14"/>
  <c r="AN56" i="10"/>
  <c r="AN58" i="1"/>
  <c r="BO56" i="1"/>
  <c r="H21" i="8"/>
  <c r="H51" i="8"/>
  <c r="AE17" i="8"/>
  <c r="AE29" i="8" s="1"/>
  <c r="I52" i="8"/>
  <c r="I22" i="8"/>
  <c r="AO47" i="8"/>
  <c r="AO26" i="8"/>
  <c r="Y47" i="8"/>
  <c r="Y26" i="8"/>
  <c r="Z95" i="14"/>
  <c r="Z96" i="14" s="1"/>
  <c r="Z96" i="1"/>
  <c r="Z95" i="10"/>
  <c r="Z96" i="10" s="1"/>
  <c r="AU89" i="1"/>
  <c r="AU86" i="14"/>
  <c r="AU86" i="10"/>
  <c r="J40" i="10"/>
  <c r="J52" i="1"/>
  <c r="J22" i="1"/>
  <c r="J40" i="14"/>
  <c r="J41" i="14" s="1"/>
  <c r="O68" i="14"/>
  <c r="O68" i="10"/>
  <c r="AG64" i="10"/>
  <c r="AG64" i="14"/>
  <c r="AB47" i="8"/>
  <c r="AB26" i="8"/>
  <c r="AM10" i="14"/>
  <c r="AM10" i="10"/>
  <c r="R88" i="14"/>
  <c r="R88" i="10"/>
  <c r="P47" i="8"/>
  <c r="P26" i="8"/>
  <c r="AE79" i="10"/>
  <c r="AE79" i="14"/>
  <c r="AM87" i="14"/>
  <c r="AM87" i="10"/>
  <c r="K57" i="14"/>
  <c r="K58" i="14" s="1"/>
  <c r="K57" i="10"/>
  <c r="AF96" i="8"/>
  <c r="S66" i="14"/>
  <c r="S66" i="10"/>
  <c r="T87" i="10"/>
  <c r="T87" i="14"/>
  <c r="AQ63" i="14"/>
  <c r="AQ63" i="10"/>
  <c r="AQ83" i="1"/>
  <c r="AT67" i="14"/>
  <c r="AT67" i="10"/>
  <c r="AA44" i="14"/>
  <c r="AA26" i="14" s="1"/>
  <c r="AA26" i="1"/>
  <c r="AA44" i="10"/>
  <c r="AA47" i="1"/>
  <c r="AA29" i="1" s="1"/>
  <c r="E95" i="14"/>
  <c r="E96" i="14" s="1"/>
  <c r="E96" i="1"/>
  <c r="E95" i="10"/>
  <c r="E96" i="10" s="1"/>
  <c r="AR87" i="14"/>
  <c r="AR87" i="10"/>
  <c r="Z64" i="10"/>
  <c r="Z64" i="14"/>
  <c r="N71" i="10"/>
  <c r="N71" i="14"/>
  <c r="AR86" i="14"/>
  <c r="AR89" i="1"/>
  <c r="AR86" i="10"/>
  <c r="AF74" i="10"/>
  <c r="AF74" i="14"/>
  <c r="AF47" i="8"/>
  <c r="AF26" i="8"/>
  <c r="W83" i="8"/>
  <c r="M89" i="8"/>
  <c r="AK93" i="1"/>
  <c r="AK91" i="10"/>
  <c r="AK91" i="14"/>
  <c r="AK93" i="14" s="1"/>
  <c r="AI15" i="14"/>
  <c r="AI15" i="10"/>
  <c r="U69" i="14"/>
  <c r="U69" i="10"/>
  <c r="BO80" i="8"/>
  <c r="R16" i="14"/>
  <c r="R16" i="10"/>
  <c r="AF95" i="14"/>
  <c r="AF96" i="14" s="1"/>
  <c r="AF96" i="1"/>
  <c r="AF95" i="10"/>
  <c r="AF96" i="10" s="1"/>
  <c r="S77" i="10"/>
  <c r="S77" i="14"/>
  <c r="AL20" i="8"/>
  <c r="AL50" i="8"/>
  <c r="AL41" i="8"/>
  <c r="F92" i="14"/>
  <c r="F92" i="10"/>
  <c r="W89" i="9"/>
  <c r="V73" i="14"/>
  <c r="V73" i="10"/>
  <c r="AF92" i="14"/>
  <c r="AF92" i="10"/>
  <c r="AF93" i="10" s="1"/>
  <c r="AW86" i="14"/>
  <c r="AW89" i="1"/>
  <c r="AW86" i="10"/>
  <c r="BO75" i="8"/>
  <c r="AR76" i="10"/>
  <c r="AR76" i="14"/>
  <c r="AU87" i="14"/>
  <c r="AU87" i="10"/>
  <c r="AW57" i="14"/>
  <c r="AW57" i="10"/>
  <c r="V56" i="10"/>
  <c r="V58" i="1"/>
  <c r="V56" i="14"/>
  <c r="V58" i="14" s="1"/>
  <c r="AK28" i="9"/>
  <c r="AQ45" i="14"/>
  <c r="AQ51" i="14" s="1"/>
  <c r="AQ27" i="1"/>
  <c r="AQ45" i="10"/>
  <c r="AQ27" i="10" s="1"/>
  <c r="AR40" i="14"/>
  <c r="AR52" i="1"/>
  <c r="AR22" i="1"/>
  <c r="AR40" i="10"/>
  <c r="AW77" i="10"/>
  <c r="AW77" i="14"/>
  <c r="V63" i="14"/>
  <c r="V63" i="10"/>
  <c r="V83" i="1"/>
  <c r="V22" i="8"/>
  <c r="V52" i="8"/>
  <c r="O50" i="9"/>
  <c r="O20" i="9"/>
  <c r="O41" i="9"/>
  <c r="BO86" i="9"/>
  <c r="AN89" i="9"/>
  <c r="V40" i="10"/>
  <c r="V52" i="1"/>
  <c r="V40" i="14"/>
  <c r="V22" i="1"/>
  <c r="H20" i="1"/>
  <c r="H41" i="1"/>
  <c r="H50" i="1"/>
  <c r="H38" i="14"/>
  <c r="H38" i="10"/>
  <c r="AF63" i="14"/>
  <c r="AF63" i="10"/>
  <c r="AF83" i="1"/>
  <c r="Y26" i="1"/>
  <c r="Y44" i="10"/>
  <c r="Y44" i="14"/>
  <c r="Y47" i="1"/>
  <c r="AD22" i="1"/>
  <c r="AD52" i="1"/>
  <c r="AD40" i="14"/>
  <c r="AD22" i="14" s="1"/>
  <c r="AD40" i="10"/>
  <c r="AJ87" i="14"/>
  <c r="AJ89" i="14" s="1"/>
  <c r="AJ87" i="10"/>
  <c r="AQ40" i="14"/>
  <c r="AQ22" i="1"/>
  <c r="AQ52" i="1"/>
  <c r="AQ40" i="10"/>
  <c r="AL81" i="14"/>
  <c r="AL81" i="10"/>
  <c r="Y14" i="14"/>
  <c r="Y14" i="10"/>
  <c r="Y17" i="1"/>
  <c r="Q44" i="14"/>
  <c r="Q50" i="14" s="1"/>
  <c r="Q26" i="1"/>
  <c r="Q47" i="1"/>
  <c r="Q44" i="10"/>
  <c r="U70" i="10"/>
  <c r="U70" i="14"/>
  <c r="AH38" i="10"/>
  <c r="AH38" i="14"/>
  <c r="AH20" i="1"/>
  <c r="AH41" i="1"/>
  <c r="AH50" i="1"/>
  <c r="L87" i="14"/>
  <c r="L87" i="10"/>
  <c r="AD57" i="14"/>
  <c r="AD57" i="10"/>
  <c r="AD9" i="14"/>
  <c r="AD9" i="10"/>
  <c r="BR9" i="1"/>
  <c r="Y47" i="9"/>
  <c r="Y26" i="9"/>
  <c r="AA28" i="8"/>
  <c r="AK21" i="9"/>
  <c r="AK51" i="9"/>
  <c r="V27" i="9"/>
  <c r="L15" i="10"/>
  <c r="L15" i="14"/>
  <c r="AL68" i="14"/>
  <c r="AL68" i="10"/>
  <c r="AK46" i="14"/>
  <c r="AK28" i="1"/>
  <c r="AK46" i="10"/>
  <c r="T96" i="8"/>
  <c r="AX26" i="8"/>
  <c r="AX47" i="8"/>
  <c r="AX29" i="8" s="1"/>
  <c r="F70" i="14"/>
  <c r="F70" i="10"/>
  <c r="AA92" i="14"/>
  <c r="AA92" i="10"/>
  <c r="AS41" i="9"/>
  <c r="AS50" i="9"/>
  <c r="AS20" i="9"/>
  <c r="BS9" i="9"/>
  <c r="AE89" i="9"/>
  <c r="N40" i="14"/>
  <c r="N22" i="1"/>
  <c r="N52" i="1"/>
  <c r="N40" i="10"/>
  <c r="AE67" i="10"/>
  <c r="AE67" i="14"/>
  <c r="V77" i="10"/>
  <c r="V77" i="14"/>
  <c r="D77" i="14"/>
  <c r="D77" i="10"/>
  <c r="L38" i="14"/>
  <c r="L20" i="1"/>
  <c r="L38" i="10"/>
  <c r="L50" i="1"/>
  <c r="L41" i="1"/>
  <c r="AH76" i="14"/>
  <c r="AH76" i="10"/>
  <c r="AR63" i="14"/>
  <c r="AR63" i="10"/>
  <c r="AR83" i="1"/>
  <c r="AU76" i="14"/>
  <c r="AU76" i="10"/>
  <c r="J27" i="1"/>
  <c r="J45" i="10"/>
  <c r="J45" i="14"/>
  <c r="AM75" i="14"/>
  <c r="AM75" i="10"/>
  <c r="AH20" i="8"/>
  <c r="AH50" i="8"/>
  <c r="AH41" i="8"/>
  <c r="N20" i="8"/>
  <c r="N50" i="8"/>
  <c r="N41" i="8"/>
  <c r="F39" i="10"/>
  <c r="F39" i="14"/>
  <c r="F51" i="1"/>
  <c r="F21" i="1"/>
  <c r="AG15" i="10"/>
  <c r="AG15" i="14"/>
  <c r="AH92" i="10"/>
  <c r="AH92" i="14"/>
  <c r="AY65" i="14"/>
  <c r="AY65" i="10"/>
  <c r="M9" i="10"/>
  <c r="M9" i="14"/>
  <c r="AD81" i="14"/>
  <c r="AD81" i="10"/>
  <c r="AV78" i="10"/>
  <c r="AV78" i="14"/>
  <c r="AX27" i="8"/>
  <c r="N57" i="14"/>
  <c r="N57" i="10"/>
  <c r="W79" i="14"/>
  <c r="W79" i="10"/>
  <c r="AG74" i="14"/>
  <c r="AG74" i="10"/>
  <c r="F74" i="14"/>
  <c r="F74" i="10"/>
  <c r="BT74" i="10" s="1"/>
  <c r="Y92" i="14"/>
  <c r="Y92" i="10"/>
  <c r="AJ52" i="8"/>
  <c r="AJ22" i="8"/>
  <c r="E11" i="1"/>
  <c r="E8" i="10"/>
  <c r="E8" i="14"/>
  <c r="AD67" i="10"/>
  <c r="AD83" i="10" s="1"/>
  <c r="AD67" i="14"/>
  <c r="Z72" i="10"/>
  <c r="Z72" i="14"/>
  <c r="H27" i="8"/>
  <c r="AU11" i="1"/>
  <c r="AU8" i="10"/>
  <c r="AU8" i="14"/>
  <c r="U83" i="8"/>
  <c r="AU82" i="14"/>
  <c r="AU82" i="10"/>
  <c r="P64" i="10"/>
  <c r="P64" i="14"/>
  <c r="AK70" i="10"/>
  <c r="AK70" i="14"/>
  <c r="BO8" i="9"/>
  <c r="AP11" i="9"/>
  <c r="AQ102" i="9" s="1"/>
  <c r="AL50" i="9"/>
  <c r="AL41" i="9"/>
  <c r="AL20" i="9"/>
  <c r="E15" i="14"/>
  <c r="E15" i="10"/>
  <c r="P39" i="10"/>
  <c r="P39" i="14"/>
  <c r="P21" i="1"/>
  <c r="P51" i="1"/>
  <c r="K76" i="10"/>
  <c r="K76" i="14"/>
  <c r="AA45" i="14"/>
  <c r="AA27" i="1"/>
  <c r="AA45" i="10"/>
  <c r="AQ87" i="14"/>
  <c r="AQ87" i="10"/>
  <c r="AQ89" i="10" s="1"/>
  <c r="J50" i="8"/>
  <c r="J41" i="8"/>
  <c r="J20" i="8"/>
  <c r="AG83" i="8"/>
  <c r="AF22" i="1"/>
  <c r="AF40" i="10"/>
  <c r="AF40" i="14"/>
  <c r="AF52" i="1"/>
  <c r="AL27" i="8"/>
  <c r="Q58" i="9"/>
  <c r="N27" i="8"/>
  <c r="V57" i="14"/>
  <c r="V57" i="10"/>
  <c r="I87" i="14"/>
  <c r="I87" i="10"/>
  <c r="AT15" i="14"/>
  <c r="AT17" i="14" s="1"/>
  <c r="AT18" i="14" s="1"/>
  <c r="AT15" i="10"/>
  <c r="X93" i="9"/>
  <c r="S11" i="9"/>
  <c r="Y96" i="1"/>
  <c r="Y95" i="10"/>
  <c r="Y96" i="10" s="1"/>
  <c r="Y95" i="14"/>
  <c r="Y96" i="14" s="1"/>
  <c r="AI58" i="9"/>
  <c r="AI51" i="1"/>
  <c r="AI39" i="10"/>
  <c r="AI21" i="1"/>
  <c r="AI39" i="14"/>
  <c r="V87" i="10"/>
  <c r="V87" i="14"/>
  <c r="AC80" i="14"/>
  <c r="AC80" i="10"/>
  <c r="Y74" i="14"/>
  <c r="Y74" i="10"/>
  <c r="AK87" i="14"/>
  <c r="AK87" i="10"/>
  <c r="W82" i="14"/>
  <c r="W82" i="10"/>
  <c r="N87" i="14"/>
  <c r="N87" i="10"/>
  <c r="G16" i="14"/>
  <c r="G17" i="14" s="1"/>
  <c r="G16" i="10"/>
  <c r="R15" i="10"/>
  <c r="R15" i="14"/>
  <c r="N64" i="10"/>
  <c r="N64" i="14"/>
  <c r="AV89" i="8"/>
  <c r="V47" i="9"/>
  <c r="V26" i="9"/>
  <c r="O79" i="14"/>
  <c r="O79" i="10"/>
  <c r="AH58" i="8"/>
  <c r="AU79" i="14"/>
  <c r="AU79" i="10"/>
  <c r="G56" i="14"/>
  <c r="G56" i="10"/>
  <c r="G58" i="1"/>
  <c r="AW58" i="1"/>
  <c r="AW56" i="10"/>
  <c r="AW56" i="14"/>
  <c r="S14" i="14"/>
  <c r="S17" i="1"/>
  <c r="S14" i="10"/>
  <c r="L95" i="10"/>
  <c r="L96" i="10" s="1"/>
  <c r="L95" i="14"/>
  <c r="L96" i="14" s="1"/>
  <c r="L96" i="1"/>
  <c r="F76" i="10"/>
  <c r="F76" i="14"/>
  <c r="R95" i="10"/>
  <c r="R95" i="14"/>
  <c r="R96" i="14" s="1"/>
  <c r="R96" i="1"/>
  <c r="AB27" i="8"/>
  <c r="AK28" i="8"/>
  <c r="AK34" i="8" s="1"/>
  <c r="R58" i="9"/>
  <c r="AH63" i="14"/>
  <c r="AH83" i="1"/>
  <c r="AH63" i="10"/>
  <c r="H89" i="8"/>
  <c r="G83" i="8"/>
  <c r="AA16" i="14"/>
  <c r="AA16" i="10"/>
  <c r="AK26" i="9"/>
  <c r="AK47" i="9"/>
  <c r="N17" i="9"/>
  <c r="AN88" i="14"/>
  <c r="AN88" i="10"/>
  <c r="BO88" i="1"/>
  <c r="E93" i="8"/>
  <c r="F56" i="14"/>
  <c r="F56" i="10"/>
  <c r="F58" i="1"/>
  <c r="W28" i="8"/>
  <c r="AM45" i="10"/>
  <c r="AM45" i="14"/>
  <c r="AM27" i="1"/>
  <c r="F28" i="8"/>
  <c r="AU11" i="9"/>
  <c r="AA46" i="14"/>
  <c r="AA28" i="1"/>
  <c r="AA46" i="10"/>
  <c r="D44" i="14"/>
  <c r="D44" i="10"/>
  <c r="D47" i="1"/>
  <c r="D26" i="1"/>
  <c r="D32" i="1" s="1"/>
  <c r="AK38" i="10"/>
  <c r="AK50" i="1"/>
  <c r="AK41" i="1"/>
  <c r="AK23" i="1" s="1"/>
  <c r="AK38" i="14"/>
  <c r="AK20" i="1"/>
  <c r="AK32" i="1" s="1"/>
  <c r="AT88" i="14"/>
  <c r="AT88" i="10"/>
  <c r="AF87" i="10"/>
  <c r="AF87" i="14"/>
  <c r="D27" i="8"/>
  <c r="S56" i="10"/>
  <c r="S58" i="1"/>
  <c r="S56" i="14"/>
  <c r="AF50" i="9"/>
  <c r="AF41" i="9"/>
  <c r="AF20" i="9"/>
  <c r="AF72" i="10"/>
  <c r="AF72" i="14"/>
  <c r="AR17" i="9"/>
  <c r="AS76" i="14"/>
  <c r="AS76" i="10"/>
  <c r="AX9" i="10"/>
  <c r="AX9" i="14"/>
  <c r="AX11" i="14" s="1"/>
  <c r="O81" i="10"/>
  <c r="O81" i="14"/>
  <c r="AV69" i="10"/>
  <c r="AV69" i="14"/>
  <c r="G79" i="10"/>
  <c r="G79" i="14"/>
  <c r="AE26" i="8"/>
  <c r="AE32" i="8" s="1"/>
  <c r="AE47" i="8"/>
  <c r="AP17" i="8"/>
  <c r="AV75" i="14"/>
  <c r="AV75" i="10"/>
  <c r="AL28" i="8"/>
  <c r="R92" i="14"/>
  <c r="R92" i="10"/>
  <c r="AF71" i="14"/>
  <c r="AF71" i="10"/>
  <c r="M28" i="8"/>
  <c r="Y88" i="10"/>
  <c r="Y88" i="14"/>
  <c r="AV46" i="14"/>
  <c r="AV46" i="10"/>
  <c r="AV28" i="1"/>
  <c r="AM64" i="14"/>
  <c r="AM64" i="10"/>
  <c r="AC22" i="9"/>
  <c r="AC52" i="9"/>
  <c r="U89" i="1"/>
  <c r="U86" i="10"/>
  <c r="U86" i="14"/>
  <c r="AH72" i="14"/>
  <c r="AH72" i="10"/>
  <c r="D67" i="14"/>
  <c r="D67" i="10"/>
  <c r="P96" i="8"/>
  <c r="AA65" i="14"/>
  <c r="AA65" i="10"/>
  <c r="L11" i="8"/>
  <c r="AF15" i="10"/>
  <c r="AF15" i="14"/>
  <c r="W51" i="8"/>
  <c r="W21" i="8"/>
  <c r="S17" i="9"/>
  <c r="AC70" i="14"/>
  <c r="AC70" i="10"/>
  <c r="D9" i="10"/>
  <c r="D9" i="14"/>
  <c r="AK79" i="10"/>
  <c r="AK79" i="14"/>
  <c r="U74" i="10"/>
  <c r="U74" i="14"/>
  <c r="N95" i="14"/>
  <c r="N96" i="14" s="1"/>
  <c r="N96" i="1"/>
  <c r="N95" i="10"/>
  <c r="N96" i="10" s="1"/>
  <c r="S73" i="14"/>
  <c r="S73" i="10"/>
  <c r="AD39" i="10"/>
  <c r="AD51" i="1"/>
  <c r="AD39" i="14"/>
  <c r="AD21" i="1"/>
  <c r="AD33" i="1" s="1"/>
  <c r="AQ9" i="14"/>
  <c r="AQ9" i="10"/>
  <c r="AT66" i="14"/>
  <c r="AT66" i="10"/>
  <c r="AF52" i="9"/>
  <c r="AF22" i="9"/>
  <c r="AQ82" i="14"/>
  <c r="AQ82" i="10"/>
  <c r="AO81" i="14"/>
  <c r="AO81" i="10"/>
  <c r="Z46" i="10"/>
  <c r="Z46" i="14"/>
  <c r="Z28" i="1"/>
  <c r="AO70" i="14"/>
  <c r="AO70" i="10"/>
  <c r="BO70" i="10" s="1"/>
  <c r="O40" i="10"/>
  <c r="O22" i="10" s="1"/>
  <c r="O52" i="1"/>
  <c r="O40" i="14"/>
  <c r="O22" i="1"/>
  <c r="K79" i="14"/>
  <c r="K79" i="10"/>
  <c r="BW16" i="9"/>
  <c r="BO16" i="9"/>
  <c r="BO17" i="9" s="1"/>
  <c r="AH86" i="14"/>
  <c r="AH89" i="1"/>
  <c r="AH86" i="10"/>
  <c r="AL9" i="14"/>
  <c r="AL9" i="10"/>
  <c r="AE16" i="10"/>
  <c r="AE16" i="14"/>
  <c r="AK88" i="14"/>
  <c r="AK88" i="10"/>
  <c r="L91" i="10"/>
  <c r="L93" i="1"/>
  <c r="L91" i="14"/>
  <c r="W74" i="14"/>
  <c r="W74" i="10"/>
  <c r="AO89" i="9"/>
  <c r="AL39" i="10"/>
  <c r="AL21" i="10" s="1"/>
  <c r="AL51" i="1"/>
  <c r="AL39" i="14"/>
  <c r="AL21" i="1"/>
  <c r="AJ22" i="9"/>
  <c r="AJ52" i="9"/>
  <c r="U79" i="14"/>
  <c r="U79" i="10"/>
  <c r="X27" i="1"/>
  <c r="X45" i="10"/>
  <c r="X45" i="14"/>
  <c r="V72" i="14"/>
  <c r="V72" i="10"/>
  <c r="S64" i="10"/>
  <c r="S64" i="14"/>
  <c r="AW27" i="9"/>
  <c r="K39" i="10"/>
  <c r="K21" i="1"/>
  <c r="K39" i="14"/>
  <c r="K51" i="1"/>
  <c r="AX89" i="8"/>
  <c r="H57" i="10"/>
  <c r="H57" i="14"/>
  <c r="I17" i="8"/>
  <c r="AW81" i="14"/>
  <c r="AW81" i="10"/>
  <c r="AW51" i="8"/>
  <c r="AW21" i="8"/>
  <c r="AB9" i="14"/>
  <c r="AB11" i="14" s="1"/>
  <c r="AB9" i="10"/>
  <c r="AU67" i="14"/>
  <c r="AU67" i="10"/>
  <c r="AF50" i="8"/>
  <c r="AF20" i="8"/>
  <c r="AF41" i="8"/>
  <c r="AM88" i="10"/>
  <c r="AM88" i="14"/>
  <c r="AY63" i="14"/>
  <c r="AY83" i="1"/>
  <c r="AY63" i="10"/>
  <c r="G74" i="10"/>
  <c r="G74" i="14"/>
  <c r="F9" i="14"/>
  <c r="BT9" i="14" s="1"/>
  <c r="F9" i="10"/>
  <c r="BT9" i="1"/>
  <c r="F46" i="10"/>
  <c r="F46" i="14"/>
  <c r="F28" i="1"/>
  <c r="AH75" i="14"/>
  <c r="AH75" i="10"/>
  <c r="I10" i="10"/>
  <c r="I10" i="14"/>
  <c r="AB81" i="14"/>
  <c r="BR81" i="14" s="1"/>
  <c r="AB81" i="10"/>
  <c r="E51" i="8"/>
  <c r="E21" i="8"/>
  <c r="AD14" i="14"/>
  <c r="AD17" i="14" s="1"/>
  <c r="AD17" i="1"/>
  <c r="AD14" i="10"/>
  <c r="Y69" i="14"/>
  <c r="Y69" i="10"/>
  <c r="AW50" i="1"/>
  <c r="AW38" i="14"/>
  <c r="AW41" i="1"/>
  <c r="AW20" i="1"/>
  <c r="AW38" i="10"/>
  <c r="D17" i="9"/>
  <c r="AI8" i="14"/>
  <c r="AI11" i="1"/>
  <c r="AI8" i="10"/>
  <c r="S68" i="14"/>
  <c r="S68" i="10"/>
  <c r="U96" i="1"/>
  <c r="U95" i="14"/>
  <c r="U96" i="14" s="1"/>
  <c r="U95" i="10"/>
  <c r="U96" i="10" s="1"/>
  <c r="AH77" i="14"/>
  <c r="AH77" i="10"/>
  <c r="P50" i="8"/>
  <c r="P41" i="8"/>
  <c r="P20" i="8"/>
  <c r="P32" i="8" s="1"/>
  <c r="E70" i="14"/>
  <c r="E70" i="10"/>
  <c r="AO75" i="10"/>
  <c r="AO75" i="14"/>
  <c r="AN81" i="14"/>
  <c r="AN81" i="10"/>
  <c r="BO81" i="1"/>
  <c r="AT58" i="8"/>
  <c r="AT20" i="8"/>
  <c r="AT50" i="8"/>
  <c r="AT41" i="8"/>
  <c r="AT50" i="1"/>
  <c r="AT38" i="14"/>
  <c r="AT20" i="1"/>
  <c r="AT38" i="10"/>
  <c r="AT41" i="1"/>
  <c r="AT53" i="1" s="1"/>
  <c r="AT60" i="1" s="1"/>
  <c r="J28" i="8"/>
  <c r="J34" i="8" s="1"/>
  <c r="AN46" i="14"/>
  <c r="AN28" i="1"/>
  <c r="AN46" i="10"/>
  <c r="BO46" i="1"/>
  <c r="AF68" i="14"/>
  <c r="AF68" i="10"/>
  <c r="O28" i="8"/>
  <c r="AU38" i="14"/>
  <c r="AU20" i="1"/>
  <c r="AU41" i="1"/>
  <c r="AU23" i="1" s="1"/>
  <c r="AU50" i="1"/>
  <c r="AU38" i="10"/>
  <c r="AV27" i="8"/>
  <c r="AL88" i="10"/>
  <c r="AL88" i="14"/>
  <c r="K72" i="14"/>
  <c r="K72" i="10"/>
  <c r="AJ14" i="14"/>
  <c r="AJ14" i="10"/>
  <c r="AJ17" i="1"/>
  <c r="AD80" i="14"/>
  <c r="AD80" i="10"/>
  <c r="J15" i="10"/>
  <c r="J15" i="14"/>
  <c r="Q15" i="10"/>
  <c r="Q15" i="14"/>
  <c r="AN68" i="14"/>
  <c r="AN68" i="10"/>
  <c r="BO68" i="1"/>
  <c r="AK89" i="8"/>
  <c r="AY64" i="14"/>
  <c r="AY64" i="10"/>
  <c r="AP10" i="14"/>
  <c r="BO10" i="14" s="1"/>
  <c r="AP10" i="10"/>
  <c r="BO10" i="1"/>
  <c r="G66" i="14"/>
  <c r="G66" i="10"/>
  <c r="AB93" i="8"/>
  <c r="AS92" i="14"/>
  <c r="AS92" i="10"/>
  <c r="AS93" i="10" s="1"/>
  <c r="W47" i="9"/>
  <c r="W26" i="9"/>
  <c r="AG79" i="10"/>
  <c r="AG79" i="14"/>
  <c r="AB89" i="8"/>
  <c r="AM38" i="14"/>
  <c r="AM20" i="1"/>
  <c r="AM38" i="10"/>
  <c r="AM41" i="10" s="1"/>
  <c r="AM41" i="1"/>
  <c r="AM50" i="1"/>
  <c r="E46" i="14"/>
  <c r="E28" i="1"/>
  <c r="E46" i="10"/>
  <c r="P69" i="14"/>
  <c r="P69" i="10"/>
  <c r="AM73" i="14"/>
  <c r="AM73" i="10"/>
  <c r="AU58" i="8"/>
  <c r="AN41" i="8"/>
  <c r="BO38" i="8"/>
  <c r="AN50" i="8"/>
  <c r="AN20" i="8"/>
  <c r="P9" i="14"/>
  <c r="P9" i="10"/>
  <c r="O52" i="9"/>
  <c r="O22" i="9"/>
  <c r="AW66" i="10"/>
  <c r="AW66" i="14"/>
  <c r="AY81" i="10"/>
  <c r="AY81" i="14"/>
  <c r="Y51" i="8"/>
  <c r="Y21" i="8"/>
  <c r="Y33" i="8" s="1"/>
  <c r="AC88" i="14"/>
  <c r="AC89" i="14" s="1"/>
  <c r="AC88" i="10"/>
  <c r="V81" i="14"/>
  <c r="V81" i="10"/>
  <c r="AH89" i="9"/>
  <c r="AC40" i="14"/>
  <c r="AC40" i="10"/>
  <c r="AC52" i="1"/>
  <c r="AC22" i="1"/>
  <c r="AC34" i="1" s="1"/>
  <c r="D68" i="14"/>
  <c r="D68" i="10"/>
  <c r="Y16" i="14"/>
  <c r="Y16" i="10"/>
  <c r="AP38" i="14"/>
  <c r="AP20" i="1"/>
  <c r="AP38" i="10"/>
  <c r="AP41" i="1"/>
  <c r="AP50" i="1"/>
  <c r="AQ22" i="8"/>
  <c r="AQ52" i="8"/>
  <c r="T16" i="14"/>
  <c r="T28" i="14" s="1"/>
  <c r="T16" i="10"/>
  <c r="N16" i="14"/>
  <c r="N16" i="10"/>
  <c r="N28" i="10" s="1"/>
  <c r="AR21" i="8"/>
  <c r="AR51" i="8"/>
  <c r="AJ74" i="14"/>
  <c r="AJ74" i="10"/>
  <c r="R82" i="14"/>
  <c r="R82" i="10"/>
  <c r="E38" i="14"/>
  <c r="E38" i="10"/>
  <c r="E41" i="1"/>
  <c r="E20" i="1"/>
  <c r="E50" i="1"/>
  <c r="H95" i="14"/>
  <c r="H96" i="14" s="1"/>
  <c r="H96" i="1"/>
  <c r="H95" i="10"/>
  <c r="H96" i="10" s="1"/>
  <c r="U17" i="9"/>
  <c r="F91" i="10"/>
  <c r="F91" i="14"/>
  <c r="F93" i="14" s="1"/>
  <c r="F93" i="1"/>
  <c r="AR70" i="14"/>
  <c r="AR70" i="10"/>
  <c r="G65" i="10"/>
  <c r="G65" i="14"/>
  <c r="M57" i="10"/>
  <c r="M57" i="14"/>
  <c r="M58" i="14" s="1"/>
  <c r="BS10" i="8"/>
  <c r="AT78" i="14"/>
  <c r="AT78" i="10"/>
  <c r="AX20" i="1"/>
  <c r="AX38" i="10"/>
  <c r="AX50" i="10" s="1"/>
  <c r="AX50" i="1"/>
  <c r="AX38" i="14"/>
  <c r="AX41" i="1"/>
  <c r="AR46" i="14"/>
  <c r="AR28" i="14" s="1"/>
  <c r="AR28" i="1"/>
  <c r="AR46" i="10"/>
  <c r="AV80" i="14"/>
  <c r="AV80" i="10"/>
  <c r="AT79" i="14"/>
  <c r="AT79" i="10"/>
  <c r="X47" i="1"/>
  <c r="X44" i="14"/>
  <c r="X26" i="1"/>
  <c r="X44" i="10"/>
  <c r="AT17" i="9"/>
  <c r="AW83" i="8"/>
  <c r="X50" i="1"/>
  <c r="X38" i="14"/>
  <c r="X20" i="1"/>
  <c r="X32" i="1" s="1"/>
  <c r="X41" i="1"/>
  <c r="X38" i="10"/>
  <c r="AM50" i="8"/>
  <c r="AM41" i="8"/>
  <c r="AM20" i="8"/>
  <c r="AE15" i="14"/>
  <c r="AE15" i="10"/>
  <c r="Z16" i="10"/>
  <c r="Z22" i="10" s="1"/>
  <c r="Z16" i="14"/>
  <c r="E47" i="1"/>
  <c r="E44" i="14"/>
  <c r="E26" i="1"/>
  <c r="E44" i="10"/>
  <c r="E26" i="10" s="1"/>
  <c r="F28" i="9"/>
  <c r="AJ83" i="9"/>
  <c r="AN41" i="9"/>
  <c r="AN53" i="9" s="1"/>
  <c r="AN60" i="9" s="1"/>
  <c r="AN98" i="9" s="1"/>
  <c r="AN20" i="9"/>
  <c r="AN32" i="9" s="1"/>
  <c r="BO38" i="9"/>
  <c r="AN50" i="9"/>
  <c r="R93" i="9"/>
  <c r="V89" i="9"/>
  <c r="L72" i="14"/>
  <c r="L72" i="10"/>
  <c r="F41" i="1"/>
  <c r="F38" i="14"/>
  <c r="F20" i="14" s="1"/>
  <c r="F20" i="1"/>
  <c r="F32" i="1" s="1"/>
  <c r="F50" i="1"/>
  <c r="F38" i="10"/>
  <c r="Q89" i="8"/>
  <c r="AX66" i="10"/>
  <c r="AX66" i="14"/>
  <c r="O69" i="10"/>
  <c r="O69" i="14"/>
  <c r="X75" i="14"/>
  <c r="X75" i="10"/>
  <c r="AO80" i="14"/>
  <c r="AO80" i="10"/>
  <c r="Y93" i="8"/>
  <c r="Z67" i="10"/>
  <c r="Z67" i="14"/>
  <c r="AY39" i="14"/>
  <c r="AY51" i="1"/>
  <c r="AY21" i="1"/>
  <c r="AY39" i="10"/>
  <c r="AW11" i="1"/>
  <c r="AW8" i="10"/>
  <c r="AW8" i="14"/>
  <c r="L92" i="10"/>
  <c r="L92" i="14"/>
  <c r="P40" i="14"/>
  <c r="P40" i="10"/>
  <c r="P22" i="1"/>
  <c r="P52" i="1"/>
  <c r="O96" i="8"/>
  <c r="Y15" i="14"/>
  <c r="Y15" i="10"/>
  <c r="AF27" i="1"/>
  <c r="AF45" i="10"/>
  <c r="AF45" i="14"/>
  <c r="AH74" i="14"/>
  <c r="AH74" i="10"/>
  <c r="AW40" i="14"/>
  <c r="AW40" i="10"/>
  <c r="AW52" i="1"/>
  <c r="AW22" i="1"/>
  <c r="AE92" i="14"/>
  <c r="AE92" i="10"/>
  <c r="AJ58" i="1"/>
  <c r="AJ56" i="14"/>
  <c r="AJ58" i="14" s="1"/>
  <c r="AJ56" i="10"/>
  <c r="AJ58" i="10" s="1"/>
  <c r="AW87" i="14"/>
  <c r="AW87" i="10"/>
  <c r="AC57" i="14"/>
  <c r="AC57" i="10"/>
  <c r="J67" i="14"/>
  <c r="J67" i="10"/>
  <c r="E73" i="14"/>
  <c r="E73" i="10"/>
  <c r="AM26" i="8"/>
  <c r="AM47" i="8"/>
  <c r="AM29" i="8" s="1"/>
  <c r="AM35" i="8" s="1"/>
  <c r="H28" i="8"/>
  <c r="AD73" i="14"/>
  <c r="AD73" i="10"/>
  <c r="E9" i="14"/>
  <c r="E9" i="10"/>
  <c r="Z74" i="10"/>
  <c r="Z74" i="14"/>
  <c r="AK8" i="10"/>
  <c r="AK8" i="14"/>
  <c r="AK11" i="14" s="1"/>
  <c r="AK11" i="1"/>
  <c r="AH10" i="14"/>
  <c r="AH10" i="10"/>
  <c r="AM78" i="14"/>
  <c r="AM78" i="10"/>
  <c r="AW70" i="14"/>
  <c r="AW70" i="10"/>
  <c r="N70" i="10"/>
  <c r="N70" i="14"/>
  <c r="AV83" i="8"/>
  <c r="AE74" i="14"/>
  <c r="AE74" i="10"/>
  <c r="AX96" i="9"/>
  <c r="AR39" i="14"/>
  <c r="AR39" i="10"/>
  <c r="AR51" i="1"/>
  <c r="AR21" i="1"/>
  <c r="F75" i="14"/>
  <c r="F75" i="10"/>
  <c r="Y28" i="9"/>
  <c r="AT83" i="8"/>
  <c r="N28" i="8"/>
  <c r="AC83" i="9"/>
  <c r="AP72" i="10"/>
  <c r="AP72" i="14"/>
  <c r="AW67" i="10"/>
  <c r="AW67" i="14"/>
  <c r="D15" i="10"/>
  <c r="D15" i="14"/>
  <c r="E10" i="14"/>
  <c r="E10" i="10"/>
  <c r="G15" i="10"/>
  <c r="G15" i="14"/>
  <c r="AA79" i="14"/>
  <c r="AA79" i="10"/>
  <c r="AX74" i="14"/>
  <c r="AX74" i="10"/>
  <c r="AX82" i="10"/>
  <c r="AX82" i="14"/>
  <c r="N76" i="14"/>
  <c r="N76" i="10"/>
  <c r="AS81" i="14"/>
  <c r="AS81" i="10"/>
  <c r="K81" i="10"/>
  <c r="K81" i="14"/>
  <c r="I86" i="14"/>
  <c r="I89" i="1"/>
  <c r="I86" i="10"/>
  <c r="AK9" i="14"/>
  <c r="AK9" i="10"/>
  <c r="AC75" i="14"/>
  <c r="AC75" i="10"/>
  <c r="AF77" i="10"/>
  <c r="AF77" i="14"/>
  <c r="AY58" i="8"/>
  <c r="T17" i="9"/>
  <c r="AM21" i="9"/>
  <c r="AM51" i="9"/>
  <c r="M70" i="14"/>
  <c r="M70" i="10"/>
  <c r="N58" i="8"/>
  <c r="AS89" i="8"/>
  <c r="T56" i="10"/>
  <c r="T56" i="14"/>
  <c r="T58" i="1"/>
  <c r="S96" i="9"/>
  <c r="V16" i="10"/>
  <c r="V16" i="14"/>
  <c r="AF39" i="10"/>
  <c r="AF51" i="1"/>
  <c r="AF39" i="14"/>
  <c r="AF41" i="14" s="1"/>
  <c r="AF53" i="14" s="1"/>
  <c r="AF21" i="1"/>
  <c r="AF33" i="1" s="1"/>
  <c r="T74" i="14"/>
  <c r="T74" i="10"/>
  <c r="AP96" i="8"/>
  <c r="J57" i="14"/>
  <c r="J57" i="10"/>
  <c r="Z28" i="8"/>
  <c r="AO28" i="9"/>
  <c r="F10" i="14"/>
  <c r="BT10" i="1"/>
  <c r="F10" i="10"/>
  <c r="M10" i="10"/>
  <c r="M10" i="14"/>
  <c r="P27" i="1"/>
  <c r="P45" i="10"/>
  <c r="P45" i="14"/>
  <c r="P47" i="14" s="1"/>
  <c r="AE69" i="14"/>
  <c r="AE69" i="10"/>
  <c r="AD8" i="14"/>
  <c r="BR8" i="14" s="1"/>
  <c r="AD8" i="10"/>
  <c r="AD11" i="1"/>
  <c r="BR8" i="1"/>
  <c r="G44" i="14"/>
  <c r="G26" i="1"/>
  <c r="G44" i="10"/>
  <c r="G47" i="1"/>
  <c r="AH17" i="8"/>
  <c r="K95" i="10"/>
  <c r="K96" i="10" s="1"/>
  <c r="K95" i="14"/>
  <c r="K96" i="14" s="1"/>
  <c r="K96" i="1"/>
  <c r="AP91" i="14"/>
  <c r="AP93" i="1"/>
  <c r="AP91" i="10"/>
  <c r="AG82" i="10"/>
  <c r="AG82" i="14"/>
  <c r="D46" i="14"/>
  <c r="D28" i="1"/>
  <c r="D46" i="10"/>
  <c r="J10" i="14"/>
  <c r="J10" i="10"/>
  <c r="F69" i="14"/>
  <c r="F69" i="10"/>
  <c r="AI79" i="14"/>
  <c r="AI79" i="10"/>
  <c r="AT82" i="10"/>
  <c r="AT82" i="14"/>
  <c r="AL38" i="10"/>
  <c r="AL41" i="1"/>
  <c r="AL38" i="14"/>
  <c r="AL50" i="1"/>
  <c r="AL20" i="1"/>
  <c r="AD83" i="9"/>
  <c r="P70" i="10"/>
  <c r="P70" i="14"/>
  <c r="M47" i="1"/>
  <c r="M29" i="1" s="1"/>
  <c r="M26" i="1"/>
  <c r="M44" i="10"/>
  <c r="M50" i="10" s="1"/>
  <c r="M44" i="14"/>
  <c r="T14" i="10"/>
  <c r="T14" i="14"/>
  <c r="T17" i="1"/>
  <c r="G28" i="8"/>
  <c r="AV16" i="14"/>
  <c r="AV28" i="14" s="1"/>
  <c r="AV16" i="10"/>
  <c r="AV28" i="10" s="1"/>
  <c r="AS15" i="14"/>
  <c r="AS15" i="10"/>
  <c r="V10" i="14"/>
  <c r="V10" i="10"/>
  <c r="AO10" i="14"/>
  <c r="BQ10" i="14" s="1"/>
  <c r="AO10" i="10"/>
  <c r="BQ10" i="1"/>
  <c r="AU68" i="14"/>
  <c r="AU68" i="10"/>
  <c r="AJ51" i="9"/>
  <c r="AJ21" i="9"/>
  <c r="AJ33" i="9" s="1"/>
  <c r="Y66" i="10"/>
  <c r="Y66" i="14"/>
  <c r="AL44" i="14"/>
  <c r="AL26" i="1"/>
  <c r="AL44" i="10"/>
  <c r="AL50" i="10" s="1"/>
  <c r="AL47" i="1"/>
  <c r="J76" i="10"/>
  <c r="J76" i="14"/>
  <c r="AT51" i="9"/>
  <c r="AT21" i="9"/>
  <c r="F80" i="14"/>
  <c r="F80" i="10"/>
  <c r="BS9" i="8"/>
  <c r="AI11" i="9"/>
  <c r="AI95" i="14"/>
  <c r="AI96" i="14" s="1"/>
  <c r="AI96" i="1"/>
  <c r="AI95" i="10"/>
  <c r="AI96" i="10" s="1"/>
  <c r="AW20" i="9"/>
  <c r="AW41" i="9"/>
  <c r="AW50" i="9"/>
  <c r="AL14" i="14"/>
  <c r="AL26" i="14" s="1"/>
  <c r="AL17" i="1"/>
  <c r="AL14" i="10"/>
  <c r="X11" i="1"/>
  <c r="X8" i="10"/>
  <c r="X11" i="10" s="1"/>
  <c r="X8" i="14"/>
  <c r="X11" i="14" s="1"/>
  <c r="AT20" i="9"/>
  <c r="AT50" i="9"/>
  <c r="AT41" i="9"/>
  <c r="L89" i="9"/>
  <c r="F15" i="14"/>
  <c r="F17" i="14" s="1"/>
  <c r="F15" i="10"/>
  <c r="AI93" i="9"/>
  <c r="AH87" i="14"/>
  <c r="AH87" i="10"/>
  <c r="T81" i="14"/>
  <c r="T81" i="10"/>
  <c r="AP87" i="14"/>
  <c r="AP87" i="10"/>
  <c r="AA83" i="8"/>
  <c r="W78" i="10"/>
  <c r="W78" i="14"/>
  <c r="AH16" i="14"/>
  <c r="AH16" i="10"/>
  <c r="AE28" i="8"/>
  <c r="H9" i="14"/>
  <c r="H9" i="10"/>
  <c r="I50" i="1"/>
  <c r="I38" i="10"/>
  <c r="I41" i="1"/>
  <c r="I23" i="1" s="1"/>
  <c r="I20" i="1"/>
  <c r="I32" i="1" s="1"/>
  <c r="I38" i="14"/>
  <c r="AU66" i="10"/>
  <c r="AU66" i="14"/>
  <c r="H73" i="10"/>
  <c r="H73" i="14"/>
  <c r="AQ89" i="9"/>
  <c r="H40" i="14"/>
  <c r="H22" i="14" s="1"/>
  <c r="H22" i="1"/>
  <c r="H40" i="10"/>
  <c r="H22" i="10" s="1"/>
  <c r="H52" i="1"/>
  <c r="AV28" i="9"/>
  <c r="AI16" i="14"/>
  <c r="AI16" i="10"/>
  <c r="AI28" i="10" s="1"/>
  <c r="AC8" i="14"/>
  <c r="AC11" i="1"/>
  <c r="AD102" i="1" s="1"/>
  <c r="AC8" i="10"/>
  <c r="AU73" i="14"/>
  <c r="AU73" i="10"/>
  <c r="W77" i="14"/>
  <c r="W77" i="10"/>
  <c r="AB28" i="8"/>
  <c r="AC78" i="14"/>
  <c r="AC78" i="10"/>
  <c r="S10" i="14"/>
  <c r="S10" i="10"/>
  <c r="O77" i="14"/>
  <c r="O77" i="10"/>
  <c r="AB51" i="8"/>
  <c r="AB21" i="8"/>
  <c r="BW16" i="8"/>
  <c r="BO16" i="8"/>
  <c r="X66" i="14"/>
  <c r="X66" i="10"/>
  <c r="D10" i="10"/>
  <c r="D10" i="14"/>
  <c r="D11" i="14" s="1"/>
  <c r="Y40" i="14"/>
  <c r="Y52" i="1"/>
  <c r="Y22" i="1"/>
  <c r="Y40" i="10"/>
  <c r="M78" i="14"/>
  <c r="M78" i="10"/>
  <c r="S41" i="8"/>
  <c r="S50" i="8"/>
  <c r="S20" i="8"/>
  <c r="S32" i="8" s="1"/>
  <c r="AS78" i="10"/>
  <c r="AS78" i="14"/>
  <c r="AE22" i="8"/>
  <c r="AE52" i="8"/>
  <c r="AH95" i="14"/>
  <c r="AH96" i="14" s="1"/>
  <c r="AH96" i="1"/>
  <c r="AH95" i="10"/>
  <c r="AH96" i="10" s="1"/>
  <c r="AT45" i="10"/>
  <c r="AT27" i="1"/>
  <c r="AT45" i="14"/>
  <c r="AF56" i="14"/>
  <c r="AF56" i="10"/>
  <c r="AF58" i="1"/>
  <c r="W65" i="14"/>
  <c r="W65" i="10"/>
  <c r="H92" i="14"/>
  <c r="H92" i="10"/>
  <c r="AB96" i="9"/>
  <c r="Z89" i="8"/>
  <c r="Y70" i="10"/>
  <c r="Y70" i="14"/>
  <c r="S20" i="9"/>
  <c r="S41" i="9"/>
  <c r="S50" i="9"/>
  <c r="AM71" i="14"/>
  <c r="AM71" i="10"/>
  <c r="AP64" i="14"/>
  <c r="AP64" i="10"/>
  <c r="AS83" i="9"/>
  <c r="F77" i="14"/>
  <c r="BT77" i="14" s="1"/>
  <c r="F77" i="10"/>
  <c r="U93" i="8"/>
  <c r="D57" i="14"/>
  <c r="D57" i="10"/>
  <c r="V26" i="8"/>
  <c r="V47" i="8"/>
  <c r="V29" i="8" s="1"/>
  <c r="Z58" i="9"/>
  <c r="AJ93" i="8"/>
  <c r="AR81" i="10"/>
  <c r="AR81" i="14"/>
  <c r="AC20" i="8"/>
  <c r="AC50" i="8"/>
  <c r="AC41" i="8"/>
  <c r="Y11" i="9"/>
  <c r="H26" i="8"/>
  <c r="H32" i="8" s="1"/>
  <c r="H47" i="8"/>
  <c r="H29" i="8" s="1"/>
  <c r="Z41" i="8"/>
  <c r="Z53" i="8" s="1"/>
  <c r="Z50" i="8"/>
  <c r="Z20" i="8"/>
  <c r="D83" i="9"/>
  <c r="AH15" i="14"/>
  <c r="AH15" i="10"/>
  <c r="AM17" i="8"/>
  <c r="H56" i="10"/>
  <c r="H58" i="1"/>
  <c r="H56" i="14"/>
  <c r="G11" i="9"/>
  <c r="P15" i="14"/>
  <c r="P15" i="10"/>
  <c r="AN14" i="14"/>
  <c r="AN17" i="1"/>
  <c r="AN14" i="10"/>
  <c r="BO14" i="1"/>
  <c r="BW14" i="1"/>
  <c r="AU88" i="14"/>
  <c r="AU88" i="10"/>
  <c r="R9" i="14"/>
  <c r="BS9" i="14" s="1"/>
  <c r="R9" i="10"/>
  <c r="BS9" i="1"/>
  <c r="Z15" i="10"/>
  <c r="Z15" i="14"/>
  <c r="Z21" i="14" s="1"/>
  <c r="AQ95" i="14"/>
  <c r="AQ96" i="14" s="1"/>
  <c r="AQ96" i="1"/>
  <c r="AQ95" i="10"/>
  <c r="AQ96" i="10" s="1"/>
  <c r="Y63" i="14"/>
  <c r="Y63" i="10"/>
  <c r="Y83" i="1"/>
  <c r="Z81" i="14"/>
  <c r="Z81" i="10"/>
  <c r="T92" i="10"/>
  <c r="T92" i="14"/>
  <c r="D27" i="9"/>
  <c r="AD22" i="9"/>
  <c r="AD52" i="9"/>
  <c r="G80" i="14"/>
  <c r="G80" i="10"/>
  <c r="H83" i="9"/>
  <c r="AV96" i="9"/>
  <c r="AM74" i="14"/>
  <c r="AM74" i="10"/>
  <c r="AX72" i="10"/>
  <c r="AX72" i="14"/>
  <c r="J56" i="14"/>
  <c r="J56" i="10"/>
  <c r="J58" i="10" s="1"/>
  <c r="J58" i="1"/>
  <c r="AL17" i="9"/>
  <c r="AQ28" i="1"/>
  <c r="AQ46" i="10"/>
  <c r="AQ46" i="14"/>
  <c r="AN73" i="14"/>
  <c r="AN73" i="10"/>
  <c r="BO73" i="1"/>
  <c r="J64" i="14"/>
  <c r="J64" i="10"/>
  <c r="L75" i="14"/>
  <c r="L75" i="10"/>
  <c r="Z11" i="8"/>
  <c r="U20" i="9"/>
  <c r="U41" i="9"/>
  <c r="U50" i="9"/>
  <c r="AS86" i="10"/>
  <c r="AS86" i="14"/>
  <c r="AS89" i="1"/>
  <c r="J17" i="8"/>
  <c r="L67" i="14"/>
  <c r="L67" i="10"/>
  <c r="O93" i="1"/>
  <c r="O91" i="10"/>
  <c r="O91" i="14"/>
  <c r="AG45" i="14"/>
  <c r="AG45" i="10"/>
  <c r="AG27" i="1"/>
  <c r="D70" i="10"/>
  <c r="D70" i="14"/>
  <c r="AC79" i="10"/>
  <c r="AC79" i="14"/>
  <c r="BR79" i="14" s="1"/>
  <c r="D89" i="9"/>
  <c r="AH52" i="9"/>
  <c r="AH22" i="9"/>
  <c r="AB45" i="14"/>
  <c r="AB27" i="1"/>
  <c r="AB45" i="10"/>
  <c r="AB27" i="10" s="1"/>
  <c r="AQ27" i="9"/>
  <c r="N15" i="14"/>
  <c r="N17" i="14" s="1"/>
  <c r="N15" i="10"/>
  <c r="AQ20" i="8"/>
  <c r="AQ32" i="8" s="1"/>
  <c r="AQ50" i="8"/>
  <c r="AQ41" i="8"/>
  <c r="AQ53" i="8" s="1"/>
  <c r="AX83" i="8"/>
  <c r="W96" i="1"/>
  <c r="W95" i="10"/>
  <c r="W96" i="10" s="1"/>
  <c r="W95" i="14"/>
  <c r="W96" i="14" s="1"/>
  <c r="AW44" i="14"/>
  <c r="AW26" i="1"/>
  <c r="AW44" i="10"/>
  <c r="AW26" i="10" s="1"/>
  <c r="AW47" i="1"/>
  <c r="P46" i="14"/>
  <c r="P28" i="1"/>
  <c r="P46" i="10"/>
  <c r="AI69" i="14"/>
  <c r="AI69" i="10"/>
  <c r="AI27" i="9"/>
  <c r="AB22" i="9"/>
  <c r="AB52" i="9"/>
  <c r="Y75" i="10"/>
  <c r="Y75" i="14"/>
  <c r="Q47" i="9"/>
  <c r="Q26" i="9"/>
  <c r="Z63" i="14"/>
  <c r="Z63" i="10"/>
  <c r="Z83" i="1"/>
  <c r="J47" i="8"/>
  <c r="J26" i="8"/>
  <c r="Y46" i="14"/>
  <c r="Y28" i="1"/>
  <c r="Y46" i="10"/>
  <c r="Y52" i="10" s="1"/>
  <c r="AU72" i="14"/>
  <c r="AU72" i="10"/>
  <c r="R58" i="8"/>
  <c r="P79" i="14"/>
  <c r="P79" i="10"/>
  <c r="E81" i="14"/>
  <c r="E81" i="10"/>
  <c r="AQ14" i="14"/>
  <c r="AQ14" i="10"/>
  <c r="AQ17" i="1"/>
  <c r="AY50" i="9"/>
  <c r="AY20" i="9"/>
  <c r="AY41" i="9"/>
  <c r="AC38" i="10"/>
  <c r="AC50" i="10" s="1"/>
  <c r="AC38" i="14"/>
  <c r="AC20" i="1"/>
  <c r="AC50" i="1"/>
  <c r="AC41" i="1"/>
  <c r="AK58" i="1"/>
  <c r="AK56" i="14"/>
  <c r="AK58" i="14" s="1"/>
  <c r="AK56" i="10"/>
  <c r="AK58" i="10" s="1"/>
  <c r="AX51" i="9"/>
  <c r="AX21" i="9"/>
  <c r="AJ16" i="14"/>
  <c r="AJ17" i="14" s="1"/>
  <c r="AJ16" i="10"/>
  <c r="AP14" i="10"/>
  <c r="AP14" i="14"/>
  <c r="AP17" i="1"/>
  <c r="Z66" i="14"/>
  <c r="Z66" i="10"/>
  <c r="AI52" i="1"/>
  <c r="AI40" i="14"/>
  <c r="AI22" i="1"/>
  <c r="AI34" i="1" s="1"/>
  <c r="AI40" i="10"/>
  <c r="AX92" i="14"/>
  <c r="AX93" i="14" s="1"/>
  <c r="AX92" i="10"/>
  <c r="D88" i="10"/>
  <c r="D88" i="14"/>
  <c r="AT28" i="8"/>
  <c r="G89" i="1"/>
  <c r="G86" i="10"/>
  <c r="G86" i="14"/>
  <c r="E39" i="10"/>
  <c r="E39" i="14"/>
  <c r="E21" i="1"/>
  <c r="E51" i="1"/>
  <c r="H52" i="9"/>
  <c r="H22" i="9"/>
  <c r="H34" i="9" s="1"/>
  <c r="AU77" i="14"/>
  <c r="AU77" i="10"/>
  <c r="D69" i="14"/>
  <c r="D69" i="10"/>
  <c r="M51" i="9"/>
  <c r="M21" i="9"/>
  <c r="Q27" i="8"/>
  <c r="AQ80" i="14"/>
  <c r="AQ80" i="10"/>
  <c r="T47" i="9"/>
  <c r="T26" i="9"/>
  <c r="AX50" i="9"/>
  <c r="AX41" i="9"/>
  <c r="AX20" i="9"/>
  <c r="AI93" i="8"/>
  <c r="N83" i="9"/>
  <c r="AI86" i="14"/>
  <c r="AI89" i="14" s="1"/>
  <c r="AI86" i="10"/>
  <c r="AI89" i="1"/>
  <c r="AE46" i="10"/>
  <c r="AE28" i="1"/>
  <c r="AE46" i="14"/>
  <c r="AE52" i="14" s="1"/>
  <c r="AX86" i="14"/>
  <c r="AX89" i="1"/>
  <c r="AX86" i="10"/>
  <c r="Z26" i="9"/>
  <c r="Z47" i="9"/>
  <c r="J88" i="14"/>
  <c r="J88" i="10"/>
  <c r="S87" i="14"/>
  <c r="S87" i="10"/>
  <c r="Z14" i="14"/>
  <c r="Z17" i="1"/>
  <c r="Z14" i="10"/>
  <c r="O45" i="14"/>
  <c r="O45" i="10"/>
  <c r="O27" i="1"/>
  <c r="E89" i="8"/>
  <c r="AH11" i="9"/>
  <c r="AS50" i="1"/>
  <c r="AS38" i="14"/>
  <c r="AS20" i="1"/>
  <c r="AS38" i="10"/>
  <c r="AS41" i="1"/>
  <c r="AG93" i="8"/>
  <c r="E96" i="9"/>
  <c r="AF27" i="8"/>
  <c r="T79" i="14"/>
  <c r="T79" i="10"/>
  <c r="AM16" i="14"/>
  <c r="AM16" i="10"/>
  <c r="AI70" i="14"/>
  <c r="AI70" i="10"/>
  <c r="M16" i="14"/>
  <c r="M16" i="10"/>
  <c r="P82" i="10"/>
  <c r="BS82" i="10" s="1"/>
  <c r="P82" i="14"/>
  <c r="H65" i="10"/>
  <c r="H65" i="14"/>
  <c r="L65" i="14"/>
  <c r="L65" i="10"/>
  <c r="AK93" i="8"/>
  <c r="K93" i="9"/>
  <c r="Q69" i="14"/>
  <c r="Q69" i="10"/>
  <c r="J70" i="14"/>
  <c r="J70" i="10"/>
  <c r="AQ68" i="10"/>
  <c r="AQ68" i="14"/>
  <c r="AS82" i="14"/>
  <c r="AS82" i="10"/>
  <c r="AW96" i="9"/>
  <c r="U58" i="8"/>
  <c r="U60" i="8" s="1"/>
  <c r="W87" i="10"/>
  <c r="W87" i="14"/>
  <c r="Y8" i="14"/>
  <c r="Y11" i="1"/>
  <c r="Y8" i="10"/>
  <c r="AP51" i="9"/>
  <c r="AP21" i="9"/>
  <c r="AP33" i="9" s="1"/>
  <c r="AO15" i="10"/>
  <c r="AO15" i="14"/>
  <c r="S26" i="1"/>
  <c r="S44" i="10"/>
  <c r="S44" i="14"/>
  <c r="S26" i="14" s="1"/>
  <c r="S47" i="1"/>
  <c r="M91" i="14"/>
  <c r="M93" i="1"/>
  <c r="M91" i="10"/>
  <c r="M93" i="10" s="1"/>
  <c r="AR73" i="14"/>
  <c r="AR73" i="10"/>
  <c r="F26" i="9"/>
  <c r="F47" i="9"/>
  <c r="AF88" i="10"/>
  <c r="AF88" i="14"/>
  <c r="AG9" i="10"/>
  <c r="AG9" i="14"/>
  <c r="AA81" i="14"/>
  <c r="AA81" i="10"/>
  <c r="AG92" i="14"/>
  <c r="AG92" i="10"/>
  <c r="AX11" i="9"/>
  <c r="O47" i="8"/>
  <c r="O26" i="8"/>
  <c r="H72" i="14"/>
  <c r="H72" i="10"/>
  <c r="AL27" i="1"/>
  <c r="AL45" i="10"/>
  <c r="AL45" i="14"/>
  <c r="AL27" i="14" s="1"/>
  <c r="G21" i="9"/>
  <c r="G51" i="9"/>
  <c r="Q64" i="10"/>
  <c r="BS64" i="10" s="1"/>
  <c r="Q64" i="14"/>
  <c r="T96" i="9"/>
  <c r="W66" i="10"/>
  <c r="W66" i="14"/>
  <c r="AQ64" i="10"/>
  <c r="AQ64" i="14"/>
  <c r="AA72" i="14"/>
  <c r="AA72" i="10"/>
  <c r="AO63" i="14"/>
  <c r="AO63" i="10"/>
  <c r="AO83" i="1"/>
  <c r="AL71" i="14"/>
  <c r="AL71" i="10"/>
  <c r="G51" i="8"/>
  <c r="G21" i="8"/>
  <c r="AE65" i="14"/>
  <c r="AE65" i="10"/>
  <c r="E80" i="14"/>
  <c r="E80" i="10"/>
  <c r="AY47" i="8"/>
  <c r="AY26" i="8"/>
  <c r="BO10" i="9"/>
  <c r="Y17" i="9"/>
  <c r="AT69" i="14"/>
  <c r="AT69" i="10"/>
  <c r="E28" i="9"/>
  <c r="AW71" i="14"/>
  <c r="AW71" i="10"/>
  <c r="Z9" i="14"/>
  <c r="Z9" i="10"/>
  <c r="AW75" i="10"/>
  <c r="AW75" i="14"/>
  <c r="AG47" i="8"/>
  <c r="AG53" i="8" s="1"/>
  <c r="AG26" i="8"/>
  <c r="AG32" i="8" s="1"/>
  <c r="S58" i="9"/>
  <c r="AS67" i="10"/>
  <c r="AS67" i="14"/>
  <c r="AC73" i="10"/>
  <c r="AC73" i="14"/>
  <c r="Q66" i="10"/>
  <c r="Q66" i="14"/>
  <c r="Q52" i="9"/>
  <c r="Q22" i="9"/>
  <c r="U68" i="10"/>
  <c r="U68" i="14"/>
  <c r="AN63" i="14"/>
  <c r="AN63" i="10"/>
  <c r="AN83" i="1"/>
  <c r="BO63" i="1"/>
  <c r="F22" i="9"/>
  <c r="F52" i="9"/>
  <c r="Y22" i="8"/>
  <c r="Y52" i="8"/>
  <c r="I83" i="8"/>
  <c r="AC89" i="8"/>
  <c r="AT86" i="14"/>
  <c r="AT86" i="10"/>
  <c r="AT89" i="1"/>
  <c r="T93" i="8"/>
  <c r="K11" i="9"/>
  <c r="Z27" i="8"/>
  <c r="AV89" i="9"/>
  <c r="BO70" i="8"/>
  <c r="H96" i="8"/>
  <c r="AV71" i="14"/>
  <c r="AV71" i="10"/>
  <c r="K17" i="8"/>
  <c r="G96" i="1"/>
  <c r="G95" i="10"/>
  <c r="G96" i="10" s="1"/>
  <c r="G95" i="14"/>
  <c r="G96" i="14" s="1"/>
  <c r="S76" i="14"/>
  <c r="S76" i="10"/>
  <c r="S83" i="10" s="1"/>
  <c r="N68" i="10"/>
  <c r="N68" i="14"/>
  <c r="R27" i="8"/>
  <c r="AV91" i="10"/>
  <c r="AV93" i="10" s="1"/>
  <c r="AV91" i="14"/>
  <c r="AV93" i="1"/>
  <c r="AB57" i="14"/>
  <c r="AB57" i="10"/>
  <c r="AB58" i="10" s="1"/>
  <c r="D14" i="14"/>
  <c r="D26" i="14" s="1"/>
  <c r="D14" i="10"/>
  <c r="D17" i="1"/>
  <c r="Q51" i="8"/>
  <c r="Q21" i="8"/>
  <c r="AG17" i="1"/>
  <c r="AG14" i="10"/>
  <c r="AG14" i="14"/>
  <c r="AX21" i="8"/>
  <c r="AX51" i="8"/>
  <c r="P56" i="14"/>
  <c r="P58" i="14" s="1"/>
  <c r="P56" i="10"/>
  <c r="P58" i="10" s="1"/>
  <c r="P58" i="1"/>
  <c r="AP92" i="10"/>
  <c r="AP92" i="14"/>
  <c r="K17" i="9"/>
  <c r="K23" i="9" s="1"/>
  <c r="AD68" i="14"/>
  <c r="AD68" i="10"/>
  <c r="AG17" i="8"/>
  <c r="J28" i="9"/>
  <c r="AK83" i="9"/>
  <c r="E66" i="14"/>
  <c r="E66" i="10"/>
  <c r="AY26" i="9"/>
  <c r="AY32" i="9" s="1"/>
  <c r="AY47" i="9"/>
  <c r="F27" i="9"/>
  <c r="AD47" i="8"/>
  <c r="AD26" i="8"/>
  <c r="BO95" i="9"/>
  <c r="BO96" i="9" s="1"/>
  <c r="AN96" i="9"/>
  <c r="AR96" i="1"/>
  <c r="AR95" i="10"/>
  <c r="AR96" i="10" s="1"/>
  <c r="AR95" i="14"/>
  <c r="AR96" i="14" s="1"/>
  <c r="AN16" i="14"/>
  <c r="AN16" i="10"/>
  <c r="BW16" i="1"/>
  <c r="BO16" i="1"/>
  <c r="AR96" i="8"/>
  <c r="S58" i="8"/>
  <c r="L69" i="14"/>
  <c r="L69" i="10"/>
  <c r="AY68" i="14"/>
  <c r="AY68" i="10"/>
  <c r="O28" i="9"/>
  <c r="T89" i="8"/>
  <c r="W17" i="8"/>
  <c r="J47" i="9"/>
  <c r="J26" i="9"/>
  <c r="J32" i="9" s="1"/>
  <c r="G17" i="8"/>
  <c r="AM69" i="10"/>
  <c r="AM69" i="14"/>
  <c r="AP26" i="9"/>
  <c r="AP47" i="9"/>
  <c r="AK45" i="14"/>
  <c r="AK45" i="10"/>
  <c r="AK27" i="1"/>
  <c r="AG56" i="10"/>
  <c r="AG58" i="1"/>
  <c r="AG56" i="14"/>
  <c r="AB93" i="9"/>
  <c r="AN87" i="14"/>
  <c r="AN87" i="10"/>
  <c r="BO87" i="1"/>
  <c r="AH28" i="9"/>
  <c r="AH34" i="9" s="1"/>
  <c r="R93" i="8"/>
  <c r="AR47" i="8"/>
  <c r="AR26" i="8"/>
  <c r="H63" i="14"/>
  <c r="H63" i="10"/>
  <c r="H83" i="1"/>
  <c r="BO67" i="8"/>
  <c r="V27" i="8"/>
  <c r="AM11" i="9"/>
  <c r="O92" i="14"/>
  <c r="O92" i="10"/>
  <c r="AR52" i="9"/>
  <c r="AR22" i="9"/>
  <c r="U56" i="14"/>
  <c r="U56" i="10"/>
  <c r="U58" i="1"/>
  <c r="AV86" i="14"/>
  <c r="AV89" i="1"/>
  <c r="AV86" i="10"/>
  <c r="AM70" i="14"/>
  <c r="AM70" i="10"/>
  <c r="AT65" i="14"/>
  <c r="AT65" i="10"/>
  <c r="S46" i="14"/>
  <c r="S28" i="14" s="1"/>
  <c r="S28" i="1"/>
  <c r="S46" i="10"/>
  <c r="G67" i="10"/>
  <c r="G67" i="14"/>
  <c r="AW28" i="9"/>
  <c r="AK86" i="10"/>
  <c r="AK86" i="14"/>
  <c r="AK89" i="1"/>
  <c r="R83" i="8"/>
  <c r="AC58" i="8"/>
  <c r="W96" i="9"/>
  <c r="AP20" i="8"/>
  <c r="AP50" i="8"/>
  <c r="AP41" i="8"/>
  <c r="AP23" i="8" s="1"/>
  <c r="AW92" i="10"/>
  <c r="AW92" i="14"/>
  <c r="X21" i="9"/>
  <c r="X51" i="9"/>
  <c r="BO78" i="9"/>
  <c r="AL21" i="8"/>
  <c r="AL51" i="8"/>
  <c r="AK52" i="8"/>
  <c r="AK22" i="8"/>
  <c r="AD96" i="8"/>
  <c r="AI81" i="14"/>
  <c r="AI81" i="10"/>
  <c r="AU89" i="9"/>
  <c r="AL72" i="14"/>
  <c r="AL72" i="10"/>
  <c r="H67" i="14"/>
  <c r="H67" i="10"/>
  <c r="H86" i="10"/>
  <c r="H89" i="1"/>
  <c r="H86" i="14"/>
  <c r="AF11" i="1"/>
  <c r="AF8" i="14"/>
  <c r="AF8" i="10"/>
  <c r="W38" i="14"/>
  <c r="W20" i="1"/>
  <c r="W50" i="1"/>
  <c r="W41" i="1"/>
  <c r="W38" i="10"/>
  <c r="T15" i="10"/>
  <c r="T15" i="14"/>
  <c r="AO73" i="14"/>
  <c r="AO73" i="10"/>
  <c r="AS22" i="8"/>
  <c r="AS52" i="8"/>
  <c r="AM47" i="9"/>
  <c r="AM29" i="9" s="1"/>
  <c r="AM26" i="9"/>
  <c r="AS28" i="9"/>
  <c r="O56" i="14"/>
  <c r="O58" i="14" s="1"/>
  <c r="O56" i="10"/>
  <c r="O58" i="10" s="1"/>
  <c r="O58" i="1"/>
  <c r="AQ83" i="8"/>
  <c r="AR28" i="9"/>
  <c r="AR34" i="9" s="1"/>
  <c r="AA11" i="8"/>
  <c r="AB102" i="8" s="1"/>
  <c r="W71" i="14"/>
  <c r="W71" i="10"/>
  <c r="AW72" i="14"/>
  <c r="AW72" i="10"/>
  <c r="AD93" i="9"/>
  <c r="S38" i="14"/>
  <c r="S20" i="1"/>
  <c r="S50" i="1"/>
  <c r="S41" i="1"/>
  <c r="S38" i="10"/>
  <c r="E58" i="8"/>
  <c r="AE83" i="9"/>
  <c r="L73" i="14"/>
  <c r="L73" i="10"/>
  <c r="AR17" i="8"/>
  <c r="AR23" i="8" s="1"/>
  <c r="AI22" i="8"/>
  <c r="AI34" i="8" s="1"/>
  <c r="AI52" i="8"/>
  <c r="M76" i="10"/>
  <c r="M76" i="14"/>
  <c r="AV70" i="10"/>
  <c r="AV70" i="14"/>
  <c r="AX22" i="1"/>
  <c r="AX40" i="10"/>
  <c r="AX52" i="1"/>
  <c r="AX40" i="14"/>
  <c r="AH8" i="14"/>
  <c r="AH11" i="1"/>
  <c r="AI102" i="1" s="1"/>
  <c r="AH8" i="10"/>
  <c r="R96" i="9"/>
  <c r="M39" i="14"/>
  <c r="M21" i="1"/>
  <c r="M33" i="1" s="1"/>
  <c r="M39" i="10"/>
  <c r="M51" i="1"/>
  <c r="AQ96" i="9"/>
  <c r="G57" i="14"/>
  <c r="G58" i="14" s="1"/>
  <c r="G57" i="10"/>
  <c r="N45" i="10"/>
  <c r="N27" i="1"/>
  <c r="N45" i="14"/>
  <c r="Q46" i="14"/>
  <c r="Q28" i="14" s="1"/>
  <c r="Q28" i="1"/>
  <c r="Q46" i="10"/>
  <c r="Q28" i="10" s="1"/>
  <c r="AF11" i="9"/>
  <c r="I9" i="14"/>
  <c r="I9" i="10"/>
  <c r="AK77" i="10"/>
  <c r="AK77" i="14"/>
  <c r="I83" i="9"/>
  <c r="AA10" i="14"/>
  <c r="AA10" i="10"/>
  <c r="P75" i="14"/>
  <c r="P75" i="10"/>
  <c r="AS64" i="10"/>
  <c r="AS64" i="14"/>
  <c r="Z8" i="14"/>
  <c r="Z11" i="14" s="1"/>
  <c r="Z11" i="1"/>
  <c r="Z8" i="10"/>
  <c r="N11" i="9"/>
  <c r="Q63" i="10"/>
  <c r="Q83" i="1"/>
  <c r="Q63" i="14"/>
  <c r="AX70" i="14"/>
  <c r="AX70" i="10"/>
  <c r="H51" i="1"/>
  <c r="H39" i="10"/>
  <c r="H39" i="14"/>
  <c r="H21" i="1"/>
  <c r="U9" i="10"/>
  <c r="U9" i="14"/>
  <c r="J83" i="9"/>
  <c r="AY58" i="9"/>
  <c r="O58" i="8"/>
  <c r="AB21" i="9"/>
  <c r="AB51" i="9"/>
  <c r="Y58" i="8"/>
  <c r="AU65" i="10"/>
  <c r="AU65" i="14"/>
  <c r="I45" i="14"/>
  <c r="I27" i="1"/>
  <c r="I45" i="10"/>
  <c r="M28" i="1"/>
  <c r="M46" i="14"/>
  <c r="M46" i="10"/>
  <c r="M28" i="10" s="1"/>
  <c r="AD78" i="10"/>
  <c r="AD78" i="14"/>
  <c r="AH70" i="10"/>
  <c r="AH70" i="14"/>
  <c r="T75" i="10"/>
  <c r="T75" i="14"/>
  <c r="AY11" i="9"/>
  <c r="AL83" i="8"/>
  <c r="AG11" i="9"/>
  <c r="G70" i="10"/>
  <c r="G70" i="14"/>
  <c r="R28" i="8"/>
  <c r="R34" i="8" s="1"/>
  <c r="AK15" i="10"/>
  <c r="AK15" i="14"/>
  <c r="AB51" i="1"/>
  <c r="AB39" i="14"/>
  <c r="AB21" i="1"/>
  <c r="AB39" i="10"/>
  <c r="AQ71" i="14"/>
  <c r="AQ71" i="10"/>
  <c r="AC96" i="1"/>
  <c r="AC95" i="14"/>
  <c r="AC96" i="14" s="1"/>
  <c r="AC95" i="10"/>
  <c r="AC96" i="10" s="1"/>
  <c r="S16" i="14"/>
  <c r="S16" i="10"/>
  <c r="Z57" i="14"/>
  <c r="Z57" i="10"/>
  <c r="Z41" i="1"/>
  <c r="Z38" i="14"/>
  <c r="Z20" i="1"/>
  <c r="Z38" i="10"/>
  <c r="Z20" i="10" s="1"/>
  <c r="Z50" i="1"/>
  <c r="F87" i="14"/>
  <c r="F87" i="10"/>
  <c r="AP68" i="14"/>
  <c r="AP68" i="10"/>
  <c r="T28" i="8"/>
  <c r="N67" i="14"/>
  <c r="N67" i="10"/>
  <c r="P28" i="8"/>
  <c r="S88" i="10"/>
  <c r="S88" i="14"/>
  <c r="AJ92" i="14"/>
  <c r="AJ92" i="10"/>
  <c r="D11" i="9"/>
  <c r="AN10" i="10"/>
  <c r="AN10" i="14"/>
  <c r="AL28" i="9"/>
  <c r="G89" i="9"/>
  <c r="N63" i="14"/>
  <c r="N63" i="10"/>
  <c r="N83" i="1"/>
  <c r="O15" i="14"/>
  <c r="O21" i="14" s="1"/>
  <c r="O15" i="10"/>
  <c r="G83" i="9"/>
  <c r="Y28" i="8"/>
  <c r="I76" i="10"/>
  <c r="I76" i="14"/>
  <c r="X89" i="9"/>
  <c r="X96" i="9"/>
  <c r="N58" i="9"/>
  <c r="R20" i="8"/>
  <c r="R41" i="8"/>
  <c r="R50" i="8"/>
  <c r="AM28" i="8"/>
  <c r="AR27" i="8"/>
  <c r="H11" i="9"/>
  <c r="D17" i="8"/>
  <c r="AG76" i="14"/>
  <c r="AG76" i="10"/>
  <c r="AY17" i="8"/>
  <c r="AP40" i="14"/>
  <c r="AP22" i="1"/>
  <c r="AP40" i="10"/>
  <c r="AP52" i="1"/>
  <c r="AF86" i="10"/>
  <c r="AF86" i="14"/>
  <c r="AF89" i="1"/>
  <c r="BO80" i="9"/>
  <c r="O64" i="14"/>
  <c r="O64" i="10"/>
  <c r="AL11" i="1"/>
  <c r="AL8" i="10"/>
  <c r="AL8" i="14"/>
  <c r="AL11" i="14" s="1"/>
  <c r="D75" i="14"/>
  <c r="BT75" i="14" s="1"/>
  <c r="D75" i="10"/>
  <c r="AV39" i="14"/>
  <c r="AV51" i="1"/>
  <c r="AV21" i="1"/>
  <c r="AV39" i="10"/>
  <c r="AM93" i="9"/>
  <c r="D26" i="9"/>
  <c r="D32" i="9" s="1"/>
  <c r="D47" i="9"/>
  <c r="D29" i="9" s="1"/>
  <c r="AW82" i="10"/>
  <c r="AW82" i="14"/>
  <c r="R14" i="14"/>
  <c r="R17" i="14" s="1"/>
  <c r="R17" i="1"/>
  <c r="R14" i="10"/>
  <c r="AU9" i="10"/>
  <c r="AU9" i="14"/>
  <c r="AU11" i="14" s="1"/>
  <c r="AE64" i="14"/>
  <c r="AE64" i="10"/>
  <c r="AV8" i="14"/>
  <c r="AV8" i="10"/>
  <c r="AV11" i="1"/>
  <c r="AC39" i="10"/>
  <c r="AC51" i="1"/>
  <c r="AC39" i="14"/>
  <c r="BR39" i="14" s="1"/>
  <c r="AC21" i="1"/>
  <c r="Z22" i="1"/>
  <c r="Z34" i="1" s="1"/>
  <c r="Z40" i="10"/>
  <c r="Z52" i="10" s="1"/>
  <c r="Z40" i="14"/>
  <c r="Z52" i="1"/>
  <c r="AO41" i="9"/>
  <c r="AO20" i="9"/>
  <c r="AO50" i="9"/>
  <c r="AY80" i="14"/>
  <c r="AY80" i="10"/>
  <c r="H82" i="14"/>
  <c r="H82" i="10"/>
  <c r="AY83" i="8"/>
  <c r="AN82" i="14"/>
  <c r="AN82" i="10"/>
  <c r="BO82" i="1"/>
  <c r="AI71" i="10"/>
  <c r="AI71" i="14"/>
  <c r="AW27" i="8"/>
  <c r="W96" i="8"/>
  <c r="T11" i="9"/>
  <c r="L41" i="8"/>
  <c r="L53" i="8" s="1"/>
  <c r="L50" i="8"/>
  <c r="L20" i="8"/>
  <c r="L32" i="8" s="1"/>
  <c r="Q67" i="14"/>
  <c r="Q67" i="10"/>
  <c r="W47" i="8"/>
  <c r="W26" i="8"/>
  <c r="AY69" i="10"/>
  <c r="AY69" i="14"/>
  <c r="AO27" i="9"/>
  <c r="K70" i="14"/>
  <c r="K70" i="10"/>
  <c r="AY56" i="10"/>
  <c r="AY58" i="1"/>
  <c r="AY56" i="14"/>
  <c r="AG87" i="14"/>
  <c r="AG87" i="10"/>
  <c r="AU74" i="14"/>
  <c r="AU74" i="10"/>
  <c r="K96" i="9"/>
  <c r="E27" i="8"/>
  <c r="W76" i="14"/>
  <c r="W76" i="10"/>
  <c r="AB22" i="1"/>
  <c r="AB40" i="10"/>
  <c r="AB40" i="14"/>
  <c r="AB52" i="1"/>
  <c r="W20" i="8"/>
  <c r="W41" i="8"/>
  <c r="W50" i="8"/>
  <c r="AQ56" i="14"/>
  <c r="AQ56" i="10"/>
  <c r="AQ58" i="1"/>
  <c r="Q58" i="8"/>
  <c r="AI14" i="14"/>
  <c r="AI17" i="1"/>
  <c r="AI14" i="10"/>
  <c r="AG52" i="9"/>
  <c r="AG22" i="9"/>
  <c r="P51" i="8"/>
  <c r="P21" i="8"/>
  <c r="I8" i="14"/>
  <c r="I11" i="1"/>
  <c r="I8" i="10"/>
  <c r="R75" i="14"/>
  <c r="R75" i="10"/>
  <c r="BO79" i="8"/>
  <c r="J78" i="14"/>
  <c r="J78" i="10"/>
  <c r="AP78" i="14"/>
  <c r="AP78" i="10"/>
  <c r="AD82" i="14"/>
  <c r="BR82" i="14" s="1"/>
  <c r="AD82" i="10"/>
  <c r="E26" i="8"/>
  <c r="E47" i="8"/>
  <c r="E29" i="8" s="1"/>
  <c r="U40" i="14"/>
  <c r="U22" i="14" s="1"/>
  <c r="U40" i="10"/>
  <c r="U22" i="1"/>
  <c r="U52" i="1"/>
  <c r="AT92" i="14"/>
  <c r="AT93" i="14" s="1"/>
  <c r="AT92" i="10"/>
  <c r="AF38" i="10"/>
  <c r="AF50" i="1"/>
  <c r="AF41" i="1"/>
  <c r="AF23" i="1" s="1"/>
  <c r="AF20" i="1"/>
  <c r="AF32" i="1" s="1"/>
  <c r="AF38" i="14"/>
  <c r="AF50" i="14" s="1"/>
  <c r="L96" i="9"/>
  <c r="X83" i="8"/>
  <c r="Z58" i="8"/>
  <c r="AU64" i="10"/>
  <c r="AU64" i="14"/>
  <c r="AM65" i="14"/>
  <c r="AM65" i="10"/>
  <c r="BO66" i="8"/>
  <c r="AF65" i="14"/>
  <c r="AF65" i="10"/>
  <c r="N17" i="8"/>
  <c r="BO81" i="9"/>
  <c r="AK22" i="9"/>
  <c r="AK52" i="9"/>
  <c r="AP76" i="10"/>
  <c r="AP76" i="14"/>
  <c r="AV88" i="14"/>
  <c r="AV88" i="10"/>
  <c r="AW93" i="9"/>
  <c r="BQ10" i="8"/>
  <c r="I89" i="9"/>
  <c r="AR83" i="9"/>
  <c r="AO46" i="14"/>
  <c r="AO46" i="10"/>
  <c r="AO28" i="1"/>
  <c r="N21" i="8"/>
  <c r="N33" i="8" s="1"/>
  <c r="N51" i="8"/>
  <c r="AN71" i="10"/>
  <c r="AN71" i="14"/>
  <c r="BO71" i="1"/>
  <c r="F40" i="14"/>
  <c r="F22" i="14" s="1"/>
  <c r="F22" i="1"/>
  <c r="F34" i="1" s="1"/>
  <c r="F40" i="10"/>
  <c r="F52" i="1"/>
  <c r="AL17" i="8"/>
  <c r="Q20" i="9"/>
  <c r="Q50" i="9"/>
  <c r="Q41" i="9"/>
  <c r="M40" i="14"/>
  <c r="M40" i="10"/>
  <c r="M52" i="1"/>
  <c r="M22" i="1"/>
  <c r="AK65" i="14"/>
  <c r="AK65" i="10"/>
  <c r="U96" i="9"/>
  <c r="U17" i="8"/>
  <c r="U23" i="8" s="1"/>
  <c r="U58" i="9"/>
  <c r="BO87" i="9"/>
  <c r="AS58" i="9"/>
  <c r="S27" i="8"/>
  <c r="H93" i="9"/>
  <c r="E56" i="10"/>
  <c r="E58" i="1"/>
  <c r="E56" i="14"/>
  <c r="AE14" i="14"/>
  <c r="AE14" i="10"/>
  <c r="AE17" i="10" s="1"/>
  <c r="AE17" i="1"/>
  <c r="AE29" i="1" s="1"/>
  <c r="AK11" i="9"/>
  <c r="AS63" i="10"/>
  <c r="AS83" i="1"/>
  <c r="AS63" i="14"/>
  <c r="H41" i="9"/>
  <c r="H20" i="9"/>
  <c r="H50" i="9"/>
  <c r="O67" i="10"/>
  <c r="O67" i="14"/>
  <c r="AL96" i="8"/>
  <c r="AM92" i="10"/>
  <c r="AM92" i="14"/>
  <c r="H22" i="8"/>
  <c r="H52" i="8"/>
  <c r="AF93" i="8"/>
  <c r="T22" i="8"/>
  <c r="T52" i="8"/>
  <c r="K58" i="8"/>
  <c r="AM68" i="10"/>
  <c r="AM68" i="14"/>
  <c r="AN77" i="10"/>
  <c r="AN77" i="14"/>
  <c r="BO77" i="1"/>
  <c r="AE26" i="9"/>
  <c r="AE32" i="9" s="1"/>
  <c r="AE47" i="9"/>
  <c r="AL89" i="8"/>
  <c r="U8" i="14"/>
  <c r="U11" i="1"/>
  <c r="U8" i="10"/>
  <c r="L86" i="14"/>
  <c r="L89" i="1"/>
  <c r="L86" i="10"/>
  <c r="L89" i="10" s="1"/>
  <c r="AR10" i="14"/>
  <c r="AR10" i="10"/>
  <c r="E41" i="9"/>
  <c r="E50" i="9"/>
  <c r="E20" i="9"/>
  <c r="W92" i="14"/>
  <c r="W93" i="14" s="1"/>
  <c r="W92" i="10"/>
  <c r="W93" i="10" s="1"/>
  <c r="AT63" i="14"/>
  <c r="AT83" i="1"/>
  <c r="AT63" i="10"/>
  <c r="AW65" i="10"/>
  <c r="AW65" i="14"/>
  <c r="AJ91" i="14"/>
  <c r="AJ93" i="1"/>
  <c r="AJ91" i="10"/>
  <c r="AM44" i="14"/>
  <c r="AM47" i="14" s="1"/>
  <c r="AM44" i="10"/>
  <c r="AM47" i="1"/>
  <c r="AM26" i="1"/>
  <c r="AW46" i="10"/>
  <c r="AW46" i="14"/>
  <c r="AW28" i="1"/>
  <c r="Y89" i="8"/>
  <c r="J58" i="9"/>
  <c r="AF17" i="9"/>
  <c r="AF23" i="9" s="1"/>
  <c r="AO17" i="8"/>
  <c r="AO29" i="8" s="1"/>
  <c r="AU17" i="9"/>
  <c r="D89" i="8"/>
  <c r="X79" i="14"/>
  <c r="X79" i="10"/>
  <c r="D93" i="8"/>
  <c r="AC17" i="9"/>
  <c r="AC29" i="9" s="1"/>
  <c r="AF79" i="14"/>
  <c r="AF79" i="10"/>
  <c r="AF11" i="8"/>
  <c r="H15" i="14"/>
  <c r="H15" i="10"/>
  <c r="AV47" i="9"/>
  <c r="AV26" i="9"/>
  <c r="AM22" i="1"/>
  <c r="AM34" i="1" s="1"/>
  <c r="AM40" i="14"/>
  <c r="AM40" i="10"/>
  <c r="AM52" i="1"/>
  <c r="AN17" i="9"/>
  <c r="BW14" i="9"/>
  <c r="BO14" i="9"/>
  <c r="J72" i="14"/>
  <c r="J72" i="10"/>
  <c r="N72" i="14"/>
  <c r="N72" i="10"/>
  <c r="AA27" i="8"/>
  <c r="Q87" i="14"/>
  <c r="Q87" i="10"/>
  <c r="L17" i="1"/>
  <c r="L14" i="10"/>
  <c r="L20" i="10" s="1"/>
  <c r="L14" i="14"/>
  <c r="L17" i="14" s="1"/>
  <c r="L57" i="10"/>
  <c r="L58" i="10" s="1"/>
  <c r="L57" i="14"/>
  <c r="W16" i="14"/>
  <c r="W16" i="10"/>
  <c r="Y72" i="10"/>
  <c r="Y72" i="14"/>
  <c r="W89" i="8"/>
  <c r="N93" i="8"/>
  <c r="AX93" i="8"/>
  <c r="K45" i="10"/>
  <c r="K27" i="10" s="1"/>
  <c r="K45" i="14"/>
  <c r="K27" i="14" s="1"/>
  <c r="K27" i="1"/>
  <c r="R69" i="14"/>
  <c r="R69" i="10"/>
  <c r="E71" i="14"/>
  <c r="E71" i="10"/>
  <c r="BT71" i="10" s="1"/>
  <c r="Z20" i="9"/>
  <c r="Z32" i="9" s="1"/>
  <c r="Z50" i="9"/>
  <c r="Z41" i="9"/>
  <c r="AF57" i="14"/>
  <c r="AF57" i="10"/>
  <c r="K44" i="10"/>
  <c r="K47" i="1"/>
  <c r="K44" i="14"/>
  <c r="K47" i="14" s="1"/>
  <c r="K53" i="14" s="1"/>
  <c r="K26" i="1"/>
  <c r="K32" i="1" s="1"/>
  <c r="H68" i="14"/>
  <c r="H68" i="10"/>
  <c r="AC28" i="9"/>
  <c r="X95" i="14"/>
  <c r="X96" i="14" s="1"/>
  <c r="X95" i="10"/>
  <c r="X96" i="10" s="1"/>
  <c r="X96" i="1"/>
  <c r="BO82" i="9"/>
  <c r="AU89" i="8"/>
  <c r="AW78" i="14"/>
  <c r="AW78" i="10"/>
  <c r="AR20" i="1"/>
  <c r="AR32" i="1" s="1"/>
  <c r="AR38" i="10"/>
  <c r="AR41" i="1"/>
  <c r="AR38" i="14"/>
  <c r="AR50" i="14" s="1"/>
  <c r="AR50" i="1"/>
  <c r="E69" i="10"/>
  <c r="BT69" i="10" s="1"/>
  <c r="E69" i="14"/>
  <c r="S69" i="14"/>
  <c r="S69" i="10"/>
  <c r="Q77" i="14"/>
  <c r="Q77" i="10"/>
  <c r="W86" i="14"/>
  <c r="W89" i="1"/>
  <c r="W86" i="10"/>
  <c r="W89" i="10" s="1"/>
  <c r="Y67" i="14"/>
  <c r="Y67" i="10"/>
  <c r="AT80" i="10"/>
  <c r="AT80" i="14"/>
  <c r="BO82" i="8"/>
  <c r="BO69" i="8"/>
  <c r="AA20" i="1"/>
  <c r="AA38" i="10"/>
  <c r="AA50" i="1"/>
  <c r="AA38" i="14"/>
  <c r="AA41" i="1"/>
  <c r="S9" i="14"/>
  <c r="S9" i="10"/>
  <c r="R11" i="8"/>
  <c r="BS8" i="8"/>
  <c r="AE58" i="8"/>
  <c r="AE96" i="8"/>
  <c r="AK63" i="10"/>
  <c r="AK83" i="1"/>
  <c r="AK63" i="14"/>
  <c r="D79" i="14"/>
  <c r="D79" i="10"/>
  <c r="AT8" i="14"/>
  <c r="AT11" i="1"/>
  <c r="AT102" i="1" s="1"/>
  <c r="AT8" i="10"/>
  <c r="AW83" i="9"/>
  <c r="J50" i="9"/>
  <c r="J41" i="9"/>
  <c r="J20" i="9"/>
  <c r="AR27" i="9"/>
  <c r="K22" i="9"/>
  <c r="K52" i="9"/>
  <c r="AM28" i="1"/>
  <c r="AM46" i="10"/>
  <c r="AM46" i="14"/>
  <c r="N41" i="9"/>
  <c r="N20" i="9"/>
  <c r="N50" i="9"/>
  <c r="AJ96" i="8"/>
  <c r="AC58" i="1"/>
  <c r="AC56" i="14"/>
  <c r="AC56" i="10"/>
  <c r="AC58" i="10" s="1"/>
  <c r="O93" i="9"/>
  <c r="S93" i="9"/>
  <c r="D96" i="8"/>
  <c r="AS51" i="9"/>
  <c r="AS21" i="9"/>
  <c r="AS33" i="9" s="1"/>
  <c r="N66" i="14"/>
  <c r="N66" i="10"/>
  <c r="G47" i="8"/>
  <c r="G26" i="8"/>
  <c r="O58" i="9"/>
  <c r="W28" i="9"/>
  <c r="S15" i="14"/>
  <c r="S15" i="10"/>
  <c r="AN96" i="1"/>
  <c r="AN95" i="14"/>
  <c r="AN95" i="10"/>
  <c r="AN96" i="10" s="1"/>
  <c r="BO95" i="1"/>
  <c r="BO96" i="1" s="1"/>
  <c r="AO66" i="10"/>
  <c r="AO66" i="14"/>
  <c r="AN78" i="14"/>
  <c r="AN78" i="10"/>
  <c r="AN83" i="10" s="1"/>
  <c r="BO78" i="1"/>
  <c r="AC92" i="14"/>
  <c r="AC92" i="10"/>
  <c r="AI17" i="9"/>
  <c r="R46" i="10"/>
  <c r="R46" i="14"/>
  <c r="R28" i="1"/>
  <c r="AO20" i="1"/>
  <c r="AO32" i="1" s="1"/>
  <c r="AO38" i="10"/>
  <c r="AO50" i="1"/>
  <c r="AO41" i="1"/>
  <c r="AO38" i="14"/>
  <c r="G87" i="14"/>
  <c r="G87" i="10"/>
  <c r="AH9" i="14"/>
  <c r="AH9" i="10"/>
  <c r="AG73" i="10"/>
  <c r="AG73" i="14"/>
  <c r="AU28" i="8"/>
  <c r="AL46" i="14"/>
  <c r="AL28" i="1"/>
  <c r="AL46" i="10"/>
  <c r="Q26" i="8"/>
  <c r="Q47" i="8"/>
  <c r="Q29" i="8" s="1"/>
  <c r="H78" i="10"/>
  <c r="H78" i="14"/>
  <c r="F21" i="8"/>
  <c r="F51" i="8"/>
  <c r="X68" i="10"/>
  <c r="X68" i="14"/>
  <c r="G58" i="9"/>
  <c r="R87" i="10"/>
  <c r="R89" i="10" s="1"/>
  <c r="R87" i="14"/>
  <c r="E76" i="14"/>
  <c r="E76" i="10"/>
  <c r="AD89" i="8"/>
  <c r="AI68" i="14"/>
  <c r="AI68" i="10"/>
  <c r="I11" i="9"/>
  <c r="X50" i="8"/>
  <c r="X41" i="8"/>
  <c r="X53" i="8" s="1"/>
  <c r="X20" i="8"/>
  <c r="V15" i="14"/>
  <c r="V15" i="10"/>
  <c r="I21" i="9"/>
  <c r="I51" i="9"/>
  <c r="H10" i="14"/>
  <c r="H10" i="10"/>
  <c r="H87" i="10"/>
  <c r="H87" i="14"/>
  <c r="AV64" i="14"/>
  <c r="AV64" i="10"/>
  <c r="AT26" i="8"/>
  <c r="AT47" i="8"/>
  <c r="AK66" i="14"/>
  <c r="AK66" i="10"/>
  <c r="M58" i="9"/>
  <c r="G17" i="9"/>
  <c r="L28" i="8"/>
  <c r="AY17" i="9"/>
  <c r="AL70" i="10"/>
  <c r="AL70" i="14"/>
  <c r="P38" i="10"/>
  <c r="P38" i="14"/>
  <c r="P20" i="1"/>
  <c r="P32" i="1" s="1"/>
  <c r="P41" i="1"/>
  <c r="P50" i="1"/>
  <c r="P16" i="14"/>
  <c r="P16" i="10"/>
  <c r="S17" i="8"/>
  <c r="L46" i="14"/>
  <c r="L28" i="14" s="1"/>
  <c r="L28" i="1"/>
  <c r="L34" i="1" s="1"/>
  <c r="L46" i="10"/>
  <c r="Y86" i="14"/>
  <c r="Y89" i="1"/>
  <c r="Y86" i="10"/>
  <c r="J96" i="8"/>
  <c r="AN52" i="9"/>
  <c r="BO40" i="9"/>
  <c r="BO52" i="9" s="1"/>
  <c r="AN22" i="9"/>
  <c r="Z70" i="14"/>
  <c r="Z70" i="10"/>
  <c r="BO69" i="9"/>
  <c r="M80" i="14"/>
  <c r="M80" i="10"/>
  <c r="U15" i="14"/>
  <c r="U15" i="10"/>
  <c r="AT93" i="9"/>
  <c r="I47" i="8"/>
  <c r="I29" i="8" s="1"/>
  <c r="I26" i="8"/>
  <c r="AF46" i="14"/>
  <c r="AF28" i="1"/>
  <c r="AF46" i="10"/>
  <c r="AS93" i="8"/>
  <c r="AI38" i="14"/>
  <c r="AI50" i="1"/>
  <c r="AI20" i="1"/>
  <c r="AI41" i="1"/>
  <c r="AI38" i="10"/>
  <c r="AI20" i="10" s="1"/>
  <c r="Y52" i="9"/>
  <c r="Y22" i="9"/>
  <c r="M22" i="8"/>
  <c r="M52" i="8"/>
  <c r="P93" i="8"/>
  <c r="W83" i="9"/>
  <c r="J77" i="14"/>
  <c r="J77" i="10"/>
  <c r="J11" i="9"/>
  <c r="K102" i="9" s="1"/>
  <c r="AH83" i="9"/>
  <c r="AC58" i="9"/>
  <c r="AV38" i="14"/>
  <c r="AV50" i="1"/>
  <c r="AV20" i="1"/>
  <c r="AV32" i="1" s="1"/>
  <c r="AV38" i="10"/>
  <c r="AV41" i="1"/>
  <c r="AV23" i="1" s="1"/>
  <c r="K89" i="9"/>
  <c r="V58" i="8"/>
  <c r="AT14" i="14"/>
  <c r="AT20" i="14" s="1"/>
  <c r="AT17" i="1"/>
  <c r="AT29" i="1" s="1"/>
  <c r="AT14" i="10"/>
  <c r="AT20" i="10" s="1"/>
  <c r="AB38" i="14"/>
  <c r="AB20" i="1"/>
  <c r="AB32" i="1" s="1"/>
  <c r="AB50" i="1"/>
  <c r="AB41" i="1"/>
  <c r="AB38" i="10"/>
  <c r="AB58" i="8"/>
  <c r="Y17" i="8"/>
  <c r="P10" i="14"/>
  <c r="P10" i="10"/>
  <c r="AH11" i="8"/>
  <c r="AP17" i="9"/>
  <c r="AK81" i="14"/>
  <c r="AK81" i="10"/>
  <c r="AY15" i="14"/>
  <c r="AY15" i="10"/>
  <c r="AI50" i="9"/>
  <c r="AI41" i="9"/>
  <c r="AI20" i="9"/>
  <c r="X92" i="14"/>
  <c r="X92" i="10"/>
  <c r="AG93" i="9"/>
  <c r="Q65" i="14"/>
  <c r="Q65" i="10"/>
  <c r="S28" i="9"/>
  <c r="AQ10" i="14"/>
  <c r="AQ11" i="14" s="1"/>
  <c r="AQ10" i="10"/>
  <c r="K75" i="10"/>
  <c r="K75" i="14"/>
  <c r="S52" i="8"/>
  <c r="S22" i="8"/>
  <c r="P88" i="14"/>
  <c r="P88" i="10"/>
  <c r="U51" i="9"/>
  <c r="U21" i="9"/>
  <c r="AB88" i="14"/>
  <c r="AB88" i="10"/>
  <c r="N93" i="9"/>
  <c r="F27" i="8"/>
  <c r="AR51" i="9"/>
  <c r="AR21" i="9"/>
  <c r="AR33" i="9" s="1"/>
  <c r="V41" i="8"/>
  <c r="V23" i="8" s="1"/>
  <c r="V35" i="8" s="1"/>
  <c r="V20" i="8"/>
  <c r="V32" i="8" s="1"/>
  <c r="V50" i="8"/>
  <c r="U80" i="14"/>
  <c r="U80" i="10"/>
  <c r="AQ44" i="10"/>
  <c r="AQ47" i="1"/>
  <c r="AQ29" i="1" s="1"/>
  <c r="AQ26" i="1"/>
  <c r="AQ44" i="14"/>
  <c r="Q83" i="9"/>
  <c r="O72" i="10"/>
  <c r="O72" i="14"/>
  <c r="AQ58" i="8"/>
  <c r="AK75" i="10"/>
  <c r="AK75" i="14"/>
  <c r="AY74" i="14"/>
  <c r="AY74" i="10"/>
  <c r="AN64" i="14"/>
  <c r="AN64" i="10"/>
  <c r="BO64" i="1"/>
  <c r="U47" i="1"/>
  <c r="U44" i="14"/>
  <c r="U26" i="1"/>
  <c r="U44" i="10"/>
  <c r="AV27" i="1"/>
  <c r="AV45" i="14"/>
  <c r="AV45" i="10"/>
  <c r="AJ64" i="10"/>
  <c r="AJ64" i="14"/>
  <c r="AD86" i="14"/>
  <c r="AD89" i="1"/>
  <c r="AD86" i="10"/>
  <c r="AY96" i="8"/>
  <c r="I28" i="8"/>
  <c r="AU81" i="14"/>
  <c r="AU81" i="10"/>
  <c r="AT58" i="9"/>
  <c r="N11" i="1"/>
  <c r="N8" i="14"/>
  <c r="N8" i="10"/>
  <c r="BR10" i="9"/>
  <c r="BO77" i="9"/>
  <c r="Q95" i="14"/>
  <c r="Q96" i="14" s="1"/>
  <c r="Q96" i="1"/>
  <c r="Q95" i="10"/>
  <c r="Q96" i="10" s="1"/>
  <c r="D28" i="8"/>
  <c r="AK93" i="9"/>
  <c r="W52" i="9"/>
  <c r="W22" i="9"/>
  <c r="E40" i="14"/>
  <c r="E22" i="1"/>
  <c r="E34" i="1" s="1"/>
  <c r="E40" i="10"/>
  <c r="E22" i="10" s="1"/>
  <c r="E52" i="1"/>
  <c r="Y64" i="14"/>
  <c r="Y64" i="10"/>
  <c r="T68" i="14"/>
  <c r="T68" i="10"/>
  <c r="AG71" i="14"/>
  <c r="AG71" i="10"/>
  <c r="E87" i="14"/>
  <c r="E87" i="10"/>
  <c r="AL58" i="1"/>
  <c r="AL56" i="14"/>
  <c r="AL56" i="10"/>
  <c r="AS28" i="8"/>
  <c r="AS34" i="8" s="1"/>
  <c r="AJ68" i="14"/>
  <c r="AJ68" i="10"/>
  <c r="AC20" i="9"/>
  <c r="AC50" i="9"/>
  <c r="AC41" i="9"/>
  <c r="AL93" i="8"/>
  <c r="X26" i="9"/>
  <c r="X47" i="9"/>
  <c r="X53" i="9" s="1"/>
  <c r="X60" i="9" s="1"/>
  <c r="AM63" i="14"/>
  <c r="AM63" i="10"/>
  <c r="AM83" i="1"/>
  <c r="AF89" i="8"/>
  <c r="F96" i="8"/>
  <c r="P66" i="14"/>
  <c r="P66" i="10"/>
  <c r="BS66" i="10" s="1"/>
  <c r="T64" i="14"/>
  <c r="T64" i="10"/>
  <c r="AS93" i="9"/>
  <c r="R76" i="14"/>
  <c r="R76" i="10"/>
  <c r="AX81" i="14"/>
  <c r="AX81" i="10"/>
  <c r="K27" i="9"/>
  <c r="S71" i="14"/>
  <c r="S71" i="10"/>
  <c r="AX87" i="14"/>
  <c r="AX87" i="10"/>
  <c r="V28" i="9"/>
  <c r="AT75" i="14"/>
  <c r="AT75" i="10"/>
  <c r="K93" i="1"/>
  <c r="K91" i="10"/>
  <c r="K93" i="10" s="1"/>
  <c r="K91" i="14"/>
  <c r="K93" i="14" s="1"/>
  <c r="W93" i="9"/>
  <c r="AL92" i="10"/>
  <c r="AL92" i="14"/>
  <c r="N80" i="14"/>
  <c r="N80" i="10"/>
  <c r="U45" i="14"/>
  <c r="U45" i="10"/>
  <c r="U27" i="1"/>
  <c r="K87" i="14"/>
  <c r="K87" i="10"/>
  <c r="R78" i="14"/>
  <c r="R78" i="10"/>
  <c r="AX17" i="9"/>
  <c r="AM14" i="14"/>
  <c r="AM14" i="10"/>
  <c r="AM17" i="1"/>
  <c r="AI83" i="9"/>
  <c r="K28" i="9"/>
  <c r="U92" i="14"/>
  <c r="U92" i="10"/>
  <c r="AB17" i="9"/>
  <c r="I26" i="9"/>
  <c r="I32" i="9" s="1"/>
  <c r="I47" i="9"/>
  <c r="I53" i="9" s="1"/>
  <c r="BQ10" i="9"/>
  <c r="AD75" i="10"/>
  <c r="AD75" i="14"/>
  <c r="AI73" i="14"/>
  <c r="AI73" i="10"/>
  <c r="K8" i="10"/>
  <c r="K8" i="14"/>
  <c r="K11" i="1"/>
  <c r="T27" i="9"/>
  <c r="AG58" i="9"/>
  <c r="O27" i="9"/>
  <c r="J17" i="9"/>
  <c r="F11" i="8"/>
  <c r="BT8" i="8"/>
  <c r="AU45" i="10"/>
  <c r="AU27" i="10" s="1"/>
  <c r="AU33" i="10" s="1"/>
  <c r="AU45" i="14"/>
  <c r="AU27" i="1"/>
  <c r="AD41" i="8"/>
  <c r="AD20" i="8"/>
  <c r="AD32" i="8" s="1"/>
  <c r="AD50" i="8"/>
  <c r="BO76" i="9"/>
  <c r="F73" i="10"/>
  <c r="F73" i="14"/>
  <c r="BT73" i="14" s="1"/>
  <c r="AT27" i="9"/>
  <c r="AT33" i="9" s="1"/>
  <c r="U52" i="8"/>
  <c r="U22" i="8"/>
  <c r="Z89" i="9"/>
  <c r="K16" i="10"/>
  <c r="K16" i="14"/>
  <c r="U27" i="8"/>
  <c r="T11" i="8"/>
  <c r="BO80" i="1"/>
  <c r="AN80" i="14"/>
  <c r="AN80" i="10"/>
  <c r="AE63" i="14"/>
  <c r="AE63" i="10"/>
  <c r="AE83" i="1"/>
  <c r="Q17" i="8"/>
  <c r="BR9" i="8"/>
  <c r="X51" i="8"/>
  <c r="X21" i="8"/>
  <c r="AD11" i="9"/>
  <c r="BR8" i="9"/>
  <c r="AO17" i="9"/>
  <c r="X15" i="10"/>
  <c r="X15" i="14"/>
  <c r="AY88" i="14"/>
  <c r="AY88" i="10"/>
  <c r="AK82" i="14"/>
  <c r="AK82" i="10"/>
  <c r="AO51" i="9"/>
  <c r="AO21" i="9"/>
  <c r="AA93" i="8"/>
  <c r="AI28" i="9"/>
  <c r="P96" i="9"/>
  <c r="AA69" i="14"/>
  <c r="AA69" i="10"/>
  <c r="AP56" i="14"/>
  <c r="AP56" i="10"/>
  <c r="AP58" i="1"/>
  <c r="AV93" i="8"/>
  <c r="G20" i="8"/>
  <c r="G41" i="8"/>
  <c r="G53" i="8" s="1"/>
  <c r="G60" i="8" s="1"/>
  <c r="G98" i="8" s="1"/>
  <c r="G50" i="8"/>
  <c r="AF75" i="10"/>
  <c r="AF75" i="14"/>
  <c r="K65" i="14"/>
  <c r="K65" i="10"/>
  <c r="O11" i="9"/>
  <c r="H64" i="10"/>
  <c r="H64" i="14"/>
  <c r="AO26" i="9"/>
  <c r="AO47" i="9"/>
  <c r="AF58" i="8"/>
  <c r="K96" i="8"/>
  <c r="AD26" i="9"/>
  <c r="AD47" i="9"/>
  <c r="AA56" i="14"/>
  <c r="AA58" i="14" s="1"/>
  <c r="AA56" i="10"/>
  <c r="AA58" i="1"/>
  <c r="AP27" i="8"/>
  <c r="N51" i="9"/>
  <c r="N21" i="9"/>
  <c r="V28" i="8"/>
  <c r="V34" i="8" s="1"/>
  <c r="AG28" i="9"/>
  <c r="V39" i="14"/>
  <c r="V39" i="10"/>
  <c r="V51" i="1"/>
  <c r="V21" i="1"/>
  <c r="AO22" i="9"/>
  <c r="AO52" i="9"/>
  <c r="AV11" i="8"/>
  <c r="E17" i="9"/>
  <c r="Z71" i="14"/>
  <c r="Z71" i="10"/>
  <c r="L8" i="10"/>
  <c r="L11" i="1"/>
  <c r="L8" i="14"/>
  <c r="AP46" i="10"/>
  <c r="AP28" i="1"/>
  <c r="AP46" i="14"/>
  <c r="N65" i="14"/>
  <c r="N65" i="10"/>
  <c r="AA47" i="8"/>
  <c r="AA26" i="8"/>
  <c r="AA32" i="8" s="1"/>
  <c r="AR72" i="10"/>
  <c r="AR72" i="14"/>
  <c r="AO95" i="14"/>
  <c r="AO96" i="14" s="1"/>
  <c r="AO97" i="14" s="1"/>
  <c r="AO95" i="10"/>
  <c r="AO96" i="1"/>
  <c r="AY28" i="8"/>
  <c r="AY34" i="8" s="1"/>
  <c r="G14" i="14"/>
  <c r="G17" i="1"/>
  <c r="G14" i="10"/>
  <c r="I81" i="10"/>
  <c r="I81" i="14"/>
  <c r="Y78" i="10"/>
  <c r="Y78" i="14"/>
  <c r="X88" i="14"/>
  <c r="X88" i="10"/>
  <c r="X89" i="10" s="1"/>
  <c r="AK11" i="8"/>
  <c r="AY83" i="9"/>
  <c r="T20" i="8"/>
  <c r="T41" i="8"/>
  <c r="T50" i="8"/>
  <c r="AJ89" i="9"/>
  <c r="D66" i="14"/>
  <c r="BT66" i="14" s="1"/>
  <c r="D66" i="10"/>
  <c r="AM58" i="8"/>
  <c r="G38" i="14"/>
  <c r="G50" i="14" s="1"/>
  <c r="G38" i="10"/>
  <c r="G41" i="1"/>
  <c r="G50" i="1"/>
  <c r="G20" i="1"/>
  <c r="AE17" i="9"/>
  <c r="G71" i="14"/>
  <c r="G71" i="10"/>
  <c r="AN39" i="10"/>
  <c r="AN51" i="1"/>
  <c r="AN39" i="14"/>
  <c r="BQ39" i="14" s="1"/>
  <c r="AN21" i="1"/>
  <c r="BO39" i="1"/>
  <c r="AF82" i="14"/>
  <c r="AF82" i="10"/>
  <c r="BO71" i="9"/>
  <c r="AS57" i="14"/>
  <c r="AS57" i="10"/>
  <c r="Y89" i="9"/>
  <c r="AI51" i="9"/>
  <c r="AI21" i="9"/>
  <c r="AI33" i="9" s="1"/>
  <c r="N27" i="9"/>
  <c r="T67" i="14"/>
  <c r="T67" i="10"/>
  <c r="AL47" i="9"/>
  <c r="AL26" i="9"/>
  <c r="I93" i="9"/>
  <c r="AH44" i="14"/>
  <c r="AH26" i="1"/>
  <c r="AH44" i="10"/>
  <c r="AH47" i="1"/>
  <c r="AH29" i="1" s="1"/>
  <c r="W20" i="9"/>
  <c r="W50" i="9"/>
  <c r="W41" i="9"/>
  <c r="P81" i="10"/>
  <c r="P81" i="14"/>
  <c r="AT17" i="8"/>
  <c r="AT23" i="8" s="1"/>
  <c r="AT87" i="14"/>
  <c r="AT87" i="10"/>
  <c r="D58" i="8"/>
  <c r="D72" i="14"/>
  <c r="D72" i="10"/>
  <c r="H74" i="14"/>
  <c r="H74" i="10"/>
  <c r="Q56" i="14"/>
  <c r="Q58" i="1"/>
  <c r="Q56" i="10"/>
  <c r="Q58" i="10" s="1"/>
  <c r="AR58" i="8"/>
  <c r="V58" i="9"/>
  <c r="M87" i="14"/>
  <c r="M89" i="14" s="1"/>
  <c r="M87" i="10"/>
  <c r="H26" i="1"/>
  <c r="H44" i="10"/>
  <c r="H47" i="1"/>
  <c r="H44" i="14"/>
  <c r="H26" i="14" s="1"/>
  <c r="AP27" i="9"/>
  <c r="AW50" i="8"/>
  <c r="AW20" i="8"/>
  <c r="AW32" i="8" s="1"/>
  <c r="AW41" i="8"/>
  <c r="AO16" i="14"/>
  <c r="AO16" i="10"/>
  <c r="BS10" i="9"/>
  <c r="BS11" i="9" s="1"/>
  <c r="V82" i="10"/>
  <c r="V82" i="14"/>
  <c r="AK27" i="9"/>
  <c r="AH27" i="8"/>
  <c r="AP96" i="9"/>
  <c r="S79" i="14"/>
  <c r="S79" i="10"/>
  <c r="AF73" i="10"/>
  <c r="AF73" i="14"/>
  <c r="Z86" i="14"/>
  <c r="Z89" i="1"/>
  <c r="Z86" i="10"/>
  <c r="L28" i="9"/>
  <c r="AX16" i="10"/>
  <c r="AX16" i="14"/>
  <c r="Y56" i="10"/>
  <c r="Y58" i="10" s="1"/>
  <c r="Y58" i="1"/>
  <c r="Y56" i="14"/>
  <c r="P22" i="9"/>
  <c r="P52" i="9"/>
  <c r="AP28" i="9"/>
  <c r="AP89" i="8"/>
  <c r="AA74" i="14"/>
  <c r="AA74" i="10"/>
  <c r="AM83" i="8"/>
  <c r="AD66" i="14"/>
  <c r="AD66" i="10"/>
  <c r="AO89" i="8"/>
  <c r="T26" i="1"/>
  <c r="T44" i="14"/>
  <c r="T26" i="14" s="1"/>
  <c r="T44" i="10"/>
  <c r="T47" i="1"/>
  <c r="T29" i="1" s="1"/>
  <c r="AY79" i="10"/>
  <c r="AY79" i="14"/>
  <c r="N78" i="14"/>
  <c r="N78" i="10"/>
  <c r="K47" i="8"/>
  <c r="K26" i="8"/>
  <c r="E58" i="9"/>
  <c r="Q70" i="14"/>
  <c r="BS70" i="14" s="1"/>
  <c r="Q70" i="10"/>
  <c r="AX73" i="10"/>
  <c r="AX73" i="14"/>
  <c r="R10" i="14"/>
  <c r="BS10" i="14" s="1"/>
  <c r="R10" i="10"/>
  <c r="BS10" i="1"/>
  <c r="AA93" i="9"/>
  <c r="M20" i="9"/>
  <c r="M32" i="9" s="1"/>
  <c r="M41" i="9"/>
  <c r="M23" i="9" s="1"/>
  <c r="M50" i="9"/>
  <c r="F93" i="8"/>
  <c r="J21" i="8"/>
  <c r="J33" i="8" s="1"/>
  <c r="J51" i="8"/>
  <c r="AV21" i="9"/>
  <c r="AV51" i="9"/>
  <c r="AY40" i="14"/>
  <c r="AY52" i="14" s="1"/>
  <c r="AY40" i="10"/>
  <c r="AY52" i="10" s="1"/>
  <c r="AY52" i="1"/>
  <c r="AY22" i="1"/>
  <c r="AJ69" i="14"/>
  <c r="AJ69" i="10"/>
  <c r="AW91" i="14"/>
  <c r="AW93" i="1"/>
  <c r="AW91" i="10"/>
  <c r="AW93" i="10" s="1"/>
  <c r="AA89" i="9"/>
  <c r="T83" i="9"/>
  <c r="P17" i="9"/>
  <c r="W11" i="9"/>
  <c r="W102" i="9" s="1"/>
  <c r="AH27" i="9"/>
  <c r="AJ20" i="8"/>
  <c r="AJ41" i="8"/>
  <c r="AJ50" i="8"/>
  <c r="AJ47" i="9"/>
  <c r="AJ26" i="9"/>
  <c r="Q27" i="9"/>
  <c r="I41" i="8"/>
  <c r="I23" i="8" s="1"/>
  <c r="I20" i="8"/>
  <c r="I50" i="8"/>
  <c r="N47" i="9"/>
  <c r="N29" i="9" s="1"/>
  <c r="N26" i="9"/>
  <c r="AU51" i="9"/>
  <c r="AU21" i="9"/>
  <c r="I27" i="9"/>
  <c r="BO63" i="9"/>
  <c r="AN83" i="9"/>
  <c r="AX58" i="8"/>
  <c r="X71" i="14"/>
  <c r="X71" i="10"/>
  <c r="AB58" i="9"/>
  <c r="L71" i="10"/>
  <c r="L71" i="14"/>
  <c r="Q96" i="9"/>
  <c r="AH64" i="14"/>
  <c r="AH64" i="10"/>
  <c r="P11" i="9"/>
  <c r="AO11" i="9"/>
  <c r="BQ8" i="9"/>
  <c r="M83" i="9"/>
  <c r="D93" i="9"/>
  <c r="AH46" i="14"/>
  <c r="AH28" i="14" s="1"/>
  <c r="AH46" i="10"/>
  <c r="AH28" i="1"/>
  <c r="AH28" i="8"/>
  <c r="AG96" i="8"/>
  <c r="L76" i="14"/>
  <c r="L76" i="10"/>
  <c r="AX28" i="9"/>
  <c r="AI57" i="14"/>
  <c r="AI57" i="10"/>
  <c r="AN76" i="14"/>
  <c r="AN76" i="10"/>
  <c r="BO76" i="1"/>
  <c r="BO73" i="8"/>
  <c r="AR92" i="10"/>
  <c r="AR92" i="14"/>
  <c r="W17" i="9"/>
  <c r="T73" i="14"/>
  <c r="T73" i="10"/>
  <c r="T76" i="10"/>
  <c r="T76" i="14"/>
  <c r="S67" i="14"/>
  <c r="S67" i="10"/>
  <c r="G78" i="10"/>
  <c r="G78" i="14"/>
  <c r="AY51" i="9"/>
  <c r="AY21" i="9"/>
  <c r="AP28" i="8"/>
  <c r="P47" i="9"/>
  <c r="P26" i="9"/>
  <c r="D76" i="14"/>
  <c r="D76" i="10"/>
  <c r="S70" i="14"/>
  <c r="S70" i="10"/>
  <c r="BO67" i="9"/>
  <c r="AY93" i="9"/>
  <c r="Z28" i="9"/>
  <c r="R41" i="1"/>
  <c r="R50" i="1"/>
  <c r="R38" i="14"/>
  <c r="R38" i="10"/>
  <c r="R20" i="1"/>
  <c r="AO17" i="1"/>
  <c r="AO14" i="14"/>
  <c r="AO14" i="10"/>
  <c r="AX78" i="10"/>
  <c r="AX78" i="14"/>
  <c r="Q82" i="10"/>
  <c r="Q82" i="14"/>
  <c r="AC17" i="8"/>
  <c r="AD58" i="8"/>
  <c r="D86" i="14"/>
  <c r="D89" i="14" s="1"/>
  <c r="D89" i="1"/>
  <c r="D86" i="10"/>
  <c r="D89" i="10" s="1"/>
  <c r="N96" i="9"/>
  <c r="V83" i="9"/>
  <c r="O9" i="14"/>
  <c r="O9" i="10"/>
  <c r="AF16" i="10"/>
  <c r="AF16" i="14"/>
  <c r="AB17" i="8"/>
  <c r="AD11" i="8"/>
  <c r="BR8" i="8"/>
  <c r="AU78" i="14"/>
  <c r="AU78" i="10"/>
  <c r="BO64" i="9"/>
  <c r="AV52" i="9"/>
  <c r="AV22" i="9"/>
  <c r="AR89" i="9"/>
  <c r="AJ47" i="8"/>
  <c r="AJ26" i="8"/>
  <c r="AD17" i="8"/>
  <c r="V52" i="9"/>
  <c r="V22" i="9"/>
  <c r="AG68" i="14"/>
  <c r="AG68" i="10"/>
  <c r="AD27" i="8"/>
  <c r="AD33" i="8" s="1"/>
  <c r="AF69" i="10"/>
  <c r="AF69" i="14"/>
  <c r="U75" i="14"/>
  <c r="U75" i="10"/>
  <c r="L93" i="9"/>
  <c r="F89" i="8"/>
  <c r="AO58" i="8"/>
  <c r="Y96" i="9"/>
  <c r="I89" i="8"/>
  <c r="G92" i="14"/>
  <c r="G92" i="10"/>
  <c r="D28" i="9"/>
  <c r="AB76" i="10"/>
  <c r="AB76" i="14"/>
  <c r="BR76" i="14" s="1"/>
  <c r="AW17" i="8"/>
  <c r="AP52" i="9"/>
  <c r="AP22" i="9"/>
  <c r="X28" i="9"/>
  <c r="X28" i="8"/>
  <c r="AU96" i="9"/>
  <c r="G58" i="8"/>
  <c r="V17" i="9"/>
  <c r="J46" i="14"/>
  <c r="J28" i="14" s="1"/>
  <c r="J28" i="1"/>
  <c r="J46" i="10"/>
  <c r="AM77" i="14"/>
  <c r="AM77" i="10"/>
  <c r="U14" i="14"/>
  <c r="U17" i="1"/>
  <c r="U14" i="10"/>
  <c r="K93" i="8"/>
  <c r="R72" i="14"/>
  <c r="R72" i="10"/>
  <c r="BS72" i="10" s="1"/>
  <c r="AR57" i="14"/>
  <c r="AR57" i="10"/>
  <c r="D92" i="14"/>
  <c r="D92" i="10"/>
  <c r="T89" i="9"/>
  <c r="T65" i="10"/>
  <c r="T65" i="14"/>
  <c r="F88" i="14"/>
  <c r="F88" i="10"/>
  <c r="Z93" i="9"/>
  <c r="D52" i="8"/>
  <c r="D22" i="8"/>
  <c r="Y50" i="9"/>
  <c r="Y20" i="9"/>
  <c r="Y41" i="9"/>
  <c r="Y53" i="9" s="1"/>
  <c r="X21" i="1"/>
  <c r="X39" i="10"/>
  <c r="X39" i="14"/>
  <c r="X51" i="1"/>
  <c r="M82" i="14"/>
  <c r="M82" i="10"/>
  <c r="AP15" i="10"/>
  <c r="AP15" i="14"/>
  <c r="AP21" i="14" s="1"/>
  <c r="AS95" i="14"/>
  <c r="AS96" i="14" s="1"/>
  <c r="AS96" i="1"/>
  <c r="AS95" i="10"/>
  <c r="AS96" i="10" s="1"/>
  <c r="AM93" i="8"/>
  <c r="AN27" i="9"/>
  <c r="BO45" i="9"/>
  <c r="O75" i="14"/>
  <c r="O75" i="10"/>
  <c r="R11" i="9"/>
  <c r="S102" i="9" s="1"/>
  <c r="BS8" i="9"/>
  <c r="AD92" i="14"/>
  <c r="AD92" i="10"/>
  <c r="J52" i="8"/>
  <c r="J22" i="8"/>
  <c r="BO73" i="9"/>
  <c r="AK16" i="10"/>
  <c r="AK16" i="14"/>
  <c r="AV11" i="9"/>
  <c r="AE51" i="9"/>
  <c r="AE21" i="9"/>
  <c r="V91" i="14"/>
  <c r="V93" i="1"/>
  <c r="V91" i="10"/>
  <c r="AI26" i="1"/>
  <c r="AI47" i="1"/>
  <c r="AI53" i="1" s="1"/>
  <c r="AI60" i="1" s="1"/>
  <c r="AI44" i="10"/>
  <c r="AI44" i="14"/>
  <c r="AX28" i="8"/>
  <c r="J58" i="8"/>
  <c r="M83" i="8"/>
  <c r="Q45" i="14"/>
  <c r="Q27" i="1"/>
  <c r="Q45" i="10"/>
  <c r="Q51" i="10" s="1"/>
  <c r="AR80" i="14"/>
  <c r="AR80" i="10"/>
  <c r="AP82" i="10"/>
  <c r="AP82" i="14"/>
  <c r="P58" i="8"/>
  <c r="AU58" i="9"/>
  <c r="BO79" i="9"/>
  <c r="O82" i="14"/>
  <c r="O82" i="10"/>
  <c r="I58" i="8"/>
  <c r="AR20" i="9"/>
  <c r="AR50" i="9"/>
  <c r="AR41" i="9"/>
  <c r="Z51" i="8"/>
  <c r="Z21" i="8"/>
  <c r="Z33" i="8" s="1"/>
  <c r="AH47" i="8"/>
  <c r="AH29" i="8" s="1"/>
  <c r="AH26" i="8"/>
  <c r="AH32" i="8" s="1"/>
  <c r="I58" i="9"/>
  <c r="AI89" i="9"/>
  <c r="AA9" i="14"/>
  <c r="AA9" i="10"/>
  <c r="AT46" i="14"/>
  <c r="AT28" i="14" s="1"/>
  <c r="AT46" i="10"/>
  <c r="AT28" i="10" s="1"/>
  <c r="AT28" i="1"/>
  <c r="AT34" i="1" s="1"/>
  <c r="BO9" i="8"/>
  <c r="I57" i="14"/>
  <c r="I57" i="10"/>
  <c r="AD79" i="14"/>
  <c r="AD79" i="10"/>
  <c r="AL75" i="14"/>
  <c r="AL75" i="10"/>
  <c r="AN17" i="8"/>
  <c r="BO14" i="8"/>
  <c r="BW14" i="8"/>
  <c r="O10" i="14"/>
  <c r="O10" i="10"/>
  <c r="AX69" i="14"/>
  <c r="AX69" i="10"/>
  <c r="N9" i="14"/>
  <c r="N11" i="14" s="1"/>
  <c r="O102" i="14" s="1"/>
  <c r="N9" i="10"/>
  <c r="D63" i="14"/>
  <c r="D83" i="1"/>
  <c r="D63" i="10"/>
  <c r="E11" i="9"/>
  <c r="AR27" i="1"/>
  <c r="AR33" i="1" s="1"/>
  <c r="AR45" i="10"/>
  <c r="AR45" i="14"/>
  <c r="G72" i="14"/>
  <c r="G72" i="10"/>
  <c r="AG27" i="9"/>
  <c r="AS11" i="9"/>
  <c r="AG88" i="14"/>
  <c r="AG88" i="10"/>
  <c r="AC83" i="8"/>
  <c r="AL57" i="14"/>
  <c r="AL57" i="10"/>
  <c r="U93" i="9"/>
  <c r="P83" i="9"/>
  <c r="AP22" i="8"/>
  <c r="AP52" i="8"/>
  <c r="AH93" i="8"/>
  <c r="AK89" i="9"/>
  <c r="F41" i="9"/>
  <c r="F20" i="9"/>
  <c r="F32" i="9" s="1"/>
  <c r="F50" i="9"/>
  <c r="S45" i="14"/>
  <c r="S27" i="1"/>
  <c r="S33" i="1" s="1"/>
  <c r="S45" i="10"/>
  <c r="N89" i="9"/>
  <c r="AI66" i="14"/>
  <c r="AI66" i="10"/>
  <c r="AJ39" i="14"/>
  <c r="AJ51" i="1"/>
  <c r="AJ21" i="1"/>
  <c r="AJ39" i="10"/>
  <c r="T93" i="9"/>
  <c r="I17" i="9"/>
  <c r="H79" i="10"/>
  <c r="H79" i="14"/>
  <c r="AS27" i="8"/>
  <c r="AS33" i="8" s="1"/>
  <c r="S51" i="8"/>
  <c r="S21" i="8"/>
  <c r="AY16" i="14"/>
  <c r="AY16" i="10"/>
  <c r="AC65" i="10"/>
  <c r="AC65" i="14"/>
  <c r="AX67" i="14"/>
  <c r="AX67" i="10"/>
  <c r="AC72" i="14"/>
  <c r="BR72" i="14" s="1"/>
  <c r="AC72" i="10"/>
  <c r="AX79" i="10"/>
  <c r="AX79" i="14"/>
  <c r="J21" i="9"/>
  <c r="J51" i="9"/>
  <c r="P89" i="1"/>
  <c r="P86" i="14"/>
  <c r="P86" i="10"/>
  <c r="AM67" i="14"/>
  <c r="AM67" i="10"/>
  <c r="AQ78" i="14"/>
  <c r="AQ78" i="10"/>
  <c r="AA52" i="8"/>
  <c r="AA22" i="8"/>
  <c r="AA34" i="8" s="1"/>
  <c r="AR69" i="14"/>
  <c r="AR69" i="10"/>
  <c r="AT73" i="14"/>
  <c r="AT73" i="10"/>
  <c r="AQ21" i="9"/>
  <c r="AQ33" i="9" s="1"/>
  <c r="AQ51" i="9"/>
  <c r="F45" i="14"/>
  <c r="F27" i="14" s="1"/>
  <c r="F27" i="1"/>
  <c r="F45" i="10"/>
  <c r="F47" i="10" s="1"/>
  <c r="V20" i="9"/>
  <c r="V50" i="9"/>
  <c r="V41" i="9"/>
  <c r="V53" i="9" s="1"/>
  <c r="AG58" i="8"/>
  <c r="H83" i="8"/>
  <c r="AI78" i="14"/>
  <c r="AI78" i="10"/>
  <c r="AR89" i="8"/>
  <c r="AF89" i="9"/>
  <c r="AY66" i="14"/>
  <c r="AY66" i="10"/>
  <c r="AY51" i="8"/>
  <c r="AY21" i="8"/>
  <c r="AO20" i="8"/>
  <c r="AO32" i="8" s="1"/>
  <c r="AO41" i="8"/>
  <c r="AO50" i="8"/>
  <c r="AO11" i="1"/>
  <c r="AP102" i="1" s="1"/>
  <c r="AO8" i="14"/>
  <c r="AO8" i="10"/>
  <c r="BQ8" i="1"/>
  <c r="AI11" i="8"/>
  <c r="AS17" i="9"/>
  <c r="AB14" i="10"/>
  <c r="AB14" i="14"/>
  <c r="AB17" i="14" s="1"/>
  <c r="AB17" i="1"/>
  <c r="AM81" i="14"/>
  <c r="AM81" i="10"/>
  <c r="AD96" i="9"/>
  <c r="AF80" i="14"/>
  <c r="AF80" i="10"/>
  <c r="AC69" i="14"/>
  <c r="AC69" i="10"/>
  <c r="U89" i="9"/>
  <c r="W27" i="8"/>
  <c r="BO68" i="9"/>
  <c r="G73" i="14"/>
  <c r="G73" i="10"/>
  <c r="G27" i="9"/>
  <c r="W44" i="10"/>
  <c r="W44" i="14"/>
  <c r="W26" i="1"/>
  <c r="W47" i="1"/>
  <c r="AE87" i="14"/>
  <c r="AE87" i="10"/>
  <c r="X17" i="9"/>
  <c r="T52" i="9"/>
  <c r="T22" i="9"/>
  <c r="T34" i="9" s="1"/>
  <c r="AE83" i="8"/>
  <c r="H93" i="8"/>
  <c r="AS96" i="8"/>
  <c r="D58" i="9"/>
  <c r="L27" i="8"/>
  <c r="AB11" i="9"/>
  <c r="H89" i="9"/>
  <c r="N22" i="9"/>
  <c r="N52" i="9"/>
  <c r="AB70" i="14"/>
  <c r="AB70" i="10"/>
  <c r="F64" i="14"/>
  <c r="F64" i="10"/>
  <c r="AL67" i="10"/>
  <c r="AL67" i="14"/>
  <c r="X22" i="9"/>
  <c r="X34" i="9" s="1"/>
  <c r="X52" i="9"/>
  <c r="L93" i="8"/>
  <c r="AX27" i="9"/>
  <c r="AK83" i="8"/>
  <c r="AH71" i="14"/>
  <c r="AH71" i="10"/>
  <c r="AA51" i="1"/>
  <c r="AA39" i="14"/>
  <c r="AA21" i="1"/>
  <c r="AA33" i="1" s="1"/>
  <c r="AA39" i="10"/>
  <c r="AJ21" i="8"/>
  <c r="AJ51" i="8"/>
  <c r="AX26" i="9"/>
  <c r="AX32" i="9" s="1"/>
  <c r="AX47" i="9"/>
  <c r="W51" i="9"/>
  <c r="W21" i="9"/>
  <c r="W33" i="9" s="1"/>
  <c r="R83" i="9"/>
  <c r="X27" i="9"/>
  <c r="N46" i="14"/>
  <c r="N28" i="14" s="1"/>
  <c r="N28" i="1"/>
  <c r="N46" i="10"/>
  <c r="AR78" i="14"/>
  <c r="AR78" i="10"/>
  <c r="R68" i="14"/>
  <c r="R68" i="10"/>
  <c r="AC28" i="8"/>
  <c r="AH26" i="9"/>
  <c r="AH47" i="9"/>
  <c r="AP70" i="14"/>
  <c r="AP70" i="10"/>
  <c r="P78" i="14"/>
  <c r="P78" i="10"/>
  <c r="BS78" i="10" s="1"/>
  <c r="R89" i="8"/>
  <c r="AJ72" i="14"/>
  <c r="AJ72" i="10"/>
  <c r="H45" i="14"/>
  <c r="H27" i="14" s="1"/>
  <c r="H45" i="10"/>
  <c r="H27" i="1"/>
  <c r="H33" i="1" s="1"/>
  <c r="Q68" i="10"/>
  <c r="Q68" i="14"/>
  <c r="BS68" i="14" s="1"/>
  <c r="E67" i="14"/>
  <c r="E67" i="10"/>
  <c r="AH91" i="14"/>
  <c r="AH93" i="1"/>
  <c r="AH91" i="10"/>
  <c r="K41" i="9"/>
  <c r="K20" i="9"/>
  <c r="K50" i="9"/>
  <c r="AB67" i="14"/>
  <c r="AB67" i="10"/>
  <c r="AR71" i="14"/>
  <c r="AR71" i="10"/>
  <c r="P58" i="9"/>
  <c r="AB52" i="8"/>
  <c r="AB22" i="8"/>
  <c r="AB34" i="8" s="1"/>
  <c r="AY86" i="14"/>
  <c r="AY89" i="1"/>
  <c r="AY86" i="10"/>
  <c r="AC27" i="9"/>
  <c r="AV93" i="9"/>
  <c r="R17" i="8"/>
  <c r="T58" i="9"/>
  <c r="AJ96" i="9"/>
  <c r="AN40" i="14"/>
  <c r="AN22" i="1"/>
  <c r="AN34" i="1" s="1"/>
  <c r="AN52" i="1"/>
  <c r="AN40" i="10"/>
  <c r="BO40" i="1"/>
  <c r="AS89" i="9"/>
  <c r="Q96" i="8"/>
  <c r="AW89" i="9"/>
  <c r="E27" i="9"/>
  <c r="M74" i="14"/>
  <c r="M74" i="10"/>
  <c r="AQ52" i="9"/>
  <c r="AQ22" i="9"/>
  <c r="AQ34" i="9" s="1"/>
  <c r="AD41" i="9"/>
  <c r="AD50" i="9"/>
  <c r="AD20" i="9"/>
  <c r="Q51" i="9"/>
  <c r="Q21" i="9"/>
  <c r="Q33" i="9" s="1"/>
  <c r="AR91" i="14"/>
  <c r="AR91" i="10"/>
  <c r="AR93" i="1"/>
  <c r="Y51" i="9"/>
  <c r="Y21" i="9"/>
  <c r="AN21" i="9"/>
  <c r="AN33" i="9" s="1"/>
  <c r="BO39" i="9"/>
  <c r="BO51" i="9" s="1"/>
  <c r="BO53" i="9" s="1"/>
  <c r="BO60" i="9" s="1"/>
  <c r="AN51" i="9"/>
  <c r="AF58" i="9"/>
  <c r="AD74" i="14"/>
  <c r="AD74" i="10"/>
  <c r="AM28" i="9"/>
  <c r="AO27" i="8"/>
  <c r="Z96" i="9"/>
  <c r="AM9" i="10"/>
  <c r="AM11" i="10" s="1"/>
  <c r="AM9" i="14"/>
  <c r="AM11" i="14" s="1"/>
  <c r="AX83" i="9"/>
  <c r="AO87" i="14"/>
  <c r="AO87" i="10"/>
  <c r="AI80" i="14"/>
  <c r="AI80" i="10"/>
  <c r="H76" i="14"/>
  <c r="H76" i="10"/>
  <c r="O70" i="10"/>
  <c r="O70" i="14"/>
  <c r="T47" i="8"/>
  <c r="T29" i="8" s="1"/>
  <c r="T26" i="8"/>
  <c r="AO77" i="14"/>
  <c r="AO77" i="10"/>
  <c r="AP58" i="8"/>
  <c r="BO86" i="8"/>
  <c r="BO89" i="8" s="1"/>
  <c r="AN89" i="8"/>
  <c r="AH65" i="14"/>
  <c r="AH65" i="10"/>
  <c r="AB47" i="9"/>
  <c r="AB26" i="9"/>
  <c r="V79" i="10"/>
  <c r="V79" i="14"/>
  <c r="U11" i="9"/>
  <c r="S28" i="8"/>
  <c r="S34" i="8" s="1"/>
  <c r="P95" i="14"/>
  <c r="P96" i="14" s="1"/>
  <c r="P96" i="1"/>
  <c r="P95" i="10"/>
  <c r="P96" i="10" s="1"/>
  <c r="AN11" i="1"/>
  <c r="AN8" i="14"/>
  <c r="AN8" i="10"/>
  <c r="AM20" i="9"/>
  <c r="AM32" i="9" s="1"/>
  <c r="AM41" i="9"/>
  <c r="AM23" i="9" s="1"/>
  <c r="AM50" i="9"/>
  <c r="Z87" i="10"/>
  <c r="Z87" i="14"/>
  <c r="BR9" i="9"/>
  <c r="U67" i="10"/>
  <c r="U67" i="14"/>
  <c r="AE75" i="10"/>
  <c r="AE75" i="14"/>
  <c r="AG89" i="8"/>
  <c r="S78" i="10"/>
  <c r="S78" i="14"/>
  <c r="AC77" i="14"/>
  <c r="AC77" i="10"/>
  <c r="G96" i="8"/>
  <c r="H58" i="9"/>
  <c r="AL52" i="8"/>
  <c r="AL22" i="8"/>
  <c r="AV9" i="14"/>
  <c r="AV9" i="10"/>
  <c r="D21" i="1"/>
  <c r="D33" i="1" s="1"/>
  <c r="D51" i="1"/>
  <c r="D39" i="14"/>
  <c r="D39" i="10"/>
  <c r="AP21" i="8"/>
  <c r="AP33" i="8" s="1"/>
  <c r="AP51" i="8"/>
  <c r="BO91" i="9"/>
  <c r="AN93" i="9"/>
  <c r="AM80" i="14"/>
  <c r="AM80" i="10"/>
  <c r="AW22" i="9"/>
  <c r="AW52" i="9"/>
  <c r="AU20" i="8"/>
  <c r="AU50" i="8"/>
  <c r="AU41" i="8"/>
  <c r="AI89" i="8"/>
  <c r="X78" i="10"/>
  <c r="X78" i="14"/>
  <c r="AA82" i="14"/>
  <c r="AA82" i="10"/>
  <c r="AA96" i="8"/>
  <c r="AM91" i="14"/>
  <c r="AM91" i="10"/>
  <c r="AM93" i="10" s="1"/>
  <c r="AM93" i="1"/>
  <c r="AW88" i="14"/>
  <c r="AW88" i="10"/>
  <c r="H46" i="14"/>
  <c r="H28" i="14" s="1"/>
  <c r="H46" i="10"/>
  <c r="H28" i="1"/>
  <c r="H34" i="1" s="1"/>
  <c r="AE80" i="10"/>
  <c r="AE80" i="14"/>
  <c r="E89" i="9"/>
  <c r="R86" i="14"/>
  <c r="R86" i="10"/>
  <c r="R89" i="1"/>
  <c r="AQ28" i="8"/>
  <c r="AQ34" i="8" s="1"/>
  <c r="AP73" i="14"/>
  <c r="AP73" i="10"/>
  <c r="L51" i="9"/>
  <c r="L21" i="9"/>
  <c r="AS87" i="14"/>
  <c r="AS87" i="10"/>
  <c r="D96" i="9"/>
  <c r="AE88" i="14"/>
  <c r="AE88" i="10"/>
  <c r="M50" i="8"/>
  <c r="M20" i="8"/>
  <c r="M41" i="8"/>
  <c r="AI96" i="8"/>
  <c r="AM86" i="14"/>
  <c r="AM89" i="14" s="1"/>
  <c r="AM86" i="10"/>
  <c r="AM89" i="1"/>
  <c r="AI63" i="14"/>
  <c r="AI63" i="10"/>
  <c r="AI83" i="1"/>
  <c r="AQ58" i="9"/>
  <c r="AU80" i="10"/>
  <c r="AU80" i="14"/>
  <c r="AD15" i="14"/>
  <c r="AD27" i="14" s="1"/>
  <c r="AD15" i="10"/>
  <c r="BZ15" i="10" s="1"/>
  <c r="AE8" i="14"/>
  <c r="AE11" i="1"/>
  <c r="AF102" i="1" s="1"/>
  <c r="AE8" i="10"/>
  <c r="M89" i="9"/>
  <c r="V93" i="9"/>
  <c r="AP74" i="10"/>
  <c r="AP74" i="14"/>
  <c r="AH73" i="10"/>
  <c r="AH73" i="14"/>
  <c r="AT21" i="8"/>
  <c r="AT51" i="8"/>
  <c r="AX58" i="9"/>
  <c r="S11" i="8"/>
  <c r="S102" i="8" s="1"/>
  <c r="AU71" i="14"/>
  <c r="AU71" i="10"/>
  <c r="AG51" i="9"/>
  <c r="AG21" i="9"/>
  <c r="AG33" i="9" s="1"/>
  <c r="AW74" i="10"/>
  <c r="AW74" i="14"/>
  <c r="BO64" i="8"/>
  <c r="I79" i="10"/>
  <c r="I79" i="14"/>
  <c r="BO57" i="8"/>
  <c r="BO58" i="8" s="1"/>
  <c r="Y83" i="9"/>
  <c r="AI17" i="8"/>
  <c r="AI23" i="8" s="1"/>
  <c r="AL69" i="10"/>
  <c r="AL69" i="14"/>
  <c r="AG95" i="10"/>
  <c r="AG96" i="10" s="1"/>
  <c r="AG95" i="14"/>
  <c r="AG96" i="14" s="1"/>
  <c r="AG96" i="1"/>
  <c r="AM89" i="9"/>
  <c r="F21" i="9"/>
  <c r="F51" i="9"/>
  <c r="L52" i="9"/>
  <c r="L22" i="9"/>
  <c r="Y20" i="8"/>
  <c r="Y32" i="8" s="1"/>
  <c r="Y41" i="8"/>
  <c r="Y50" i="8"/>
  <c r="AE89" i="8"/>
  <c r="AG66" i="10"/>
  <c r="AG66" i="14"/>
  <c r="AL65" i="14"/>
  <c r="AL65" i="10"/>
  <c r="P28" i="9"/>
  <c r="AC26" i="9"/>
  <c r="AC47" i="9"/>
  <c r="AV15" i="10"/>
  <c r="AV27" i="10" s="1"/>
  <c r="AV15" i="14"/>
  <c r="AV21" i="14" s="1"/>
  <c r="AF47" i="9"/>
  <c r="AF29" i="9" s="1"/>
  <c r="AF35" i="9" s="1"/>
  <c r="AF26" i="9"/>
  <c r="AF96" i="9"/>
  <c r="AE27" i="9"/>
  <c r="K67" i="10"/>
  <c r="K67" i="14"/>
  <c r="BO74" i="8"/>
  <c r="AD95" i="14"/>
  <c r="AD96" i="14" s="1"/>
  <c r="AD96" i="1"/>
  <c r="AD95" i="10"/>
  <c r="AI82" i="10"/>
  <c r="AI82" i="14"/>
  <c r="AE11" i="9"/>
  <c r="R80" i="10"/>
  <c r="R80" i="14"/>
  <c r="AY52" i="9"/>
  <c r="AY22" i="9"/>
  <c r="AS91" i="10"/>
  <c r="AS91" i="14"/>
  <c r="AS93" i="1"/>
  <c r="AW51" i="1"/>
  <c r="AW39" i="14"/>
  <c r="AW21" i="14" s="1"/>
  <c r="AW21" i="1"/>
  <c r="AW39" i="10"/>
  <c r="H11" i="8"/>
  <c r="AK41" i="9"/>
  <c r="AK50" i="9"/>
  <c r="AK20" i="9"/>
  <c r="AB64" i="14"/>
  <c r="AB64" i="10"/>
  <c r="I96" i="1"/>
  <c r="I95" i="10"/>
  <c r="I96" i="10" s="1"/>
  <c r="I95" i="14"/>
  <c r="I96" i="14" s="1"/>
  <c r="Y91" i="10"/>
  <c r="Y93" i="10" s="1"/>
  <c r="Y93" i="1"/>
  <c r="Y91" i="14"/>
  <c r="AM82" i="10"/>
  <c r="AM82" i="14"/>
  <c r="G77" i="14"/>
  <c r="G77" i="10"/>
  <c r="H47" i="9"/>
  <c r="H53" i="9" s="1"/>
  <c r="H26" i="9"/>
  <c r="AT11" i="8"/>
  <c r="T95" i="14"/>
  <c r="T96" i="14" s="1"/>
  <c r="T96" i="1"/>
  <c r="T95" i="10"/>
  <c r="T96" i="10" s="1"/>
  <c r="AA64" i="14"/>
  <c r="AA64" i="10"/>
  <c r="AA83" i="10" s="1"/>
  <c r="AX57" i="14"/>
  <c r="AX57" i="10"/>
  <c r="AA73" i="14"/>
  <c r="AA73" i="10"/>
  <c r="BO92" i="9"/>
  <c r="AG83" i="9"/>
  <c r="P93" i="9"/>
  <c r="AK71" i="14"/>
  <c r="AK83" i="14" s="1"/>
  <c r="AK71" i="10"/>
  <c r="AO83" i="8"/>
  <c r="J21" i="1"/>
  <c r="J33" i="1" s="1"/>
  <c r="J39" i="10"/>
  <c r="J51" i="10" s="1"/>
  <c r="J51" i="1"/>
  <c r="J39" i="14"/>
  <c r="BO74" i="9"/>
  <c r="AG81" i="14"/>
  <c r="AG81" i="10"/>
  <c r="W40" i="14"/>
  <c r="W22" i="1"/>
  <c r="W40" i="10"/>
  <c r="W52" i="1"/>
  <c r="V28" i="1"/>
  <c r="V46" i="10"/>
  <c r="V28" i="10" s="1"/>
  <c r="V46" i="14"/>
  <c r="V28" i="14" s="1"/>
  <c r="AD93" i="8"/>
  <c r="AN11" i="9"/>
  <c r="AY9" i="14"/>
  <c r="AY9" i="10"/>
  <c r="AF83" i="8"/>
  <c r="D51" i="8"/>
  <c r="D21" i="8"/>
  <c r="AP93" i="9"/>
  <c r="AQ75" i="14"/>
  <c r="AQ75" i="10"/>
  <c r="M69" i="14"/>
  <c r="M69" i="10"/>
  <c r="H17" i="9"/>
  <c r="AK96" i="9"/>
  <c r="M47" i="8"/>
  <c r="M26" i="8"/>
  <c r="M32" i="8" s="1"/>
  <c r="T77" i="14"/>
  <c r="T77" i="10"/>
  <c r="Q28" i="9"/>
  <c r="F17" i="9"/>
  <c r="AB80" i="14"/>
  <c r="BR80" i="14" s="1"/>
  <c r="AB80" i="10"/>
  <c r="S80" i="10"/>
  <c r="S80" i="14"/>
  <c r="AQ73" i="14"/>
  <c r="AQ73" i="10"/>
  <c r="K78" i="14"/>
  <c r="K78" i="10"/>
  <c r="AL89" i="9"/>
  <c r="AK96" i="8"/>
  <c r="AP9" i="14"/>
  <c r="BO9" i="14" s="1"/>
  <c r="AP9" i="10"/>
  <c r="BO9" i="1"/>
  <c r="BO88" i="9"/>
  <c r="J66" i="14"/>
  <c r="J66" i="10"/>
  <c r="AO9" i="14"/>
  <c r="BQ9" i="14" s="1"/>
  <c r="AO9" i="10"/>
  <c r="BQ9" i="1"/>
  <c r="AT27" i="8"/>
  <c r="AT33" i="8" s="1"/>
  <c r="AI27" i="8"/>
  <c r="AI33" i="8" s="1"/>
  <c r="Q11" i="8"/>
  <c r="AQ11" i="9"/>
  <c r="BT9" i="8"/>
  <c r="AB87" i="14"/>
  <c r="AB87" i="10"/>
  <c r="AQ96" i="8"/>
  <c r="AL27" i="9"/>
  <c r="AL33" i="9" s="1"/>
  <c r="AE81" i="10"/>
  <c r="AE81" i="14"/>
  <c r="AL87" i="14"/>
  <c r="AL87" i="10"/>
  <c r="AL89" i="10" s="1"/>
  <c r="AQ26" i="9"/>
  <c r="AQ47" i="9"/>
  <c r="AQ29" i="9" s="1"/>
  <c r="AS52" i="9"/>
  <c r="AS22" i="9"/>
  <c r="AS34" i="9" s="1"/>
  <c r="AX96" i="8"/>
  <c r="AC63" i="14"/>
  <c r="AC63" i="10"/>
  <c r="AC83" i="1"/>
  <c r="AS58" i="8"/>
  <c r="R77" i="10"/>
  <c r="R77" i="14"/>
  <c r="AX88" i="14"/>
  <c r="AX89" i="14" s="1"/>
  <c r="AX88" i="10"/>
  <c r="AU52" i="9"/>
  <c r="AU22" i="9"/>
  <c r="AT74" i="14"/>
  <c r="AT74" i="10"/>
  <c r="AK80" i="10"/>
  <c r="AK80" i="14"/>
  <c r="AQ76" i="14"/>
  <c r="AQ76" i="10"/>
  <c r="U28" i="9"/>
  <c r="AE11" i="8"/>
  <c r="AX39" i="14"/>
  <c r="AX41" i="14" s="1"/>
  <c r="AX21" i="1"/>
  <c r="AX51" i="1"/>
  <c r="AX39" i="10"/>
  <c r="H70" i="10"/>
  <c r="H70" i="14"/>
  <c r="P41" i="9"/>
  <c r="P20" i="9"/>
  <c r="P50" i="9"/>
  <c r="AM96" i="8"/>
  <c r="AX68" i="10"/>
  <c r="AX68" i="14"/>
  <c r="M79" i="14"/>
  <c r="M79" i="10"/>
  <c r="AK68" i="10"/>
  <c r="AK68" i="14"/>
  <c r="AB96" i="8"/>
  <c r="W68" i="10"/>
  <c r="W68" i="14"/>
  <c r="I28" i="9"/>
  <c r="AF21" i="8"/>
  <c r="AF33" i="8" s="1"/>
  <c r="AF51" i="8"/>
  <c r="G88" i="14"/>
  <c r="G88" i="10"/>
  <c r="BO87" i="8"/>
  <c r="S72" i="14"/>
  <c r="S72" i="10"/>
  <c r="L47" i="1"/>
  <c r="L44" i="14"/>
  <c r="L26" i="1"/>
  <c r="L44" i="10"/>
  <c r="AB79" i="14"/>
  <c r="AB79" i="10"/>
  <c r="AF81" i="14"/>
  <c r="AF81" i="10"/>
  <c r="AC11" i="9"/>
  <c r="BO66" i="9"/>
  <c r="AY27" i="8"/>
  <c r="AY33" i="8" s="1"/>
  <c r="E21" i="9"/>
  <c r="E51" i="9"/>
  <c r="G93" i="8"/>
  <c r="J8" i="10"/>
  <c r="J11" i="1"/>
  <c r="J8" i="14"/>
  <c r="J11" i="14" s="1"/>
  <c r="Q93" i="8"/>
  <c r="AK17" i="8"/>
  <c r="AK23" i="8" s="1"/>
  <c r="L83" i="1"/>
  <c r="L63" i="14"/>
  <c r="L63" i="10"/>
  <c r="M27" i="9"/>
  <c r="AV10" i="14"/>
  <c r="AV10" i="10"/>
  <c r="AG27" i="8"/>
  <c r="AG33" i="8" s="1"/>
  <c r="AA80" i="14"/>
  <c r="AA80" i="10"/>
  <c r="AM89" i="8"/>
  <c r="G47" i="9"/>
  <c r="G29" i="9" s="1"/>
  <c r="G26" i="9"/>
  <c r="AM58" i="9"/>
  <c r="AD47" i="1"/>
  <c r="AD44" i="14"/>
  <c r="AD26" i="14" s="1"/>
  <c r="AD26" i="1"/>
  <c r="AD44" i="10"/>
  <c r="I71" i="14"/>
  <c r="I71" i="10"/>
  <c r="AB89" i="9"/>
  <c r="AT11" i="9"/>
  <c r="F89" i="9"/>
  <c r="AN50" i="1"/>
  <c r="AN38" i="14"/>
  <c r="BQ38" i="14" s="1"/>
  <c r="AN20" i="1"/>
  <c r="AN38" i="10"/>
  <c r="AN41" i="1"/>
  <c r="AN53" i="1" s="1"/>
  <c r="AN60" i="1" s="1"/>
  <c r="BO38" i="1"/>
  <c r="D78" i="14"/>
  <c r="D78" i="10"/>
  <c r="L82" i="14"/>
  <c r="L82" i="10"/>
  <c r="D91" i="14"/>
  <c r="D91" i="10"/>
  <c r="D93" i="1"/>
  <c r="AI91" i="14"/>
  <c r="AI93" i="14" s="1"/>
  <c r="AI93" i="1"/>
  <c r="AI91" i="10"/>
  <c r="AI93" i="10" s="1"/>
  <c r="AJ78" i="14"/>
  <c r="AJ78" i="10"/>
  <c r="AA17" i="9"/>
  <c r="BW15" i="9"/>
  <c r="BO15" i="9"/>
  <c r="AA22" i="9"/>
  <c r="AA34" i="9" s="1"/>
  <c r="AA52" i="9"/>
  <c r="AL83" i="9"/>
  <c r="V70" i="14"/>
  <c r="V70" i="10"/>
  <c r="AO72" i="14"/>
  <c r="AO72" i="10"/>
  <c r="E45" i="14"/>
  <c r="E27" i="1"/>
  <c r="E33" i="1" s="1"/>
  <c r="E45" i="10"/>
  <c r="E27" i="10" s="1"/>
  <c r="AY89" i="8"/>
  <c r="Y83" i="8"/>
  <c r="AE72" i="10"/>
  <c r="AE72" i="14"/>
  <c r="AN72" i="10"/>
  <c r="AN72" i="14"/>
  <c r="BO72" i="1"/>
  <c r="M51" i="8"/>
  <c r="M21" i="8"/>
  <c r="N39" i="10"/>
  <c r="N51" i="1"/>
  <c r="N39" i="14"/>
  <c r="N21" i="1"/>
  <c r="N33" i="1" s="1"/>
  <c r="AO92" i="14"/>
  <c r="BO92" i="14" s="1"/>
  <c r="AO92" i="10"/>
  <c r="Q86" i="14"/>
  <c r="Q89" i="1"/>
  <c r="Q86" i="10"/>
  <c r="AL79" i="14"/>
  <c r="AL79" i="10"/>
  <c r="D20" i="9"/>
  <c r="D41" i="9"/>
  <c r="D50" i="9"/>
  <c r="S91" i="14"/>
  <c r="S91" i="10"/>
  <c r="S93" i="1"/>
  <c r="AD10" i="14"/>
  <c r="AD10" i="10"/>
  <c r="BR10" i="1"/>
  <c r="AG86" i="14"/>
  <c r="AG89" i="1"/>
  <c r="AG86" i="10"/>
  <c r="AG89" i="10" s="1"/>
  <c r="AO93" i="8"/>
  <c r="AH17" i="9"/>
  <c r="AD89" i="9"/>
  <c r="AI96" i="9"/>
  <c r="G46" i="14"/>
  <c r="G28" i="1"/>
  <c r="G46" i="10"/>
  <c r="AA63" i="10"/>
  <c r="AA63" i="14"/>
  <c r="AA83" i="1"/>
  <c r="AO22" i="8"/>
  <c r="AO34" i="8" s="1"/>
  <c r="AO52" i="8"/>
  <c r="H27" i="9"/>
  <c r="P89" i="9"/>
  <c r="AQ93" i="8"/>
  <c r="K58" i="9"/>
  <c r="X11" i="9"/>
  <c r="AU39" i="14"/>
  <c r="AU21" i="14" s="1"/>
  <c r="AU21" i="1"/>
  <c r="AU33" i="1" s="1"/>
  <c r="AU39" i="10"/>
  <c r="AU21" i="10" s="1"/>
  <c r="AU51" i="1"/>
  <c r="AI26" i="8"/>
  <c r="AI47" i="8"/>
  <c r="AS26" i="9"/>
  <c r="AS47" i="9"/>
  <c r="AX45" i="14"/>
  <c r="AX27" i="1"/>
  <c r="AX45" i="10"/>
  <c r="AX27" i="10" s="1"/>
  <c r="BO77" i="8"/>
  <c r="L74" i="14"/>
  <c r="L74" i="10"/>
  <c r="AQ21" i="8"/>
  <c r="AQ51" i="8"/>
  <c r="U82" i="14"/>
  <c r="U82" i="10"/>
  <c r="AV82" i="14"/>
  <c r="AV82" i="10"/>
  <c r="AT83" i="9"/>
  <c r="BO56" i="9"/>
  <c r="AN58" i="9"/>
  <c r="AR26" i="9"/>
  <c r="AR47" i="9"/>
  <c r="AR29" i="9" s="1"/>
  <c r="BR10" i="8"/>
  <c r="W27" i="9"/>
  <c r="AH68" i="14"/>
  <c r="AH68" i="10"/>
  <c r="AB78" i="14"/>
  <c r="BR78" i="14" s="1"/>
  <c r="AB78" i="10"/>
  <c r="AL64" i="14"/>
  <c r="AL64" i="10"/>
  <c r="AU21" i="8"/>
  <c r="AU33" i="8" s="1"/>
  <c r="AU51" i="8"/>
  <c r="AN91" i="14"/>
  <c r="AN91" i="10"/>
  <c r="AN93" i="1"/>
  <c r="BO91" i="1"/>
  <c r="H91" i="10"/>
  <c r="H91" i="14"/>
  <c r="H93" i="14" s="1"/>
  <c r="H93" i="1"/>
  <c r="X73" i="14"/>
  <c r="X73" i="10"/>
  <c r="E88" i="10"/>
  <c r="E88" i="14"/>
  <c r="AG57" i="14"/>
  <c r="AG57" i="10"/>
  <c r="AR75" i="14"/>
  <c r="AR75" i="10"/>
  <c r="AI26" i="9"/>
  <c r="AI47" i="9"/>
  <c r="W63" i="14"/>
  <c r="W63" i="10"/>
  <c r="W83" i="1"/>
  <c r="L64" i="14"/>
  <c r="L64" i="10"/>
  <c r="AC89" i="9"/>
  <c r="T21" i="9"/>
  <c r="T33" i="9" s="1"/>
  <c r="T51" i="9"/>
  <c r="AT93" i="8"/>
  <c r="AY96" i="9"/>
  <c r="AR58" i="9"/>
  <c r="AE20" i="9"/>
  <c r="AE41" i="9"/>
  <c r="AE23" i="9" s="1"/>
  <c r="AE50" i="9"/>
  <c r="Q50" i="8"/>
  <c r="Q20" i="8"/>
  <c r="Q41" i="8"/>
  <c r="Z45" i="14"/>
  <c r="Z51" i="14" s="1"/>
  <c r="Z27" i="1"/>
  <c r="Z33" i="1" s="1"/>
  <c r="Z45" i="10"/>
  <c r="I39" i="10"/>
  <c r="I51" i="1"/>
  <c r="I39" i="14"/>
  <c r="I21" i="1"/>
  <c r="AU83" i="9"/>
  <c r="AI52" i="9"/>
  <c r="AI22" i="9"/>
  <c r="AU28" i="9"/>
  <c r="W52" i="8"/>
  <c r="W22" i="8"/>
  <c r="W34" i="8" s="1"/>
  <c r="AI77" i="14"/>
  <c r="AI77" i="10"/>
  <c r="N96" i="8"/>
  <c r="AX46" i="10"/>
  <c r="AX47" i="10" s="1"/>
  <c r="AX28" i="1"/>
  <c r="AX46" i="14"/>
  <c r="M67" i="14"/>
  <c r="M67" i="10"/>
  <c r="AN96" i="8"/>
  <c r="BO95" i="8"/>
  <c r="BO96" i="8" s="1"/>
  <c r="AR77" i="10"/>
  <c r="AR77" i="14"/>
  <c r="E96" i="8"/>
  <c r="AD17" i="9"/>
  <c r="AQ16" i="10"/>
  <c r="AQ16" i="14"/>
  <c r="G22" i="8"/>
  <c r="G34" i="8" s="1"/>
  <c r="G52" i="8"/>
  <c r="V89" i="8"/>
  <c r="AL58" i="9"/>
  <c r="AC27" i="8"/>
  <c r="L80" i="14"/>
  <c r="L80" i="10"/>
  <c r="AK17" i="9"/>
  <c r="AK29" i="9" s="1"/>
  <c r="AA71" i="10"/>
  <c r="AA71" i="14"/>
  <c r="D82" i="14"/>
  <c r="D82" i="10"/>
  <c r="W46" i="10"/>
  <c r="W46" i="14"/>
  <c r="W52" i="14" s="1"/>
  <c r="W28" i="1"/>
  <c r="AL91" i="14"/>
  <c r="AL93" i="1"/>
  <c r="AL91" i="10"/>
  <c r="AC96" i="8"/>
  <c r="J89" i="8"/>
  <c r="AQ92" i="14"/>
  <c r="AQ92" i="10"/>
  <c r="AE82" i="14"/>
  <c r="AE82" i="10"/>
  <c r="Z77" i="14"/>
  <c r="Z77" i="10"/>
  <c r="AH80" i="10"/>
  <c r="AH80" i="14"/>
  <c r="AO93" i="9"/>
  <c r="AU47" i="8"/>
  <c r="AU26" i="8"/>
  <c r="V74" i="14"/>
  <c r="V74" i="10"/>
  <c r="AN67" i="10"/>
  <c r="AN67" i="14"/>
  <c r="BO67" i="1"/>
  <c r="AN26" i="8"/>
  <c r="AN47" i="8"/>
  <c r="BO44" i="8"/>
  <c r="S83" i="8"/>
  <c r="L11" i="9"/>
  <c r="G96" i="9"/>
  <c r="AV67" i="10"/>
  <c r="AV67" i="14"/>
  <c r="AK27" i="8"/>
  <c r="AD21" i="8"/>
  <c r="AD51" i="8"/>
  <c r="O66" i="14"/>
  <c r="O66" i="10"/>
  <c r="U81" i="10"/>
  <c r="U81" i="14"/>
  <c r="AC68" i="14"/>
  <c r="AC68" i="10"/>
  <c r="X14" i="14"/>
  <c r="X20" i="14" s="1"/>
  <c r="X17" i="1"/>
  <c r="X29" i="1" s="1"/>
  <c r="X14" i="10"/>
  <c r="X26" i="10" s="1"/>
  <c r="AA11" i="9"/>
  <c r="AH58" i="9"/>
  <c r="AR64" i="14"/>
  <c r="AR64" i="10"/>
  <c r="AV27" i="9"/>
  <c r="AV17" i="8"/>
  <c r="AY89" i="9"/>
  <c r="BO72" i="9"/>
  <c r="AV73" i="14"/>
  <c r="AV73" i="10"/>
  <c r="AB28" i="9"/>
  <c r="AB34" i="9" s="1"/>
  <c r="AO39" i="14"/>
  <c r="BO39" i="14" s="1"/>
  <c r="AO21" i="1"/>
  <c r="AO39" i="10"/>
  <c r="AO51" i="1"/>
  <c r="AD22" i="8"/>
  <c r="AD52" i="8"/>
  <c r="BO57" i="9"/>
  <c r="BO45" i="8"/>
  <c r="BO27" i="8" s="1"/>
  <c r="AN27" i="8"/>
  <c r="AQ11" i="8"/>
  <c r="AR102" i="8" s="1"/>
  <c r="X89" i="8"/>
  <c r="D51" i="9"/>
  <c r="D21" i="9"/>
  <c r="D33" i="9" s="1"/>
  <c r="AS65" i="14"/>
  <c r="AS65" i="10"/>
  <c r="E72" i="14"/>
  <c r="E72" i="10"/>
  <c r="AE77" i="14"/>
  <c r="AE77" i="10"/>
  <c r="AT96" i="8"/>
  <c r="X17" i="8"/>
  <c r="X23" i="8" s="1"/>
  <c r="U66" i="10"/>
  <c r="U66" i="14"/>
  <c r="AK64" i="10"/>
  <c r="AK64" i="14"/>
  <c r="T22" i="1"/>
  <c r="T34" i="1" s="1"/>
  <c r="T40" i="10"/>
  <c r="T52" i="10" s="1"/>
  <c r="T52" i="1"/>
  <c r="T40" i="14"/>
  <c r="X67" i="10"/>
  <c r="X67" i="14"/>
  <c r="N26" i="8"/>
  <c r="N47" i="8"/>
  <c r="N29" i="8" s="1"/>
  <c r="AW11" i="9"/>
  <c r="AW102" i="9" s="1"/>
  <c r="J92" i="10"/>
  <c r="J92" i="14"/>
  <c r="AV41" i="8"/>
  <c r="AV50" i="8"/>
  <c r="AV20" i="8"/>
  <c r="AV32" i="8" s="1"/>
  <c r="AO26" i="1"/>
  <c r="AO44" i="10"/>
  <c r="AO44" i="14"/>
  <c r="AO47" i="14" s="1"/>
  <c r="AO47" i="1"/>
  <c r="V95" i="14"/>
  <c r="V96" i="14" s="1"/>
  <c r="V96" i="1"/>
  <c r="V95" i="10"/>
  <c r="V96" i="10" s="1"/>
  <c r="AN45" i="10"/>
  <c r="AN27" i="1"/>
  <c r="AN45" i="14"/>
  <c r="BO45" i="1"/>
  <c r="BO75" i="9"/>
  <c r="AH22" i="8"/>
  <c r="AH34" i="8" s="1"/>
  <c r="AH52" i="8"/>
  <c r="O71" i="14"/>
  <c r="O71" i="10"/>
  <c r="AJ41" i="9"/>
  <c r="AJ20" i="9"/>
  <c r="AJ32" i="9" s="1"/>
  <c r="AJ50" i="9"/>
  <c r="BO70" i="9"/>
  <c r="AW93" i="8"/>
  <c r="S47" i="9"/>
  <c r="S26" i="9"/>
  <c r="BO65" i="9"/>
  <c r="S89" i="8"/>
  <c r="AH51" i="8"/>
  <c r="AH21" i="8"/>
  <c r="H71" i="10"/>
  <c r="H71" i="14"/>
  <c r="G28" i="9"/>
  <c r="G34" i="9" s="1"/>
  <c r="AO76" i="14"/>
  <c r="AO76" i="10"/>
  <c r="BO78" i="8"/>
  <c r="AQ93" i="9"/>
  <c r="AQ27" i="8"/>
  <c r="I64" i="10"/>
  <c r="I64" i="14"/>
  <c r="BQ9" i="9"/>
  <c r="AA75" i="14"/>
  <c r="AA75" i="10"/>
  <c r="AM96" i="9"/>
  <c r="AG28" i="8"/>
  <c r="AQ77" i="14"/>
  <c r="AQ77" i="10"/>
  <c r="U65" i="14"/>
  <c r="U65" i="10"/>
  <c r="AY11" i="8"/>
  <c r="Z93" i="8"/>
  <c r="AB71" i="14"/>
  <c r="AB71" i="10"/>
  <c r="S92" i="14"/>
  <c r="S92" i="10"/>
  <c r="T83" i="8"/>
  <c r="Z27" i="9"/>
  <c r="AL76" i="14"/>
  <c r="AL76" i="10"/>
  <c r="J83" i="8"/>
  <c r="M26" i="9"/>
  <c r="M47" i="9"/>
  <c r="G10" i="14"/>
  <c r="G10" i="10"/>
  <c r="AT89" i="8"/>
  <c r="L66" i="14"/>
  <c r="L66" i="10"/>
  <c r="K47" i="9"/>
  <c r="K26" i="9"/>
  <c r="X56" i="14"/>
  <c r="X58" i="14" s="1"/>
  <c r="X56" i="10"/>
  <c r="X58" i="1"/>
  <c r="AU44" i="10"/>
  <c r="AU26" i="10" s="1"/>
  <c r="AU44" i="14"/>
  <c r="AU26" i="1"/>
  <c r="AU47" i="1"/>
  <c r="AU53" i="1" s="1"/>
  <c r="AG51" i="1"/>
  <c r="AG39" i="10"/>
  <c r="AG21" i="1"/>
  <c r="AG39" i="14"/>
  <c r="G39" i="10"/>
  <c r="G51" i="1"/>
  <c r="G39" i="14"/>
  <c r="G41" i="14" s="1"/>
  <c r="G21" i="1"/>
  <c r="G33" i="1" s="1"/>
  <c r="Z96" i="8"/>
  <c r="AA83" i="9"/>
  <c r="AP95" i="14"/>
  <c r="AP96" i="14" s="1"/>
  <c r="AP97" i="14" s="1"/>
  <c r="AP96" i="1"/>
  <c r="AP95" i="10"/>
  <c r="BO95" i="10" s="1"/>
  <c r="P11" i="8"/>
  <c r="G75" i="14"/>
  <c r="G75" i="10"/>
  <c r="AL74" i="14"/>
  <c r="AL74" i="10"/>
  <c r="J79" i="14"/>
  <c r="J79" i="10"/>
  <c r="AS17" i="8"/>
  <c r="AS23" i="8" s="1"/>
  <c r="AM52" i="9"/>
  <c r="AM22" i="9"/>
  <c r="T82" i="14"/>
  <c r="T82" i="10"/>
  <c r="BO88" i="8"/>
  <c r="L27" i="9"/>
  <c r="AF93" i="9"/>
  <c r="AX93" i="9"/>
  <c r="Y68" i="14"/>
  <c r="Y68" i="10"/>
  <c r="V64" i="14"/>
  <c r="V64" i="10"/>
  <c r="E64" i="14"/>
  <c r="BT64" i="14" s="1"/>
  <c r="E64" i="10"/>
  <c r="AB27" i="9"/>
  <c r="AB33" i="9" s="1"/>
  <c r="AW96" i="8"/>
  <c r="U27" i="9"/>
  <c r="AU20" i="9"/>
  <c r="AU41" i="9"/>
  <c r="AU50" i="9"/>
  <c r="AY78" i="14"/>
  <c r="AY78" i="10"/>
  <c r="O46" i="14"/>
  <c r="O52" i="14" s="1"/>
  <c r="O28" i="1"/>
  <c r="O46" i="10"/>
  <c r="Q40" i="14"/>
  <c r="Q22" i="14" s="1"/>
  <c r="Q22" i="1"/>
  <c r="Q40" i="10"/>
  <c r="Q52" i="1"/>
  <c r="L83" i="9"/>
  <c r="R21" i="1"/>
  <c r="R33" i="1" s="1"/>
  <c r="R39" i="14"/>
  <c r="R39" i="10"/>
  <c r="R51" i="1"/>
  <c r="AM15" i="14"/>
  <c r="AM15" i="10"/>
  <c r="M72" i="10"/>
  <c r="M72" i="14"/>
  <c r="V21" i="8"/>
  <c r="V33" i="8" s="1"/>
  <c r="V51" i="8"/>
  <c r="AQ72" i="14"/>
  <c r="AQ72" i="10"/>
  <c r="AU69" i="10"/>
  <c r="AU69" i="14"/>
  <c r="R52" i="9"/>
  <c r="R22" i="9"/>
  <c r="Z76" i="10"/>
  <c r="Z76" i="14"/>
  <c r="AQ69" i="14"/>
  <c r="AQ69" i="10"/>
  <c r="D22" i="9"/>
  <c r="D52" i="9"/>
  <c r="AW64" i="14"/>
  <c r="AW64" i="10"/>
  <c r="AT64" i="14"/>
  <c r="AT64" i="10"/>
  <c r="W69" i="14"/>
  <c r="W69" i="10"/>
  <c r="AO96" i="8"/>
  <c r="L58" i="9"/>
  <c r="Z22" i="9"/>
  <c r="Z52" i="9"/>
  <c r="AW73" i="14"/>
  <c r="AW83" i="14" s="1"/>
  <c r="AW73" i="10"/>
  <c r="O76" i="14"/>
  <c r="O76" i="10"/>
  <c r="U10" i="10"/>
  <c r="U10" i="14"/>
  <c r="I75" i="14"/>
  <c r="I75" i="10"/>
  <c r="AJ89" i="8"/>
  <c r="AS14" i="14"/>
  <c r="AS17" i="14" s="1"/>
  <c r="AS18" i="14" s="1"/>
  <c r="AS14" i="10"/>
  <c r="AS17" i="10" s="1"/>
  <c r="AS17" i="1"/>
  <c r="G76" i="14"/>
  <c r="G76" i="10"/>
  <c r="AB86" i="14"/>
  <c r="BR86" i="14" s="1"/>
  <c r="AB89" i="1"/>
  <c r="AB86" i="10"/>
  <c r="BR86" i="10" s="1"/>
  <c r="I70" i="14"/>
  <c r="I70" i="10"/>
  <c r="AS11" i="8"/>
  <c r="J22" i="9"/>
  <c r="J34" i="9" s="1"/>
  <c r="J52" i="9"/>
  <c r="F22" i="8"/>
  <c r="F34" i="8" s="1"/>
  <c r="F52" i="8"/>
  <c r="AB73" i="14"/>
  <c r="BR73" i="14" s="1"/>
  <c r="AB73" i="10"/>
  <c r="BR73" i="10" s="1"/>
  <c r="I96" i="8"/>
  <c r="AH89" i="8"/>
  <c r="Z17" i="9"/>
  <c r="Z23" i="9" s="1"/>
  <c r="O96" i="9"/>
  <c r="Y39" i="14"/>
  <c r="Y21" i="14" s="1"/>
  <c r="Y21" i="1"/>
  <c r="Y33" i="1" s="1"/>
  <c r="Y39" i="10"/>
  <c r="Y51" i="1"/>
  <c r="R79" i="14"/>
  <c r="R79" i="10"/>
  <c r="AS44" i="14"/>
  <c r="AS44" i="10"/>
  <c r="AS50" i="10" s="1"/>
  <c r="AS26" i="1"/>
  <c r="AS47" i="1"/>
  <c r="AS29" i="1" s="1"/>
  <c r="AC45" i="10"/>
  <c r="AC27" i="10" s="1"/>
  <c r="AC45" i="14"/>
  <c r="AC27" i="1"/>
  <c r="Y58" i="9"/>
  <c r="AP63" i="10"/>
  <c r="AP83" i="1"/>
  <c r="AP63" i="14"/>
  <c r="AM27" i="9"/>
  <c r="O86" i="14"/>
  <c r="O89" i="14" s="1"/>
  <c r="O89" i="1"/>
  <c r="O86" i="10"/>
  <c r="U89" i="8"/>
  <c r="T88" i="14"/>
  <c r="T88" i="10"/>
  <c r="T89" i="10" s="1"/>
  <c r="AE28" i="9"/>
  <c r="K14" i="14"/>
  <c r="K17" i="1"/>
  <c r="K14" i="10"/>
  <c r="AQ93" i="1"/>
  <c r="AQ91" i="10"/>
  <c r="AQ91" i="14"/>
  <c r="AQ89" i="8"/>
  <c r="M64" i="14"/>
  <c r="M64" i="10"/>
  <c r="P8" i="14"/>
  <c r="P11" i="14" s="1"/>
  <c r="P11" i="1"/>
  <c r="P8" i="10"/>
  <c r="AL11" i="9"/>
  <c r="N56" i="14"/>
  <c r="N56" i="10"/>
  <c r="N58" i="10" s="1"/>
  <c r="N58" i="1"/>
  <c r="AQ81" i="14"/>
  <c r="AQ81" i="10"/>
  <c r="AR15" i="14"/>
  <c r="AR17" i="14" s="1"/>
  <c r="AR18" i="14" s="1"/>
  <c r="AR15" i="10"/>
  <c r="Y79" i="14"/>
  <c r="Y79" i="10"/>
  <c r="R27" i="9"/>
  <c r="R33" i="9" s="1"/>
  <c r="AQ83" i="9"/>
  <c r="J93" i="9"/>
  <c r="AS72" i="10"/>
  <c r="AS72" i="14"/>
  <c r="Z83" i="9"/>
  <c r="AD91" i="10"/>
  <c r="AD91" i="14"/>
  <c r="BR91" i="14" s="1"/>
  <c r="AD93" i="1"/>
  <c r="T78" i="14"/>
  <c r="T78" i="10"/>
  <c r="AR93" i="8"/>
  <c r="K89" i="8"/>
  <c r="T80" i="10"/>
  <c r="T80" i="14"/>
  <c r="F65" i="14"/>
  <c r="F65" i="10"/>
  <c r="X65" i="14"/>
  <c r="X65" i="10"/>
  <c r="Q93" i="9"/>
  <c r="S81" i="14"/>
  <c r="S81" i="10"/>
  <c r="AU57" i="10"/>
  <c r="AU58" i="10" s="1"/>
  <c r="AU57" i="14"/>
  <c r="AV72" i="14"/>
  <c r="AV72" i="10"/>
  <c r="AU93" i="9"/>
  <c r="V76" i="14"/>
  <c r="V76" i="10"/>
  <c r="V65" i="10"/>
  <c r="V65" i="14"/>
  <c r="AF52" i="8"/>
  <c r="AF22" i="8"/>
  <c r="U96" i="8"/>
  <c r="AJ82" i="14"/>
  <c r="AJ82" i="10"/>
  <c r="AV83" i="9"/>
  <c r="AU27" i="8"/>
  <c r="G11" i="8"/>
  <c r="AP58" i="9"/>
  <c r="AO96" i="9"/>
  <c r="K28" i="8"/>
  <c r="AT47" i="9"/>
  <c r="AT26" i="9"/>
  <c r="AC51" i="9"/>
  <c r="AC21" i="9"/>
  <c r="J81" i="14"/>
  <c r="J81" i="10"/>
  <c r="AV22" i="1"/>
  <c r="AV34" i="1" s="1"/>
  <c r="AV40" i="10"/>
  <c r="AV52" i="10" s="1"/>
  <c r="AV52" i="1"/>
  <c r="AV40" i="14"/>
  <c r="AG96" i="9"/>
  <c r="Y82" i="10"/>
  <c r="Y82" i="14"/>
  <c r="AR28" i="8"/>
  <c r="E52" i="9"/>
  <c r="E22" i="9"/>
  <c r="Y93" i="9"/>
  <c r="AD46" i="14"/>
  <c r="AD28" i="1"/>
  <c r="AD34" i="1" s="1"/>
  <c r="AD46" i="10"/>
  <c r="AD28" i="9"/>
  <c r="AT21" i="1"/>
  <c r="AT39" i="10"/>
  <c r="AT51" i="1"/>
  <c r="AT39" i="14"/>
  <c r="AT51" i="14" s="1"/>
  <c r="AM51" i="8"/>
  <c r="AM21" i="8"/>
  <c r="AM33" i="8" s="1"/>
  <c r="I15" i="10"/>
  <c r="I15" i="14"/>
  <c r="I27" i="14" s="1"/>
  <c r="Q8" i="14"/>
  <c r="Q11" i="1"/>
  <c r="Q8" i="10"/>
  <c r="AP75" i="10"/>
  <c r="AP75" i="14"/>
  <c r="BO75" i="14" s="1"/>
  <c r="F83" i="9"/>
  <c r="AS40" i="10"/>
  <c r="AS40" i="14"/>
  <c r="AS22" i="1"/>
  <c r="AS52" i="1"/>
  <c r="F96" i="9"/>
  <c r="L20" i="9"/>
  <c r="L50" i="9"/>
  <c r="L41" i="9"/>
  <c r="L53" i="9" s="1"/>
  <c r="AI83" i="8"/>
  <c r="AP41" i="9"/>
  <c r="AP20" i="9"/>
  <c r="AP50" i="9"/>
  <c r="AS56" i="10"/>
  <c r="AS58" i="1"/>
  <c r="AS56" i="14"/>
  <c r="AS58" i="14" s="1"/>
  <c r="AV79" i="10"/>
  <c r="AV79" i="14"/>
  <c r="O93" i="8"/>
  <c r="AQ20" i="9"/>
  <c r="AQ50" i="9"/>
  <c r="AQ41" i="9"/>
  <c r="AQ23" i="9" s="1"/>
  <c r="AQ35" i="9" s="1"/>
  <c r="Z68" i="10"/>
  <c r="Z68" i="14"/>
  <c r="AD58" i="9"/>
  <c r="O26" i="9"/>
  <c r="O47" i="9"/>
  <c r="H28" i="9"/>
  <c r="K83" i="8"/>
  <c r="AL96" i="9"/>
  <c r="AG78" i="14"/>
  <c r="AG78" i="10"/>
  <c r="AJ17" i="9"/>
  <c r="AS9" i="10"/>
  <c r="AS9" i="14"/>
  <c r="Q9" i="10"/>
  <c r="Q11" i="10" s="1"/>
  <c r="Q9" i="14"/>
  <c r="J96" i="1"/>
  <c r="J95" i="14"/>
  <c r="J96" i="14" s="1"/>
  <c r="J95" i="10"/>
  <c r="J96" i="10" s="1"/>
  <c r="I68" i="14"/>
  <c r="I68" i="10"/>
  <c r="AJ50" i="1"/>
  <c r="AJ41" i="1"/>
  <c r="AJ20" i="1"/>
  <c r="AJ38" i="10"/>
  <c r="AJ20" i="10" s="1"/>
  <c r="AJ38" i="14"/>
  <c r="AJ20" i="14" s="1"/>
  <c r="U57" i="14"/>
  <c r="U58" i="14" s="1"/>
  <c r="U57" i="10"/>
  <c r="AV22" i="8"/>
  <c r="AV52" i="8"/>
  <c r="I92" i="10"/>
  <c r="I92" i="14"/>
  <c r="I93" i="14" s="1"/>
  <c r="AN93" i="8"/>
  <c r="BO91" i="8"/>
  <c r="BO93" i="8" s="1"/>
  <c r="Y96" i="8"/>
  <c r="J74" i="14"/>
  <c r="J74" i="10"/>
  <c r="H96" i="9"/>
  <c r="AG26" i="9"/>
  <c r="AG47" i="9"/>
  <c r="S86" i="14"/>
  <c r="S89" i="14" s="1"/>
  <c r="S89" i="1"/>
  <c r="S86" i="10"/>
  <c r="S89" i="10" s="1"/>
  <c r="J89" i="9"/>
  <c r="S89" i="9"/>
  <c r="O89" i="8"/>
  <c r="S83" i="9"/>
  <c r="AU95" i="10"/>
  <c r="AU96" i="10" s="1"/>
  <c r="AU95" i="14"/>
  <c r="AU96" i="14" s="1"/>
  <c r="AU96" i="1"/>
  <c r="U52" i="9"/>
  <c r="U22" i="9"/>
  <c r="U34" i="9" s="1"/>
  <c r="AH51" i="9"/>
  <c r="AH21" i="9"/>
  <c r="AY93" i="8"/>
  <c r="Y9" i="10"/>
  <c r="Y9" i="14"/>
  <c r="AA96" i="9"/>
  <c r="AB69" i="14"/>
  <c r="AB69" i="10"/>
  <c r="K21" i="9"/>
  <c r="K51" i="9"/>
  <c r="V45" i="14"/>
  <c r="V51" i="14" s="1"/>
  <c r="V27" i="1"/>
  <c r="V33" i="1" s="1"/>
  <c r="V45" i="10"/>
  <c r="AW47" i="9"/>
  <c r="AW26" i="9"/>
  <c r="AW32" i="9" s="1"/>
  <c r="AC74" i="14"/>
  <c r="AC74" i="10"/>
  <c r="T69" i="14"/>
  <c r="T69" i="10"/>
  <c r="AA68" i="14"/>
  <c r="AA68" i="10"/>
  <c r="AR56" i="14"/>
  <c r="AR56" i="10"/>
  <c r="AR58" i="10" s="1"/>
  <c r="AR58" i="1"/>
  <c r="AI21" i="8"/>
  <c r="AI51" i="8"/>
  <c r="E47" i="9"/>
  <c r="E29" i="9" s="1"/>
  <c r="E26" i="9"/>
  <c r="AK39" i="14"/>
  <c r="AK51" i="14" s="1"/>
  <c r="AK21" i="1"/>
  <c r="AK39" i="10"/>
  <c r="AK51" i="10" s="1"/>
  <c r="AK51" i="1"/>
  <c r="AG20" i="9"/>
  <c r="AG41" i="9"/>
  <c r="AG50" i="9"/>
  <c r="D81" i="14"/>
  <c r="D81" i="10"/>
  <c r="V96" i="8"/>
  <c r="AG11" i="8"/>
  <c r="AH102" i="8" s="1"/>
  <c r="T20" i="9"/>
  <c r="T32" i="9" s="1"/>
  <c r="T41" i="9"/>
  <c r="T50" i="9"/>
  <c r="AF9" i="14"/>
  <c r="AF11" i="14" s="1"/>
  <c r="AF9" i="10"/>
  <c r="H21" i="9"/>
  <c r="H33" i="9" s="1"/>
  <c r="H51" i="9"/>
  <c r="M93" i="9"/>
  <c r="AA47" i="9"/>
  <c r="AA29" i="9" s="1"/>
  <c r="AA26" i="9"/>
  <c r="AJ17" i="8"/>
  <c r="AE58" i="9"/>
  <c r="U63" i="10"/>
  <c r="U83" i="1"/>
  <c r="U63" i="14"/>
  <c r="N38" i="14"/>
  <c r="N41" i="1"/>
  <c r="N20" i="1"/>
  <c r="N38" i="10"/>
  <c r="N20" i="10" s="1"/>
  <c r="N50" i="1"/>
  <c r="E50" i="8"/>
  <c r="E20" i="8"/>
  <c r="E41" i="8"/>
  <c r="E23" i="8" s="1"/>
  <c r="O21" i="9"/>
  <c r="O33" i="9" s="1"/>
  <c r="O51" i="9"/>
  <c r="AT72" i="10"/>
  <c r="AT72" i="14"/>
  <c r="K9" i="10"/>
  <c r="K9" i="14"/>
  <c r="S52" i="9"/>
  <c r="S22" i="9"/>
  <c r="AX89" i="9"/>
  <c r="M28" i="9"/>
  <c r="Z93" i="1"/>
  <c r="Z91" i="14"/>
  <c r="Z91" i="10"/>
  <c r="R52" i="1"/>
  <c r="R40" i="14"/>
  <c r="BS40" i="14" s="1"/>
  <c r="R22" i="1"/>
  <c r="R34" i="1" s="1"/>
  <c r="R40" i="10"/>
  <c r="R52" i="10" s="1"/>
  <c r="AY28" i="9"/>
  <c r="AY67" i="14"/>
  <c r="AY67" i="10"/>
  <c r="P74" i="14"/>
  <c r="P74" i="10"/>
  <c r="W73" i="10"/>
  <c r="W73" i="14"/>
  <c r="M52" i="9"/>
  <c r="M22" i="9"/>
  <c r="M34" i="9" s="1"/>
  <c r="AX64" i="14"/>
  <c r="AX64" i="10"/>
  <c r="E93" i="9"/>
  <c r="AP26" i="8"/>
  <c r="AP47" i="8"/>
  <c r="AP29" i="8" s="1"/>
  <c r="AY22" i="8"/>
  <c r="AY52" i="8"/>
  <c r="AU22" i="8"/>
  <c r="AU34" i="8" s="1"/>
  <c r="AU52" i="8"/>
  <c r="AU27" i="9"/>
  <c r="W64" i="14"/>
  <c r="W64" i="10"/>
  <c r="K74" i="14"/>
  <c r="K74" i="10"/>
  <c r="F83" i="8"/>
  <c r="AJ58" i="9"/>
  <c r="F83" i="1"/>
  <c r="F63" i="14"/>
  <c r="F63" i="10"/>
  <c r="H77" i="14"/>
  <c r="H77" i="10"/>
  <c r="AS45" i="14"/>
  <c r="AS27" i="1"/>
  <c r="AS45" i="10"/>
  <c r="AS27" i="10" s="1"/>
  <c r="R20" i="9"/>
  <c r="R50" i="9"/>
  <c r="R41" i="9"/>
  <c r="AB83" i="8"/>
  <c r="AC93" i="9"/>
  <c r="S93" i="8"/>
  <c r="X82" i="14"/>
  <c r="X82" i="10"/>
  <c r="X58" i="8"/>
  <c r="X96" i="8"/>
  <c r="N28" i="9"/>
  <c r="AT96" i="9"/>
  <c r="AQ67" i="14"/>
  <c r="AQ67" i="10"/>
  <c r="AH58" i="1"/>
  <c r="AH56" i="14"/>
  <c r="AH58" i="14" s="1"/>
  <c r="AH56" i="10"/>
  <c r="AA8" i="14"/>
  <c r="AA11" i="14" s="1"/>
  <c r="AA11" i="1"/>
  <c r="BR102" i="1" s="1"/>
  <c r="AA8" i="10"/>
  <c r="AA11" i="10" s="1"/>
  <c r="AP83" i="9"/>
  <c r="AV81" i="14"/>
  <c r="AV81" i="10"/>
  <c r="Q81" i="10"/>
  <c r="BS81" i="10" s="1"/>
  <c r="Q81" i="14"/>
  <c r="N74" i="14"/>
  <c r="N74" i="10"/>
  <c r="AN9" i="14"/>
  <c r="AN9" i="10"/>
  <c r="AN11" i="10" s="1"/>
  <c r="AM76" i="14"/>
  <c r="AM76" i="10"/>
  <c r="AM39" i="14"/>
  <c r="AM51" i="14" s="1"/>
  <c r="AM51" i="1"/>
  <c r="AM21" i="1"/>
  <c r="AM33" i="1" s="1"/>
  <c r="AM39" i="10"/>
  <c r="AH20" i="9"/>
  <c r="AH41" i="9"/>
  <c r="AH50" i="9"/>
  <c r="AO83" i="9"/>
  <c r="AO98" i="9" s="1"/>
  <c r="AT9" i="14"/>
  <c r="AT9" i="10"/>
  <c r="U46" i="14"/>
  <c r="U52" i="14" s="1"/>
  <c r="U28" i="1"/>
  <c r="U46" i="10"/>
  <c r="U28" i="10" s="1"/>
  <c r="AP11" i="8"/>
  <c r="BO8" i="8"/>
  <c r="AH66" i="14"/>
  <c r="AH66" i="10"/>
  <c r="R89" i="9"/>
  <c r="M81" i="14"/>
  <c r="M81" i="10"/>
  <c r="AJ11" i="9"/>
  <c r="N83" i="8"/>
  <c r="AA86" i="14"/>
  <c r="AA89" i="14" s="1"/>
  <c r="AA89" i="1"/>
  <c r="AA86" i="10"/>
  <c r="AA89" i="10" s="1"/>
  <c r="X52" i="8"/>
  <c r="X22" i="8"/>
  <c r="AR74" i="14"/>
  <c r="AR74" i="10"/>
  <c r="F86" i="14"/>
  <c r="BT86" i="14" s="1"/>
  <c r="F89" i="1"/>
  <c r="F86" i="10"/>
  <c r="AD20" i="1"/>
  <c r="AD32" i="1" s="1"/>
  <c r="AD50" i="1"/>
  <c r="AD38" i="10"/>
  <c r="AD38" i="14"/>
  <c r="AD41" i="1"/>
  <c r="P27" i="9"/>
  <c r="P33" i="9" s="1"/>
  <c r="U51" i="8"/>
  <c r="U21" i="8"/>
  <c r="U33" i="8" s="1"/>
  <c r="E83" i="9"/>
  <c r="P89" i="8"/>
  <c r="U91" i="14"/>
  <c r="U93" i="14" s="1"/>
  <c r="U93" i="1"/>
  <c r="U91" i="10"/>
  <c r="U93" i="10" s="1"/>
  <c r="AV41" i="9"/>
  <c r="AV23" i="9" s="1"/>
  <c r="AV35" i="9" s="1"/>
  <c r="AV50" i="9"/>
  <c r="AV20" i="9"/>
  <c r="AC11" i="8"/>
  <c r="AC102" i="8" s="1"/>
  <c r="V67" i="14"/>
  <c r="V67" i="10"/>
  <c r="Z51" i="9"/>
  <c r="Z21" i="9"/>
  <c r="U83" i="9"/>
  <c r="F67" i="14"/>
  <c r="F67" i="10"/>
  <c r="BT67" i="10" s="1"/>
  <c r="AE93" i="8"/>
  <c r="AY87" i="10"/>
  <c r="AY87" i="14"/>
  <c r="I82" i="14"/>
  <c r="I82" i="10"/>
  <c r="AG77" i="14"/>
  <c r="AG77" i="10"/>
  <c r="AJ28" i="9"/>
  <c r="AV96" i="8"/>
  <c r="AA88" i="14"/>
  <c r="AA88" i="10"/>
  <c r="F8" i="10"/>
  <c r="F8" i="14"/>
  <c r="BT8" i="14" s="1"/>
  <c r="F11" i="1"/>
  <c r="BT8" i="1"/>
  <c r="F47" i="8"/>
  <c r="F26" i="8"/>
  <c r="F32" i="8" s="1"/>
  <c r="Y27" i="8"/>
  <c r="W67" i="14"/>
  <c r="W67" i="10"/>
  <c r="M8" i="10"/>
  <c r="M11" i="10" s="1"/>
  <c r="M11" i="1"/>
  <c r="N102" i="1" s="1"/>
  <c r="M8" i="14"/>
  <c r="T57" i="10"/>
  <c r="T58" i="10" s="1"/>
  <c r="T57" i="14"/>
  <c r="T58" i="14" s="1"/>
  <c r="AP65" i="10"/>
  <c r="AP65" i="14"/>
  <c r="E92" i="14"/>
  <c r="E92" i="10"/>
  <c r="BT92" i="10" s="1"/>
  <c r="AJ70" i="14"/>
  <c r="AJ70" i="10"/>
  <c r="BQ9" i="8"/>
  <c r="BQ11" i="8" s="1"/>
  <c r="AW17" i="9"/>
  <c r="AF28" i="8"/>
  <c r="T26" i="10"/>
  <c r="T47" i="10"/>
  <c r="U26" i="14"/>
  <c r="U50" i="14"/>
  <c r="AM28" i="10"/>
  <c r="AI58" i="10"/>
  <c r="AN58" i="10"/>
  <c r="X21" i="10"/>
  <c r="BS57" i="14"/>
  <c r="AG17" i="10"/>
  <c r="AA27" i="10"/>
  <c r="D21" i="14"/>
  <c r="CB15" i="14"/>
  <c r="I20" i="10"/>
  <c r="D53" i="8"/>
  <c r="D60" i="8" s="1"/>
  <c r="D98" i="8" s="1"/>
  <c r="AE27" i="14"/>
  <c r="AE47" i="14"/>
  <c r="AU89" i="14"/>
  <c r="AT93" i="10"/>
  <c r="AX17" i="10"/>
  <c r="Z41" i="10"/>
  <c r="AB21" i="10"/>
  <c r="AB33" i="10" s="1"/>
  <c r="BT15" i="14"/>
  <c r="BQ44" i="14"/>
  <c r="AF47" i="14"/>
  <c r="AH52" i="10"/>
  <c r="AH22" i="10"/>
  <c r="AM52" i="10"/>
  <c r="AL34" i="8"/>
  <c r="E28" i="10"/>
  <c r="E52" i="10"/>
  <c r="AR23" i="1"/>
  <c r="AA51" i="10"/>
  <c r="G89" i="14"/>
  <c r="Q53" i="1"/>
  <c r="W32" i="1"/>
  <c r="S50" i="10"/>
  <c r="AX20" i="10"/>
  <c r="M17" i="14"/>
  <c r="BO72" i="14"/>
  <c r="R102" i="8"/>
  <c r="AU29" i="1"/>
  <c r="AY29" i="8"/>
  <c r="AY23" i="8"/>
  <c r="AY35" i="8" s="1"/>
  <c r="AF26" i="10"/>
  <c r="AS93" i="14"/>
  <c r="S58" i="10"/>
  <c r="X50" i="10"/>
  <c r="AF20" i="10"/>
  <c r="O26" i="10"/>
  <c r="AH27" i="10"/>
  <c r="AX51" i="10"/>
  <c r="AQ27" i="14"/>
  <c r="V60" i="9"/>
  <c r="AX21" i="10"/>
  <c r="AH17" i="10"/>
  <c r="BS92" i="14"/>
  <c r="BQ77" i="14"/>
  <c r="BO68" i="14"/>
  <c r="BO80" i="10"/>
  <c r="T32" i="1"/>
  <c r="U32" i="8"/>
  <c r="J93" i="10"/>
  <c r="AV29" i="9"/>
  <c r="AS89" i="14"/>
  <c r="AS90" i="14" s="1"/>
  <c r="L60" i="8"/>
  <c r="BO73" i="10"/>
  <c r="AA17" i="14"/>
  <c r="AB34" i="1"/>
  <c r="BO71" i="10"/>
  <c r="BO79" i="10"/>
  <c r="AH17" i="14"/>
  <c r="T20" i="10"/>
  <c r="Q58" i="14"/>
  <c r="I22" i="14"/>
  <c r="P41" i="10"/>
  <c r="P23" i="10" s="1"/>
  <c r="J29" i="1"/>
  <c r="J35" i="1" s="1"/>
  <c r="E11" i="14"/>
  <c r="AR34" i="1"/>
  <c r="AQ52" i="10"/>
  <c r="AE28" i="14"/>
  <c r="H50" i="10"/>
  <c r="BS102" i="8"/>
  <c r="H26" i="10"/>
  <c r="AB51" i="14"/>
  <c r="AG23" i="8"/>
  <c r="H32" i="9"/>
  <c r="BS81" i="14"/>
  <c r="AG102" i="9"/>
  <c r="AS22" i="10"/>
  <c r="AM102" i="1"/>
  <c r="T102" i="9"/>
  <c r="AQ23" i="8"/>
  <c r="Y102" i="8"/>
  <c r="BO70" i="14"/>
  <c r="AF22" i="10"/>
  <c r="M33" i="9"/>
  <c r="K32" i="8"/>
  <c r="L26" i="10"/>
  <c r="AK102" i="1"/>
  <c r="Y28" i="14"/>
  <c r="AL53" i="9"/>
  <c r="AL60" i="9" s="1"/>
  <c r="AS52" i="14"/>
  <c r="X58" i="10"/>
  <c r="K29" i="8"/>
  <c r="AJ34" i="8"/>
  <c r="AC93" i="14"/>
  <c r="L29" i="8"/>
  <c r="AU23" i="9"/>
  <c r="Y29" i="1"/>
  <c r="P28" i="14"/>
  <c r="K33" i="8"/>
  <c r="X33" i="8"/>
  <c r="AL34" i="9"/>
  <c r="BF53" i="8"/>
  <c r="BF23" i="8"/>
  <c r="BC34" i="9"/>
  <c r="BJ17" i="14"/>
  <c r="BC34" i="1"/>
  <c r="BE58" i="10"/>
  <c r="BF29" i="9"/>
  <c r="BI33" i="9"/>
  <c r="BK33" i="9"/>
  <c r="BF33" i="9"/>
  <c r="BG32" i="9"/>
  <c r="BH29" i="9"/>
  <c r="BJ93" i="14"/>
  <c r="BD23" i="8"/>
  <c r="BD35" i="8" s="1"/>
  <c r="BI53" i="8"/>
  <c r="BI23" i="8"/>
  <c r="BI35" i="8" s="1"/>
  <c r="BI29" i="8"/>
  <c r="BI34" i="9"/>
  <c r="BA58" i="10"/>
  <c r="AZ34" i="8"/>
  <c r="BK53" i="8"/>
  <c r="BK23" i="8"/>
  <c r="BE53" i="8"/>
  <c r="BE23" i="8"/>
  <c r="BA89" i="14"/>
  <c r="BC58" i="10"/>
  <c r="BB93" i="10"/>
  <c r="AZ33" i="9"/>
  <c r="BE102" i="1"/>
  <c r="BB34" i="8"/>
  <c r="BJ29" i="8"/>
  <c r="AZ29" i="9"/>
  <c r="BD89" i="14"/>
  <c r="BG11" i="10"/>
  <c r="BK58" i="14"/>
  <c r="AZ29" i="8"/>
  <c r="BG17" i="14"/>
  <c r="AZ102" i="9"/>
  <c r="BH53" i="8"/>
  <c r="BH23" i="8"/>
  <c r="BE34" i="8"/>
  <c r="BA34" i="9"/>
  <c r="BA93" i="10"/>
  <c r="BH29" i="8"/>
  <c r="BK34" i="9"/>
  <c r="AZ102" i="1"/>
  <c r="BA102" i="1"/>
  <c r="BF29" i="8"/>
  <c r="BC102" i="8"/>
  <c r="BG93" i="10"/>
  <c r="BB96" i="10"/>
  <c r="BF34" i="8"/>
  <c r="BJ33" i="9"/>
  <c r="BF11" i="14"/>
  <c r="AZ102" i="8"/>
  <c r="BA29" i="8"/>
  <c r="BK58" i="10"/>
  <c r="BI32" i="9"/>
  <c r="BB33" i="9"/>
  <c r="BJ53" i="8"/>
  <c r="BJ23" i="8"/>
  <c r="BG34" i="8"/>
  <c r="BK98" i="8"/>
  <c r="BE34" i="9"/>
  <c r="BB34" i="9"/>
  <c r="BG53" i="8"/>
  <c r="BG23" i="8"/>
  <c r="BD17" i="14"/>
  <c r="BC33" i="9"/>
  <c r="BF102" i="8"/>
  <c r="AG32" i="9"/>
  <c r="Y23" i="8"/>
  <c r="BS79" i="14"/>
  <c r="BO56" i="10"/>
  <c r="AI11" i="14"/>
  <c r="U102" i="1"/>
  <c r="R28" i="14"/>
  <c r="W32" i="9"/>
  <c r="G53" i="9"/>
  <c r="G60" i="9" s="1"/>
  <c r="G98" i="9" s="1"/>
  <c r="S11" i="10"/>
  <c r="AW29" i="1"/>
  <c r="X102" i="9"/>
  <c r="V23" i="9"/>
  <c r="AM28" i="14"/>
  <c r="AP102" i="8"/>
  <c r="AN29" i="1"/>
  <c r="AB23" i="9"/>
  <c r="AM22" i="10"/>
  <c r="X34" i="8"/>
  <c r="AW33" i="9"/>
  <c r="AP32" i="9"/>
  <c r="Q34" i="9"/>
  <c r="Q89" i="14"/>
  <c r="M58" i="10"/>
  <c r="BW17" i="9"/>
  <c r="AB32" i="8"/>
  <c r="AG89" i="14"/>
  <c r="AF58" i="14"/>
  <c r="W29" i="1"/>
  <c r="AQ93" i="10"/>
  <c r="AJ93" i="14"/>
  <c r="AJ26" i="10"/>
  <c r="AJ32" i="10" s="1"/>
  <c r="AT51" i="10"/>
  <c r="AF34" i="1"/>
  <c r="R23" i="9"/>
  <c r="L29" i="1"/>
  <c r="AS32" i="8"/>
  <c r="AJ11" i="14"/>
  <c r="H89" i="14"/>
  <c r="BO63" i="10"/>
  <c r="BQ80" i="14"/>
  <c r="W11" i="14"/>
  <c r="AE89" i="14"/>
  <c r="BS65" i="14"/>
  <c r="BO11" i="9"/>
  <c r="AR53" i="1"/>
  <c r="M93" i="14"/>
  <c r="AH11" i="14"/>
  <c r="AG27" i="10"/>
  <c r="AW22" i="14"/>
  <c r="P17" i="10"/>
  <c r="AV102" i="1"/>
  <c r="AC32" i="8"/>
  <c r="BT68" i="14"/>
  <c r="S20" i="10"/>
  <c r="F26" i="10"/>
  <c r="AP34" i="1"/>
  <c r="V93" i="14"/>
  <c r="W21" i="14"/>
  <c r="AO17" i="14"/>
  <c r="AO18" i="14" s="1"/>
  <c r="Z58" i="14"/>
  <c r="AH32" i="1"/>
  <c r="AN28" i="10"/>
  <c r="AN34" i="10" s="1"/>
  <c r="G93" i="14"/>
  <c r="J50" i="10"/>
  <c r="V58" i="10"/>
  <c r="U41" i="14"/>
  <c r="AB23" i="1"/>
  <c r="AT58" i="14"/>
  <c r="AO102" i="8"/>
  <c r="AE93" i="10"/>
  <c r="AR32" i="8"/>
  <c r="AH23" i="1"/>
  <c r="P21" i="10"/>
  <c r="M20" i="10"/>
  <c r="AH34" i="1"/>
  <c r="AE28" i="10"/>
  <c r="Z32" i="1"/>
  <c r="BO66" i="10"/>
  <c r="AY58" i="10"/>
  <c r="BO69" i="10"/>
  <c r="X32" i="8"/>
  <c r="BS63" i="14"/>
  <c r="S17" i="14"/>
  <c r="BR75" i="14"/>
  <c r="T93" i="14"/>
  <c r="N32" i="8"/>
  <c r="V17" i="10"/>
  <c r="BT74" i="14"/>
  <c r="AH58" i="10"/>
  <c r="AX29" i="1"/>
  <c r="AD23" i="8"/>
  <c r="W89" i="14"/>
  <c r="AO53" i="9"/>
  <c r="AO60" i="9" s="1"/>
  <c r="AW33" i="1"/>
  <c r="BT79" i="14"/>
  <c r="E89" i="10"/>
  <c r="Y102" i="1"/>
  <c r="AJ32" i="1"/>
  <c r="AQ34" i="1"/>
  <c r="BR65" i="14"/>
  <c r="AG50" i="14"/>
  <c r="BO65" i="14"/>
  <c r="AV47" i="14"/>
  <c r="AA23" i="8"/>
  <c r="D23" i="9"/>
  <c r="AP29" i="1"/>
  <c r="AQ89" i="14"/>
  <c r="AQ90" i="14" s="1"/>
  <c r="AB52" i="10"/>
  <c r="BO81" i="10"/>
  <c r="AE41" i="14"/>
  <c r="AE23" i="14" s="1"/>
  <c r="R93" i="10"/>
  <c r="BQ64" i="14"/>
  <c r="AL32" i="1"/>
  <c r="X93" i="14"/>
  <c r="T89" i="14"/>
  <c r="AW11" i="14"/>
  <c r="AF23" i="8"/>
  <c r="AL33" i="1"/>
  <c r="V89" i="14"/>
  <c r="AY33" i="1"/>
  <c r="U11" i="14"/>
  <c r="AA22" i="14"/>
  <c r="AN11" i="14"/>
  <c r="AK29" i="1"/>
  <c r="AK35" i="1" s="1"/>
  <c r="R17" i="10"/>
  <c r="M32" i="1"/>
  <c r="AE34" i="1"/>
  <c r="AX93" i="10"/>
  <c r="BQ66" i="14"/>
  <c r="BQ65" i="14"/>
  <c r="AY58" i="14"/>
  <c r="AY21" i="10"/>
  <c r="BO69" i="14"/>
  <c r="Y53" i="8"/>
  <c r="Y60" i="8" s="1"/>
  <c r="D52" i="10"/>
  <c r="AW102" i="8"/>
  <c r="BO47" i="9"/>
  <c r="AC52" i="14"/>
  <c r="T17" i="10"/>
  <c r="T27" i="10"/>
  <c r="T21" i="10"/>
  <c r="AG29" i="1"/>
  <c r="P22" i="14"/>
  <c r="P34" i="14" s="1"/>
  <c r="AO52" i="10"/>
  <c r="AO22" i="10"/>
  <c r="D27" i="10"/>
  <c r="J21" i="10"/>
  <c r="J27" i="10"/>
  <c r="BS73" i="14"/>
  <c r="AY51" i="10"/>
  <c r="AY27" i="10"/>
  <c r="X22" i="14"/>
  <c r="AM29" i="1"/>
  <c r="BY14" i="14"/>
  <c r="BQ26" i="14" s="1"/>
  <c r="AR17" i="10"/>
  <c r="AR20" i="10"/>
  <c r="AR32" i="10" s="1"/>
  <c r="AO33" i="9"/>
  <c r="AS32" i="9"/>
  <c r="BO20" i="8"/>
  <c r="BW17" i="8"/>
  <c r="AN51" i="10"/>
  <c r="I17" i="10"/>
  <c r="AW89" i="14"/>
  <c r="BQ92" i="14"/>
  <c r="AP32" i="8"/>
  <c r="H28" i="10"/>
  <c r="H34" i="10" s="1"/>
  <c r="K51" i="14"/>
  <c r="K41" i="14"/>
  <c r="F17" i="10"/>
  <c r="Q21" i="14"/>
  <c r="Q27" i="14"/>
  <c r="AQ53" i="1"/>
  <c r="AQ60" i="1" s="1"/>
  <c r="AQ98" i="1" s="1"/>
  <c r="AQ23" i="1"/>
  <c r="AQ35" i="1" s="1"/>
  <c r="AN89" i="10"/>
  <c r="AF93" i="14"/>
  <c r="I28" i="10"/>
  <c r="I22" i="10"/>
  <c r="G33" i="8"/>
  <c r="O28" i="10"/>
  <c r="AP41" i="14"/>
  <c r="AP52" i="14"/>
  <c r="AN102" i="8"/>
  <c r="L23" i="1"/>
  <c r="AA52" i="10"/>
  <c r="I50" i="14"/>
  <c r="I20" i="14"/>
  <c r="I32" i="14" s="1"/>
  <c r="AH50" i="14"/>
  <c r="AH41" i="14"/>
  <c r="AH23" i="14" s="1"/>
  <c r="AH20" i="14"/>
  <c r="AH32" i="14" s="1"/>
  <c r="S58" i="14"/>
  <c r="AK34" i="1"/>
  <c r="L89" i="14"/>
  <c r="O89" i="10"/>
  <c r="BT92" i="14"/>
  <c r="U50" i="10"/>
  <c r="U20" i="10"/>
  <c r="U41" i="10"/>
  <c r="AA47" i="10"/>
  <c r="AR22" i="14"/>
  <c r="AR41" i="14"/>
  <c r="AC102" i="1"/>
  <c r="AB102" i="1"/>
  <c r="AE17" i="14"/>
  <c r="AE20" i="14"/>
  <c r="AE26" i="14"/>
  <c r="AT26" i="14"/>
  <c r="AT47" i="14"/>
  <c r="AE52" i="10"/>
  <c r="AE22" i="10"/>
  <c r="AS20" i="10"/>
  <c r="H41" i="14"/>
  <c r="AE50" i="10"/>
  <c r="AE26" i="10"/>
  <c r="AH93" i="10"/>
  <c r="W20" i="10"/>
  <c r="K102" i="8"/>
  <c r="L102" i="8"/>
  <c r="AX17" i="14"/>
  <c r="AX18" i="14" s="1"/>
  <c r="J17" i="10"/>
  <c r="AK27" i="10"/>
  <c r="H27" i="10"/>
  <c r="Y41" i="14"/>
  <c r="U28" i="14"/>
  <c r="AX26" i="14"/>
  <c r="AX50" i="14"/>
  <c r="BT44" i="14"/>
  <c r="D50" i="14"/>
  <c r="AW47" i="10"/>
  <c r="AW27" i="10"/>
  <c r="AI58" i="14"/>
  <c r="BO92" i="10"/>
  <c r="AO93" i="10"/>
  <c r="O26" i="14"/>
  <c r="AG26" i="10"/>
  <c r="M51" i="14"/>
  <c r="M21" i="14"/>
  <c r="E50" i="14"/>
  <c r="AW52" i="10"/>
  <c r="AW22" i="10"/>
  <c r="X28" i="10"/>
  <c r="X22" i="10"/>
  <c r="AK52" i="10"/>
  <c r="AU17" i="14"/>
  <c r="AU18" i="14" s="1"/>
  <c r="H21" i="14"/>
  <c r="H33" i="14" s="1"/>
  <c r="H51" i="14"/>
  <c r="Q52" i="10"/>
  <c r="Q22" i="10"/>
  <c r="Q34" i="10" s="1"/>
  <c r="S47" i="10"/>
  <c r="AB51" i="10"/>
  <c r="AB47" i="10"/>
  <c r="AF29" i="1"/>
  <c r="AF35" i="1" s="1"/>
  <c r="AF53" i="1"/>
  <c r="AF60" i="1" s="1"/>
  <c r="AY11" i="14"/>
  <c r="J22" i="10"/>
  <c r="AQ47" i="10"/>
  <c r="V26" i="14"/>
  <c r="BQ67" i="14"/>
  <c r="BS77" i="14"/>
  <c r="AO50" i="14"/>
  <c r="AO20" i="14"/>
  <c r="T21" i="14"/>
  <c r="T27" i="14"/>
  <c r="F26" i="14"/>
  <c r="F47" i="14"/>
  <c r="F29" i="14" s="1"/>
  <c r="AA27" i="14"/>
  <c r="N52" i="10"/>
  <c r="BQ79" i="14"/>
  <c r="K21" i="14"/>
  <c r="K33" i="14" s="1"/>
  <c r="H102" i="1"/>
  <c r="BO27" i="9"/>
  <c r="AS28" i="14"/>
  <c r="W41" i="14"/>
  <c r="W22" i="14"/>
  <c r="BO102" i="1"/>
  <c r="AO102" i="1"/>
  <c r="O41" i="14"/>
  <c r="O20" i="14"/>
  <c r="BQ81" i="14"/>
  <c r="BO81" i="14"/>
  <c r="AE41" i="10"/>
  <c r="AE23" i="10" s="1"/>
  <c r="I23" i="9"/>
  <c r="BO64" i="10"/>
  <c r="F52" i="14"/>
  <c r="F28" i="14"/>
  <c r="F34" i="14" s="1"/>
  <c r="AR28" i="10"/>
  <c r="AO28" i="10"/>
  <c r="AY28" i="14"/>
  <c r="AK50" i="14"/>
  <c r="AK20" i="14"/>
  <c r="AK41" i="14"/>
  <c r="Q17" i="14"/>
  <c r="Q26" i="14"/>
  <c r="Q20" i="14"/>
  <c r="Q32" i="14" s="1"/>
  <c r="AB53" i="1"/>
  <c r="AB60" i="1" s="1"/>
  <c r="AB98" i="1" s="1"/>
  <c r="T41" i="10"/>
  <c r="T53" i="10" s="1"/>
  <c r="V21" i="14"/>
  <c r="V22" i="10"/>
  <c r="V52" i="10"/>
  <c r="K28" i="14"/>
  <c r="K22" i="14"/>
  <c r="K17" i="14"/>
  <c r="K23" i="14" s="1"/>
  <c r="L41" i="10"/>
  <c r="L23" i="10" s="1"/>
  <c r="L21" i="10"/>
  <c r="BW16" i="10"/>
  <c r="BO16" i="10"/>
  <c r="O29" i="1"/>
  <c r="AN22" i="10"/>
  <c r="BO40" i="10"/>
  <c r="BO22" i="10" s="1"/>
  <c r="AN52" i="10"/>
  <c r="AR26" i="10"/>
  <c r="AR50" i="10"/>
  <c r="AR47" i="10"/>
  <c r="W17" i="10"/>
  <c r="W27" i="10"/>
  <c r="W23" i="8"/>
  <c r="AV53" i="9"/>
  <c r="AV60" i="9" s="1"/>
  <c r="AV98" i="9" s="1"/>
  <c r="J53" i="1"/>
  <c r="AE53" i="1"/>
  <c r="AE60" i="1" s="1"/>
  <c r="AE98" i="1" s="1"/>
  <c r="AL23" i="8"/>
  <c r="J20" i="10"/>
  <c r="AC20" i="10"/>
  <c r="P52" i="10"/>
  <c r="R20" i="14"/>
  <c r="AJ27" i="14"/>
  <c r="AF22" i="14"/>
  <c r="AD93" i="14"/>
  <c r="X102" i="1"/>
  <c r="V102" i="1"/>
  <c r="AW102" i="1"/>
  <c r="AL89" i="14"/>
  <c r="BT80" i="14"/>
  <c r="AW17" i="14"/>
  <c r="AW18" i="14" s="1"/>
  <c r="AM21" i="10"/>
  <c r="AM51" i="10"/>
  <c r="AM23" i="8"/>
  <c r="AV20" i="10"/>
  <c r="AB52" i="14"/>
  <c r="BQ9" i="10"/>
  <c r="AO11" i="10"/>
  <c r="AF32" i="9"/>
  <c r="AT11" i="10"/>
  <c r="J51" i="14"/>
  <c r="AP33" i="1"/>
  <c r="BO46" i="10"/>
  <c r="AP28" i="10"/>
  <c r="AT29" i="9"/>
  <c r="BO22" i="9"/>
  <c r="Y22" i="10"/>
  <c r="AI17" i="10"/>
  <c r="J41" i="10"/>
  <c r="AQ50" i="10"/>
  <c r="M41" i="14"/>
  <c r="AG41" i="14"/>
  <c r="AE51" i="14"/>
  <c r="AF52" i="14"/>
  <c r="T17" i="14"/>
  <c r="BR9" i="14"/>
  <c r="E53" i="9"/>
  <c r="E60" i="9" s="1"/>
  <c r="E23" i="9"/>
  <c r="E35" i="9" s="1"/>
  <c r="AY23" i="1"/>
  <c r="AY53" i="1"/>
  <c r="AY60" i="1" s="1"/>
  <c r="AH47" i="14"/>
  <c r="AH26" i="14"/>
  <c r="BQ57" i="14"/>
  <c r="AN58" i="14"/>
  <c r="AV11" i="14"/>
  <c r="BO14" i="14"/>
  <c r="BW14" i="14"/>
  <c r="AO26" i="14"/>
  <c r="AO32" i="14" s="1"/>
  <c r="AG52" i="14"/>
  <c r="AG22" i="14"/>
  <c r="V20" i="10"/>
  <c r="AR27" i="10"/>
  <c r="G53" i="1"/>
  <c r="G29" i="1"/>
  <c r="AE53" i="8"/>
  <c r="E33" i="8"/>
  <c r="T53" i="9"/>
  <c r="T60" i="9" s="1"/>
  <c r="T98" i="9" s="1"/>
  <c r="N23" i="9"/>
  <c r="N35" i="9" s="1"/>
  <c r="AC41" i="10"/>
  <c r="AI50" i="14"/>
  <c r="AE21" i="14"/>
  <c r="AE33" i="14" s="1"/>
  <c r="AT22" i="14"/>
  <c r="AD53" i="1"/>
  <c r="K53" i="9"/>
  <c r="K60" i="9" s="1"/>
  <c r="AL47" i="14"/>
  <c r="AX23" i="8"/>
  <c r="AX35" i="8" s="1"/>
  <c r="AX53" i="8"/>
  <c r="AX60" i="8" s="1"/>
  <c r="E27" i="14"/>
  <c r="E47" i="14"/>
  <c r="E22" i="14"/>
  <c r="E52" i="14"/>
  <c r="R29" i="1"/>
  <c r="Q21" i="10"/>
  <c r="AD20" i="10"/>
  <c r="AD50" i="10"/>
  <c r="S26" i="10"/>
  <c r="F50" i="10"/>
  <c r="H23" i="1"/>
  <c r="AM27" i="14"/>
  <c r="O22" i="14"/>
  <c r="AX22" i="14"/>
  <c r="AX34" i="14" s="1"/>
  <c r="D28" i="10"/>
  <c r="D47" i="10"/>
  <c r="O29" i="8"/>
  <c r="O35" i="8" s="1"/>
  <c r="O53" i="8"/>
  <c r="O27" i="10"/>
  <c r="O17" i="10"/>
  <c r="BT10" i="10"/>
  <c r="F11" i="10"/>
  <c r="AU51" i="10"/>
  <c r="T28" i="10"/>
  <c r="P20" i="10"/>
  <c r="BO39" i="10"/>
  <c r="AP52" i="10"/>
  <c r="X17" i="14"/>
  <c r="O50" i="14"/>
  <c r="R52" i="14"/>
  <c r="AO58" i="10"/>
  <c r="AB27" i="14"/>
  <c r="AB21" i="14"/>
  <c r="BZ15" i="14"/>
  <c r="X41" i="14"/>
  <c r="BO65" i="10"/>
  <c r="AP35" i="8"/>
  <c r="AT23" i="1"/>
  <c r="AT35" i="1" s="1"/>
  <c r="D17" i="10"/>
  <c r="D29" i="10" s="1"/>
  <c r="AV21" i="10"/>
  <c r="AV33" i="10" s="1"/>
  <c r="BT46" i="14"/>
  <c r="BR15" i="14"/>
  <c r="AF26" i="14"/>
  <c r="AI32" i="9"/>
  <c r="AR29" i="1"/>
  <c r="AC102" i="9"/>
  <c r="AU102" i="8"/>
  <c r="AN23" i="1"/>
  <c r="BT71" i="14"/>
  <c r="Y89" i="14"/>
  <c r="CA15" i="14"/>
  <c r="BQ102" i="8"/>
  <c r="AX28" i="14"/>
  <c r="BQ76" i="14"/>
  <c r="X23" i="9"/>
  <c r="S23" i="1"/>
  <c r="AV50" i="14"/>
  <c r="AQ60" i="8"/>
  <c r="AQ98" i="8" s="1"/>
  <c r="AD34" i="9"/>
  <c r="V27" i="14"/>
  <c r="V33" i="14" s="1"/>
  <c r="Y29" i="9"/>
  <c r="AA23" i="9"/>
  <c r="V34" i="9"/>
  <c r="L32" i="9"/>
  <c r="K50" i="10"/>
  <c r="AC32" i="9"/>
  <c r="BO82" i="14"/>
  <c r="J58" i="14"/>
  <c r="AC58" i="14"/>
  <c r="AY17" i="10"/>
  <c r="O29" i="9"/>
  <c r="AG33" i="1"/>
  <c r="AJ50" i="10"/>
  <c r="AF102" i="8"/>
  <c r="BQ102" i="1"/>
  <c r="BT65" i="14"/>
  <c r="M33" i="8"/>
  <c r="AW28" i="14"/>
  <c r="I41" i="14"/>
  <c r="BO28" i="9"/>
  <c r="BO80" i="14"/>
  <c r="J53" i="9"/>
  <c r="AS58" i="10"/>
  <c r="Z32" i="8"/>
  <c r="U21" i="14"/>
  <c r="U34" i="8"/>
  <c r="AW34" i="9"/>
  <c r="AD47" i="10"/>
  <c r="D34" i="9"/>
  <c r="BO58" i="9"/>
  <c r="Q51" i="14"/>
  <c r="E32" i="9"/>
  <c r="AS29" i="9"/>
  <c r="Y34" i="8"/>
  <c r="AD53" i="8"/>
  <c r="AD60" i="8" s="1"/>
  <c r="V33" i="9"/>
  <c r="AR26" i="14"/>
  <c r="AK102" i="8"/>
  <c r="S11" i="14"/>
  <c r="F29" i="9"/>
  <c r="AR93" i="14"/>
  <c r="T47" i="14"/>
  <c r="AM34" i="9"/>
  <c r="AX33" i="9"/>
  <c r="S27" i="14"/>
  <c r="AO29" i="9"/>
  <c r="R58" i="10"/>
  <c r="L21" i="14"/>
  <c r="T50" i="14"/>
  <c r="V17" i="14"/>
  <c r="AG23" i="9"/>
  <c r="AD32" i="9"/>
  <c r="U29" i="8"/>
  <c r="U35" i="8" s="1"/>
  <c r="AU32" i="9"/>
  <c r="AG34" i="9"/>
  <c r="AI34" i="9"/>
  <c r="E53" i="8"/>
  <c r="E60" i="8" s="1"/>
  <c r="Q23" i="8"/>
  <c r="AN32" i="8"/>
  <c r="AN33" i="1"/>
  <c r="BO95" i="14"/>
  <c r="BO96" i="14" s="1"/>
  <c r="AG53" i="9"/>
  <c r="AG60" i="9" s="1"/>
  <c r="U32" i="9"/>
  <c r="AY102" i="9"/>
  <c r="H23" i="9"/>
  <c r="AL29" i="9"/>
  <c r="AL102" i="1"/>
  <c r="H29" i="9"/>
  <c r="AQ53" i="9"/>
  <c r="AQ60" i="9" s="1"/>
  <c r="AQ98" i="9" s="1"/>
  <c r="I102" i="9"/>
  <c r="AU53" i="9"/>
  <c r="AU60" i="9" s="1"/>
  <c r="AU98" i="9" s="1"/>
  <c r="G32" i="9"/>
  <c r="BO26" i="9"/>
  <c r="AE33" i="9"/>
  <c r="AX102" i="9"/>
  <c r="F34" i="9"/>
  <c r="R58" i="14"/>
  <c r="AR93" i="10"/>
  <c r="AW23" i="8"/>
  <c r="AY23" i="9"/>
  <c r="AV41" i="10"/>
  <c r="G102" i="8"/>
  <c r="L34" i="8"/>
  <c r="P52" i="14"/>
  <c r="BT76" i="14"/>
  <c r="BO93" i="9"/>
  <c r="H102" i="9"/>
  <c r="AS53" i="9"/>
  <c r="BO72" i="10"/>
  <c r="Q34" i="1"/>
  <c r="AU33" i="9"/>
  <c r="AI51" i="14"/>
  <c r="AL33" i="8"/>
  <c r="V29" i="9"/>
  <c r="V35" i="9" s="1"/>
  <c r="AN83" i="14"/>
  <c r="W28" i="10"/>
  <c r="F102" i="9"/>
  <c r="Z29" i="9"/>
  <c r="I34" i="9"/>
  <c r="J29" i="9"/>
  <c r="F33" i="9"/>
  <c r="AL32" i="9"/>
  <c r="Z89" i="10"/>
  <c r="L102" i="9"/>
  <c r="AW20" i="14"/>
  <c r="R23" i="8"/>
  <c r="Y32" i="9"/>
  <c r="L34" i="9"/>
  <c r="O53" i="9"/>
  <c r="O60" i="9" s="1"/>
  <c r="O98" i="9" s="1"/>
  <c r="AK53" i="9"/>
  <c r="BO89" i="9"/>
  <c r="AX34" i="1"/>
  <c r="O32" i="9"/>
  <c r="E34" i="9"/>
  <c r="P34" i="9"/>
  <c r="AX23" i="9"/>
  <c r="AF17" i="14"/>
  <c r="L33" i="8"/>
  <c r="AT29" i="8"/>
  <c r="AT35" i="8" s="1"/>
  <c r="I102" i="8"/>
  <c r="N34" i="8"/>
  <c r="AX34" i="8"/>
  <c r="P34" i="8"/>
  <c r="AF29" i="8"/>
  <c r="AF35" i="8" s="1"/>
  <c r="AD29" i="8"/>
  <c r="AD35" i="8" s="1"/>
  <c r="AO33" i="8"/>
  <c r="Q33" i="8"/>
  <c r="M102" i="8"/>
  <c r="BS15" i="14"/>
  <c r="AF34" i="8"/>
  <c r="AT34" i="9"/>
  <c r="AN29" i="9"/>
  <c r="AP34" i="8"/>
  <c r="AX34" i="9"/>
  <c r="AK33" i="8"/>
  <c r="AS23" i="9"/>
  <c r="E35" i="8"/>
  <c r="Z23" i="8"/>
  <c r="Z35" i="8" s="1"/>
  <c r="Z53" i="9"/>
  <c r="Z60" i="9" s="1"/>
  <c r="Z98" i="9" s="1"/>
  <c r="I21" i="14"/>
  <c r="AA102" i="9"/>
  <c r="AQ102" i="8"/>
  <c r="BO102" i="8"/>
  <c r="S29" i="8"/>
  <c r="K34" i="8"/>
  <c r="I51" i="14"/>
  <c r="P21" i="14"/>
  <c r="AS22" i="14"/>
  <c r="Z102" i="8"/>
  <c r="L23" i="8"/>
  <c r="L35" i="8" s="1"/>
  <c r="BS56" i="14"/>
  <c r="L27" i="14"/>
  <c r="L33" i="14" s="1"/>
  <c r="BO76" i="14"/>
  <c r="AU29" i="9"/>
  <c r="AN53" i="8"/>
  <c r="AN60" i="8" s="1"/>
  <c r="AU53" i="8"/>
  <c r="AU60" i="8" s="1"/>
  <c r="BO50" i="9"/>
  <c r="AI26" i="10"/>
  <c r="AI32" i="10" s="1"/>
  <c r="H51" i="10"/>
  <c r="AG21" i="10"/>
  <c r="AG33" i="10" s="1"/>
  <c r="AS51" i="14"/>
  <c r="R22" i="14"/>
  <c r="R34" i="14" s="1"/>
  <c r="Y52" i="14"/>
  <c r="I33" i="9"/>
  <c r="G33" i="9"/>
  <c r="AP29" i="9"/>
  <c r="N34" i="9"/>
  <c r="J29" i="8"/>
  <c r="AR29" i="8"/>
  <c r="AR35" i="8" s="1"/>
  <c r="W33" i="8"/>
  <c r="AG34" i="8"/>
  <c r="AS102" i="8"/>
  <c r="AE102" i="9"/>
  <c r="AJ33" i="8"/>
  <c r="AC34" i="8"/>
  <c r="Z34" i="8"/>
  <c r="AM35" i="9"/>
  <c r="E41" i="14"/>
  <c r="G102" i="9"/>
  <c r="AD33" i="9"/>
  <c r="AG102" i="1"/>
  <c r="AA33" i="8"/>
  <c r="AR34" i="8"/>
  <c r="AV33" i="9"/>
  <c r="I34" i="8"/>
  <c r="AN34" i="8"/>
  <c r="AG29" i="9"/>
  <c r="AG35" i="9" s="1"/>
  <c r="AC34" i="9"/>
  <c r="F33" i="8"/>
  <c r="AC33" i="8"/>
  <c r="AM33" i="9"/>
  <c r="AE34" i="9"/>
  <c r="O102" i="9"/>
  <c r="P102" i="9"/>
  <c r="AU34" i="9"/>
  <c r="AT102" i="8"/>
  <c r="AX28" i="10"/>
  <c r="AB53" i="9"/>
  <c r="AB60" i="9" s="1"/>
  <c r="AB98" i="9" s="1"/>
  <c r="E21" i="14"/>
  <c r="E33" i="14" s="1"/>
  <c r="P23" i="9"/>
  <c r="W23" i="9"/>
  <c r="AD23" i="9"/>
  <c r="V27" i="10"/>
  <c r="AG51" i="10"/>
  <c r="AH21" i="14"/>
  <c r="AT102" i="9"/>
  <c r="AI102" i="8"/>
  <c r="AH33" i="9"/>
  <c r="AN34" i="9"/>
  <c r="AI29" i="9"/>
  <c r="D34" i="8"/>
  <c r="Q102" i="8"/>
  <c r="AJ102" i="8"/>
  <c r="AN33" i="8"/>
  <c r="P102" i="8"/>
  <c r="H33" i="8"/>
  <c r="AN102" i="1"/>
  <c r="AH102" i="9"/>
  <c r="P29" i="8"/>
  <c r="O34" i="9"/>
  <c r="W52" i="10"/>
  <c r="E51" i="14"/>
  <c r="AH27" i="14"/>
  <c r="AM34" i="8"/>
  <c r="K47" i="10"/>
  <c r="R21" i="10"/>
  <c r="N21" i="14"/>
  <c r="H52" i="14"/>
  <c r="AC22" i="14"/>
  <c r="AX52" i="14"/>
  <c r="BO73" i="14"/>
  <c r="AX29" i="9"/>
  <c r="AF102" i="9"/>
  <c r="L33" i="9"/>
  <c r="Y34" i="9"/>
  <c r="AT34" i="8"/>
  <c r="AJ41" i="10"/>
  <c r="M53" i="8"/>
  <c r="M60" i="8" s="1"/>
  <c r="O23" i="9"/>
  <c r="O35" i="9" s="1"/>
  <c r="BR102" i="9"/>
  <c r="V98" i="9"/>
  <c r="AS41" i="10"/>
  <c r="T50" i="10"/>
  <c r="J23" i="9"/>
  <c r="AL23" i="9"/>
  <c r="BS102" i="9"/>
  <c r="Q53" i="9"/>
  <c r="Q60" i="9" s="1"/>
  <c r="BS95" i="14"/>
  <c r="BS96" i="14" s="1"/>
  <c r="BR40" i="14"/>
  <c r="AD29" i="9"/>
  <c r="AH33" i="8"/>
  <c r="AF34" i="9"/>
  <c r="Y102" i="9"/>
  <c r="AB29" i="9"/>
  <c r="AB35" i="9" s="1"/>
  <c r="Y29" i="8"/>
  <c r="Y35" i="8" s="1"/>
  <c r="BO26" i="1"/>
  <c r="AZ102" i="14"/>
  <c r="BA102" i="14"/>
  <c r="I33" i="14"/>
  <c r="AT34" i="14"/>
  <c r="AT32" i="14"/>
  <c r="U34" i="14"/>
  <c r="H34" i="14"/>
  <c r="AG34" i="14"/>
  <c r="T33" i="14"/>
  <c r="AY102" i="14"/>
  <c r="X102" i="14"/>
  <c r="T29" i="14"/>
  <c r="O32" i="14"/>
  <c r="AX23" i="14"/>
  <c r="AO29" i="14"/>
  <c r="AX102" i="14"/>
  <c r="AJ102" i="14"/>
  <c r="AI102" i="14"/>
  <c r="AH53" i="14"/>
  <c r="AE29" i="14"/>
  <c r="AE53" i="14"/>
  <c r="J3" i="13"/>
  <c r="Q3" i="13"/>
  <c r="W3" i="13" s="1"/>
  <c r="M3" i="13"/>
  <c r="T3" i="13"/>
  <c r="Z3" i="13" s="1"/>
  <c r="N3" i="13"/>
  <c r="U3" i="13"/>
  <c r="AA3" i="13" s="1"/>
  <c r="K3" i="13"/>
  <c r="R3" i="13"/>
  <c r="X3" i="13" s="1"/>
  <c r="AM34" i="10"/>
  <c r="X34" i="10"/>
  <c r="E34" i="10"/>
  <c r="AX33" i="10"/>
  <c r="V34" i="10"/>
  <c r="AX32" i="10"/>
  <c r="AX29" i="10"/>
  <c r="AF32" i="10"/>
  <c r="L32" i="10"/>
  <c r="AU35" i="1"/>
  <c r="T32" i="10"/>
  <c r="T29" i="10"/>
  <c r="AS23" i="10"/>
  <c r="BO27" i="1"/>
  <c r="BO20" i="1"/>
  <c r="BO32" i="1" s="1"/>
  <c r="BO21" i="1"/>
  <c r="BO28" i="1"/>
  <c r="BO22" i="1"/>
  <c r="BO58" i="1"/>
  <c r="BS16" i="10"/>
  <c r="CA16" i="10"/>
  <c r="BS46" i="10"/>
  <c r="BS57" i="10"/>
  <c r="BS77" i="10"/>
  <c r="BS40" i="10"/>
  <c r="BS65" i="10"/>
  <c r="BS67" i="10"/>
  <c r="BS79" i="10"/>
  <c r="BS91" i="10"/>
  <c r="BS92" i="10"/>
  <c r="BS39" i="10"/>
  <c r="BS44" i="10"/>
  <c r="BS75" i="10"/>
  <c r="BS73" i="10"/>
  <c r="BS80" i="10"/>
  <c r="BS95" i="10"/>
  <c r="BS63" i="10"/>
  <c r="BS3" i="10"/>
  <c r="BS4" i="10"/>
  <c r="BS14" i="10"/>
  <c r="CA14" i="10"/>
  <c r="BT3" i="10"/>
  <c r="BT4" i="10"/>
  <c r="BT14" i="10"/>
  <c r="CB14" i="10"/>
  <c r="BT64" i="10"/>
  <c r="BT15" i="10"/>
  <c r="CB15" i="10"/>
  <c r="BT16" i="10"/>
  <c r="CB16" i="10"/>
  <c r="BT46" i="10"/>
  <c r="BT73" i="10"/>
  <c r="BT75" i="10"/>
  <c r="BT76" i="10"/>
  <c r="BT87" i="10"/>
  <c r="BT63" i="10"/>
  <c r="BT79" i="10"/>
  <c r="BT65" i="10"/>
  <c r="BT66" i="10"/>
  <c r="BT80" i="10"/>
  <c r="BT95" i="10"/>
  <c r="BT88" i="10"/>
  <c r="BT44" i="10"/>
  <c r="BP3" i="10"/>
  <c r="BP4" i="10"/>
  <c r="BX15" i="10"/>
  <c r="BP45" i="10"/>
  <c r="BP46" i="10"/>
  <c r="BP56" i="10"/>
  <c r="BP38" i="10"/>
  <c r="BP69" i="10"/>
  <c r="BP76" i="10"/>
  <c r="BP77" i="10"/>
  <c r="BP65" i="10"/>
  <c r="BP87" i="10"/>
  <c r="BP92" i="10"/>
  <c r="BP64" i="10"/>
  <c r="BP72" i="10"/>
  <c r="BP78" i="10"/>
  <c r="BP91" i="10"/>
  <c r="BP39" i="10"/>
  <c r="BP95" i="10"/>
  <c r="BP71" i="10"/>
  <c r="BP75" i="10"/>
  <c r="BP81" i="10"/>
  <c r="BP82" i="10"/>
  <c r="BP40" i="10"/>
  <c r="BP68" i="10"/>
  <c r="BP73" i="10"/>
  <c r="BP79" i="10"/>
  <c r="BP63" i="10"/>
  <c r="BR4" i="10"/>
  <c r="BR3" i="10"/>
  <c r="BR45" i="10"/>
  <c r="BR46" i="10"/>
  <c r="BR57" i="10"/>
  <c r="BR77" i="10"/>
  <c r="BR72" i="10"/>
  <c r="BR79" i="10"/>
  <c r="BR63" i="10"/>
  <c r="BR74" i="10"/>
  <c r="BR78" i="10"/>
  <c r="BR95" i="10"/>
  <c r="BR81" i="10"/>
  <c r="BR82" i="10"/>
  <c r="BR92" i="10"/>
  <c r="BR65" i="10"/>
  <c r="BR66" i="10"/>
  <c r="BR70" i="10"/>
  <c r="BR75" i="10"/>
  <c r="BR80" i="10"/>
  <c r="BR91" i="10"/>
  <c r="BR68" i="10"/>
  <c r="BR38" i="10"/>
  <c r="BR39" i="10"/>
  <c r="BR44" i="10"/>
  <c r="BQ16" i="10"/>
  <c r="BY16" i="10"/>
  <c r="BQ46" i="10"/>
  <c r="BQ56" i="10"/>
  <c r="BQ57" i="10"/>
  <c r="BQ66" i="10"/>
  <c r="BQ72" i="10"/>
  <c r="BQ73" i="10"/>
  <c r="BQ75" i="10"/>
  <c r="BQ76" i="10"/>
  <c r="BQ77" i="10"/>
  <c r="BQ68" i="10"/>
  <c r="BQ87" i="10"/>
  <c r="BQ95" i="10"/>
  <c r="BQ39" i="10"/>
  <c r="BQ63" i="10"/>
  <c r="BQ69" i="10"/>
  <c r="BQ79" i="10"/>
  <c r="BQ91" i="10"/>
  <c r="BQ40" i="10"/>
  <c r="BQ65" i="10"/>
  <c r="BQ74" i="10"/>
  <c r="BQ81" i="10"/>
  <c r="BQ92" i="10"/>
  <c r="BQ71" i="10"/>
  <c r="BQ80" i="10"/>
  <c r="BQ86" i="10"/>
  <c r="BQ3" i="10"/>
  <c r="BQ4" i="10"/>
  <c r="BQ64" i="10"/>
  <c r="BT11" i="9"/>
  <c r="BP11" i="9"/>
  <c r="BR15" i="9"/>
  <c r="BZ15" i="9"/>
  <c r="BR39" i="9"/>
  <c r="BR3" i="9"/>
  <c r="BR4" i="9"/>
  <c r="BR14" i="9"/>
  <c r="BZ14" i="9"/>
  <c r="BR16" i="9"/>
  <c r="BZ16" i="9"/>
  <c r="BR40" i="9"/>
  <c r="BR44" i="9"/>
  <c r="BR45" i="9"/>
  <c r="BR46" i="9"/>
  <c r="BR66" i="9"/>
  <c r="BR67" i="9"/>
  <c r="BR68" i="9"/>
  <c r="BR63" i="9"/>
  <c r="BR75" i="9"/>
  <c r="BR77" i="9"/>
  <c r="BR80" i="9"/>
  <c r="BR74" i="9"/>
  <c r="BR65" i="9"/>
  <c r="BR69" i="9"/>
  <c r="BR76" i="9"/>
  <c r="BR79" i="9"/>
  <c r="BR82" i="9"/>
  <c r="BR87" i="9"/>
  <c r="BR95" i="9"/>
  <c r="BR96" i="9" s="1"/>
  <c r="BR57" i="9"/>
  <c r="BR72" i="9"/>
  <c r="BR73" i="9"/>
  <c r="BR86" i="9"/>
  <c r="BR88" i="9"/>
  <c r="BR91" i="9"/>
  <c r="BR92" i="9"/>
  <c r="BR38" i="9"/>
  <c r="BR64" i="9"/>
  <c r="BR70" i="9"/>
  <c r="BR71" i="9"/>
  <c r="BR78" i="9"/>
  <c r="BR81" i="9"/>
  <c r="BR56" i="9"/>
  <c r="BP14" i="9"/>
  <c r="BP15" i="9"/>
  <c r="BX15" i="9"/>
  <c r="BP3" i="9"/>
  <c r="BP4" i="9"/>
  <c r="BX14" i="9"/>
  <c r="BP16" i="9"/>
  <c r="BX16" i="9"/>
  <c r="BP40" i="9"/>
  <c r="BP44" i="9"/>
  <c r="BP45" i="9"/>
  <c r="BP46" i="9"/>
  <c r="BP66" i="9"/>
  <c r="BP67" i="9"/>
  <c r="BP68" i="9"/>
  <c r="BP56" i="9"/>
  <c r="BP63" i="9"/>
  <c r="BP64" i="9"/>
  <c r="BP75" i="9"/>
  <c r="BP80" i="9"/>
  <c r="BP74" i="9"/>
  <c r="BP79" i="9"/>
  <c r="BP38" i="9"/>
  <c r="BP65" i="9"/>
  <c r="BP69" i="9"/>
  <c r="BP76" i="9"/>
  <c r="BP87" i="9"/>
  <c r="BP91" i="9"/>
  <c r="BP92" i="9"/>
  <c r="BP39" i="9"/>
  <c r="BP73" i="9"/>
  <c r="BP77" i="9"/>
  <c r="BP82" i="9"/>
  <c r="BP88" i="9"/>
  <c r="BP70" i="9"/>
  <c r="BP72" i="9"/>
  <c r="BP81" i="9"/>
  <c r="BP86" i="9"/>
  <c r="BP95" i="9"/>
  <c r="BP96" i="9" s="1"/>
  <c r="BP57" i="9"/>
  <c r="BP71" i="9"/>
  <c r="BP78" i="9"/>
  <c r="BS3" i="9"/>
  <c r="BS4" i="9"/>
  <c r="CA14" i="9"/>
  <c r="BS16" i="9"/>
  <c r="CA16" i="9"/>
  <c r="BS40" i="9"/>
  <c r="BS44" i="9"/>
  <c r="BS45" i="9"/>
  <c r="BS46" i="9"/>
  <c r="BS66" i="9"/>
  <c r="BS67" i="9"/>
  <c r="BS68" i="9"/>
  <c r="BS63" i="9"/>
  <c r="BS80" i="9"/>
  <c r="BS74" i="9"/>
  <c r="BS82" i="9"/>
  <c r="BS92" i="9"/>
  <c r="BS57" i="9"/>
  <c r="BS65" i="9"/>
  <c r="BS69" i="9"/>
  <c r="BS70" i="9"/>
  <c r="BS75" i="9"/>
  <c r="BS79" i="9"/>
  <c r="BS87" i="9"/>
  <c r="BS91" i="9"/>
  <c r="BS73" i="9"/>
  <c r="BS77" i="9"/>
  <c r="BS86" i="9"/>
  <c r="BS95" i="9"/>
  <c r="BS96" i="9" s="1"/>
  <c r="BS38" i="9"/>
  <c r="BS72" i="9"/>
  <c r="BS76" i="9"/>
  <c r="BS64" i="9"/>
  <c r="BS71" i="9"/>
  <c r="BS78" i="9"/>
  <c r="BS81" i="9"/>
  <c r="BS88" i="9"/>
  <c r="BS39" i="9"/>
  <c r="BS56" i="9"/>
  <c r="BS14" i="9"/>
  <c r="BS15" i="9"/>
  <c r="CA15" i="9"/>
  <c r="BQ4" i="9"/>
  <c r="BQ14" i="9"/>
  <c r="BY14" i="9"/>
  <c r="BQ16" i="9"/>
  <c r="BY16" i="9"/>
  <c r="BQ40" i="9"/>
  <c r="BQ44" i="9"/>
  <c r="BQ45" i="9"/>
  <c r="BQ46" i="9"/>
  <c r="BQ66" i="9"/>
  <c r="BQ67" i="9"/>
  <c r="BQ68" i="9"/>
  <c r="BQ69" i="9"/>
  <c r="BQ80" i="9"/>
  <c r="BQ72" i="9"/>
  <c r="BQ73" i="9"/>
  <c r="BQ74" i="9"/>
  <c r="BQ95" i="9"/>
  <c r="BQ96" i="9" s="1"/>
  <c r="BQ65" i="9"/>
  <c r="BQ70" i="9"/>
  <c r="BQ75" i="9"/>
  <c r="BQ87" i="9"/>
  <c r="BQ88" i="9"/>
  <c r="BQ91" i="9"/>
  <c r="BQ77" i="9"/>
  <c r="BQ78" i="9"/>
  <c r="BQ86" i="9"/>
  <c r="BQ39" i="9"/>
  <c r="BQ76" i="9"/>
  <c r="BQ79" i="9"/>
  <c r="BQ92" i="9"/>
  <c r="BQ56" i="9"/>
  <c r="BQ64" i="9"/>
  <c r="BQ71" i="9"/>
  <c r="BQ81" i="9"/>
  <c r="BQ82" i="9"/>
  <c r="BQ57" i="9"/>
  <c r="BQ3" i="9"/>
  <c r="BQ15" i="9"/>
  <c r="BY15" i="9"/>
  <c r="BQ38" i="9"/>
  <c r="BQ63" i="9"/>
  <c r="BT15" i="9"/>
  <c r="CB15" i="9"/>
  <c r="BT38" i="9"/>
  <c r="BT63" i="9"/>
  <c r="BT3" i="9"/>
  <c r="BT4" i="9"/>
  <c r="BT14" i="9"/>
  <c r="CB14" i="9"/>
  <c r="BT16" i="9"/>
  <c r="CB16" i="9"/>
  <c r="BT40" i="9"/>
  <c r="BT44" i="9"/>
  <c r="BT45" i="9"/>
  <c r="BT46" i="9"/>
  <c r="BT66" i="9"/>
  <c r="BT67" i="9"/>
  <c r="BT68" i="9"/>
  <c r="BT80" i="9"/>
  <c r="BT39" i="9"/>
  <c r="BT70" i="9"/>
  <c r="BT73" i="9"/>
  <c r="BT74" i="9"/>
  <c r="BT65" i="9"/>
  <c r="BT69" i="9"/>
  <c r="BT75" i="9"/>
  <c r="BT76" i="9"/>
  <c r="BT79" i="9"/>
  <c r="BT87" i="9"/>
  <c r="BT77" i="9"/>
  <c r="BT82" i="9"/>
  <c r="BT86" i="9"/>
  <c r="BT91" i="9"/>
  <c r="BT57" i="9"/>
  <c r="BT72" i="9"/>
  <c r="BT88" i="9"/>
  <c r="BT92" i="9"/>
  <c r="BT95" i="9"/>
  <c r="BT96" i="9" s="1"/>
  <c r="BT64" i="9"/>
  <c r="BT71" i="9"/>
  <c r="BT78" i="9"/>
  <c r="BT81" i="9"/>
  <c r="BT56" i="9"/>
  <c r="BO29" i="9"/>
  <c r="BQ3" i="8"/>
  <c r="BQ4" i="8"/>
  <c r="BQ14" i="8"/>
  <c r="BQ15" i="8"/>
  <c r="BY15" i="8"/>
  <c r="BQ16" i="8"/>
  <c r="BY16" i="8"/>
  <c r="BQ69" i="8"/>
  <c r="BY14" i="8"/>
  <c r="BQ38" i="8"/>
  <c r="BQ39" i="8"/>
  <c r="BQ40" i="8"/>
  <c r="BQ44" i="8"/>
  <c r="BQ45" i="8"/>
  <c r="BQ46" i="8"/>
  <c r="BQ63" i="8"/>
  <c r="BQ64" i="8"/>
  <c r="BQ65" i="8"/>
  <c r="BQ66" i="8"/>
  <c r="BQ73" i="8"/>
  <c r="BQ74" i="8"/>
  <c r="BQ75" i="8"/>
  <c r="BQ57" i="8"/>
  <c r="BQ76" i="8"/>
  <c r="BQ82" i="8"/>
  <c r="BQ86" i="8"/>
  <c r="BQ68" i="8"/>
  <c r="BQ70" i="8"/>
  <c r="BQ80" i="8"/>
  <c r="BQ88" i="8"/>
  <c r="BQ71" i="8"/>
  <c r="BQ72" i="8"/>
  <c r="BQ56" i="8"/>
  <c r="BQ77" i="8"/>
  <c r="BQ78" i="8"/>
  <c r="BQ79" i="8"/>
  <c r="BQ92" i="8"/>
  <c r="BQ67" i="8"/>
  <c r="BQ81" i="8"/>
  <c r="BQ87" i="8"/>
  <c r="BQ91" i="8"/>
  <c r="BQ95" i="8"/>
  <c r="BQ96" i="8" s="1"/>
  <c r="BT14" i="8"/>
  <c r="BT38" i="8"/>
  <c r="BT39" i="8"/>
  <c r="BT40" i="8"/>
  <c r="BT44" i="8"/>
  <c r="BT45" i="8"/>
  <c r="BT46" i="8"/>
  <c r="BT63" i="8"/>
  <c r="BT64" i="8"/>
  <c r="BT65" i="8"/>
  <c r="BT66" i="8"/>
  <c r="BT72" i="8"/>
  <c r="BT73" i="8"/>
  <c r="BT74" i="8"/>
  <c r="BT75" i="8"/>
  <c r="BT67" i="8"/>
  <c r="BT71" i="8"/>
  <c r="BT76" i="8"/>
  <c r="BT82" i="8"/>
  <c r="BT86" i="8"/>
  <c r="BT68" i="8"/>
  <c r="BT80" i="8"/>
  <c r="BT87" i="8"/>
  <c r="BT91" i="8"/>
  <c r="BT92" i="8"/>
  <c r="BT95" i="8"/>
  <c r="BT96" i="8" s="1"/>
  <c r="BT70" i="8"/>
  <c r="BT78" i="8"/>
  <c r="BT88" i="8"/>
  <c r="BT56" i="8"/>
  <c r="BT77" i="8"/>
  <c r="BT79" i="8"/>
  <c r="BT81" i="8"/>
  <c r="BT69" i="8"/>
  <c r="BT57" i="8"/>
  <c r="BT3" i="8"/>
  <c r="BT4" i="8"/>
  <c r="CB14" i="8"/>
  <c r="BT15" i="8"/>
  <c r="CB15" i="8"/>
  <c r="BT16" i="8"/>
  <c r="CB16" i="8"/>
  <c r="BS4" i="8"/>
  <c r="BS70" i="8"/>
  <c r="BS3" i="8"/>
  <c r="BS14" i="8"/>
  <c r="CA14" i="8"/>
  <c r="BS15" i="8"/>
  <c r="CA15" i="8"/>
  <c r="BS16" i="8"/>
  <c r="CA16" i="8"/>
  <c r="BS38" i="8"/>
  <c r="BS39" i="8"/>
  <c r="BS40" i="8"/>
  <c r="BS44" i="8"/>
  <c r="BS45" i="8"/>
  <c r="BS46" i="8"/>
  <c r="BS63" i="8"/>
  <c r="BS64" i="8"/>
  <c r="BS65" i="8"/>
  <c r="BS66" i="8"/>
  <c r="BS73" i="8"/>
  <c r="BS74" i="8"/>
  <c r="BS75" i="8"/>
  <c r="BS81" i="8"/>
  <c r="BS82" i="8"/>
  <c r="BS86" i="8"/>
  <c r="BS76" i="8"/>
  <c r="BS80" i="8"/>
  <c r="BS87" i="8"/>
  <c r="BS91" i="8"/>
  <c r="BS71" i="8"/>
  <c r="BS72" i="8"/>
  <c r="BS78" i="8"/>
  <c r="BS79" i="8"/>
  <c r="BS56" i="8"/>
  <c r="BS57" i="8"/>
  <c r="BS68" i="8"/>
  <c r="BS77" i="8"/>
  <c r="BS95" i="8"/>
  <c r="BS96" i="8" s="1"/>
  <c r="BS67" i="8"/>
  <c r="BS69" i="8"/>
  <c r="BS88" i="8"/>
  <c r="BS92" i="8"/>
  <c r="BP14" i="8"/>
  <c r="BP38" i="8"/>
  <c r="BP39" i="8"/>
  <c r="BP40" i="8"/>
  <c r="BP44" i="8"/>
  <c r="BP45" i="8"/>
  <c r="BP46" i="8"/>
  <c r="BP63" i="8"/>
  <c r="BP64" i="8"/>
  <c r="BP65" i="8"/>
  <c r="BP66" i="8"/>
  <c r="BP67" i="8"/>
  <c r="BP72" i="8"/>
  <c r="BP73" i="8"/>
  <c r="BP74" i="8"/>
  <c r="BP75" i="8"/>
  <c r="BP82" i="8"/>
  <c r="BP86" i="8"/>
  <c r="BP76" i="8"/>
  <c r="BP80" i="8"/>
  <c r="BP87" i="8"/>
  <c r="BP91" i="8"/>
  <c r="BP70" i="8"/>
  <c r="BP71" i="8"/>
  <c r="BP77" i="8"/>
  <c r="BP78" i="8"/>
  <c r="BP79" i="8"/>
  <c r="BP88" i="8"/>
  <c r="BP56" i="8"/>
  <c r="BP68" i="8"/>
  <c r="BP69" i="8"/>
  <c r="BP81" i="8"/>
  <c r="BP92" i="8"/>
  <c r="BP95" i="8"/>
  <c r="BP96" i="8" s="1"/>
  <c r="BP57" i="8"/>
  <c r="BP3" i="8"/>
  <c r="BP4" i="8"/>
  <c r="BX14" i="8"/>
  <c r="BP15" i="8"/>
  <c r="BX15" i="8"/>
  <c r="BP16" i="8"/>
  <c r="BX16" i="8"/>
  <c r="BR4" i="8"/>
  <c r="BZ14" i="8"/>
  <c r="BR15" i="8"/>
  <c r="BZ15" i="8"/>
  <c r="BR16" i="8"/>
  <c r="BZ16" i="8"/>
  <c r="BR3" i="8"/>
  <c r="BR14" i="8"/>
  <c r="BR38" i="8"/>
  <c r="BR39" i="8"/>
  <c r="BR40" i="8"/>
  <c r="BR44" i="8"/>
  <c r="BR45" i="8"/>
  <c r="BR46" i="8"/>
  <c r="BR63" i="8"/>
  <c r="BR64" i="8"/>
  <c r="BR65" i="8"/>
  <c r="BR66" i="8"/>
  <c r="BR72" i="8"/>
  <c r="BR73" i="8"/>
  <c r="BR74" i="8"/>
  <c r="BR75" i="8"/>
  <c r="BR67" i="8"/>
  <c r="BR71" i="8"/>
  <c r="BR81" i="8"/>
  <c r="BR82" i="8"/>
  <c r="BR86" i="8"/>
  <c r="BR68" i="8"/>
  <c r="BR79" i="8"/>
  <c r="BR80" i="8"/>
  <c r="BR87" i="8"/>
  <c r="BR91" i="8"/>
  <c r="BR76" i="8"/>
  <c r="BR78" i="8"/>
  <c r="BR92" i="8"/>
  <c r="BR95" i="8"/>
  <c r="BR96" i="8" s="1"/>
  <c r="BR56" i="8"/>
  <c r="BR70" i="8"/>
  <c r="BR77" i="8"/>
  <c r="BR88" i="8"/>
  <c r="BR57" i="8"/>
  <c r="BR69" i="8"/>
  <c r="BP11" i="8"/>
  <c r="BT4" i="1"/>
  <c r="BT3" i="1"/>
  <c r="BS3" i="1"/>
  <c r="BS4" i="1"/>
  <c r="BR3" i="1"/>
  <c r="BR4" i="1"/>
  <c r="BQ3" i="1"/>
  <c r="BQ4" i="1"/>
  <c r="BP3" i="1"/>
  <c r="BP4" i="1"/>
  <c r="BO52" i="1"/>
  <c r="BW17" i="1"/>
  <c r="BO51" i="1"/>
  <c r="CB16" i="1"/>
  <c r="CB15" i="1"/>
  <c r="CB14" i="1"/>
  <c r="CA16" i="1"/>
  <c r="CA15" i="1"/>
  <c r="CA14" i="1"/>
  <c r="BZ16" i="1"/>
  <c r="BZ15" i="1"/>
  <c r="BZ14" i="1"/>
  <c r="BY16" i="1"/>
  <c r="BY15" i="1"/>
  <c r="BY14" i="1"/>
  <c r="BX16" i="1"/>
  <c r="BX15" i="1"/>
  <c r="BX14" i="1"/>
  <c r="BT45" i="1"/>
  <c r="BT57" i="1"/>
  <c r="BT82" i="1"/>
  <c r="BT65" i="1"/>
  <c r="BT81" i="1"/>
  <c r="BT63" i="1"/>
  <c r="BT40" i="1"/>
  <c r="BT73" i="1"/>
  <c r="BT74" i="1"/>
  <c r="BT64" i="1"/>
  <c r="BT44" i="1"/>
  <c r="BT80" i="1"/>
  <c r="BT75" i="1"/>
  <c r="BT66" i="1"/>
  <c r="BT67" i="1"/>
  <c r="BT87" i="1"/>
  <c r="BT68" i="1"/>
  <c r="BT88" i="1"/>
  <c r="BT46" i="1"/>
  <c r="BT76" i="1"/>
  <c r="BT69" i="1"/>
  <c r="BT38" i="1"/>
  <c r="BT77" i="1"/>
  <c r="BT39" i="1"/>
  <c r="BT95" i="1"/>
  <c r="BT96" i="1" s="1"/>
  <c r="BT70" i="1"/>
  <c r="BT78" i="1"/>
  <c r="BT92" i="1"/>
  <c r="BT79" i="1"/>
  <c r="BT71" i="1"/>
  <c r="BT91" i="1"/>
  <c r="BT56" i="1"/>
  <c r="BT86" i="1"/>
  <c r="BT72" i="1"/>
  <c r="BS68" i="1"/>
  <c r="BS80" i="1"/>
  <c r="BS44" i="1"/>
  <c r="BS46" i="1"/>
  <c r="BS63" i="1"/>
  <c r="BS66" i="1"/>
  <c r="BS56" i="1"/>
  <c r="BS45" i="1"/>
  <c r="BS69" i="1"/>
  <c r="BS40" i="1"/>
  <c r="BS70" i="1"/>
  <c r="BS88" i="1"/>
  <c r="BS67" i="1"/>
  <c r="BS65" i="1"/>
  <c r="BS71" i="1"/>
  <c r="BS57" i="1"/>
  <c r="BS39" i="1"/>
  <c r="BS74" i="1"/>
  <c r="BS77" i="1"/>
  <c r="BS87" i="1"/>
  <c r="BS38" i="1"/>
  <c r="BS73" i="1"/>
  <c r="BS75" i="1"/>
  <c r="BS95" i="1"/>
  <c r="BS96" i="1" s="1"/>
  <c r="BS86" i="1"/>
  <c r="BS78" i="1"/>
  <c r="BS64" i="1"/>
  <c r="BS81" i="1"/>
  <c r="BS92" i="1"/>
  <c r="BS82" i="1"/>
  <c r="BS79" i="1"/>
  <c r="BS72" i="1"/>
  <c r="BS76" i="1"/>
  <c r="BS91" i="1"/>
  <c r="BR66" i="1"/>
  <c r="BR64" i="1"/>
  <c r="BR67" i="1"/>
  <c r="BR44" i="1"/>
  <c r="BR38" i="1"/>
  <c r="BR56" i="1"/>
  <c r="BR46" i="1"/>
  <c r="BR45" i="1"/>
  <c r="BR57" i="1"/>
  <c r="BR39" i="1"/>
  <c r="BR95" i="1"/>
  <c r="BR96" i="1" s="1"/>
  <c r="BR92" i="1"/>
  <c r="BR91" i="1"/>
  <c r="BR88" i="1"/>
  <c r="BR87" i="1"/>
  <c r="BR86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5" i="1"/>
  <c r="BR63" i="1"/>
  <c r="BR40" i="1"/>
  <c r="BQ92" i="1"/>
  <c r="BQ87" i="1"/>
  <c r="BQ79" i="1"/>
  <c r="BQ65" i="1"/>
  <c r="BQ74" i="1"/>
  <c r="BQ95" i="1"/>
  <c r="BQ96" i="1" s="1"/>
  <c r="BQ86" i="1"/>
  <c r="BQ78" i="1"/>
  <c r="BQ71" i="1"/>
  <c r="BQ38" i="1"/>
  <c r="BQ44" i="1"/>
  <c r="BQ82" i="1"/>
  <c r="BQ77" i="1"/>
  <c r="BQ75" i="1"/>
  <c r="BQ46" i="1"/>
  <c r="BQ73" i="1"/>
  <c r="BQ39" i="1"/>
  <c r="BQ76" i="1"/>
  <c r="BQ88" i="1"/>
  <c r="BQ64" i="1"/>
  <c r="BQ81" i="1"/>
  <c r="BQ72" i="1"/>
  <c r="BQ63" i="1"/>
  <c r="BQ40" i="1"/>
  <c r="BQ70" i="1"/>
  <c r="BQ45" i="1"/>
  <c r="BQ91" i="1"/>
  <c r="BQ69" i="1"/>
  <c r="BQ56" i="1"/>
  <c r="BQ57" i="1"/>
  <c r="BQ67" i="1"/>
  <c r="BQ66" i="1"/>
  <c r="BQ80" i="1"/>
  <c r="BQ68" i="1"/>
  <c r="BP78" i="1"/>
  <c r="BP56" i="1"/>
  <c r="BP79" i="1"/>
  <c r="BP95" i="1"/>
  <c r="BP96" i="1" s="1"/>
  <c r="BP72" i="1"/>
  <c r="BP77" i="1"/>
  <c r="BP64" i="1"/>
  <c r="BP81" i="1"/>
  <c r="BP46" i="1"/>
  <c r="BP71" i="1"/>
  <c r="BP38" i="1"/>
  <c r="BP45" i="1"/>
  <c r="BP91" i="1"/>
  <c r="BP57" i="1"/>
  <c r="BP70" i="1"/>
  <c r="BP44" i="1"/>
  <c r="BP82" i="1"/>
  <c r="BP76" i="1"/>
  <c r="BP88" i="1"/>
  <c r="BP69" i="1"/>
  <c r="BP75" i="1"/>
  <c r="BP87" i="1"/>
  <c r="BP68" i="1"/>
  <c r="BP67" i="1"/>
  <c r="BP74" i="1"/>
  <c r="BP65" i="1"/>
  <c r="BP40" i="1"/>
  <c r="BP66" i="1"/>
  <c r="BP86" i="1"/>
  <c r="BP39" i="1"/>
  <c r="BP63" i="1"/>
  <c r="BP80" i="1"/>
  <c r="BP73" i="1"/>
  <c r="BP92" i="1"/>
  <c r="BO93" i="1"/>
  <c r="BO89" i="1"/>
  <c r="BO47" i="1"/>
  <c r="BO50" i="1"/>
  <c r="BO41" i="1"/>
  <c r="BO17" i="1"/>
  <c r="BT11" i="1"/>
  <c r="BT15" i="1"/>
  <c r="BT14" i="1"/>
  <c r="BT16" i="1"/>
  <c r="BS14" i="1"/>
  <c r="BS16" i="1"/>
  <c r="BS15" i="1"/>
  <c r="BR16" i="1"/>
  <c r="BR15" i="1"/>
  <c r="BR14" i="1"/>
  <c r="BQ14" i="1"/>
  <c r="BQ16" i="1"/>
  <c r="BQ15" i="1"/>
  <c r="BP15" i="1"/>
  <c r="BP16" i="1"/>
  <c r="BP14" i="1"/>
  <c r="BP11" i="1"/>
  <c r="BR11" i="1"/>
  <c r="BQ11" i="1"/>
  <c r="F57" i="12" a="1"/>
  <c r="F71" i="12" a="1"/>
  <c r="AB63" i="12" a="1"/>
  <c r="H78" i="12" a="1"/>
  <c r="I88" i="12" a="1"/>
  <c r="D38" i="12" a="1"/>
  <c r="AA76" i="12" a="1"/>
  <c r="E78" i="12" a="1"/>
  <c r="H82" i="12" a="1"/>
  <c r="X40" i="12" a="1"/>
  <c r="F81" i="12" a="1"/>
  <c r="D14" i="12" a="1"/>
  <c r="H44" i="12" a="1"/>
  <c r="W72" i="12" a="1"/>
  <c r="AA78" i="12" a="1"/>
  <c r="X63" i="12" a="1"/>
  <c r="H16" i="12" a="1"/>
  <c r="H9" i="12" a="1"/>
  <c r="H66" i="12" a="1"/>
  <c r="Z65" i="12" a="1"/>
  <c r="D79" i="12" a="1"/>
  <c r="D64" i="12" a="1"/>
  <c r="H56" i="12" a="1"/>
  <c r="Y86" i="12" a="1"/>
  <c r="W70" i="12" a="1"/>
  <c r="D16" i="12" a="1"/>
  <c r="Y66" i="12" a="1"/>
  <c r="H71" i="12" a="1"/>
  <c r="G91" i="12" a="1"/>
  <c r="F69" i="12" a="1"/>
  <c r="D63" i="12" a="1"/>
  <c r="I8" i="12" a="1"/>
  <c r="H75" i="12" a="1"/>
  <c r="G80" i="12" a="1"/>
  <c r="G73" i="12" a="1"/>
  <c r="F9" i="12" a="1"/>
  <c r="X64" i="12" a="1"/>
  <c r="Z73" i="12" a="1"/>
  <c r="X14" i="12" a="1"/>
  <c r="I63" i="12" a="1"/>
  <c r="AB74" i="12" a="1"/>
  <c r="X82" i="12" a="1"/>
  <c r="D87" i="12" a="1"/>
  <c r="D76" i="12" a="1"/>
  <c r="F8" i="12" a="1"/>
  <c r="Z38" i="12" a="1"/>
  <c r="AA46" i="12" a="1"/>
  <c r="G14" i="12" a="1"/>
  <c r="I76" i="12" a="1"/>
  <c r="X88" i="12" a="1"/>
  <c r="D81" i="12" a="1"/>
  <c r="W74" i="12" a="1"/>
  <c r="Z74" i="12" a="1"/>
  <c r="D66" i="12" a="1"/>
  <c r="Y76" i="12" a="1"/>
  <c r="AB88" i="12" a="1"/>
  <c r="Y79" i="12" a="1"/>
  <c r="AA64" i="12" a="1"/>
  <c r="X81" i="12" a="1"/>
  <c r="G9" i="12" a="1"/>
  <c r="AB79" i="12" a="1"/>
  <c r="G75" i="12" a="1"/>
  <c r="I86" i="12" a="1"/>
  <c r="F67" i="12" a="1"/>
  <c r="AA73" i="12" a="1"/>
  <c r="AB14" i="12" a="1"/>
  <c r="X65" i="12" a="1"/>
  <c r="Z79" i="12" a="1"/>
  <c r="H86" i="12" a="1"/>
  <c r="I95" i="12" a="1"/>
  <c r="X78" i="12" a="1"/>
  <c r="F82" i="12" a="1"/>
  <c r="X45" i="12" a="1"/>
  <c r="D46" i="12" a="1"/>
  <c r="E40" i="12" a="1"/>
  <c r="AB80" i="12" a="1"/>
  <c r="F95" i="12" a="1"/>
  <c r="X67" i="12" a="1"/>
  <c r="F45" i="12" a="1"/>
  <c r="I38" i="12" a="1"/>
  <c r="AA92" i="12" a="1"/>
  <c r="E10" i="12" a="1"/>
  <c r="AB57" i="12" a="1"/>
  <c r="H39" i="12" a="1"/>
  <c r="D70" i="12" a="1"/>
  <c r="W81" i="12" a="1"/>
  <c r="D57" i="12" a="1"/>
  <c r="H67" i="12" a="1"/>
  <c r="F77" i="12" a="1"/>
  <c r="AB73" i="12" a="1"/>
  <c r="I81" i="12" a="1"/>
  <c r="G76" i="12" a="1"/>
  <c r="E91" i="12" a="1"/>
  <c r="AA57" i="12" a="1"/>
  <c r="AB82" i="12" a="1"/>
  <c r="Z63" i="12" a="1"/>
  <c r="E14" i="12" a="1"/>
  <c r="AB81" i="12" a="1"/>
  <c r="H63" i="12" a="1"/>
  <c r="Z45" i="12" a="1"/>
  <c r="G79" i="12" a="1"/>
  <c r="F80" i="12" a="1"/>
  <c r="E70" i="12" a="1"/>
  <c r="G72" i="12" a="1"/>
  <c r="G45" i="12" a="1"/>
  <c r="Y92" i="12" a="1"/>
  <c r="F86" i="12" a="1"/>
  <c r="H87" i="12" a="1"/>
  <c r="Y77" i="12" a="1"/>
  <c r="G88" i="12" a="1"/>
  <c r="X68" i="12" a="1"/>
  <c r="G71" i="12" a="1"/>
  <c r="E71" i="12" a="1"/>
  <c r="W46" i="12" a="1"/>
  <c r="H46" i="12" a="1"/>
  <c r="D73" i="12" a="1"/>
  <c r="W16" i="12" a="1"/>
  <c r="I16" i="12" a="1"/>
  <c r="H95" i="12" a="1"/>
  <c r="D67" i="12" a="1"/>
  <c r="X56" i="12" a="1"/>
  <c r="Z57" i="12" a="1"/>
  <c r="H10" i="12" a="1"/>
  <c r="E75" i="12" a="1"/>
  <c r="F91" i="12" a="1"/>
  <c r="Z81" i="12" a="1"/>
  <c r="F79" i="12" a="1"/>
  <c r="F40" i="12" a="1"/>
  <c r="X74" i="12" a="1"/>
  <c r="I71" i="12" a="1"/>
  <c r="E46" i="12" a="1"/>
  <c r="G77" i="12" a="1"/>
  <c r="F73" i="12" a="1"/>
  <c r="AA66" i="12" a="1"/>
  <c r="E67" i="12" a="1"/>
  <c r="F56" i="12" a="1"/>
  <c r="D95" i="12" a="1"/>
  <c r="I67" i="12" a="1"/>
  <c r="Z70" i="12" a="1"/>
  <c r="X44" i="12" a="1"/>
  <c r="Z88" i="12" a="1"/>
  <c r="E69" i="12" a="1"/>
  <c r="I44" i="12" a="1"/>
  <c r="E73" i="12" a="1"/>
  <c r="Y39" i="12" a="1"/>
  <c r="E38" i="12" a="1"/>
  <c r="W69" i="12" a="1"/>
  <c r="G39" i="12" a="1"/>
  <c r="X15" i="12" a="1"/>
  <c r="Y16" i="12" a="1"/>
  <c r="F15" i="12" a="1"/>
  <c r="H64" i="12" a="1"/>
  <c r="AB69" i="12" a="1"/>
  <c r="H76" i="12" a="1"/>
  <c r="AA14" i="12" a="1"/>
  <c r="G10" i="12" a="1"/>
  <c r="Z75" i="12" a="1"/>
  <c r="X87" i="12" a="1"/>
  <c r="AA72" i="12" a="1"/>
  <c r="W82" i="12" a="1"/>
  <c r="I72" i="12" a="1"/>
  <c r="E65" i="12" a="1"/>
  <c r="D68" i="12" a="1"/>
  <c r="X38" i="12" a="1"/>
  <c r="F16" i="12" a="1"/>
  <c r="Y57" i="12" a="1"/>
  <c r="E86" i="12" a="1"/>
  <c r="AA82" i="12" a="1"/>
  <c r="G40" i="12" a="1"/>
  <c r="AB16" i="12" a="1"/>
  <c r="E88" i="12" a="1"/>
  <c r="D45" i="12" a="1"/>
  <c r="F92" i="12" a="1"/>
  <c r="D10" i="12" a="1"/>
  <c r="Y71" i="12" a="1"/>
  <c r="E79" i="12" a="1"/>
  <c r="G64" i="12" a="1"/>
  <c r="AB92" i="12" a="1"/>
  <c r="E15" i="12" a="1"/>
  <c r="AB46" i="12" a="1"/>
  <c r="AA44" i="12" a="1"/>
  <c r="AB87" i="12" a="1"/>
  <c r="X72" i="12" a="1"/>
  <c r="D88" i="12" a="1"/>
  <c r="F65" i="12" a="1"/>
  <c r="G63" i="12" a="1"/>
  <c r="Y80" i="12" a="1"/>
  <c r="F14" i="12" a="1"/>
  <c r="AB71" i="12" a="1"/>
  <c r="E76" i="12" a="1"/>
  <c r="I65" i="12" a="1"/>
  <c r="Y9" i="12" a="1"/>
  <c r="F38" i="12" a="1"/>
  <c r="D8" i="12" a="1"/>
  <c r="F10" i="12" a="1"/>
  <c r="F39" i="12" a="1"/>
  <c r="Y73" i="12" a="1"/>
  <c r="E16" i="12" a="1"/>
  <c r="D92" i="12" a="1"/>
  <c r="X70" i="12" a="1"/>
  <c r="W71" i="12" a="1"/>
  <c r="F70" i="12" a="1"/>
  <c r="I82" i="12" a="1"/>
  <c r="H69" i="12" a="1"/>
  <c r="E56" i="12" a="1"/>
  <c r="Y65" i="12" a="1"/>
  <c r="I78" i="12" a="1"/>
  <c r="G87" i="12" a="1"/>
  <c r="E9" i="12" a="1"/>
  <c r="Y63" i="12" a="1"/>
  <c r="X79" i="12" a="1"/>
  <c r="F72" i="12" a="1"/>
  <c r="W56" i="12" a="1"/>
  <c r="X73" i="12" a="1"/>
  <c r="F87" i="12" a="1"/>
  <c r="H74" i="12" a="1"/>
  <c r="AB76" i="12" a="1"/>
  <c r="E64" i="12" a="1"/>
  <c r="I66" i="12" a="1"/>
  <c r="E68" i="12" a="1"/>
  <c r="D65" i="12" a="1"/>
  <c r="W39" i="12" a="1"/>
  <c r="D86" i="12" a="1"/>
  <c r="F46" i="12" a="1"/>
  <c r="H65" i="12" a="1"/>
  <c r="D44" i="12" a="1"/>
  <c r="G78" i="12" a="1"/>
  <c r="E45" i="12" a="1"/>
  <c r="Y81" i="12" a="1"/>
  <c r="E87" i="12" a="1"/>
  <c r="Y69" i="12" a="1"/>
  <c r="G8" i="12" a="1"/>
  <c r="AB67" i="12" a="1"/>
  <c r="I9" i="12" a="1"/>
  <c r="G67" i="12" a="1"/>
  <c r="Z39" i="12" a="1"/>
  <c r="F63" i="12" a="1"/>
  <c r="E8" i="12" a="1"/>
  <c r="G74" i="12" a="1"/>
  <c r="Y74" i="12" a="1"/>
  <c r="X71" i="12" a="1"/>
  <c r="D77" i="12" a="1"/>
  <c r="I10" i="12" a="1"/>
  <c r="AA40" i="12" a="1"/>
  <c r="X57" i="12" a="1"/>
  <c r="I70" i="12" a="1"/>
  <c r="Z78" i="12" a="1"/>
  <c r="AB44" i="12" a="1"/>
  <c r="X80" i="12" a="1"/>
  <c r="E72" i="12" a="1"/>
  <c r="Y91" i="12" a="1"/>
  <c r="Z77" i="12" a="1"/>
  <c r="W92" i="12" a="1"/>
  <c r="AA80" i="12" a="1"/>
  <c r="Y87" i="12" a="1"/>
  <c r="AB66" i="12" a="1"/>
  <c r="E44" i="12" a="1"/>
  <c r="I15" i="12" a="1"/>
  <c r="H88" i="12" a="1"/>
  <c r="D39" i="12" a="1"/>
  <c r="AB15" i="12" a="1"/>
  <c r="G38" i="12" a="1"/>
  <c r="Z87" i="12" a="1"/>
  <c r="Y46" i="12" a="1"/>
  <c r="Z72" i="12" a="1"/>
  <c r="Z46" i="12" a="1"/>
  <c r="Z44" i="12" a="1"/>
  <c r="F78" i="12" a="1"/>
  <c r="H73" i="12" a="1"/>
  <c r="W66" i="12" a="1"/>
  <c r="G81" i="12" a="1"/>
  <c r="E82" i="12" a="1"/>
  <c r="H81" i="12" a="1"/>
  <c r="G95" i="12" a="1"/>
  <c r="D69" i="12" a="1"/>
  <c r="E57" i="12" a="1"/>
  <c r="G46" i="12" a="1"/>
  <c r="G66" i="12" a="1"/>
  <c r="X69" i="12" a="1"/>
  <c r="F76" i="12" a="1"/>
  <c r="I73" i="12" a="1"/>
  <c r="X46" i="12" a="1"/>
  <c r="H14" i="12" a="1"/>
  <c r="Y68" i="12" a="1"/>
  <c r="I45" i="12" a="1"/>
  <c r="D71" i="12" a="1"/>
  <c r="E77" i="12" a="1"/>
  <c r="I69" i="12" a="1"/>
  <c r="AA77" i="12" a="1"/>
  <c r="D9" i="12" a="1"/>
  <c r="AA63" i="12" a="1"/>
  <c r="AA81" i="12" a="1"/>
  <c r="H70" i="12" a="1"/>
  <c r="D75" i="12" a="1"/>
  <c r="E39" i="12" a="1"/>
  <c r="I87" i="12" a="1"/>
  <c r="E95" i="12" a="1"/>
  <c r="AA67" i="12" a="1"/>
  <c r="G92" i="12" a="1"/>
  <c r="G44" i="12" a="1"/>
  <c r="G69" i="12" a="1"/>
  <c r="D15" i="12" a="1"/>
  <c r="W65" i="12" a="1"/>
  <c r="X77" i="12" a="1"/>
  <c r="G82" i="12" a="1"/>
  <c r="G70" i="12" a="1"/>
  <c r="AA39" i="12" a="1"/>
  <c r="Y40" i="12" a="1"/>
  <c r="H8" i="12" a="1"/>
  <c r="AB65" i="12" a="1"/>
  <c r="AB75" i="12" a="1"/>
  <c r="Z66" i="12" a="1"/>
  <c r="H72" i="12" a="1"/>
  <c r="I56" i="12" a="1"/>
  <c r="I46" i="12" a="1"/>
  <c r="H68" i="12" a="1"/>
  <c r="G16" i="12" a="1"/>
  <c r="G65" i="12" a="1"/>
  <c r="H40" i="12" a="1"/>
  <c r="AB10" i="12" a="1"/>
  <c r="H45" i="12" a="1"/>
  <c r="D40" i="12" a="1"/>
  <c r="G56" i="12" a="1"/>
  <c r="G57" i="12" a="1"/>
  <c r="G15" i="12" a="1"/>
  <c r="Z76" i="12" a="1"/>
  <c r="D80" i="12" a="1"/>
  <c r="I57" i="12" a="1"/>
  <c r="F75" i="12" a="1"/>
  <c r="W73" i="12" a="1"/>
  <c r="E66" i="12" a="1"/>
  <c r="AA65" i="12" a="1"/>
  <c r="Y56" i="12" a="1"/>
  <c r="E63" i="12" a="1"/>
  <c r="G68" i="12" a="1"/>
  <c r="X16" i="12" a="1"/>
  <c r="Y72" i="12" a="1"/>
  <c r="AA91" i="12" a="1"/>
  <c r="Y75" i="12" a="1"/>
  <c r="D91" i="12" a="1"/>
  <c r="Z86" i="12" a="1"/>
  <c r="AA75" i="12" a="1"/>
  <c r="F44" i="12" a="1"/>
  <c r="I91" i="12" a="1"/>
  <c r="I68" i="12" a="1"/>
  <c r="I14" i="12" a="1"/>
  <c r="I64" i="12" a="1"/>
  <c r="G86" i="12" a="1"/>
  <c r="E74" i="12" a="1"/>
  <c r="W79" i="12" a="1"/>
  <c r="D56" i="12" a="1"/>
  <c r="H92" i="12" a="1"/>
  <c r="E81" i="12" a="1"/>
  <c r="I39" i="12" a="1"/>
  <c r="H57" i="12" a="1"/>
  <c r="I79" i="12" a="1"/>
  <c r="I77" i="12" a="1"/>
  <c r="X92" i="12" a="1"/>
  <c r="H79" i="12" a="1"/>
  <c r="X39" i="12" a="1"/>
  <c r="Z71" i="12" a="1"/>
  <c r="D74" i="12" a="1"/>
  <c r="Z68" i="12" a="1"/>
  <c r="E80" i="12" a="1"/>
  <c r="X76" i="12" a="1"/>
  <c r="W63" i="12" a="1"/>
  <c r="W64" i="12" a="1"/>
  <c r="I80" i="12" a="1"/>
  <c r="I74" i="12" a="1"/>
  <c r="Z80" i="12" a="1"/>
  <c r="X91" i="12" a="1"/>
  <c r="Z91" i="12" a="1"/>
  <c r="H15" i="12" a="1"/>
  <c r="E92" i="12" a="1"/>
  <c r="Z92" i="12" a="1"/>
  <c r="I40" i="12" a="1"/>
  <c r="H91" i="12" a="1"/>
  <c r="D72" i="12" a="1"/>
  <c r="H80" i="12" a="1"/>
  <c r="F88" i="12" a="1"/>
  <c r="H77" i="12" a="1"/>
  <c r="I92" i="12" a="1"/>
  <c r="AA16" i="12" a="1"/>
  <c r="H38" i="12" a="1"/>
  <c r="X66" i="12" a="1"/>
  <c r="Z82" i="12" a="1"/>
  <c r="F64" i="12" a="1"/>
  <c r="F74" i="12" a="1"/>
  <c r="X75" i="12" a="1"/>
  <c r="F66" i="12" a="1"/>
  <c r="D82" i="12" a="1"/>
  <c r="AA79" i="12" a="1"/>
  <c r="AB64" i="12" a="1"/>
  <c r="W95" i="12" a="1"/>
  <c r="D78" i="12" a="1"/>
  <c r="F68" i="12" a="1"/>
  <c r="Y64" i="12" a="1"/>
  <c r="W40" i="12" a="1"/>
  <c r="W80" i="12" a="1"/>
  <c r="I75" i="12" a="1"/>
  <c r="BA102" i="9" l="1"/>
  <c r="BF89" i="10"/>
  <c r="BJ93" i="10"/>
  <c r="BG33" i="1"/>
  <c r="BF28" i="10"/>
  <c r="BF58" i="10"/>
  <c r="BI17" i="14"/>
  <c r="BA17" i="10"/>
  <c r="BX14" i="10"/>
  <c r="BO52" i="10"/>
  <c r="BG89" i="10"/>
  <c r="BA98" i="9"/>
  <c r="BK28" i="14"/>
  <c r="AZ29" i="1"/>
  <c r="BK17" i="10"/>
  <c r="AZ11" i="10"/>
  <c r="AZ102" i="10" s="1"/>
  <c r="BG11" i="14"/>
  <c r="BH102" i="14" s="1"/>
  <c r="BK27" i="14"/>
  <c r="BE89" i="14"/>
  <c r="BP86" i="10"/>
  <c r="BF89" i="14"/>
  <c r="BC98" i="8"/>
  <c r="BG98" i="8"/>
  <c r="BD53" i="8"/>
  <c r="BE32" i="9"/>
  <c r="BA34" i="8"/>
  <c r="BG102" i="8"/>
  <c r="BA102" i="8"/>
  <c r="BC29" i="1"/>
  <c r="BP70" i="14"/>
  <c r="BI33" i="1"/>
  <c r="BF33" i="1"/>
  <c r="BB28" i="14"/>
  <c r="BK33" i="1"/>
  <c r="BH102" i="1"/>
  <c r="BD29" i="9"/>
  <c r="BB32" i="9"/>
  <c r="BK29" i="9"/>
  <c r="BX16" i="10"/>
  <c r="BK32" i="1"/>
  <c r="BH27" i="10"/>
  <c r="BB32" i="8"/>
  <c r="BC32" i="9"/>
  <c r="BE33" i="1"/>
  <c r="BP72" i="14"/>
  <c r="BH17" i="10"/>
  <c r="BG29" i="9"/>
  <c r="BK89" i="14"/>
  <c r="AD28" i="14"/>
  <c r="AD34" i="14" s="1"/>
  <c r="BR46" i="14"/>
  <c r="AD52" i="14"/>
  <c r="K29" i="1"/>
  <c r="K23" i="1"/>
  <c r="K35" i="1" s="1"/>
  <c r="Y21" i="10"/>
  <c r="Y41" i="10"/>
  <c r="AX27" i="14"/>
  <c r="AX51" i="14"/>
  <c r="AX47" i="14"/>
  <c r="AX53" i="14" s="1"/>
  <c r="BS86" i="10"/>
  <c r="Q89" i="10"/>
  <c r="N51" i="10"/>
  <c r="N41" i="10"/>
  <c r="AA21" i="14"/>
  <c r="AA51" i="14"/>
  <c r="W26" i="10"/>
  <c r="W50" i="10"/>
  <c r="W47" i="10"/>
  <c r="W29" i="10" s="1"/>
  <c r="F53" i="9"/>
  <c r="F60" i="9" s="1"/>
  <c r="F23" i="9"/>
  <c r="F35" i="9" s="1"/>
  <c r="AK22" i="10"/>
  <c r="AK34" i="10" s="1"/>
  <c r="AK28" i="10"/>
  <c r="AB29" i="8"/>
  <c r="AB35" i="8" s="1"/>
  <c r="AB23" i="8"/>
  <c r="P29" i="9"/>
  <c r="P53" i="9"/>
  <c r="P60" i="9" s="1"/>
  <c r="P98" i="9" s="1"/>
  <c r="AO102" i="9"/>
  <c r="AP102" i="9"/>
  <c r="H53" i="1"/>
  <c r="H60" i="1" s="1"/>
  <c r="H98" i="1" s="1"/>
  <c r="H29" i="1"/>
  <c r="AH26" i="10"/>
  <c r="AH50" i="10"/>
  <c r="AH47" i="10"/>
  <c r="AH29" i="10" s="1"/>
  <c r="V41" i="10"/>
  <c r="V23" i="10" s="1"/>
  <c r="V21" i="10"/>
  <c r="V51" i="10"/>
  <c r="U102" i="8"/>
  <c r="T102" i="8"/>
  <c r="AM26" i="14"/>
  <c r="AM17" i="14"/>
  <c r="AM20" i="14"/>
  <c r="AM32" i="14" s="1"/>
  <c r="U47" i="14"/>
  <c r="U53" i="14" s="1"/>
  <c r="U60" i="14" s="1"/>
  <c r="U27" i="14"/>
  <c r="U51" i="14"/>
  <c r="BS88" i="10"/>
  <c r="P89" i="10"/>
  <c r="P41" i="14"/>
  <c r="P53" i="14" s="1"/>
  <c r="P60" i="14" s="1"/>
  <c r="BS38" i="14"/>
  <c r="S27" i="10"/>
  <c r="S17" i="10"/>
  <c r="AT83" i="14"/>
  <c r="BT40" i="10"/>
  <c r="F52" i="10"/>
  <c r="AF83" i="14"/>
  <c r="AI26" i="14"/>
  <c r="AI17" i="14"/>
  <c r="AI20" i="14"/>
  <c r="D23" i="8"/>
  <c r="D29" i="8"/>
  <c r="N47" i="14"/>
  <c r="N27" i="14"/>
  <c r="N33" i="14" s="1"/>
  <c r="AX52" i="10"/>
  <c r="AX22" i="10"/>
  <c r="AX34" i="10" s="1"/>
  <c r="AG26" i="14"/>
  <c r="AG20" i="14"/>
  <c r="AT89" i="14"/>
  <c r="AI52" i="14"/>
  <c r="AI22" i="14"/>
  <c r="AI34" i="14" s="1"/>
  <c r="AI41" i="14"/>
  <c r="AI23" i="14" s="1"/>
  <c r="AN17" i="10"/>
  <c r="BO14" i="10"/>
  <c r="BQ14" i="10"/>
  <c r="AN20" i="10"/>
  <c r="S23" i="8"/>
  <c r="S53" i="8"/>
  <c r="S60" i="8" s="1"/>
  <c r="AT23" i="9"/>
  <c r="AT35" i="9" s="1"/>
  <c r="AT53" i="9"/>
  <c r="AT60" i="9" s="1"/>
  <c r="AT98" i="9" s="1"/>
  <c r="AR51" i="10"/>
  <c r="AR41" i="10"/>
  <c r="AR23" i="10" s="1"/>
  <c r="AR21" i="10"/>
  <c r="AR33" i="10" s="1"/>
  <c r="F53" i="1"/>
  <c r="F60" i="1" s="1"/>
  <c r="F98" i="1" s="1"/>
  <c r="F23" i="1"/>
  <c r="AX53" i="1"/>
  <c r="AX60" i="1" s="1"/>
  <c r="AX98" i="1" s="1"/>
  <c r="AX23" i="1"/>
  <c r="AX35" i="1" s="1"/>
  <c r="BT91" i="10"/>
  <c r="F93" i="10"/>
  <c r="E20" i="10"/>
  <c r="E32" i="10" s="1"/>
  <c r="E41" i="10"/>
  <c r="E50" i="10"/>
  <c r="AP20" i="10"/>
  <c r="AP41" i="10"/>
  <c r="J17" i="14"/>
  <c r="J23" i="14" s="1"/>
  <c r="J21" i="14"/>
  <c r="J33" i="14" s="1"/>
  <c r="J27" i="14"/>
  <c r="AU41" i="14"/>
  <c r="AU23" i="14" s="1"/>
  <c r="AU50" i="14"/>
  <c r="AU20" i="14"/>
  <c r="K41" i="10"/>
  <c r="K21" i="10"/>
  <c r="K33" i="10" s="1"/>
  <c r="K51" i="10"/>
  <c r="AD51" i="14"/>
  <c r="AD21" i="14"/>
  <c r="AD33" i="14" s="1"/>
  <c r="AU102" i="9"/>
  <c r="AV102" i="9"/>
  <c r="AA22" i="10"/>
  <c r="AA34" i="10" s="1"/>
  <c r="AA28" i="10"/>
  <c r="F41" i="10"/>
  <c r="AK47" i="14"/>
  <c r="AK53" i="14" s="1"/>
  <c r="AK60" i="14" s="1"/>
  <c r="AK52" i="14"/>
  <c r="AD22" i="10"/>
  <c r="AD41" i="10"/>
  <c r="AD53" i="10" s="1"/>
  <c r="AR22" i="10"/>
  <c r="AR52" i="10"/>
  <c r="AQ83" i="14"/>
  <c r="AO47" i="10"/>
  <c r="BO45" i="10"/>
  <c r="BT40" i="14"/>
  <c r="D41" i="14"/>
  <c r="P102" i="14"/>
  <c r="E32" i="14"/>
  <c r="AI47" i="10"/>
  <c r="AI29" i="10" s="1"/>
  <c r="AI27" i="10"/>
  <c r="W51" i="10"/>
  <c r="W21" i="10"/>
  <c r="W33" i="10" s="1"/>
  <c r="AY102" i="1"/>
  <c r="AX102" i="1"/>
  <c r="U53" i="1"/>
  <c r="U60" i="1" s="1"/>
  <c r="U23" i="1"/>
  <c r="Y53" i="1"/>
  <c r="Y23" i="1"/>
  <c r="Y35" i="1" s="1"/>
  <c r="AE23" i="1"/>
  <c r="AE35" i="1" s="1"/>
  <c r="V47" i="10"/>
  <c r="V29" i="10" s="1"/>
  <c r="V26" i="10"/>
  <c r="AH51" i="10"/>
  <c r="AH41" i="10"/>
  <c r="AH23" i="10" s="1"/>
  <c r="AY50" i="10"/>
  <c r="AY47" i="10"/>
  <c r="AY29" i="10" s="1"/>
  <c r="BR16" i="10"/>
  <c r="AO58" i="14"/>
  <c r="BO56" i="14"/>
  <c r="BO58" i="14" s="1"/>
  <c r="BQ56" i="14"/>
  <c r="AV50" i="10"/>
  <c r="AV26" i="10"/>
  <c r="AV32" i="10" s="1"/>
  <c r="AV47" i="10"/>
  <c r="BS44" i="14"/>
  <c r="R47" i="14"/>
  <c r="R29" i="14" s="1"/>
  <c r="R50" i="14"/>
  <c r="E102" i="8"/>
  <c r="BT102" i="8"/>
  <c r="G83" i="10"/>
  <c r="P47" i="10"/>
  <c r="P26" i="10"/>
  <c r="P50" i="10"/>
  <c r="K22" i="10"/>
  <c r="K52" i="10"/>
  <c r="Q29" i="9"/>
  <c r="Q23" i="9"/>
  <c r="O23" i="1"/>
  <c r="O53" i="1"/>
  <c r="O60" i="1" s="1"/>
  <c r="AP22" i="14"/>
  <c r="AP28" i="14"/>
  <c r="AO89" i="14"/>
  <c r="AO90" i="14" s="1"/>
  <c r="BO88" i="14"/>
  <c r="BQ88" i="14"/>
  <c r="W51" i="14"/>
  <c r="W27" i="14"/>
  <c r="W33" i="14" s="1"/>
  <c r="J26" i="14"/>
  <c r="J32" i="14" s="1"/>
  <c r="J50" i="14"/>
  <c r="T53" i="1"/>
  <c r="T60" i="1" s="1"/>
  <c r="J83" i="10"/>
  <c r="D58" i="14"/>
  <c r="BT56" i="14"/>
  <c r="Q41" i="10"/>
  <c r="Q20" i="10"/>
  <c r="AC20" i="14"/>
  <c r="AC32" i="14" s="1"/>
  <c r="AC17" i="14"/>
  <c r="AP83" i="14"/>
  <c r="AP84" i="14" s="1"/>
  <c r="BO66" i="14"/>
  <c r="AI29" i="14"/>
  <c r="F29" i="8"/>
  <c r="F53" i="8"/>
  <c r="F60" i="8" s="1"/>
  <c r="F98" i="8" s="1"/>
  <c r="N20" i="14"/>
  <c r="N50" i="14"/>
  <c r="BO50" i="8"/>
  <c r="BO26" i="8"/>
  <c r="BO32" i="8" s="1"/>
  <c r="I21" i="10"/>
  <c r="I41" i="10"/>
  <c r="I23" i="10" s="1"/>
  <c r="L47" i="14"/>
  <c r="L29" i="14" s="1"/>
  <c r="L26" i="14"/>
  <c r="AW21" i="10"/>
  <c r="AW33" i="10" s="1"/>
  <c r="AW51" i="10"/>
  <c r="AG83" i="10"/>
  <c r="H52" i="10"/>
  <c r="H47" i="10"/>
  <c r="D51" i="10"/>
  <c r="BT39" i="10"/>
  <c r="D21" i="10"/>
  <c r="V102" i="9"/>
  <c r="U102" i="9"/>
  <c r="BQ82" i="10"/>
  <c r="BR40" i="10"/>
  <c r="J53" i="14"/>
  <c r="J60" i="14" s="1"/>
  <c r="J98" i="14" s="1"/>
  <c r="D52" i="14"/>
  <c r="AD98" i="8"/>
  <c r="N41" i="14"/>
  <c r="AJ22" i="14"/>
  <c r="R34" i="9"/>
  <c r="AM89" i="10"/>
  <c r="BZ16" i="10"/>
  <c r="BR28" i="10" s="1"/>
  <c r="Q98" i="9"/>
  <c r="Y47" i="14"/>
  <c r="AC41" i="14"/>
  <c r="AC23" i="14" s="1"/>
  <c r="AV27" i="14"/>
  <c r="F21" i="10"/>
  <c r="R26" i="14"/>
  <c r="AV22" i="10"/>
  <c r="AV34" i="10" s="1"/>
  <c r="P33" i="10"/>
  <c r="BQ45" i="10"/>
  <c r="BR15" i="10"/>
  <c r="BS38" i="10"/>
  <c r="BO102" i="9"/>
  <c r="AT27" i="14"/>
  <c r="AM50" i="14"/>
  <c r="AM53" i="8"/>
  <c r="AM60" i="8" s="1"/>
  <c r="AM98" i="8" s="1"/>
  <c r="AN27" i="10"/>
  <c r="AN33" i="10" s="1"/>
  <c r="F22" i="10"/>
  <c r="T60" i="10"/>
  <c r="BQ70" i="10"/>
  <c r="AG102" i="8"/>
  <c r="R29" i="8"/>
  <c r="AT52" i="10"/>
  <c r="AS102" i="9"/>
  <c r="T102" i="14"/>
  <c r="BW14" i="10"/>
  <c r="J47" i="14"/>
  <c r="W41" i="10"/>
  <c r="BR44" i="14"/>
  <c r="S53" i="10"/>
  <c r="S60" i="10" s="1"/>
  <c r="BY14" i="10"/>
  <c r="BS87" i="10"/>
  <c r="AN23" i="9"/>
  <c r="AN35" i="9" s="1"/>
  <c r="Q50" i="10"/>
  <c r="AG17" i="14"/>
  <c r="R41" i="10"/>
  <c r="R23" i="10" s="1"/>
  <c r="K50" i="14"/>
  <c r="AD52" i="10"/>
  <c r="AL47" i="10"/>
  <c r="E34" i="14"/>
  <c r="AR53" i="10"/>
  <c r="AR60" i="10" s="1"/>
  <c r="AR98" i="10" s="1"/>
  <c r="S32" i="10"/>
  <c r="BO11" i="8"/>
  <c r="S34" i="9"/>
  <c r="AK33" i="1"/>
  <c r="G11" i="14"/>
  <c r="Z27" i="10"/>
  <c r="AX41" i="10"/>
  <c r="G32" i="1"/>
  <c r="BQ78" i="14"/>
  <c r="AC50" i="14"/>
  <c r="AP32" i="1"/>
  <c r="AG53" i="1"/>
  <c r="AS60" i="9"/>
  <c r="AS98" i="9" s="1"/>
  <c r="AB33" i="14"/>
  <c r="D34" i="10"/>
  <c r="AD60" i="1"/>
  <c r="AD98" i="1" s="1"/>
  <c r="G60" i="1"/>
  <c r="O35" i="1"/>
  <c r="AF98" i="1"/>
  <c r="Q33" i="14"/>
  <c r="BT102" i="1"/>
  <c r="AL98" i="9"/>
  <c r="Z34" i="9"/>
  <c r="J102" i="1"/>
  <c r="AB89" i="10"/>
  <c r="AW89" i="10"/>
  <c r="U17" i="10"/>
  <c r="U23" i="10" s="1"/>
  <c r="AW93" i="14"/>
  <c r="F102" i="8"/>
  <c r="AD89" i="14"/>
  <c r="AL28" i="10"/>
  <c r="AB22" i="10"/>
  <c r="AH21" i="10"/>
  <c r="AH33" i="10" s="1"/>
  <c r="AW11" i="10"/>
  <c r="L22" i="10"/>
  <c r="R102" i="1"/>
  <c r="G52" i="10"/>
  <c r="J11" i="10"/>
  <c r="K102" i="10" s="1"/>
  <c r="P27" i="10"/>
  <c r="AB53" i="8"/>
  <c r="E34" i="8"/>
  <c r="N102" i="8"/>
  <c r="V23" i="1"/>
  <c r="V35" i="1" s="1"/>
  <c r="AV23" i="10"/>
  <c r="U33" i="14"/>
  <c r="P32" i="10"/>
  <c r="F23" i="10"/>
  <c r="AD41" i="14"/>
  <c r="AD23" i="14" s="1"/>
  <c r="R53" i="9"/>
  <c r="BS74" i="14"/>
  <c r="Z93" i="10"/>
  <c r="AS34" i="1"/>
  <c r="K29" i="9"/>
  <c r="K35" i="9" s="1"/>
  <c r="Q53" i="8"/>
  <c r="Q60" i="8" s="1"/>
  <c r="Q98" i="8" s="1"/>
  <c r="Y89" i="10"/>
  <c r="BO22" i="8"/>
  <c r="L27" i="10"/>
  <c r="L33" i="10" s="1"/>
  <c r="AL53" i="8"/>
  <c r="AL60" i="8" s="1"/>
  <c r="AL98" i="8" s="1"/>
  <c r="L29" i="9"/>
  <c r="AE33" i="1"/>
  <c r="AF29" i="14"/>
  <c r="AK60" i="9"/>
  <c r="AK98" i="9" s="1"/>
  <c r="V32" i="10"/>
  <c r="V47" i="14"/>
  <c r="AO34" i="10"/>
  <c r="T23" i="10"/>
  <c r="Y60" i="9"/>
  <c r="I33" i="1"/>
  <c r="G28" i="14"/>
  <c r="S47" i="14"/>
  <c r="S29" i="14" s="1"/>
  <c r="AY34" i="1"/>
  <c r="AO34" i="9"/>
  <c r="E58" i="10"/>
  <c r="M28" i="14"/>
  <c r="S41" i="10"/>
  <c r="AB33" i="8"/>
  <c r="AF27" i="14"/>
  <c r="E26" i="14"/>
  <c r="E28" i="14"/>
  <c r="R93" i="14"/>
  <c r="AW58" i="14"/>
  <c r="Y50" i="14"/>
  <c r="D22" i="10"/>
  <c r="AK26" i="14"/>
  <c r="AK32" i="14" s="1"/>
  <c r="J26" i="10"/>
  <c r="J32" i="10" s="1"/>
  <c r="Q93" i="10"/>
  <c r="K53" i="10"/>
  <c r="AS53" i="1"/>
  <c r="AS60" i="1" s="1"/>
  <c r="AS98" i="1" s="1"/>
  <c r="AT21" i="14"/>
  <c r="J23" i="10"/>
  <c r="AV17" i="10"/>
  <c r="AE32" i="14"/>
  <c r="AX21" i="14"/>
  <c r="AX33" i="14" s="1"/>
  <c r="J33" i="10"/>
  <c r="AT52" i="14"/>
  <c r="Q60" i="1"/>
  <c r="Q98" i="1" s="1"/>
  <c r="K33" i="9"/>
  <c r="M102" i="9"/>
  <c r="N51" i="14"/>
  <c r="AN32" i="1"/>
  <c r="AM93" i="14"/>
  <c r="V32" i="9"/>
  <c r="AL102" i="8"/>
  <c r="AL29" i="8"/>
  <c r="AI28" i="14"/>
  <c r="J60" i="9"/>
  <c r="J98" i="9" s="1"/>
  <c r="AL35" i="8"/>
  <c r="AR34" i="10"/>
  <c r="AA33" i="14"/>
  <c r="AW29" i="9"/>
  <c r="AH83" i="10"/>
  <c r="AT11" i="14"/>
  <c r="AU102" i="14" s="1"/>
  <c r="X83" i="10"/>
  <c r="AB83" i="10"/>
  <c r="L60" i="9"/>
  <c r="L98" i="9" s="1"/>
  <c r="F98" i="9"/>
  <c r="AG98" i="9"/>
  <c r="AS83" i="14"/>
  <c r="BS102" i="1"/>
  <c r="AW83" i="10"/>
  <c r="AT83" i="10"/>
  <c r="U83" i="10"/>
  <c r="S29" i="9"/>
  <c r="AD34" i="8"/>
  <c r="BO83" i="9"/>
  <c r="BO98" i="9" s="1"/>
  <c r="O83" i="14"/>
  <c r="M83" i="10"/>
  <c r="BR11" i="8"/>
  <c r="AX33" i="1"/>
  <c r="BQ50" i="14"/>
  <c r="AK83" i="10"/>
  <c r="H60" i="9"/>
  <c r="H98" i="9" s="1"/>
  <c r="AG83" i="14"/>
  <c r="AH83" i="14"/>
  <c r="AE11" i="14"/>
  <c r="AI83" i="14"/>
  <c r="AE89" i="10"/>
  <c r="AM102" i="14"/>
  <c r="BR67" i="14"/>
  <c r="BT67" i="14"/>
  <c r="R83" i="10"/>
  <c r="AR83" i="14"/>
  <c r="AX83" i="10"/>
  <c r="N11" i="10"/>
  <c r="N102" i="10" s="1"/>
  <c r="AN29" i="8"/>
  <c r="AI98" i="1"/>
  <c r="AK17" i="14"/>
  <c r="X33" i="1"/>
  <c r="AP34" i="9"/>
  <c r="AE102" i="8"/>
  <c r="L83" i="14"/>
  <c r="BS70" i="10"/>
  <c r="L11" i="10"/>
  <c r="M102" i="10" s="1"/>
  <c r="AO32" i="9"/>
  <c r="I60" i="9"/>
  <c r="I98" i="9" s="1"/>
  <c r="AM20" i="10"/>
  <c r="X98" i="9"/>
  <c r="W34" i="9"/>
  <c r="BR11" i="9"/>
  <c r="P11" i="10"/>
  <c r="I35" i="8"/>
  <c r="L28" i="10"/>
  <c r="H89" i="10"/>
  <c r="X60" i="8"/>
  <c r="X98" i="8" s="1"/>
  <c r="BS87" i="14"/>
  <c r="BO38" i="10"/>
  <c r="AM52" i="14"/>
  <c r="AT98" i="1"/>
  <c r="S33" i="8"/>
  <c r="AF89" i="14"/>
  <c r="E102" i="9"/>
  <c r="T34" i="8"/>
  <c r="AK17" i="10"/>
  <c r="Z102" i="1"/>
  <c r="X33" i="9"/>
  <c r="G29" i="8"/>
  <c r="AY53" i="9"/>
  <c r="AY60" i="9" s="1"/>
  <c r="AY98" i="9" s="1"/>
  <c r="AX33" i="8"/>
  <c r="AG60" i="8"/>
  <c r="AG98" i="8" s="1"/>
  <c r="BQ63" i="14"/>
  <c r="BS69" i="10"/>
  <c r="AW50" i="14"/>
  <c r="Z60" i="8"/>
  <c r="BT77" i="10"/>
  <c r="H11" i="14"/>
  <c r="AI102" i="9"/>
  <c r="AL53" i="1"/>
  <c r="BT69" i="14"/>
  <c r="I89" i="10"/>
  <c r="H34" i="8"/>
  <c r="BR57" i="14"/>
  <c r="X53" i="1"/>
  <c r="BS11" i="8"/>
  <c r="AM23" i="1"/>
  <c r="BS15" i="10"/>
  <c r="BT70" i="10"/>
  <c r="AF32" i="8"/>
  <c r="AA47" i="14"/>
  <c r="AT27" i="10"/>
  <c r="AA93" i="10"/>
  <c r="AA93" i="14"/>
  <c r="AA17" i="10"/>
  <c r="AI33" i="1"/>
  <c r="BO57" i="10"/>
  <c r="BO58" i="10" s="1"/>
  <c r="AL32" i="8"/>
  <c r="AE32" i="1"/>
  <c r="AY26" i="14"/>
  <c r="AV29" i="1"/>
  <c r="AV35" i="1" s="1"/>
  <c r="K34" i="1"/>
  <c r="BS71" i="10"/>
  <c r="AY93" i="14"/>
  <c r="E66" i="12"/>
  <c r="E80" i="12"/>
  <c r="E88" i="12"/>
  <c r="E74" i="12"/>
  <c r="E16" i="12"/>
  <c r="E15" i="12"/>
  <c r="E39" i="12"/>
  <c r="E69" i="12"/>
  <c r="E79" i="12"/>
  <c r="E77" i="12"/>
  <c r="E81" i="12"/>
  <c r="E82" i="12"/>
  <c r="E75" i="12"/>
  <c r="E86" i="12"/>
  <c r="E64" i="12"/>
  <c r="E65" i="12"/>
  <c r="E92" i="12"/>
  <c r="E68" i="12"/>
  <c r="E57" i="12"/>
  <c r="E56" i="12"/>
  <c r="E40" i="12"/>
  <c r="E63" i="12"/>
  <c r="E73" i="12"/>
  <c r="E70" i="12"/>
  <c r="E95" i="12"/>
  <c r="E96" i="12" s="1"/>
  <c r="E38" i="12"/>
  <c r="E9" i="12"/>
  <c r="E46" i="12"/>
  <c r="E78" i="12"/>
  <c r="E44" i="12"/>
  <c r="E8" i="12"/>
  <c r="E91" i="12"/>
  <c r="E87" i="12"/>
  <c r="E14" i="12"/>
  <c r="E67" i="12"/>
  <c r="E10" i="12"/>
  <c r="E72" i="12"/>
  <c r="E76" i="12"/>
  <c r="E45" i="12"/>
  <c r="E71" i="12"/>
  <c r="BK41" i="10"/>
  <c r="BK50" i="10"/>
  <c r="BK20" i="10"/>
  <c r="BP8" i="14"/>
  <c r="BP11" i="14" s="1"/>
  <c r="BB11" i="14"/>
  <c r="BC22" i="14"/>
  <c r="BC34" i="14" s="1"/>
  <c r="BC52" i="14"/>
  <c r="BD23" i="9"/>
  <c r="BD35" i="9" s="1"/>
  <c r="BD53" i="9"/>
  <c r="AZ51" i="14"/>
  <c r="BP39" i="14"/>
  <c r="AZ21" i="14"/>
  <c r="BE20" i="14"/>
  <c r="BE50" i="14"/>
  <c r="BE41" i="14"/>
  <c r="AZ52" i="14"/>
  <c r="AZ22" i="14"/>
  <c r="BP40" i="14"/>
  <c r="AZ47" i="10"/>
  <c r="AZ26" i="10"/>
  <c r="BA93" i="14"/>
  <c r="BK83" i="10"/>
  <c r="AZ17" i="10"/>
  <c r="BE51" i="10"/>
  <c r="BE21" i="10"/>
  <c r="BE33" i="10" s="1"/>
  <c r="BA47" i="10"/>
  <c r="BA29" i="10" s="1"/>
  <c r="BA26" i="10"/>
  <c r="BB89" i="10"/>
  <c r="BB102" i="8"/>
  <c r="BP92" i="14"/>
  <c r="BP77" i="14"/>
  <c r="BC32" i="8"/>
  <c r="BI93" i="14"/>
  <c r="BI52" i="14"/>
  <c r="BI22" i="14"/>
  <c r="BF32" i="1"/>
  <c r="BF11" i="10"/>
  <c r="BF102" i="10" s="1"/>
  <c r="BE47" i="14"/>
  <c r="BE29" i="14" s="1"/>
  <c r="BE26" i="14"/>
  <c r="BF83" i="14"/>
  <c r="BG28" i="10"/>
  <c r="BC33" i="1"/>
  <c r="BH93" i="14"/>
  <c r="BD11" i="10"/>
  <c r="BE102" i="10" s="1"/>
  <c r="BJ32" i="9"/>
  <c r="BH102" i="8"/>
  <c r="BA50" i="14"/>
  <c r="BA41" i="14"/>
  <c r="BA20" i="14"/>
  <c r="BG83" i="10"/>
  <c r="BD83" i="10"/>
  <c r="BD102" i="1"/>
  <c r="BD98" i="8"/>
  <c r="BK50" i="14"/>
  <c r="BK41" i="14"/>
  <c r="BK20" i="14"/>
  <c r="BP63" i="14"/>
  <c r="AZ83" i="14"/>
  <c r="BB102" i="1"/>
  <c r="BC102" i="1"/>
  <c r="AZ21" i="10"/>
  <c r="AZ51" i="10"/>
  <c r="BC83" i="10"/>
  <c r="BA83" i="14"/>
  <c r="BE20" i="10"/>
  <c r="BE41" i="10"/>
  <c r="BE50" i="10"/>
  <c r="BP44" i="14"/>
  <c r="AZ47" i="14"/>
  <c r="AZ26" i="14"/>
  <c r="BH98" i="9"/>
  <c r="BX15" i="14"/>
  <c r="BP15" i="14"/>
  <c r="BI89" i="10"/>
  <c r="BI51" i="10"/>
  <c r="BI21" i="10"/>
  <c r="BI33" i="10" s="1"/>
  <c r="BF51" i="14"/>
  <c r="BF21" i="14"/>
  <c r="BB51" i="10"/>
  <c r="BB21" i="10"/>
  <c r="BH83" i="10"/>
  <c r="BI29" i="1"/>
  <c r="BB29" i="9"/>
  <c r="BJ102" i="8"/>
  <c r="BC17" i="10"/>
  <c r="BE29" i="9"/>
  <c r="BJ41" i="14"/>
  <c r="BJ20" i="14"/>
  <c r="BJ50" i="14"/>
  <c r="BI98" i="8"/>
  <c r="BJ52" i="14"/>
  <c r="BJ22" i="14"/>
  <c r="BJ34" i="14" s="1"/>
  <c r="BC53" i="8"/>
  <c r="BC23" i="8"/>
  <c r="BC35" i="8" s="1"/>
  <c r="BI27" i="14"/>
  <c r="BI93" i="10"/>
  <c r="BJ11" i="10"/>
  <c r="BK102" i="10" s="1"/>
  <c r="AZ93" i="10"/>
  <c r="BI52" i="10"/>
  <c r="BI22" i="10"/>
  <c r="BI34" i="10" s="1"/>
  <c r="BA53" i="8"/>
  <c r="BA23" i="8"/>
  <c r="BF41" i="10"/>
  <c r="BF20" i="10"/>
  <c r="BF50" i="10"/>
  <c r="BI17" i="10"/>
  <c r="BF98" i="1"/>
  <c r="BG28" i="14"/>
  <c r="BC21" i="14"/>
  <c r="BC51" i="14"/>
  <c r="BE98" i="1"/>
  <c r="BK26" i="14"/>
  <c r="BK47" i="14"/>
  <c r="BH93" i="10"/>
  <c r="BK27" i="10"/>
  <c r="BG53" i="1"/>
  <c r="BG23" i="1"/>
  <c r="BG35" i="1" s="1"/>
  <c r="BD11" i="14"/>
  <c r="BP67" i="14"/>
  <c r="BA32" i="1"/>
  <c r="BG98" i="1"/>
  <c r="BP82" i="14"/>
  <c r="AZ23" i="9"/>
  <c r="AZ53" i="9"/>
  <c r="BX16" i="14"/>
  <c r="BP16" i="14"/>
  <c r="BD53" i="1"/>
  <c r="BD23" i="1"/>
  <c r="AZ83" i="10"/>
  <c r="BA11" i="10"/>
  <c r="BC22" i="10"/>
  <c r="BC34" i="10" s="1"/>
  <c r="BC52" i="10"/>
  <c r="BC98" i="1"/>
  <c r="BD51" i="10"/>
  <c r="BD21" i="10"/>
  <c r="BD33" i="10" s="1"/>
  <c r="BJ28" i="14"/>
  <c r="BB52" i="14"/>
  <c r="BB22" i="14"/>
  <c r="BB34" i="14" s="1"/>
  <c r="BA83" i="10"/>
  <c r="BG51" i="14"/>
  <c r="BG21" i="14"/>
  <c r="BG33" i="14" s="1"/>
  <c r="BB23" i="1"/>
  <c r="BB53" i="1"/>
  <c r="BE11" i="14"/>
  <c r="BF102" i="14" s="1"/>
  <c r="BG58" i="10"/>
  <c r="BI51" i="14"/>
  <c r="BI21" i="14"/>
  <c r="BF53" i="9"/>
  <c r="BF23" i="9"/>
  <c r="BF35" i="9" s="1"/>
  <c r="BI47" i="14"/>
  <c r="BI29" i="14" s="1"/>
  <c r="BI26" i="14"/>
  <c r="BC17" i="14"/>
  <c r="BC27" i="14"/>
  <c r="BI83" i="10"/>
  <c r="BA17" i="14"/>
  <c r="BK102" i="1"/>
  <c r="AZ93" i="14"/>
  <c r="BP91" i="14"/>
  <c r="BP93" i="14" s="1"/>
  <c r="BH58" i="14"/>
  <c r="BP76" i="14"/>
  <c r="BE98" i="8"/>
  <c r="BK93" i="14"/>
  <c r="BJ34" i="9"/>
  <c r="BE83" i="10"/>
  <c r="BP71" i="14"/>
  <c r="BG50" i="14"/>
  <c r="BG41" i="14"/>
  <c r="BG20" i="14"/>
  <c r="BH52" i="10"/>
  <c r="BH22" i="10"/>
  <c r="BH34" i="10" s="1"/>
  <c r="BG83" i="14"/>
  <c r="AZ32" i="9"/>
  <c r="BI53" i="9"/>
  <c r="BI23" i="9"/>
  <c r="BI35" i="9" s="1"/>
  <c r="BJ47" i="14"/>
  <c r="BJ29" i="14" s="1"/>
  <c r="BJ26" i="14"/>
  <c r="BP81" i="14"/>
  <c r="BA35" i="8"/>
  <c r="BG102" i="10"/>
  <c r="AZ98" i="1"/>
  <c r="BC26" i="14"/>
  <c r="BC47" i="14"/>
  <c r="BC83" i="14"/>
  <c r="BB58" i="14"/>
  <c r="BA53" i="9"/>
  <c r="BA23" i="9"/>
  <c r="BA35" i="9" s="1"/>
  <c r="BH23" i="9"/>
  <c r="BH35" i="9" s="1"/>
  <c r="BH53" i="9"/>
  <c r="BA98" i="1"/>
  <c r="BB41" i="14"/>
  <c r="BB20" i="14"/>
  <c r="BB50" i="14"/>
  <c r="BC89" i="14"/>
  <c r="BF51" i="10"/>
  <c r="BF21" i="10"/>
  <c r="BP38" i="14"/>
  <c r="AZ50" i="14"/>
  <c r="AZ41" i="14"/>
  <c r="AZ20" i="14"/>
  <c r="AZ32" i="14" s="1"/>
  <c r="BP86" i="14"/>
  <c r="AZ89" i="14"/>
  <c r="AZ90" i="14" s="1"/>
  <c r="BI47" i="10"/>
  <c r="BI29" i="10" s="1"/>
  <c r="BI26" i="10"/>
  <c r="BD47" i="14"/>
  <c r="BD26" i="14"/>
  <c r="BJ41" i="10"/>
  <c r="BJ20" i="10"/>
  <c r="BJ50" i="10"/>
  <c r="BC27" i="10"/>
  <c r="BI98" i="1"/>
  <c r="BH33" i="1"/>
  <c r="BH58" i="10"/>
  <c r="BF23" i="1"/>
  <c r="BF53" i="1"/>
  <c r="BG52" i="10"/>
  <c r="BG22" i="10"/>
  <c r="BG34" i="10" s="1"/>
  <c r="BI28" i="10"/>
  <c r="BE89" i="10"/>
  <c r="BH29" i="1"/>
  <c r="BG32" i="1"/>
  <c r="BH52" i="14"/>
  <c r="BH22" i="14"/>
  <c r="BH34" i="14" s="1"/>
  <c r="BB29" i="1"/>
  <c r="BD33" i="8"/>
  <c r="BJ29" i="1"/>
  <c r="BS58" i="14"/>
  <c r="BD50" i="14"/>
  <c r="BD41" i="14"/>
  <c r="BD20" i="14"/>
  <c r="BJ83" i="14"/>
  <c r="AZ28" i="14"/>
  <c r="BP46" i="14"/>
  <c r="BP28" i="14" s="1"/>
  <c r="BB58" i="10"/>
  <c r="BI98" i="9"/>
  <c r="BA32" i="9"/>
  <c r="BF34" i="1"/>
  <c r="BB22" i="10"/>
  <c r="BB34" i="10" s="1"/>
  <c r="BB52" i="10"/>
  <c r="BC50" i="14"/>
  <c r="BC41" i="14"/>
  <c r="BC20" i="14"/>
  <c r="BC32" i="14" s="1"/>
  <c r="BG51" i="10"/>
  <c r="BG21" i="10"/>
  <c r="BG33" i="10" s="1"/>
  <c r="BB53" i="9"/>
  <c r="BB23" i="9"/>
  <c r="BB35" i="9" s="1"/>
  <c r="BF33" i="8"/>
  <c r="BF98" i="9"/>
  <c r="BH53" i="1"/>
  <c r="BH23" i="1"/>
  <c r="BH35" i="1" s="1"/>
  <c r="BA51" i="14"/>
  <c r="BA21" i="14"/>
  <c r="BE53" i="9"/>
  <c r="BE23" i="9"/>
  <c r="BE35" i="9" s="1"/>
  <c r="BD102" i="9"/>
  <c r="BG93" i="14"/>
  <c r="AZ50" i="10"/>
  <c r="AZ20" i="10"/>
  <c r="AZ32" i="10" s="1"/>
  <c r="AZ41" i="10"/>
  <c r="AZ89" i="10"/>
  <c r="BK11" i="14"/>
  <c r="BD47" i="10"/>
  <c r="BD29" i="10" s="1"/>
  <c r="BD26" i="10"/>
  <c r="BI83" i="14"/>
  <c r="BI41" i="10"/>
  <c r="BI20" i="10"/>
  <c r="BI32" i="10" s="1"/>
  <c r="BI50" i="10"/>
  <c r="BF29" i="1"/>
  <c r="BH21" i="10"/>
  <c r="BH33" i="10" s="1"/>
  <c r="BH51" i="10"/>
  <c r="AZ27" i="10"/>
  <c r="BA58" i="14"/>
  <c r="BG17" i="10"/>
  <c r="BK32" i="9"/>
  <c r="BD52" i="10"/>
  <c r="BD22" i="10"/>
  <c r="BD34" i="10" s="1"/>
  <c r="BD89" i="10"/>
  <c r="BI102" i="8"/>
  <c r="BG52" i="14"/>
  <c r="BG22" i="14"/>
  <c r="BI28" i="14"/>
  <c r="BB83" i="10"/>
  <c r="BH26" i="10"/>
  <c r="BH47" i="10"/>
  <c r="BH29" i="10" s="1"/>
  <c r="BG41" i="10"/>
  <c r="BG50" i="10"/>
  <c r="BG20" i="10"/>
  <c r="BH34" i="1"/>
  <c r="BB26" i="14"/>
  <c r="BB47" i="14"/>
  <c r="BB29" i="14" s="1"/>
  <c r="BT52" i="14"/>
  <c r="AZ35" i="9"/>
  <c r="BK53" i="1"/>
  <c r="BK23" i="1"/>
  <c r="BK35" i="1" s="1"/>
  <c r="BD41" i="10"/>
  <c r="BD20" i="10"/>
  <c r="BD50" i="10"/>
  <c r="BE52" i="14"/>
  <c r="BE22" i="14"/>
  <c r="BJ83" i="10"/>
  <c r="BC47" i="10"/>
  <c r="BC29" i="10" s="1"/>
  <c r="BC26" i="10"/>
  <c r="BG47" i="14"/>
  <c r="BG29" i="14" s="1"/>
  <c r="BG26" i="14"/>
  <c r="BK22" i="14"/>
  <c r="BK34" i="14" s="1"/>
  <c r="BK52" i="14"/>
  <c r="BB53" i="8"/>
  <c r="BB23" i="8"/>
  <c r="BB35" i="8" s="1"/>
  <c r="BA98" i="8"/>
  <c r="BF52" i="10"/>
  <c r="BF22" i="10"/>
  <c r="BF34" i="10" s="1"/>
  <c r="BC53" i="9"/>
  <c r="BC23" i="9"/>
  <c r="BC35" i="9" s="1"/>
  <c r="BC41" i="10"/>
  <c r="BC20" i="10"/>
  <c r="BC50" i="10"/>
  <c r="AZ34" i="1"/>
  <c r="BK89" i="10"/>
  <c r="BB50" i="10"/>
  <c r="BB20" i="10"/>
  <c r="BB41" i="10"/>
  <c r="BP9" i="10"/>
  <c r="AZ98" i="8"/>
  <c r="BB28" i="10"/>
  <c r="BH41" i="10"/>
  <c r="BH50" i="10"/>
  <c r="BH20" i="10"/>
  <c r="BA47" i="14"/>
  <c r="BA29" i="14" s="1"/>
  <c r="BA26" i="14"/>
  <c r="BA21" i="10"/>
  <c r="BA51" i="10"/>
  <c r="AZ53" i="1"/>
  <c r="AZ23" i="1"/>
  <c r="AZ35" i="1" s="1"/>
  <c r="BK51" i="10"/>
  <c r="BK21" i="10"/>
  <c r="BK33" i="10" s="1"/>
  <c r="BE33" i="9"/>
  <c r="BF98" i="8"/>
  <c r="BJ98" i="9"/>
  <c r="BF27" i="14"/>
  <c r="BP79" i="14"/>
  <c r="BD29" i="1"/>
  <c r="BP78" i="14"/>
  <c r="BJ53" i="1"/>
  <c r="BJ23" i="1"/>
  <c r="BP75" i="14"/>
  <c r="BI32" i="1"/>
  <c r="BF47" i="10"/>
  <c r="BF29" i="10" s="1"/>
  <c r="BF26" i="10"/>
  <c r="BP88" i="14"/>
  <c r="BA27" i="14"/>
  <c r="BK53" i="9"/>
  <c r="BK23" i="9"/>
  <c r="BK35" i="9" s="1"/>
  <c r="BD34" i="1"/>
  <c r="BB98" i="1"/>
  <c r="BH47" i="14"/>
  <c r="BH29" i="14" s="1"/>
  <c r="BH26" i="14"/>
  <c r="BJ17" i="10"/>
  <c r="AZ58" i="10"/>
  <c r="BE28" i="14"/>
  <c r="BB47" i="10"/>
  <c r="BB29" i="10" s="1"/>
  <c r="BB26" i="10"/>
  <c r="AZ33" i="8"/>
  <c r="BJ47" i="10"/>
  <c r="BJ26" i="10"/>
  <c r="BJ32" i="8"/>
  <c r="BP102" i="1"/>
  <c r="BE22" i="10"/>
  <c r="BE52" i="10"/>
  <c r="BJ98" i="1"/>
  <c r="AZ96" i="14"/>
  <c r="BP95" i="14"/>
  <c r="BP96" i="14" s="1"/>
  <c r="BP8" i="10"/>
  <c r="BB11" i="10"/>
  <c r="BG47" i="10"/>
  <c r="BG26" i="10"/>
  <c r="BB98" i="8"/>
  <c r="BA52" i="10"/>
  <c r="BA22" i="10"/>
  <c r="BA34" i="10" s="1"/>
  <c r="BK52" i="10"/>
  <c r="BK22" i="10"/>
  <c r="BK34" i="10" s="1"/>
  <c r="BJ21" i="14"/>
  <c r="BJ33" i="14" s="1"/>
  <c r="BJ51" i="14"/>
  <c r="BC53" i="1"/>
  <c r="BC23" i="1"/>
  <c r="BC35" i="1" s="1"/>
  <c r="AZ98" i="9"/>
  <c r="BK29" i="8"/>
  <c r="BK35" i="8" s="1"/>
  <c r="BK98" i="1"/>
  <c r="AZ23" i="8"/>
  <c r="AZ35" i="8" s="1"/>
  <c r="AZ53" i="8"/>
  <c r="BH50" i="14"/>
  <c r="BH20" i="14"/>
  <c r="BH41" i="14"/>
  <c r="BB21" i="14"/>
  <c r="BB51" i="14"/>
  <c r="AZ32" i="1"/>
  <c r="BP68" i="14"/>
  <c r="BK102" i="9"/>
  <c r="BJ34" i="1"/>
  <c r="BE29" i="8"/>
  <c r="BE35" i="8" s="1"/>
  <c r="BI50" i="14"/>
  <c r="BI41" i="14"/>
  <c r="BI20" i="14"/>
  <c r="BI32" i="14" s="1"/>
  <c r="BA33" i="8"/>
  <c r="BH51" i="14"/>
  <c r="BH21" i="14"/>
  <c r="BH33" i="14" s="1"/>
  <c r="BJ29" i="9"/>
  <c r="AZ27" i="14"/>
  <c r="BP45" i="14"/>
  <c r="BP27" i="14" s="1"/>
  <c r="BE47" i="10"/>
  <c r="BE29" i="10" s="1"/>
  <c r="BE26" i="10"/>
  <c r="BA27" i="10"/>
  <c r="BD52" i="14"/>
  <c r="BD22" i="14"/>
  <c r="BD34" i="14" s="1"/>
  <c r="BP80" i="14"/>
  <c r="BC51" i="10"/>
  <c r="BC21" i="10"/>
  <c r="BC33" i="10" s="1"/>
  <c r="BG53" i="9"/>
  <c r="BG23" i="9"/>
  <c r="BG35" i="9" s="1"/>
  <c r="BB83" i="14"/>
  <c r="BB27" i="14"/>
  <c r="BG29" i="8"/>
  <c r="BG35" i="8" s="1"/>
  <c r="AZ58" i="14"/>
  <c r="BP56" i="14"/>
  <c r="BE28" i="10"/>
  <c r="BA41" i="10"/>
  <c r="BA20" i="10"/>
  <c r="BA32" i="10" s="1"/>
  <c r="BA50" i="10"/>
  <c r="BD98" i="1"/>
  <c r="BC11" i="14"/>
  <c r="BD102" i="14" s="1"/>
  <c r="BH102" i="10"/>
  <c r="BG102" i="14"/>
  <c r="BD29" i="14"/>
  <c r="BJ102" i="10"/>
  <c r="BD51" i="14"/>
  <c r="BD21" i="14"/>
  <c r="BD33" i="14" s="1"/>
  <c r="BD98" i="9"/>
  <c r="BA52" i="14"/>
  <c r="BA22" i="14"/>
  <c r="BA34" i="14" s="1"/>
  <c r="BJ51" i="10"/>
  <c r="BJ21" i="10"/>
  <c r="BJ33" i="10" s="1"/>
  <c r="BP10" i="10"/>
  <c r="BF52" i="14"/>
  <c r="BF22" i="14"/>
  <c r="BF34" i="14" s="1"/>
  <c r="BC32" i="1"/>
  <c r="BE53" i="1"/>
  <c r="BE23" i="1"/>
  <c r="AZ52" i="10"/>
  <c r="AZ22" i="10"/>
  <c r="AZ34" i="10" s="1"/>
  <c r="BK83" i="14"/>
  <c r="BX14" i="14"/>
  <c r="BP14" i="14"/>
  <c r="AZ17" i="14"/>
  <c r="BP69" i="14"/>
  <c r="BE51" i="14"/>
  <c r="BE21" i="14"/>
  <c r="BE33" i="14" s="1"/>
  <c r="BA29" i="1"/>
  <c r="BP57" i="14"/>
  <c r="BH83" i="14"/>
  <c r="BG34" i="9"/>
  <c r="BK21" i="14"/>
  <c r="BK33" i="14" s="1"/>
  <c r="BK51" i="14"/>
  <c r="BF27" i="10"/>
  <c r="BF102" i="9"/>
  <c r="BJ52" i="10"/>
  <c r="BJ22" i="10"/>
  <c r="BJ34" i="10" s="1"/>
  <c r="BI53" i="1"/>
  <c r="BI23" i="1"/>
  <c r="BI35" i="1" s="1"/>
  <c r="BF47" i="14"/>
  <c r="BF29" i="14" s="1"/>
  <c r="BF26" i="14"/>
  <c r="BP73" i="14"/>
  <c r="BB102" i="9"/>
  <c r="BF20" i="14"/>
  <c r="BF50" i="14"/>
  <c r="BF41" i="14"/>
  <c r="BE29" i="1"/>
  <c r="BF83" i="10"/>
  <c r="BI11" i="14"/>
  <c r="BI102" i="14" s="1"/>
  <c r="BB27" i="10"/>
  <c r="BK47" i="10"/>
  <c r="BK29" i="10" s="1"/>
  <c r="BK26" i="10"/>
  <c r="BJ102" i="9"/>
  <c r="BJ53" i="9"/>
  <c r="BJ23" i="9"/>
  <c r="BJ35" i="9" s="1"/>
  <c r="BA23" i="1"/>
  <c r="BA53" i="1"/>
  <c r="BD83" i="14"/>
  <c r="BC11" i="10"/>
  <c r="BD102" i="10" s="1"/>
  <c r="BI102" i="9"/>
  <c r="BK17" i="14"/>
  <c r="AR29" i="10"/>
  <c r="Z35" i="9"/>
  <c r="AL29" i="10"/>
  <c r="BQ58" i="14"/>
  <c r="R22" i="10"/>
  <c r="AO21" i="14"/>
  <c r="AC33" i="9"/>
  <c r="AB102" i="9"/>
  <c r="AI50" i="10"/>
  <c r="F89" i="14"/>
  <c r="AJ29" i="8"/>
  <c r="BQ11" i="9"/>
  <c r="AJ29" i="9"/>
  <c r="Y60" i="1"/>
  <c r="Y98" i="1" s="1"/>
  <c r="AH35" i="1"/>
  <c r="D83" i="10"/>
  <c r="K102" i="1"/>
  <c r="U47" i="10"/>
  <c r="H83" i="10"/>
  <c r="BO20" i="10"/>
  <c r="N83" i="14"/>
  <c r="AE53" i="9"/>
  <c r="AE60" i="9" s="1"/>
  <c r="AE98" i="9" s="1"/>
  <c r="AK102" i="9"/>
  <c r="AF83" i="10"/>
  <c r="K98" i="9"/>
  <c r="K83" i="10"/>
  <c r="AY83" i="14"/>
  <c r="AE83" i="14"/>
  <c r="D35" i="9"/>
  <c r="I27" i="10"/>
  <c r="O60" i="8"/>
  <c r="O98" i="8" s="1"/>
  <c r="Q34" i="14"/>
  <c r="AM102" i="9"/>
  <c r="N83" i="10"/>
  <c r="AV83" i="14"/>
  <c r="AT89" i="10"/>
  <c r="BO83" i="1"/>
  <c r="AE83" i="10"/>
  <c r="U98" i="8"/>
  <c r="AS41" i="14"/>
  <c r="G89" i="10"/>
  <c r="AQ26" i="10"/>
  <c r="Z83" i="14"/>
  <c r="AI83" i="10"/>
  <c r="AS89" i="10"/>
  <c r="Z98" i="8"/>
  <c r="W83" i="10"/>
  <c r="AV34" i="9"/>
  <c r="AU83" i="14"/>
  <c r="H102" i="14"/>
  <c r="AL60" i="1"/>
  <c r="AL98" i="1" s="1"/>
  <c r="AU83" i="10"/>
  <c r="G47" i="10"/>
  <c r="T23" i="9"/>
  <c r="G17" i="10"/>
  <c r="AY21" i="14"/>
  <c r="AR34" i="14"/>
  <c r="AM83" i="10"/>
  <c r="AM35" i="1"/>
  <c r="W53" i="9"/>
  <c r="W60" i="9" s="1"/>
  <c r="W98" i="9" s="1"/>
  <c r="AW41" i="10"/>
  <c r="AD23" i="1"/>
  <c r="X51" i="10"/>
  <c r="O34" i="10"/>
  <c r="BR70" i="14"/>
  <c r="AA83" i="14"/>
  <c r="AA29" i="14"/>
  <c r="AD83" i="14"/>
  <c r="AV53" i="10"/>
  <c r="AV60" i="10" s="1"/>
  <c r="K29" i="14"/>
  <c r="E53" i="14"/>
  <c r="N23" i="14"/>
  <c r="AR35" i="1"/>
  <c r="U26" i="10"/>
  <c r="U32" i="10" s="1"/>
  <c r="AH11" i="10"/>
  <c r="AI102" i="10" s="1"/>
  <c r="J35" i="9"/>
  <c r="V33" i="10"/>
  <c r="AU35" i="9"/>
  <c r="AH29" i="14"/>
  <c r="AY33" i="10"/>
  <c r="G102" i="1"/>
  <c r="AK21" i="14"/>
  <c r="AK33" i="14" s="1"/>
  <c r="E47" i="10"/>
  <c r="E53" i="10" s="1"/>
  <c r="AO29" i="1"/>
  <c r="AD53" i="9"/>
  <c r="AD60" i="9" s="1"/>
  <c r="AD98" i="9" s="1"/>
  <c r="AF28" i="10"/>
  <c r="AF34" i="10" s="1"/>
  <c r="AH60" i="14"/>
  <c r="P102" i="1"/>
  <c r="AI32" i="14"/>
  <c r="W32" i="10"/>
  <c r="AP53" i="8"/>
  <c r="AP60" i="8" s="1"/>
  <c r="AP98" i="8" s="1"/>
  <c r="AQ93" i="14"/>
  <c r="AK27" i="14"/>
  <c r="Z11" i="10"/>
  <c r="AA102" i="10" s="1"/>
  <c r="Y93" i="14"/>
  <c r="AY83" i="10"/>
  <c r="BT39" i="14"/>
  <c r="BT21" i="14" s="1"/>
  <c r="AR83" i="10"/>
  <c r="L20" i="14"/>
  <c r="L32" i="14" s="1"/>
  <c r="AK33" i="9"/>
  <c r="U83" i="14"/>
  <c r="H32" i="1"/>
  <c r="AK34" i="9"/>
  <c r="AQ83" i="10"/>
  <c r="AJ83" i="10"/>
  <c r="AJ98" i="10" s="1"/>
  <c r="Y58" i="14"/>
  <c r="AT26" i="10"/>
  <c r="AS34" i="10"/>
  <c r="U53" i="9"/>
  <c r="U60" i="9" s="1"/>
  <c r="U98" i="9" s="1"/>
  <c r="T83" i="10"/>
  <c r="BO71" i="14"/>
  <c r="BO67" i="14"/>
  <c r="O11" i="10"/>
  <c r="P102" i="10" s="1"/>
  <c r="AA29" i="10"/>
  <c r="J33" i="9"/>
  <c r="X83" i="14"/>
  <c r="AV83" i="10"/>
  <c r="AV33" i="8"/>
  <c r="BT82" i="14"/>
  <c r="BT78" i="10"/>
  <c r="BS72" i="14"/>
  <c r="AE11" i="10"/>
  <c r="AS60" i="8"/>
  <c r="AS98" i="8" s="1"/>
  <c r="AX11" i="10"/>
  <c r="AY102" i="10" s="1"/>
  <c r="BO78" i="10"/>
  <c r="BR71" i="14"/>
  <c r="BT11" i="8"/>
  <c r="O83" i="10"/>
  <c r="AC83" i="10"/>
  <c r="I35" i="1"/>
  <c r="AL83" i="10"/>
  <c r="M29" i="9"/>
  <c r="D41" i="10"/>
  <c r="D23" i="10" s="1"/>
  <c r="BT68" i="10"/>
  <c r="AI11" i="10"/>
  <c r="AJ102" i="10" s="1"/>
  <c r="R83" i="14"/>
  <c r="BS11" i="1"/>
  <c r="AM83" i="14"/>
  <c r="AS83" i="10"/>
  <c r="Q102" i="9"/>
  <c r="BT72" i="10"/>
  <c r="AB22" i="14"/>
  <c r="Y83" i="10"/>
  <c r="AW29" i="8"/>
  <c r="AW35" i="8" s="1"/>
  <c r="P83" i="10"/>
  <c r="BR67" i="10"/>
  <c r="AR11" i="14"/>
  <c r="AR102" i="14" s="1"/>
  <c r="K83" i="14"/>
  <c r="K98" i="14" s="1"/>
  <c r="BR56" i="10"/>
  <c r="AO41" i="14"/>
  <c r="V83" i="14"/>
  <c r="Z89" i="14"/>
  <c r="AO89" i="10"/>
  <c r="S22" i="14"/>
  <c r="S34" i="14" s="1"/>
  <c r="BO11" i="14"/>
  <c r="H17" i="14"/>
  <c r="H23" i="14" s="1"/>
  <c r="H35" i="14" s="1"/>
  <c r="U89" i="10"/>
  <c r="H83" i="14"/>
  <c r="BS80" i="14"/>
  <c r="Z83" i="10"/>
  <c r="D58" i="10"/>
  <c r="Q32" i="1"/>
  <c r="AC17" i="10"/>
  <c r="AO93" i="14"/>
  <c r="AJ83" i="14"/>
  <c r="BS74" i="10"/>
  <c r="V41" i="14"/>
  <c r="V53" i="14" s="1"/>
  <c r="V60" i="14" s="1"/>
  <c r="I83" i="10"/>
  <c r="W20" i="14"/>
  <c r="D11" i="10"/>
  <c r="D102" i="10" s="1"/>
  <c r="BO83" i="8"/>
  <c r="BT81" i="14"/>
  <c r="AX32" i="8"/>
  <c r="AP83" i="10"/>
  <c r="AQ11" i="10"/>
  <c r="F58" i="14"/>
  <c r="AQ21" i="10"/>
  <c r="AQ33" i="10" s="1"/>
  <c r="BQ44" i="10"/>
  <c r="AF89" i="10"/>
  <c r="AJ93" i="10"/>
  <c r="S32" i="1"/>
  <c r="Y28" i="10"/>
  <c r="Y34" i="10" s="1"/>
  <c r="H58" i="10"/>
  <c r="P33" i="1"/>
  <c r="P53" i="8"/>
  <c r="P60" i="8" s="1"/>
  <c r="N89" i="14"/>
  <c r="AG34" i="1"/>
  <c r="F29" i="10"/>
  <c r="F53" i="10"/>
  <c r="AK23" i="14"/>
  <c r="AK29" i="14"/>
  <c r="AK35" i="14" s="1"/>
  <c r="AK102" i="14"/>
  <c r="AL102" i="14"/>
  <c r="U53" i="10"/>
  <c r="U29" i="10"/>
  <c r="E102" i="14"/>
  <c r="D102" i="14"/>
  <c r="J28" i="10"/>
  <c r="J34" i="10" s="1"/>
  <c r="J52" i="10"/>
  <c r="G20" i="14"/>
  <c r="G26" i="14"/>
  <c r="AU27" i="14"/>
  <c r="AU33" i="14" s="1"/>
  <c r="AU51" i="14"/>
  <c r="AL83" i="14"/>
  <c r="AP47" i="10"/>
  <c r="AP53" i="10" s="1"/>
  <c r="AP50" i="10"/>
  <c r="BS45" i="10"/>
  <c r="W17" i="14"/>
  <c r="W23" i="14" s="1"/>
  <c r="Q47" i="10"/>
  <c r="V53" i="8"/>
  <c r="V60" i="8" s="1"/>
  <c r="V98" i="8" s="1"/>
  <c r="AN102" i="9"/>
  <c r="AU98" i="8"/>
  <c r="BT102" i="9"/>
  <c r="V50" i="14"/>
  <c r="BT14" i="14"/>
  <c r="F21" i="14"/>
  <c r="F33" i="14" s="1"/>
  <c r="N23" i="1"/>
  <c r="N53" i="1"/>
  <c r="N60" i="1" s="1"/>
  <c r="N98" i="1" s="1"/>
  <c r="T41" i="14"/>
  <c r="T53" i="14" s="1"/>
  <c r="T60" i="14" s="1"/>
  <c r="T52" i="14"/>
  <c r="BR10" i="14"/>
  <c r="BR11" i="14" s="1"/>
  <c r="AD11" i="14"/>
  <c r="AE102" i="14" s="1"/>
  <c r="Z41" i="14"/>
  <c r="Z50" i="14"/>
  <c r="I28" i="14"/>
  <c r="I34" i="14" s="1"/>
  <c r="I52" i="14"/>
  <c r="AN47" i="10"/>
  <c r="AN29" i="10" s="1"/>
  <c r="AN26" i="10"/>
  <c r="AN32" i="10" s="1"/>
  <c r="BT45" i="10"/>
  <c r="BT47" i="10" s="1"/>
  <c r="D53" i="10"/>
  <c r="D60" i="10" s="1"/>
  <c r="K60" i="14"/>
  <c r="BQ102" i="9"/>
  <c r="AJ102" i="9"/>
  <c r="X23" i="1"/>
  <c r="X35" i="1" s="1"/>
  <c r="X17" i="10"/>
  <c r="X29" i="9"/>
  <c r="AN98" i="8"/>
  <c r="H50" i="14"/>
  <c r="AD102" i="8"/>
  <c r="R98" i="8"/>
  <c r="AP11" i="14"/>
  <c r="AQ102" i="14" s="1"/>
  <c r="G26" i="10"/>
  <c r="D83" i="14"/>
  <c r="O27" i="14"/>
  <c r="O33" i="14" s="1"/>
  <c r="AD29" i="1"/>
  <c r="AD35" i="1" s="1"/>
  <c r="E98" i="9"/>
  <c r="O17" i="14"/>
  <c r="O23" i="14" s="1"/>
  <c r="F27" i="10"/>
  <c r="AR27" i="14"/>
  <c r="AR21" i="14"/>
  <c r="R21" i="14"/>
  <c r="BS39" i="14"/>
  <c r="R51" i="14"/>
  <c r="AJ21" i="14"/>
  <c r="AJ33" i="14" s="1"/>
  <c r="AJ51" i="14"/>
  <c r="L83" i="10"/>
  <c r="AO17" i="10"/>
  <c r="BO15" i="10"/>
  <c r="BW15" i="10"/>
  <c r="BO27" i="10" s="1"/>
  <c r="N27" i="10"/>
  <c r="N21" i="10"/>
  <c r="AC83" i="14"/>
  <c r="Y20" i="14"/>
  <c r="Y17" i="14"/>
  <c r="Y23" i="14" s="1"/>
  <c r="AP27" i="14"/>
  <c r="BO45" i="14"/>
  <c r="BO51" i="14" s="1"/>
  <c r="AP47" i="14"/>
  <c r="AP53" i="14" s="1"/>
  <c r="AP60" i="14" s="1"/>
  <c r="AJ47" i="14"/>
  <c r="AJ26" i="14"/>
  <c r="AJ32" i="14" s="1"/>
  <c r="BQ78" i="10"/>
  <c r="BR64" i="10"/>
  <c r="BR69" i="10"/>
  <c r="BT86" i="10"/>
  <c r="BQ20" i="14"/>
  <c r="BQ32" i="14" s="1"/>
  <c r="H47" i="14"/>
  <c r="H29" i="14" s="1"/>
  <c r="AK23" i="9"/>
  <c r="X20" i="10"/>
  <c r="X32" i="10" s="1"/>
  <c r="S98" i="8"/>
  <c r="AY29" i="9"/>
  <c r="F83" i="14"/>
  <c r="F83" i="10"/>
  <c r="W29" i="9"/>
  <c r="BR51" i="14"/>
  <c r="AA35" i="9"/>
  <c r="AT32" i="10"/>
  <c r="BQ71" i="14"/>
  <c r="Q17" i="10"/>
  <c r="Q23" i="10" s="1"/>
  <c r="AR102" i="1"/>
  <c r="AU102" i="1"/>
  <c r="L47" i="10"/>
  <c r="AK28" i="14"/>
  <c r="AM17" i="10"/>
  <c r="AY22" i="10"/>
  <c r="AK22" i="14"/>
  <c r="AK21" i="10"/>
  <c r="AK33" i="10" s="1"/>
  <c r="H20" i="14"/>
  <c r="H32" i="14" s="1"/>
  <c r="K20" i="10"/>
  <c r="K17" i="10"/>
  <c r="AC27" i="14"/>
  <c r="BR45" i="14"/>
  <c r="BR27" i="14" s="1"/>
  <c r="AA53" i="8"/>
  <c r="AA60" i="8" s="1"/>
  <c r="AA98" i="8" s="1"/>
  <c r="AA29" i="8"/>
  <c r="AM26" i="10"/>
  <c r="AM47" i="10"/>
  <c r="AM29" i="10" s="1"/>
  <c r="AP23" i="1"/>
  <c r="AP53" i="1"/>
  <c r="AP60" i="1" s="1"/>
  <c r="AP98" i="1" s="1"/>
  <c r="G22" i="10"/>
  <c r="G34" i="10" s="1"/>
  <c r="G28" i="10"/>
  <c r="AI51" i="10"/>
  <c r="AI21" i="10"/>
  <c r="AI33" i="10" s="1"/>
  <c r="P83" i="14"/>
  <c r="R47" i="10"/>
  <c r="R51" i="10"/>
  <c r="AX83" i="14"/>
  <c r="BO67" i="10"/>
  <c r="AO83" i="10"/>
  <c r="AE51" i="10"/>
  <c r="AE47" i="10"/>
  <c r="AV20" i="14"/>
  <c r="AV17" i="14"/>
  <c r="AV26" i="14"/>
  <c r="M83" i="14"/>
  <c r="N26" i="10"/>
  <c r="N32" i="10" s="1"/>
  <c r="N47" i="10"/>
  <c r="N50" i="10"/>
  <c r="D27" i="14"/>
  <c r="D33" i="14" s="1"/>
  <c r="D47" i="14"/>
  <c r="D53" i="14" s="1"/>
  <c r="D51" i="14"/>
  <c r="BT45" i="14"/>
  <c r="BY15" i="10"/>
  <c r="CA15" i="10"/>
  <c r="AN102" i="14"/>
  <c r="M98" i="8"/>
  <c r="AR98" i="8"/>
  <c r="AS29" i="8"/>
  <c r="AS35" i="8" s="1"/>
  <c r="BR47" i="14"/>
  <c r="Q27" i="10"/>
  <c r="Q33" i="10" s="1"/>
  <c r="U98" i="1"/>
  <c r="AI29" i="1"/>
  <c r="I29" i="9"/>
  <c r="I35" i="9" s="1"/>
  <c r="AG29" i="8"/>
  <c r="AG35" i="8" s="1"/>
  <c r="E98" i="8"/>
  <c r="BO40" i="14"/>
  <c r="X23" i="14"/>
  <c r="L52" i="10"/>
  <c r="O98" i="1"/>
  <c r="BO88" i="10"/>
  <c r="AO41" i="10"/>
  <c r="AM21" i="14"/>
  <c r="AM33" i="14" s="1"/>
  <c r="AM41" i="14"/>
  <c r="AM53" i="14" s="1"/>
  <c r="AM60" i="14" s="1"/>
  <c r="AY34" i="9"/>
  <c r="S83" i="14"/>
  <c r="Q83" i="10"/>
  <c r="X50" i="14"/>
  <c r="X47" i="14"/>
  <c r="X53" i="14" s="1"/>
  <c r="X60" i="14" s="1"/>
  <c r="X26" i="14"/>
  <c r="X32" i="14" s="1"/>
  <c r="AB26" i="14"/>
  <c r="AB47" i="14"/>
  <c r="AB29" i="14" s="1"/>
  <c r="I83" i="14"/>
  <c r="AG50" i="10"/>
  <c r="AG20" i="10"/>
  <c r="AG32" i="10" s="1"/>
  <c r="V98" i="14"/>
  <c r="BQ15" i="10"/>
  <c r="BZ14" i="10"/>
  <c r="BO41" i="10"/>
  <c r="D102" i="9"/>
  <c r="AJ53" i="10"/>
  <c r="AJ60" i="10" s="1"/>
  <c r="P98" i="8"/>
  <c r="BS46" i="14"/>
  <c r="BS52" i="14" s="1"/>
  <c r="Q35" i="8"/>
  <c r="E83" i="10"/>
  <c r="AB83" i="14"/>
  <c r="AY41" i="10"/>
  <c r="Y26" i="14"/>
  <c r="AG47" i="10"/>
  <c r="AG29" i="10" s="1"/>
  <c r="I34" i="10"/>
  <c r="Q47" i="14"/>
  <c r="Q29" i="14" s="1"/>
  <c r="AV53" i="8"/>
  <c r="AV60" i="8" s="1"/>
  <c r="AV98" i="8" s="1"/>
  <c r="AV23" i="8"/>
  <c r="AV35" i="8" s="1"/>
  <c r="W50" i="14"/>
  <c r="W47" i="14"/>
  <c r="W29" i="14" s="1"/>
  <c r="BZ14" i="14"/>
  <c r="BR26" i="14" s="1"/>
  <c r="BR14" i="14"/>
  <c r="BS86" i="14"/>
  <c r="P89" i="14"/>
  <c r="R53" i="1"/>
  <c r="R60" i="1" s="1"/>
  <c r="R98" i="1" s="1"/>
  <c r="R23" i="1"/>
  <c r="R35" i="1" s="1"/>
  <c r="AB41" i="14"/>
  <c r="AB50" i="14"/>
  <c r="AA20" i="10"/>
  <c r="AA41" i="10"/>
  <c r="AA50" i="10"/>
  <c r="Q83" i="14"/>
  <c r="BS64" i="14"/>
  <c r="M23" i="8"/>
  <c r="M29" i="8"/>
  <c r="BQ88" i="10"/>
  <c r="BQ67" i="10"/>
  <c r="BR14" i="10"/>
  <c r="BS56" i="10"/>
  <c r="BS58" i="10" s="1"/>
  <c r="AP33" i="14"/>
  <c r="I53" i="8"/>
  <c r="I60" i="8" s="1"/>
  <c r="I98" i="8" s="1"/>
  <c r="X29" i="8"/>
  <c r="X35" i="8" s="1"/>
  <c r="E83" i="14"/>
  <c r="AT47" i="10"/>
  <c r="T98" i="1"/>
  <c r="AK29" i="8"/>
  <c r="AK35" i="8" s="1"/>
  <c r="U29" i="9"/>
  <c r="AL102" i="9"/>
  <c r="AH53" i="8"/>
  <c r="AH60" i="8" s="1"/>
  <c r="AH98" i="8" s="1"/>
  <c r="AY98" i="1"/>
  <c r="AR52" i="14"/>
  <c r="F50" i="14"/>
  <c r="AY47" i="14"/>
  <c r="R41" i="14"/>
  <c r="R23" i="14" s="1"/>
  <c r="R35" i="14" s="1"/>
  <c r="AV53" i="1"/>
  <c r="AV60" i="1" s="1"/>
  <c r="AV98" i="1" s="1"/>
  <c r="G23" i="8"/>
  <c r="G35" i="8" s="1"/>
  <c r="BR68" i="14"/>
  <c r="T83" i="14"/>
  <c r="BO63" i="14"/>
  <c r="AO83" i="14"/>
  <c r="AW26" i="14"/>
  <c r="AW32" i="14" s="1"/>
  <c r="AW47" i="14"/>
  <c r="AW29" i="14" s="1"/>
  <c r="P26" i="14"/>
  <c r="BS14" i="14"/>
  <c r="CA14" i="14"/>
  <c r="BS26" i="14" s="1"/>
  <c r="Z26" i="10"/>
  <c r="Z32" i="10" s="1"/>
  <c r="Z47" i="10"/>
  <c r="G83" i="14"/>
  <c r="BS91" i="14"/>
  <c r="BS93" i="14" s="1"/>
  <c r="P93" i="14"/>
  <c r="AB96" i="14"/>
  <c r="BR95" i="14"/>
  <c r="BR96" i="14" s="1"/>
  <c r="W83" i="14"/>
  <c r="BQ38" i="10"/>
  <c r="BT38" i="10"/>
  <c r="BT41" i="10" s="1"/>
  <c r="BT56" i="10"/>
  <c r="BS68" i="10"/>
  <c r="R102" i="9"/>
  <c r="BR102" i="8"/>
  <c r="BO38" i="14"/>
  <c r="BO20" i="14" s="1"/>
  <c r="Q52" i="14"/>
  <c r="AI29" i="8"/>
  <c r="AI35" i="8" s="1"/>
  <c r="J47" i="10"/>
  <c r="AU47" i="10"/>
  <c r="AU29" i="10" s="1"/>
  <c r="V20" i="14"/>
  <c r="V32" i="14" s="1"/>
  <c r="T22" i="14"/>
  <c r="T34" i="14" s="1"/>
  <c r="F32" i="14"/>
  <c r="W26" i="14"/>
  <c r="W32" i="14" s="1"/>
  <c r="AM53" i="9"/>
  <c r="AM60" i="9" s="1"/>
  <c r="AM98" i="9" s="1"/>
  <c r="BS67" i="14"/>
  <c r="J60" i="1"/>
  <c r="J98" i="1" s="1"/>
  <c r="Y98" i="8"/>
  <c r="L98" i="8"/>
  <c r="V83" i="10"/>
  <c r="H102" i="8"/>
  <c r="Y98" i="9"/>
  <c r="AI53" i="9"/>
  <c r="AI60" i="9" s="1"/>
  <c r="AI98" i="9" s="1"/>
  <c r="AN50" i="10"/>
  <c r="P32" i="9"/>
  <c r="AU23" i="8"/>
  <c r="L11" i="14"/>
  <c r="AF28" i="14"/>
  <c r="AF34" i="14" s="1"/>
  <c r="Q32" i="9"/>
  <c r="O93" i="10"/>
  <c r="BT57" i="14"/>
  <c r="BT58" i="14" s="1"/>
  <c r="AK11" i="10"/>
  <c r="X47" i="10"/>
  <c r="AH89" i="10"/>
  <c r="AU34" i="1"/>
  <c r="P29" i="1"/>
  <c r="AT33" i="14"/>
  <c r="H35" i="1"/>
  <c r="AC23" i="10"/>
  <c r="AV102" i="14"/>
  <c r="M23" i="14"/>
  <c r="M35" i="14" s="1"/>
  <c r="R32" i="9"/>
  <c r="AS52" i="10"/>
  <c r="BO17" i="8"/>
  <c r="G23" i="1"/>
  <c r="G35" i="1" s="1"/>
  <c r="L58" i="14"/>
  <c r="R32" i="8"/>
  <c r="O93" i="14"/>
  <c r="Z17" i="10"/>
  <c r="Z23" i="10" s="1"/>
  <c r="T29" i="9"/>
  <c r="T35" i="9" s="1"/>
  <c r="AW32" i="1"/>
  <c r="E29" i="1"/>
  <c r="AW58" i="10"/>
  <c r="AJ89" i="10"/>
  <c r="G11" i="10"/>
  <c r="G102" i="10" s="1"/>
  <c r="J93" i="14"/>
  <c r="I51" i="10"/>
  <c r="AR47" i="14"/>
  <c r="AA58" i="10"/>
  <c r="AL58" i="10"/>
  <c r="AT17" i="10"/>
  <c r="AV89" i="14"/>
  <c r="Z17" i="14"/>
  <c r="Z29" i="14" s="1"/>
  <c r="AC32" i="1"/>
  <c r="AL17" i="14"/>
  <c r="AL29" i="14" s="1"/>
  <c r="D22" i="14"/>
  <c r="AE60" i="8"/>
  <c r="AE98" i="8" s="1"/>
  <c r="AG32" i="14"/>
  <c r="K34" i="14"/>
  <c r="AK41" i="10"/>
  <c r="AO51" i="14"/>
  <c r="AU29" i="8"/>
  <c r="D33" i="8"/>
  <c r="BS66" i="14"/>
  <c r="AL11" i="10"/>
  <c r="AM102" i="10" s="1"/>
  <c r="AK89" i="14"/>
  <c r="AK98" i="14" s="1"/>
  <c r="I89" i="14"/>
  <c r="AA28" i="14"/>
  <c r="AA34" i="14" s="1"/>
  <c r="Q26" i="10"/>
  <c r="Q32" i="10" s="1"/>
  <c r="AA26" i="10"/>
  <c r="S33" i="9"/>
  <c r="AX98" i="8"/>
  <c r="R32" i="14"/>
  <c r="AV29" i="10"/>
  <c r="AV35" i="10" s="1"/>
  <c r="AR60" i="1"/>
  <c r="AR98" i="1" s="1"/>
  <c r="AD47" i="14"/>
  <c r="AG41" i="10"/>
  <c r="AG23" i="10" s="1"/>
  <c r="M53" i="9"/>
  <c r="M60" i="9" s="1"/>
  <c r="M98" i="9" s="1"/>
  <c r="AO33" i="1"/>
  <c r="AR33" i="8"/>
  <c r="AK89" i="10"/>
  <c r="BT70" i="14"/>
  <c r="Z33" i="9"/>
  <c r="AF11" i="10"/>
  <c r="AF102" i="10" s="1"/>
  <c r="AT21" i="10"/>
  <c r="AT33" i="10" s="1"/>
  <c r="Z27" i="14"/>
  <c r="Z33" i="14" s="1"/>
  <c r="R32" i="1"/>
  <c r="AW53" i="8"/>
  <c r="AW60" i="8" s="1"/>
  <c r="AW98" i="8" s="1"/>
  <c r="M89" i="10"/>
  <c r="E58" i="14"/>
  <c r="E60" i="14" s="1"/>
  <c r="AQ58" i="10"/>
  <c r="AV93" i="14"/>
  <c r="G98" i="1"/>
  <c r="AA102" i="1"/>
  <c r="R60" i="9"/>
  <c r="R98" i="9" s="1"/>
  <c r="I93" i="10"/>
  <c r="AQ32" i="9"/>
  <c r="Q11" i="14"/>
  <c r="N58" i="14"/>
  <c r="AS26" i="14"/>
  <c r="AU60" i="1"/>
  <c r="AU98" i="1" s="1"/>
  <c r="D53" i="9"/>
  <c r="D60" i="9" s="1"/>
  <c r="D98" i="9" s="1"/>
  <c r="BQ72" i="14"/>
  <c r="AN98" i="1"/>
  <c r="AK32" i="9"/>
  <c r="AR32" i="9"/>
  <c r="D93" i="14"/>
  <c r="Y34" i="1"/>
  <c r="D28" i="14"/>
  <c r="BO41" i="8"/>
  <c r="L93" i="14"/>
  <c r="Z28" i="10"/>
  <c r="Z34" i="10" s="1"/>
  <c r="AK93" i="10"/>
  <c r="AR89" i="10"/>
  <c r="AR89" i="14"/>
  <c r="AR90" i="14" s="1"/>
  <c r="P23" i="8"/>
  <c r="P35" i="8" s="1"/>
  <c r="E51" i="12"/>
  <c r="E52" i="12"/>
  <c r="BK102" i="14"/>
  <c r="BO52" i="8"/>
  <c r="I65" i="12"/>
  <c r="F44" i="12"/>
  <c r="F92" i="12"/>
  <c r="I64" i="12"/>
  <c r="H10" i="12"/>
  <c r="H76" i="12"/>
  <c r="H46" i="12"/>
  <c r="F66" i="12"/>
  <c r="G78" i="12"/>
  <c r="F80" i="12"/>
  <c r="I46" i="12"/>
  <c r="G81" i="12"/>
  <c r="I14" i="12"/>
  <c r="G63" i="12"/>
  <c r="H73" i="12"/>
  <c r="F57" i="12"/>
  <c r="F79" i="12"/>
  <c r="G77" i="12"/>
  <c r="F86" i="12"/>
  <c r="F65" i="12"/>
  <c r="F69" i="12"/>
  <c r="I66" i="12"/>
  <c r="I8" i="12"/>
  <c r="I63" i="12"/>
  <c r="D63" i="12"/>
  <c r="F87" i="12"/>
  <c r="G74" i="12"/>
  <c r="F8" i="12"/>
  <c r="D82" i="12"/>
  <c r="K82" i="12" s="1"/>
  <c r="G92" i="12"/>
  <c r="H38" i="12"/>
  <c r="D46" i="12"/>
  <c r="K46" i="12" s="1"/>
  <c r="D56" i="12"/>
  <c r="G8" i="12"/>
  <c r="I75" i="12"/>
  <c r="I38" i="12"/>
  <c r="H92" i="12"/>
  <c r="H95" i="12"/>
  <c r="H96" i="12" s="1"/>
  <c r="G9" i="12"/>
  <c r="H16" i="12"/>
  <c r="D77" i="12"/>
  <c r="I71" i="12"/>
  <c r="G76" i="12"/>
  <c r="D81" i="12"/>
  <c r="D8" i="12"/>
  <c r="G69" i="12"/>
  <c r="H57" i="12"/>
  <c r="D69" i="12"/>
  <c r="G38" i="12"/>
  <c r="G91" i="12"/>
  <c r="H79" i="12"/>
  <c r="F76" i="12"/>
  <c r="F72" i="12"/>
  <c r="G66" i="12"/>
  <c r="G75" i="12"/>
  <c r="H75" i="12"/>
  <c r="I15" i="12"/>
  <c r="I10" i="12"/>
  <c r="G73" i="12"/>
  <c r="I9" i="12"/>
  <c r="F81" i="12"/>
  <c r="I44" i="12"/>
  <c r="H74" i="12"/>
  <c r="F68" i="12"/>
  <c r="I16" i="12"/>
  <c r="F64" i="12"/>
  <c r="H65" i="12"/>
  <c r="D86" i="12"/>
  <c r="G65" i="12"/>
  <c r="F91" i="12"/>
  <c r="G64" i="12"/>
  <c r="D65" i="12"/>
  <c r="G46" i="12"/>
  <c r="H39" i="12"/>
  <c r="G10" i="12"/>
  <c r="G44" i="12"/>
  <c r="G95" i="12"/>
  <c r="D73" i="12"/>
  <c r="I88" i="12"/>
  <c r="G82" i="12"/>
  <c r="G68" i="12"/>
  <c r="F63" i="12"/>
  <c r="D14" i="12"/>
  <c r="D87" i="12"/>
  <c r="I69" i="12"/>
  <c r="D10" i="12"/>
  <c r="Q10" i="12" s="1"/>
  <c r="F75" i="12"/>
  <c r="G14" i="12"/>
  <c r="I76" i="12"/>
  <c r="H15" i="12"/>
  <c r="G57" i="12"/>
  <c r="H88" i="12"/>
  <c r="D79" i="12"/>
  <c r="F71" i="12"/>
  <c r="D67" i="12"/>
  <c r="F40" i="12"/>
  <c r="H67" i="12"/>
  <c r="H66" i="12"/>
  <c r="D95" i="12"/>
  <c r="D96" i="12" s="1"/>
  <c r="H68" i="12"/>
  <c r="I45" i="12"/>
  <c r="H72" i="12"/>
  <c r="F38" i="12"/>
  <c r="F15" i="12"/>
  <c r="I77" i="12"/>
  <c r="D91" i="12"/>
  <c r="M91" i="12" s="1"/>
  <c r="D72" i="12"/>
  <c r="Q72" i="12" s="1"/>
  <c r="I56" i="12"/>
  <c r="D44" i="12"/>
  <c r="D57" i="12"/>
  <c r="K57" i="12" s="1"/>
  <c r="I78" i="12"/>
  <c r="F78" i="12"/>
  <c r="H45" i="12"/>
  <c r="I72" i="12"/>
  <c r="F67" i="12"/>
  <c r="G56" i="12"/>
  <c r="H71" i="12"/>
  <c r="F88" i="12"/>
  <c r="D66" i="12"/>
  <c r="I67" i="12"/>
  <c r="I86" i="12"/>
  <c r="H40" i="12"/>
  <c r="D9" i="12"/>
  <c r="G15" i="12"/>
  <c r="F14" i="12"/>
  <c r="G86" i="12"/>
  <c r="H87" i="12"/>
  <c r="I40" i="12"/>
  <c r="D78" i="12"/>
  <c r="M78" i="12" s="1"/>
  <c r="D68" i="12"/>
  <c r="I91" i="12"/>
  <c r="D38" i="12"/>
  <c r="F70" i="12"/>
  <c r="G67" i="12"/>
  <c r="I74" i="12"/>
  <c r="I39" i="12"/>
  <c r="G40" i="12"/>
  <c r="D45" i="12"/>
  <c r="F45" i="12"/>
  <c r="I82" i="12"/>
  <c r="F82" i="12"/>
  <c r="G71" i="12"/>
  <c r="G16" i="12"/>
  <c r="H64" i="12"/>
  <c r="H70" i="12"/>
  <c r="G88" i="12"/>
  <c r="F74" i="12"/>
  <c r="I81" i="12"/>
  <c r="I57" i="12"/>
  <c r="D75" i="12"/>
  <c r="F39" i="12"/>
  <c r="D15" i="12"/>
  <c r="F16" i="12"/>
  <c r="I73" i="12"/>
  <c r="F46" i="12"/>
  <c r="I80" i="12"/>
  <c r="I70" i="12"/>
  <c r="H56" i="12"/>
  <c r="D71" i="12"/>
  <c r="H8" i="12"/>
  <c r="I95" i="12"/>
  <c r="I96" i="12" s="1"/>
  <c r="G87" i="12"/>
  <c r="D16" i="12"/>
  <c r="G72" i="12"/>
  <c r="I68" i="12"/>
  <c r="G70" i="12"/>
  <c r="H77" i="12"/>
  <c r="F9" i="12"/>
  <c r="H80" i="12"/>
  <c r="D74" i="12"/>
  <c r="H86" i="12"/>
  <c r="F77" i="12"/>
  <c r="D70" i="12"/>
  <c r="O70" i="12" s="1"/>
  <c r="G79" i="12"/>
  <c r="F95" i="12"/>
  <c r="F96" i="12" s="1"/>
  <c r="H78" i="12"/>
  <c r="H69" i="12"/>
  <c r="D76" i="12"/>
  <c r="H14" i="12"/>
  <c r="D40" i="12"/>
  <c r="I87" i="12"/>
  <c r="F73" i="12"/>
  <c r="D92" i="12"/>
  <c r="H9" i="12"/>
  <c r="D64" i="12"/>
  <c r="F10" i="12"/>
  <c r="H82" i="12"/>
  <c r="G80" i="12"/>
  <c r="G39" i="12"/>
  <c r="I92" i="12"/>
  <c r="D88" i="12"/>
  <c r="H63" i="12"/>
  <c r="G45" i="12"/>
  <c r="F56" i="12"/>
  <c r="H44" i="12"/>
  <c r="H26" i="12" s="1"/>
  <c r="I79" i="12"/>
  <c r="D39" i="12"/>
  <c r="M39" i="12" s="1"/>
  <c r="H91" i="12"/>
  <c r="H93" i="12" s="1"/>
  <c r="D80" i="12"/>
  <c r="H81" i="12"/>
  <c r="AF102" i="14"/>
  <c r="Q102" i="14"/>
  <c r="AB102" i="14"/>
  <c r="G23" i="14"/>
  <c r="AS26" i="10"/>
  <c r="AS32" i="10" s="1"/>
  <c r="AS47" i="10"/>
  <c r="AN27" i="14"/>
  <c r="BQ45" i="14"/>
  <c r="D93" i="10"/>
  <c r="BS10" i="10"/>
  <c r="AN51" i="14"/>
  <c r="AN21" i="14"/>
  <c r="AN33" i="14" s="1"/>
  <c r="T53" i="8"/>
  <c r="T60" i="8" s="1"/>
  <c r="T98" i="8" s="1"/>
  <c r="T23" i="8"/>
  <c r="T35" i="8" s="1"/>
  <c r="AL93" i="14"/>
  <c r="U29" i="1"/>
  <c r="U35" i="1" s="1"/>
  <c r="AB50" i="10"/>
  <c r="AB41" i="10"/>
  <c r="AB20" i="10"/>
  <c r="R28" i="10"/>
  <c r="R34" i="10" s="1"/>
  <c r="N53" i="9"/>
  <c r="N60" i="9" s="1"/>
  <c r="N98" i="9" s="1"/>
  <c r="U11" i="10"/>
  <c r="BO77" i="10"/>
  <c r="AV33" i="1"/>
  <c r="BQ87" i="14"/>
  <c r="BO87" i="14"/>
  <c r="AX53" i="9"/>
  <c r="AX60" i="9" s="1"/>
  <c r="AX98" i="9" s="1"/>
  <c r="AB33" i="1"/>
  <c r="AA102" i="8"/>
  <c r="AQ28" i="14"/>
  <c r="AC53" i="8"/>
  <c r="AC60" i="8" s="1"/>
  <c r="AC98" i="8" s="1"/>
  <c r="AC23" i="8"/>
  <c r="AE34" i="8"/>
  <c r="AE102" i="1"/>
  <c r="E11" i="10"/>
  <c r="AM32" i="8"/>
  <c r="F28" i="10"/>
  <c r="Z28" i="14"/>
  <c r="D26" i="10"/>
  <c r="S29" i="1"/>
  <c r="S35" i="1" s="1"/>
  <c r="F102" i="1"/>
  <c r="AG27" i="14"/>
  <c r="L53" i="1"/>
  <c r="L60" i="1" s="1"/>
  <c r="L98" i="1" s="1"/>
  <c r="AH53" i="1"/>
  <c r="AH60" i="1" s="1"/>
  <c r="AH98" i="1" s="1"/>
  <c r="H41" i="10"/>
  <c r="H20" i="10"/>
  <c r="H32" i="10" s="1"/>
  <c r="AB60" i="8"/>
  <c r="AB98" i="8" s="1"/>
  <c r="F29" i="1"/>
  <c r="F35" i="1" s="1"/>
  <c r="AK47" i="10"/>
  <c r="AK26" i="10"/>
  <c r="BR77" i="14"/>
  <c r="AQ20" i="14"/>
  <c r="AQ41" i="14"/>
  <c r="AQ50" i="14"/>
  <c r="F20" i="10"/>
  <c r="AX58" i="14"/>
  <c r="K28" i="10"/>
  <c r="AU22" i="14"/>
  <c r="AU52" i="14"/>
  <c r="K89" i="10"/>
  <c r="E89" i="14"/>
  <c r="L52" i="14"/>
  <c r="L22" i="14"/>
  <c r="L34" i="14" s="1"/>
  <c r="U20" i="14"/>
  <c r="U32" i="14" s="1"/>
  <c r="Y32" i="1"/>
  <c r="AT58" i="10"/>
  <c r="T33" i="1"/>
  <c r="AF20" i="14"/>
  <c r="AF32" i="14" s="1"/>
  <c r="D53" i="1"/>
  <c r="D60" i="1" s="1"/>
  <c r="D98" i="1" s="1"/>
  <c r="D23" i="1"/>
  <c r="AF47" i="10"/>
  <c r="AE23" i="8"/>
  <c r="AE35" i="8" s="1"/>
  <c r="I52" i="10"/>
  <c r="N17" i="10"/>
  <c r="N29" i="10" s="1"/>
  <c r="AB28" i="14"/>
  <c r="BT87" i="14"/>
  <c r="AC28" i="14"/>
  <c r="AC34" i="14" s="1"/>
  <c r="AB11" i="10"/>
  <c r="E93" i="10"/>
  <c r="AG47" i="14"/>
  <c r="AS21" i="14"/>
  <c r="AA53" i="9"/>
  <c r="AA60" i="9" s="1"/>
  <c r="AA98" i="9" s="1"/>
  <c r="V11" i="10"/>
  <c r="S21" i="14"/>
  <c r="S33" i="14" s="1"/>
  <c r="S51" i="14"/>
  <c r="T93" i="10"/>
  <c r="T98" i="10" s="1"/>
  <c r="BT8" i="10"/>
  <c r="AJ23" i="1"/>
  <c r="AJ53" i="1"/>
  <c r="AJ60" i="1" s="1"/>
  <c r="AJ98" i="1" s="1"/>
  <c r="AJ23" i="9"/>
  <c r="AJ53" i="9"/>
  <c r="AJ60" i="9" s="1"/>
  <c r="AJ98" i="9" s="1"/>
  <c r="BO91" i="10"/>
  <c r="AN93" i="10"/>
  <c r="AH29" i="9"/>
  <c r="BQ8" i="10"/>
  <c r="AJ21" i="10"/>
  <c r="AJ51" i="10"/>
  <c r="R50" i="10"/>
  <c r="R20" i="10"/>
  <c r="G41" i="10"/>
  <c r="G20" i="10"/>
  <c r="G32" i="10" s="1"/>
  <c r="G50" i="10"/>
  <c r="T32" i="8"/>
  <c r="AP58" i="10"/>
  <c r="AL93" i="10"/>
  <c r="BS16" i="14"/>
  <c r="CA16" i="14"/>
  <c r="AA23" i="1"/>
  <c r="AA35" i="1" s="1"/>
  <c r="AA53" i="1"/>
  <c r="AA60" i="1" s="1"/>
  <c r="AA98" i="1" s="1"/>
  <c r="W22" i="10"/>
  <c r="W34" i="10" s="1"/>
  <c r="Z22" i="14"/>
  <c r="Z52" i="14"/>
  <c r="AV11" i="10"/>
  <c r="AW102" i="10" s="1"/>
  <c r="AS23" i="1"/>
  <c r="AS35" i="1" s="1"/>
  <c r="AQ28" i="10"/>
  <c r="P17" i="14"/>
  <c r="P23" i="14" s="1"/>
  <c r="P35" i="14" s="1"/>
  <c r="AD11" i="10"/>
  <c r="AE102" i="10" s="1"/>
  <c r="BR8" i="10"/>
  <c r="AU50" i="10"/>
  <c r="AU20" i="10"/>
  <c r="AU32" i="10" s="1"/>
  <c r="AU41" i="10"/>
  <c r="AT41" i="14"/>
  <c r="AJ34" i="9"/>
  <c r="O34" i="1"/>
  <c r="AM27" i="10"/>
  <c r="AM33" i="10" s="1"/>
  <c r="AN89" i="14"/>
  <c r="R96" i="10"/>
  <c r="AH23" i="8"/>
  <c r="AH35" i="8" s="1"/>
  <c r="BR9" i="10"/>
  <c r="AU89" i="10"/>
  <c r="G23" i="9"/>
  <c r="G35" i="9" s="1"/>
  <c r="AB29" i="1"/>
  <c r="AB35" i="1" s="1"/>
  <c r="G93" i="10"/>
  <c r="O34" i="8"/>
  <c r="AX32" i="1"/>
  <c r="D96" i="14"/>
  <c r="BT95" i="14"/>
  <c r="BT96" i="14" s="1"/>
  <c r="AU22" i="10"/>
  <c r="AU52" i="10"/>
  <c r="AH20" i="10"/>
  <c r="AH32" i="10" s="1"/>
  <c r="BR92" i="14"/>
  <c r="BR93" i="14" s="1"/>
  <c r="AO34" i="1"/>
  <c r="O47" i="14"/>
  <c r="BO28" i="8"/>
  <c r="BO34" i="8" s="1"/>
  <c r="BO8" i="10"/>
  <c r="AP11" i="10"/>
  <c r="E93" i="14"/>
  <c r="T20" i="14"/>
  <c r="T32" i="14" s="1"/>
  <c r="AP89" i="14"/>
  <c r="AP90" i="14" s="1"/>
  <c r="M27" i="14"/>
  <c r="M33" i="14" s="1"/>
  <c r="AC21" i="14"/>
  <c r="AS34" i="14"/>
  <c r="AP53" i="9"/>
  <c r="AP60" i="9" s="1"/>
  <c r="AP98" i="9" s="1"/>
  <c r="AP23" i="9"/>
  <c r="AD93" i="10"/>
  <c r="G21" i="14"/>
  <c r="G51" i="14"/>
  <c r="BQ91" i="14"/>
  <c r="BQ93" i="14" s="1"/>
  <c r="AN93" i="14"/>
  <c r="BO91" i="14"/>
  <c r="BO93" i="14" s="1"/>
  <c r="W34" i="1"/>
  <c r="BR74" i="14"/>
  <c r="AH32" i="9"/>
  <c r="AO11" i="14"/>
  <c r="BQ8" i="14"/>
  <c r="BQ11" i="14" s="1"/>
  <c r="X21" i="14"/>
  <c r="X51" i="14"/>
  <c r="BT72" i="14"/>
  <c r="AN41" i="10"/>
  <c r="AN23" i="10" s="1"/>
  <c r="AD102" i="9"/>
  <c r="AO23" i="1"/>
  <c r="AO35" i="1" s="1"/>
  <c r="AO53" i="1"/>
  <c r="AO60" i="1" s="1"/>
  <c r="AO98" i="1" s="1"/>
  <c r="AA50" i="14"/>
  <c r="AA41" i="14"/>
  <c r="AA20" i="14"/>
  <c r="AA32" i="14" s="1"/>
  <c r="W28" i="14"/>
  <c r="W34" i="14" s="1"/>
  <c r="AF50" i="10"/>
  <c r="AF41" i="10"/>
  <c r="E32" i="8"/>
  <c r="AV51" i="14"/>
  <c r="AG58" i="14"/>
  <c r="E21" i="10"/>
  <c r="E33" i="10" s="1"/>
  <c r="E51" i="10"/>
  <c r="H93" i="10"/>
  <c r="AT33" i="1"/>
  <c r="P22" i="10"/>
  <c r="AN23" i="8"/>
  <c r="AN35" i="8" s="1"/>
  <c r="BT9" i="10"/>
  <c r="AW33" i="8"/>
  <c r="J32" i="8"/>
  <c r="M11" i="14"/>
  <c r="F33" i="1"/>
  <c r="L50" i="10"/>
  <c r="AQ52" i="14"/>
  <c r="AQ22" i="14"/>
  <c r="AR20" i="14"/>
  <c r="AR32" i="14" s="1"/>
  <c r="AQ41" i="10"/>
  <c r="AQ20" i="10"/>
  <c r="AC89" i="10"/>
  <c r="AB26" i="10"/>
  <c r="AY102" i="8"/>
  <c r="BQ70" i="14"/>
  <c r="BO79" i="14"/>
  <c r="W11" i="10"/>
  <c r="X102" i="10" s="1"/>
  <c r="T51" i="10"/>
  <c r="BQ75" i="14"/>
  <c r="AL34" i="1"/>
  <c r="BR66" i="14"/>
  <c r="AY29" i="1"/>
  <c r="AY35" i="1" s="1"/>
  <c r="AA21" i="10"/>
  <c r="AA33" i="10" s="1"/>
  <c r="AC26" i="10"/>
  <c r="AC32" i="10" s="1"/>
  <c r="AC47" i="10"/>
  <c r="AC29" i="10" s="1"/>
  <c r="AC35" i="10" s="1"/>
  <c r="K53" i="1"/>
  <c r="K60" i="1" s="1"/>
  <c r="K98" i="1" s="1"/>
  <c r="Z51" i="10"/>
  <c r="Z21" i="10"/>
  <c r="Z33" i="10" s="1"/>
  <c r="BO74" i="14"/>
  <c r="O47" i="10"/>
  <c r="O29" i="10" s="1"/>
  <c r="U51" i="10"/>
  <c r="U21" i="10"/>
  <c r="H17" i="10"/>
  <c r="AA34" i="1"/>
  <c r="AC29" i="8"/>
  <c r="AS51" i="10"/>
  <c r="AS21" i="10"/>
  <c r="AS33" i="10" s="1"/>
  <c r="AP89" i="10"/>
  <c r="BR69" i="14"/>
  <c r="O20" i="10"/>
  <c r="O32" i="10" s="1"/>
  <c r="D32" i="8"/>
  <c r="AI32" i="8"/>
  <c r="G34" i="1"/>
  <c r="AY20" i="10"/>
  <c r="O51" i="14"/>
  <c r="AL27" i="10"/>
  <c r="AL33" i="10" s="1"/>
  <c r="AS11" i="10"/>
  <c r="AT102" i="10" s="1"/>
  <c r="AC21" i="10"/>
  <c r="AC33" i="10" s="1"/>
  <c r="N29" i="14"/>
  <c r="N35" i="14" s="1"/>
  <c r="AA35" i="8"/>
  <c r="I17" i="14"/>
  <c r="I23" i="14" s="1"/>
  <c r="AU26" i="14"/>
  <c r="AU32" i="14" s="1"/>
  <c r="AU47" i="14"/>
  <c r="BR10" i="10"/>
  <c r="AD26" i="10"/>
  <c r="E33" i="9"/>
  <c r="AD96" i="10"/>
  <c r="AY89" i="10"/>
  <c r="AR58" i="14"/>
  <c r="M102" i="1"/>
  <c r="U33" i="9"/>
  <c r="I32" i="8"/>
  <c r="P23" i="1"/>
  <c r="P53" i="1"/>
  <c r="P60" i="1" s="1"/>
  <c r="P98" i="1" s="1"/>
  <c r="BQ95" i="14"/>
  <c r="BQ96" i="14" s="1"/>
  <c r="AN96" i="14"/>
  <c r="BS75" i="14"/>
  <c r="W53" i="8"/>
  <c r="W60" i="8" s="1"/>
  <c r="W98" i="8" s="1"/>
  <c r="H21" i="10"/>
  <c r="H33" i="10" s="1"/>
  <c r="S28" i="10"/>
  <c r="BY16" i="14"/>
  <c r="BQ16" i="14"/>
  <c r="BO16" i="14"/>
  <c r="BW16" i="14"/>
  <c r="BO22" i="14" s="1"/>
  <c r="AM22" i="14"/>
  <c r="AM34" i="14" s="1"/>
  <c r="AS32" i="1"/>
  <c r="AI22" i="10"/>
  <c r="AI34" i="10" s="1"/>
  <c r="AI52" i="10"/>
  <c r="AP17" i="10"/>
  <c r="AP23" i="10" s="1"/>
  <c r="AC53" i="1"/>
  <c r="AC60" i="1" s="1"/>
  <c r="AC98" i="1" s="1"/>
  <c r="AC23" i="1"/>
  <c r="AC35" i="1" s="1"/>
  <c r="Y22" i="14"/>
  <c r="Y34" i="14" s="1"/>
  <c r="M47" i="14"/>
  <c r="M29" i="14" s="1"/>
  <c r="M26" i="14"/>
  <c r="AF27" i="10"/>
  <c r="BO20" i="9"/>
  <c r="BO32" i="9" s="1"/>
  <c r="BO41" i="9"/>
  <c r="BO23" i="9" s="1"/>
  <c r="BO35" i="9" s="1"/>
  <c r="X41" i="10"/>
  <c r="E32" i="1"/>
  <c r="BO10" i="10"/>
  <c r="AT53" i="8"/>
  <c r="AT60" i="8" s="1"/>
  <c r="AT98" i="8" s="1"/>
  <c r="AD17" i="10"/>
  <c r="AF53" i="8"/>
  <c r="AF60" i="8" s="1"/>
  <c r="AF98" i="8" s="1"/>
  <c r="X27" i="14"/>
  <c r="AL51" i="14"/>
  <c r="AL21" i="14"/>
  <c r="AL33" i="14" s="1"/>
  <c r="L93" i="10"/>
  <c r="AR23" i="9"/>
  <c r="AR35" i="9" s="1"/>
  <c r="J53" i="8"/>
  <c r="J60" i="8" s="1"/>
  <c r="J98" i="8" s="1"/>
  <c r="J23" i="8"/>
  <c r="J35" i="8" s="1"/>
  <c r="L32" i="1"/>
  <c r="N22" i="10"/>
  <c r="N34" i="10" s="1"/>
  <c r="Y20" i="10"/>
  <c r="Y17" i="10"/>
  <c r="Y23" i="10" s="1"/>
  <c r="Y26" i="10"/>
  <c r="Y47" i="10"/>
  <c r="D34" i="1"/>
  <c r="G27" i="10"/>
  <c r="AQ32" i="1"/>
  <c r="AP26" i="14"/>
  <c r="O102" i="1"/>
  <c r="E17" i="10"/>
  <c r="AI27" i="14"/>
  <c r="AR11" i="10"/>
  <c r="J89" i="10"/>
  <c r="X102" i="8"/>
  <c r="AE22" i="14"/>
  <c r="AE34" i="14" s="1"/>
  <c r="AE20" i="10"/>
  <c r="AE32" i="10" s="1"/>
  <c r="AY53" i="8"/>
  <c r="AY60" i="8" s="1"/>
  <c r="AY98" i="8" s="1"/>
  <c r="BT38" i="14"/>
  <c r="D20" i="14"/>
  <c r="D32" i="14" s="1"/>
  <c r="Z29" i="1"/>
  <c r="M23" i="1"/>
  <c r="M35" i="1" s="1"/>
  <c r="M53" i="1"/>
  <c r="M60" i="1" s="1"/>
  <c r="M98" i="1" s="1"/>
  <c r="AL22" i="14"/>
  <c r="AL52" i="14"/>
  <c r="BQ68" i="14"/>
  <c r="AY51" i="14"/>
  <c r="AY27" i="14"/>
  <c r="AY33" i="14" s="1"/>
  <c r="X52" i="10"/>
  <c r="K20" i="14"/>
  <c r="AD58" i="14"/>
  <c r="AC93" i="10"/>
  <c r="AX102" i="8"/>
  <c r="BO64" i="14"/>
  <c r="S52" i="10"/>
  <c r="S22" i="10"/>
  <c r="BO11" i="1"/>
  <c r="N29" i="1"/>
  <c r="AV102" i="8"/>
  <c r="AQ29" i="8"/>
  <c r="AQ35" i="8" s="1"/>
  <c r="AI53" i="8"/>
  <c r="AI60" i="8" s="1"/>
  <c r="AI98" i="8" s="1"/>
  <c r="G52" i="14"/>
  <c r="G22" i="14"/>
  <c r="V32" i="1"/>
  <c r="O32" i="8"/>
  <c r="AS11" i="14"/>
  <c r="AE58" i="14"/>
  <c r="AE60" i="14" s="1"/>
  <c r="AQ33" i="1"/>
  <c r="AP35" i="9"/>
  <c r="BS17" i="14"/>
  <c r="Y51" i="10"/>
  <c r="Q102" i="1"/>
  <c r="AP96" i="10"/>
  <c r="G21" i="10"/>
  <c r="G51" i="10"/>
  <c r="AN50" i="14"/>
  <c r="AN20" i="14"/>
  <c r="AN41" i="14"/>
  <c r="AU32" i="8"/>
  <c r="BT88" i="14"/>
  <c r="L102" i="1"/>
  <c r="U27" i="10"/>
  <c r="AQ26" i="14"/>
  <c r="AQ47" i="14"/>
  <c r="AI23" i="9"/>
  <c r="AI35" i="9" s="1"/>
  <c r="BR38" i="14"/>
  <c r="BR41" i="14" s="1"/>
  <c r="AB20" i="14"/>
  <c r="AB32" i="14" s="1"/>
  <c r="AI32" i="1"/>
  <c r="R89" i="14"/>
  <c r="AO20" i="10"/>
  <c r="AO50" i="10"/>
  <c r="AE29" i="9"/>
  <c r="AE35" i="9" s="1"/>
  <c r="M34" i="1"/>
  <c r="AV89" i="10"/>
  <c r="AI23" i="1"/>
  <c r="AI35" i="1" s="1"/>
  <c r="W32" i="8"/>
  <c r="AC33" i="1"/>
  <c r="Z20" i="14"/>
  <c r="M21" i="10"/>
  <c r="M51" i="10"/>
  <c r="W53" i="1"/>
  <c r="W60" i="1" s="1"/>
  <c r="W98" i="1" s="1"/>
  <c r="W23" i="1"/>
  <c r="W35" i="1" s="1"/>
  <c r="AG58" i="10"/>
  <c r="D17" i="14"/>
  <c r="D29" i="14" s="1"/>
  <c r="CB14" i="14"/>
  <c r="BS82" i="14"/>
  <c r="AS20" i="14"/>
  <c r="AS32" i="14" s="1"/>
  <c r="AS50" i="14"/>
  <c r="AX89" i="10"/>
  <c r="AQ17" i="10"/>
  <c r="AQ29" i="10" s="1"/>
  <c r="S53" i="9"/>
  <c r="S60" i="9" s="1"/>
  <c r="S98" i="9" s="1"/>
  <c r="S23" i="9"/>
  <c r="S35" i="9" s="1"/>
  <c r="AL29" i="1"/>
  <c r="M47" i="10"/>
  <c r="M26" i="10"/>
  <c r="M32" i="10" s="1"/>
  <c r="AL20" i="14"/>
  <c r="AL32" i="14" s="1"/>
  <c r="AL41" i="14"/>
  <c r="AP93" i="10"/>
  <c r="F11" i="14"/>
  <c r="BT10" i="14"/>
  <c r="BT11" i="14" s="1"/>
  <c r="AW34" i="1"/>
  <c r="X60" i="1"/>
  <c r="X98" i="1" s="1"/>
  <c r="BT91" i="14"/>
  <c r="BT93" i="14" s="1"/>
  <c r="E23" i="1"/>
  <c r="E53" i="1"/>
  <c r="E60" i="1" s="1"/>
  <c r="E98" i="1" s="1"/>
  <c r="AM53" i="1"/>
  <c r="AM60" i="1" s="1"/>
  <c r="AM98" i="1" s="1"/>
  <c r="AU32" i="1"/>
  <c r="AN47" i="14"/>
  <c r="AN28" i="14"/>
  <c r="BQ46" i="14"/>
  <c r="BO46" i="14"/>
  <c r="AW20" i="10"/>
  <c r="AW32" i="10" s="1"/>
  <c r="AW50" i="10"/>
  <c r="K33" i="1"/>
  <c r="X27" i="10"/>
  <c r="X33" i="10" s="1"/>
  <c r="AH89" i="14"/>
  <c r="O52" i="10"/>
  <c r="AI41" i="10"/>
  <c r="F41" i="14"/>
  <c r="F51" i="14"/>
  <c r="L50" i="14"/>
  <c r="L41" i="14"/>
  <c r="I47" i="14"/>
  <c r="I58" i="10"/>
  <c r="V11" i="14"/>
  <c r="G27" i="14"/>
  <c r="BO44" i="10"/>
  <c r="AP26" i="10"/>
  <c r="AP32" i="10" s="1"/>
  <c r="AG52" i="10"/>
  <c r="AG22" i="10"/>
  <c r="AG34" i="10" s="1"/>
  <c r="CB16" i="14"/>
  <c r="BT16" i="14"/>
  <c r="BT17" i="14" s="1"/>
  <c r="AJ27" i="10"/>
  <c r="AJ28" i="10"/>
  <c r="BO51" i="8"/>
  <c r="BO21" i="8"/>
  <c r="BO33" i="8" s="1"/>
  <c r="X32" i="9"/>
  <c r="R27" i="10"/>
  <c r="R33" i="10" s="1"/>
  <c r="I53" i="1"/>
  <c r="I60" i="1" s="1"/>
  <c r="I98" i="1" s="1"/>
  <c r="D50" i="10"/>
  <c r="D20" i="10"/>
  <c r="D32" i="10" s="1"/>
  <c r="Z50" i="10"/>
  <c r="BZ16" i="14"/>
  <c r="BR16" i="14"/>
  <c r="BR17" i="14" s="1"/>
  <c r="AL28" i="14"/>
  <c r="AG11" i="10"/>
  <c r="AD58" i="10"/>
  <c r="AD60" i="10" s="1"/>
  <c r="AO52" i="14"/>
  <c r="AO22" i="14"/>
  <c r="AE27" i="10"/>
  <c r="S52" i="14"/>
  <c r="W33" i="1"/>
  <c r="Z93" i="14"/>
  <c r="J32" i="1"/>
  <c r="AG93" i="10"/>
  <c r="BQ74" i="14"/>
  <c r="AY32" i="1"/>
  <c r="O33" i="1"/>
  <c r="AE58" i="10"/>
  <c r="AQ51" i="10"/>
  <c r="D98" i="10"/>
  <c r="N102" i="14"/>
  <c r="F89" i="10"/>
  <c r="AV22" i="14"/>
  <c r="AV34" i="14" s="1"/>
  <c r="AV52" i="14"/>
  <c r="AG21" i="14"/>
  <c r="AG51" i="14"/>
  <c r="BO47" i="8"/>
  <c r="BO29" i="8" s="1"/>
  <c r="AD50" i="14"/>
  <c r="BO9" i="10"/>
  <c r="BO21" i="9"/>
  <c r="BO33" i="9" s="1"/>
  <c r="BQ40" i="14"/>
  <c r="AN52" i="14"/>
  <c r="AN22" i="14"/>
  <c r="AY89" i="14"/>
  <c r="AO53" i="8"/>
  <c r="AO60" i="8" s="1"/>
  <c r="AO98" i="8" s="1"/>
  <c r="AO23" i="8"/>
  <c r="AO35" i="8" s="1"/>
  <c r="AO26" i="10"/>
  <c r="AY22" i="14"/>
  <c r="AY34" i="14" s="1"/>
  <c r="N33" i="9"/>
  <c r="K11" i="14"/>
  <c r="AD89" i="10"/>
  <c r="P50" i="14"/>
  <c r="P20" i="14"/>
  <c r="K34" i="9"/>
  <c r="K26" i="14"/>
  <c r="AC51" i="14"/>
  <c r="BO68" i="10"/>
  <c r="Z53" i="1"/>
  <c r="Z60" i="1" s="1"/>
  <c r="Z98" i="1" s="1"/>
  <c r="Z23" i="1"/>
  <c r="AQ17" i="14"/>
  <c r="AQ18" i="14" s="1"/>
  <c r="S32" i="9"/>
  <c r="AL26" i="10"/>
  <c r="AL23" i="1"/>
  <c r="P27" i="14"/>
  <c r="P33" i="14" s="1"/>
  <c r="BS45" i="14"/>
  <c r="BS51" i="14" s="1"/>
  <c r="AF51" i="14"/>
  <c r="AF21" i="14"/>
  <c r="AM50" i="10"/>
  <c r="AT32" i="8"/>
  <c r="AD20" i="14"/>
  <c r="AD32" i="14" s="1"/>
  <c r="AL51" i="10"/>
  <c r="AK50" i="10"/>
  <c r="AK20" i="10"/>
  <c r="F51" i="10"/>
  <c r="N34" i="1"/>
  <c r="V34" i="1"/>
  <c r="J52" i="14"/>
  <c r="J22" i="14"/>
  <c r="J34" i="14" s="1"/>
  <c r="AO27" i="10"/>
  <c r="I58" i="14"/>
  <c r="AU58" i="14"/>
  <c r="AB58" i="14"/>
  <c r="BR56" i="14"/>
  <c r="BR58" i="14" s="1"/>
  <c r="E17" i="14"/>
  <c r="E23" i="14" s="1"/>
  <c r="AP58" i="14"/>
  <c r="J89" i="14"/>
  <c r="I26" i="10"/>
  <c r="I32" i="10" s="1"/>
  <c r="I47" i="10"/>
  <c r="AY32" i="8"/>
  <c r="Z26" i="14"/>
  <c r="AL52" i="10"/>
  <c r="AL22" i="10"/>
  <c r="AY26" i="10"/>
  <c r="AQ58" i="14"/>
  <c r="AC47" i="14"/>
  <c r="Y27" i="14"/>
  <c r="Y33" i="14" s="1"/>
  <c r="K53" i="8"/>
  <c r="K60" i="8" s="1"/>
  <c r="K98" i="8" s="1"/>
  <c r="AH102" i="1"/>
  <c r="AU93" i="10"/>
  <c r="AP17" i="14"/>
  <c r="AW27" i="14"/>
  <c r="AW33" i="14" s="1"/>
  <c r="L23" i="9"/>
  <c r="L35" i="9" s="1"/>
  <c r="AT41" i="10"/>
  <c r="AT23" i="10" s="1"/>
  <c r="AI89" i="10"/>
  <c r="T23" i="1"/>
  <c r="T35" i="1" s="1"/>
  <c r="AG93" i="14"/>
  <c r="BQ86" i="14"/>
  <c r="BO86" i="14"/>
  <c r="O102" i="8"/>
  <c r="H53" i="8"/>
  <c r="H60" i="8" s="1"/>
  <c r="H98" i="8" s="1"/>
  <c r="H23" i="8"/>
  <c r="H35" i="8" s="1"/>
  <c r="BT63" i="14"/>
  <c r="S21" i="10"/>
  <c r="S33" i="10" s="1"/>
  <c r="AY20" i="14"/>
  <c r="AY32" i="14" s="1"/>
  <c r="AY41" i="14"/>
  <c r="AY50" i="14"/>
  <c r="O51" i="10"/>
  <c r="E102" i="1"/>
  <c r="D102" i="1"/>
  <c r="X89" i="14"/>
  <c r="AJ29" i="1"/>
  <c r="F58" i="10"/>
  <c r="F60" i="10"/>
  <c r="AT29" i="14"/>
  <c r="AD32" i="10"/>
  <c r="AB34" i="14"/>
  <c r="AE34" i="10"/>
  <c r="AA102" i="14"/>
  <c r="F32" i="10"/>
  <c r="AS47" i="14"/>
  <c r="AS53" i="14" s="1"/>
  <c r="AS27" i="14"/>
  <c r="AJ50" i="14"/>
  <c r="AJ41" i="14"/>
  <c r="BO75" i="10"/>
  <c r="AO51" i="10"/>
  <c r="AO21" i="10"/>
  <c r="S93" i="10"/>
  <c r="S98" i="10" s="1"/>
  <c r="K32" i="9"/>
  <c r="BO76" i="10"/>
  <c r="AJ23" i="8"/>
  <c r="AJ35" i="8" s="1"/>
  <c r="AJ53" i="8"/>
  <c r="AJ60" i="8" s="1"/>
  <c r="AJ98" i="8" s="1"/>
  <c r="G32" i="8"/>
  <c r="AL58" i="14"/>
  <c r="AV41" i="14"/>
  <c r="J102" i="9"/>
  <c r="Q32" i="8"/>
  <c r="AV32" i="9"/>
  <c r="M52" i="10"/>
  <c r="M22" i="10"/>
  <c r="M34" i="10" s="1"/>
  <c r="U34" i="1"/>
  <c r="BO78" i="14"/>
  <c r="I11" i="14"/>
  <c r="S50" i="14"/>
  <c r="S41" i="14"/>
  <c r="S20" i="14"/>
  <c r="S32" i="14" s="1"/>
  <c r="U58" i="10"/>
  <c r="U60" i="10" s="1"/>
  <c r="U98" i="10" s="1"/>
  <c r="Y23" i="9"/>
  <c r="Y35" i="9" s="1"/>
  <c r="P28" i="10"/>
  <c r="AH28" i="10"/>
  <c r="AH34" i="10" s="1"/>
  <c r="AL41" i="10"/>
  <c r="AL20" i="10"/>
  <c r="AL32" i="10" s="1"/>
  <c r="AP93" i="14"/>
  <c r="G47" i="14"/>
  <c r="G29" i="14" s="1"/>
  <c r="AR51" i="14"/>
  <c r="U23" i="9"/>
  <c r="U35" i="9" s="1"/>
  <c r="AC52" i="10"/>
  <c r="AC22" i="10"/>
  <c r="AC34" i="10" s="1"/>
  <c r="AM32" i="1"/>
  <c r="AW53" i="1"/>
  <c r="AW60" i="1" s="1"/>
  <c r="AW98" i="1" s="1"/>
  <c r="AW23" i="1"/>
  <c r="AW35" i="1" s="1"/>
  <c r="M34" i="8"/>
  <c r="G58" i="10"/>
  <c r="P51" i="14"/>
  <c r="AH93" i="14"/>
  <c r="N23" i="8"/>
  <c r="N35" i="8" s="1"/>
  <c r="N53" i="8"/>
  <c r="N60" i="8" s="1"/>
  <c r="N98" i="8" s="1"/>
  <c r="N52" i="14"/>
  <c r="N22" i="14"/>
  <c r="N34" i="14" s="1"/>
  <c r="V22" i="14"/>
  <c r="V34" i="14" s="1"/>
  <c r="V52" i="14"/>
  <c r="J34" i="1"/>
  <c r="N89" i="10"/>
  <c r="AO27" i="14"/>
  <c r="AO33" i="14" s="1"/>
  <c r="AJ17" i="10"/>
  <c r="AJ29" i="10" s="1"/>
  <c r="M17" i="10"/>
  <c r="AC11" i="14"/>
  <c r="BR102" i="14" s="1"/>
  <c r="BS76" i="14"/>
  <c r="AB17" i="10"/>
  <c r="AB29" i="10" s="1"/>
  <c r="BQ82" i="14"/>
  <c r="AJ102" i="1"/>
  <c r="X93" i="10"/>
  <c r="AJ28" i="14"/>
  <c r="AJ34" i="14" s="1"/>
  <c r="R27" i="14"/>
  <c r="Y50" i="10"/>
  <c r="AE50" i="14"/>
  <c r="V89" i="10"/>
  <c r="M50" i="14"/>
  <c r="M20" i="14"/>
  <c r="M32" i="14" s="1"/>
  <c r="BS8" i="10"/>
  <c r="R11" i="10"/>
  <c r="S102" i="10" s="1"/>
  <c r="AU28" i="14"/>
  <c r="AB28" i="10"/>
  <c r="Y27" i="10"/>
  <c r="AX20" i="14"/>
  <c r="AX32" i="14" s="1"/>
  <c r="BR63" i="14"/>
  <c r="BR83" i="14" s="1"/>
  <c r="H11" i="10"/>
  <c r="AG11" i="14"/>
  <c r="AH102" i="14" s="1"/>
  <c r="P93" i="10"/>
  <c r="F96" i="10"/>
  <c r="W58" i="14"/>
  <c r="O41" i="10"/>
  <c r="O50" i="10"/>
  <c r="BR88" i="14"/>
  <c r="BR89" i="14" s="1"/>
  <c r="S34" i="1"/>
  <c r="N26" i="14"/>
  <c r="N32" i="14" s="1"/>
  <c r="AG60" i="1"/>
  <c r="AG98" i="1" s="1"/>
  <c r="BO86" i="10"/>
  <c r="K58" i="10"/>
  <c r="K60" i="10" s="1"/>
  <c r="K98" i="10" s="1"/>
  <c r="V102" i="8"/>
  <c r="Q93" i="14"/>
  <c r="BO15" i="14"/>
  <c r="BO17" i="14" s="1"/>
  <c r="BY15" i="14"/>
  <c r="BQ15" i="14"/>
  <c r="BW15" i="14"/>
  <c r="Q41" i="14"/>
  <c r="V53" i="1"/>
  <c r="V60" i="1" s="1"/>
  <c r="V98" i="1" s="1"/>
  <c r="AJ52" i="10"/>
  <c r="AJ22" i="10"/>
  <c r="AJ34" i="10" s="1"/>
  <c r="AW28" i="10"/>
  <c r="AW34" i="10" s="1"/>
  <c r="T11" i="10"/>
  <c r="AQ21" i="14"/>
  <c r="AQ33" i="14" s="1"/>
  <c r="AN26" i="14"/>
  <c r="BO44" i="14"/>
  <c r="P29" i="14"/>
  <c r="AJ35" i="9"/>
  <c r="AH53" i="9"/>
  <c r="AH60" i="9" s="1"/>
  <c r="AH98" i="9" s="1"/>
  <c r="AH23" i="9"/>
  <c r="AH35" i="9" s="1"/>
  <c r="AB89" i="14"/>
  <c r="AQ33" i="8"/>
  <c r="S93" i="14"/>
  <c r="AR53" i="9"/>
  <c r="AR60" i="9" s="1"/>
  <c r="AR98" i="9" s="1"/>
  <c r="AJ32" i="8"/>
  <c r="AO96" i="10"/>
  <c r="AC53" i="9"/>
  <c r="AC60" i="9" s="1"/>
  <c r="AC98" i="9" s="1"/>
  <c r="AC23" i="9"/>
  <c r="AC35" i="9" s="1"/>
  <c r="AY17" i="14"/>
  <c r="U17" i="14"/>
  <c r="N32" i="9"/>
  <c r="K26" i="10"/>
  <c r="K32" i="10" s="1"/>
  <c r="BO77" i="14"/>
  <c r="M52" i="14"/>
  <c r="AO28" i="14"/>
  <c r="U52" i="10"/>
  <c r="U22" i="10"/>
  <c r="U34" i="10" s="1"/>
  <c r="AO23" i="9"/>
  <c r="AO35" i="9" s="1"/>
  <c r="AC51" i="10"/>
  <c r="R26" i="10"/>
  <c r="AV51" i="10"/>
  <c r="AP22" i="10"/>
  <c r="AP34" i="10" s="1"/>
  <c r="I11" i="10"/>
  <c r="J102" i="10" s="1"/>
  <c r="BO87" i="10"/>
  <c r="W29" i="8"/>
  <c r="W35" i="8" s="1"/>
  <c r="S53" i="1"/>
  <c r="S60" i="1" s="1"/>
  <c r="S98" i="1" s="1"/>
  <c r="Y11" i="10"/>
  <c r="M22" i="14"/>
  <c r="M34" i="14" s="1"/>
  <c r="P34" i="1"/>
  <c r="BQ73" i="14"/>
  <c r="BS9" i="10"/>
  <c r="BQ14" i="14"/>
  <c r="AN17" i="14"/>
  <c r="AF58" i="10"/>
  <c r="AT32" i="9"/>
  <c r="AW53" i="9"/>
  <c r="AW60" i="9" s="1"/>
  <c r="AW98" i="9" s="1"/>
  <c r="AW23" i="9"/>
  <c r="AW35" i="9" s="1"/>
  <c r="AL50" i="14"/>
  <c r="BQ10" i="10"/>
  <c r="AF21" i="10"/>
  <c r="AF33" i="10" s="1"/>
  <c r="AF51" i="10"/>
  <c r="AW52" i="14"/>
  <c r="T22" i="10"/>
  <c r="T34" i="10" s="1"/>
  <c r="AP50" i="14"/>
  <c r="AP20" i="14"/>
  <c r="AP32" i="14" s="1"/>
  <c r="BS69" i="14"/>
  <c r="AT50" i="10"/>
  <c r="AW41" i="14"/>
  <c r="H58" i="14"/>
  <c r="AD51" i="10"/>
  <c r="AD21" i="10"/>
  <c r="AF53" i="9"/>
  <c r="AF60" i="9" s="1"/>
  <c r="AF98" i="9" s="1"/>
  <c r="D29" i="1"/>
  <c r="AF52" i="10"/>
  <c r="P51" i="10"/>
  <c r="AU11" i="10"/>
  <c r="Q29" i="1"/>
  <c r="Q35" i="1" s="1"/>
  <c r="AQ22" i="10"/>
  <c r="AQ34" i="10" s="1"/>
  <c r="AI21" i="14"/>
  <c r="AA32" i="1"/>
  <c r="BS88" i="14"/>
  <c r="BS89" i="14" s="1"/>
  <c r="AT50" i="14"/>
  <c r="AK53" i="1"/>
  <c r="AK60" i="1" s="1"/>
  <c r="AK98" i="1" s="1"/>
  <c r="AC11" i="10"/>
  <c r="AK60" i="8"/>
  <c r="AK98" i="8" s="1"/>
  <c r="AB32" i="9"/>
  <c r="AX58" i="10"/>
  <c r="AE21" i="10"/>
  <c r="AE33" i="10" s="1"/>
  <c r="X28" i="14"/>
  <c r="X34" i="14" s="1"/>
  <c r="K89" i="14"/>
  <c r="U32" i="1"/>
  <c r="AF17" i="10"/>
  <c r="M41" i="10"/>
  <c r="BS8" i="14"/>
  <c r="BS11" i="14" s="1"/>
  <c r="R11" i="14"/>
  <c r="R102" i="14" s="1"/>
  <c r="AU28" i="10"/>
  <c r="AD27" i="10"/>
  <c r="AE93" i="14"/>
  <c r="O28" i="14"/>
  <c r="O34" i="14" s="1"/>
  <c r="AH52" i="14"/>
  <c r="AH22" i="14"/>
  <c r="AH34" i="14" s="1"/>
  <c r="I34" i="1"/>
  <c r="I102" i="1"/>
  <c r="L33" i="1"/>
  <c r="W58" i="10"/>
  <c r="X34" i="1"/>
  <c r="O32" i="1"/>
  <c r="U33" i="1"/>
  <c r="AY28" i="10"/>
  <c r="AY34" i="10" s="1"/>
  <c r="AA52" i="14"/>
  <c r="AW17" i="10"/>
  <c r="AW29" i="10" s="1"/>
  <c r="AP21" i="10"/>
  <c r="AP33" i="10" s="1"/>
  <c r="AP51" i="10"/>
  <c r="Z58" i="10"/>
  <c r="J102" i="8"/>
  <c r="AS33" i="1"/>
  <c r="F23" i="8"/>
  <c r="F35" i="8" s="1"/>
  <c r="AA32" i="9"/>
  <c r="V93" i="10"/>
  <c r="M27" i="10"/>
  <c r="V50" i="10"/>
  <c r="AJ34" i="1"/>
  <c r="W79" i="12"/>
  <c r="W73" i="12"/>
  <c r="W80" i="12"/>
  <c r="W71" i="12"/>
  <c r="BO34" i="9"/>
  <c r="AG23" i="14"/>
  <c r="V29" i="14"/>
  <c r="AD34" i="10"/>
  <c r="H53" i="14"/>
  <c r="H60" i="14" s="1"/>
  <c r="H98" i="14" s="1"/>
  <c r="AR23" i="14"/>
  <c r="F33" i="10"/>
  <c r="D33" i="10"/>
  <c r="T33" i="10"/>
  <c r="AM29" i="14"/>
  <c r="AP35" i="1"/>
  <c r="AO102" i="10"/>
  <c r="AV32" i="14"/>
  <c r="W53" i="14"/>
  <c r="AW34" i="14"/>
  <c r="AJ29" i="14"/>
  <c r="L35" i="1"/>
  <c r="AN35" i="1"/>
  <c r="AS35" i="9"/>
  <c r="E58" i="12"/>
  <c r="K35" i="8"/>
  <c r="D35" i="8"/>
  <c r="K78" i="12"/>
  <c r="AO29" i="10"/>
  <c r="BO102" i="10"/>
  <c r="BQ102" i="10"/>
  <c r="BT27" i="14"/>
  <c r="BT33" i="14" s="1"/>
  <c r="BT47" i="14"/>
  <c r="AW102" i="14"/>
  <c r="AF60" i="14"/>
  <c r="AF98" i="14" s="1"/>
  <c r="E28" i="12"/>
  <c r="AX35" i="9"/>
  <c r="W35" i="9"/>
  <c r="AN102" i="10"/>
  <c r="BR21" i="14"/>
  <c r="BR33" i="14" s="1"/>
  <c r="AF23" i="14"/>
  <c r="BO28" i="10"/>
  <c r="AM23" i="10"/>
  <c r="AM35" i="10" s="1"/>
  <c r="AG53" i="10"/>
  <c r="AG60" i="10" s="1"/>
  <c r="AG98" i="10" s="1"/>
  <c r="Z102" i="14"/>
  <c r="E22" i="12"/>
  <c r="X35" i="9"/>
  <c r="BO23" i="8"/>
  <c r="AW53" i="10"/>
  <c r="BS21" i="14"/>
  <c r="AM23" i="14"/>
  <c r="AM35" i="14" s="1"/>
  <c r="S35" i="8"/>
  <c r="BJ35" i="8"/>
  <c r="BF23" i="10"/>
  <c r="BF35" i="8"/>
  <c r="BD23" i="14"/>
  <c r="BD35" i="14" s="1"/>
  <c r="BH35" i="8"/>
  <c r="W66" i="12"/>
  <c r="W63" i="12"/>
  <c r="W69" i="12"/>
  <c r="W70" i="12"/>
  <c r="AL35" i="9"/>
  <c r="R35" i="8"/>
  <c r="W81" i="12"/>
  <c r="W82" i="12"/>
  <c r="W64" i="12"/>
  <c r="W74" i="12"/>
  <c r="Y9" i="12"/>
  <c r="W16" i="12"/>
  <c r="W46" i="12"/>
  <c r="W65" i="12"/>
  <c r="AB10" i="12"/>
  <c r="BR22" i="14"/>
  <c r="M35" i="9"/>
  <c r="BR52" i="14"/>
  <c r="H35" i="9"/>
  <c r="AH33" i="14"/>
  <c r="BS41" i="14"/>
  <c r="AT29" i="10"/>
  <c r="AM98" i="14"/>
  <c r="U98" i="14"/>
  <c r="Q102" i="10"/>
  <c r="BS22" i="14"/>
  <c r="Y53" i="14"/>
  <c r="Y60" i="14" s="1"/>
  <c r="Y98" i="14" s="1"/>
  <c r="AS23" i="14"/>
  <c r="P35" i="9"/>
  <c r="AX29" i="14"/>
  <c r="AX35" i="14" s="1"/>
  <c r="AK35" i="9"/>
  <c r="V53" i="10"/>
  <c r="V60" i="10" s="1"/>
  <c r="W72" i="12"/>
  <c r="AV33" i="14"/>
  <c r="AY35" i="9"/>
  <c r="AD35" i="9"/>
  <c r="W95" i="12"/>
  <c r="W96" i="12" s="1"/>
  <c r="BO96" i="10"/>
  <c r="BO41" i="14"/>
  <c r="AJ23" i="10"/>
  <c r="AJ35" i="10" s="1"/>
  <c r="W35" i="14"/>
  <c r="AX60" i="14"/>
  <c r="AX54" i="14"/>
  <c r="Y56" i="12"/>
  <c r="Z74" i="12"/>
  <c r="X40" i="12"/>
  <c r="X16" i="12"/>
  <c r="AA82" i="12"/>
  <c r="AA46" i="12"/>
  <c r="Y46" i="12"/>
  <c r="X82" i="12"/>
  <c r="AA80" i="12"/>
  <c r="Y92" i="12"/>
  <c r="Y87" i="12"/>
  <c r="Z70" i="12"/>
  <c r="Z63" i="12"/>
  <c r="X81" i="12"/>
  <c r="X74" i="12"/>
  <c r="X15" i="12"/>
  <c r="AB76" i="12"/>
  <c r="AA73" i="12"/>
  <c r="AA72" i="12"/>
  <c r="Y39" i="12"/>
  <c r="Z80" i="12"/>
  <c r="X92" i="12"/>
  <c r="AB15" i="12"/>
  <c r="AA79" i="12"/>
  <c r="Y71" i="12"/>
  <c r="Z75" i="12"/>
  <c r="X87" i="12"/>
  <c r="AB66" i="12"/>
  <c r="AB64" i="12"/>
  <c r="AA78" i="12"/>
  <c r="Z66" i="12"/>
  <c r="Z87" i="12"/>
  <c r="X75" i="12"/>
  <c r="X66" i="12"/>
  <c r="AB81" i="12"/>
  <c r="AB75" i="12"/>
  <c r="AA67" i="12"/>
  <c r="Y68" i="12"/>
  <c r="Y16" i="12"/>
  <c r="Z65" i="12"/>
  <c r="Z79" i="12"/>
  <c r="AF79" i="12" s="1"/>
  <c r="X71" i="12"/>
  <c r="X65" i="12"/>
  <c r="X14" i="12"/>
  <c r="AB74" i="12"/>
  <c r="AB73" i="12"/>
  <c r="AB14" i="12"/>
  <c r="AA75" i="12"/>
  <c r="AA16" i="12"/>
  <c r="W56" i="12"/>
  <c r="Z72" i="12"/>
  <c r="X77" i="12"/>
  <c r="AB71" i="12"/>
  <c r="Y81" i="12"/>
  <c r="Z92" i="12"/>
  <c r="Z77" i="12"/>
  <c r="X39" i="12"/>
  <c r="X76" i="12"/>
  <c r="AB65" i="12"/>
  <c r="AB69" i="12"/>
  <c r="AA66" i="12"/>
  <c r="W92" i="12"/>
  <c r="Y64" i="12"/>
  <c r="Y77" i="12"/>
  <c r="Z86" i="12"/>
  <c r="X91" i="12"/>
  <c r="Y74" i="12"/>
  <c r="Z44" i="12"/>
  <c r="Z76" i="12"/>
  <c r="X63" i="12"/>
  <c r="X69" i="12"/>
  <c r="AB44" i="12"/>
  <c r="AB57" i="12"/>
  <c r="AA64" i="12"/>
  <c r="AA44" i="12"/>
  <c r="AA65" i="12"/>
  <c r="Y65" i="12"/>
  <c r="Y76" i="12"/>
  <c r="Z39" i="12"/>
  <c r="Z82" i="12"/>
  <c r="X44" i="12"/>
  <c r="X38" i="12"/>
  <c r="AB82" i="12"/>
  <c r="AA81" i="12"/>
  <c r="AA40" i="12"/>
  <c r="W40" i="12"/>
  <c r="W39" i="12"/>
  <c r="Y75" i="12"/>
  <c r="Z38" i="12"/>
  <c r="Z81" i="12"/>
  <c r="Z57" i="12"/>
  <c r="X88" i="12"/>
  <c r="X80" i="12"/>
  <c r="X57" i="12"/>
  <c r="AB92" i="12"/>
  <c r="AB79" i="12"/>
  <c r="AH79" i="12" s="1"/>
  <c r="AB46" i="12"/>
  <c r="AA14" i="12"/>
  <c r="AA77" i="12"/>
  <c r="Y40" i="12"/>
  <c r="Y91" i="12"/>
  <c r="Y73" i="12"/>
  <c r="Z73" i="12"/>
  <c r="Z71" i="12"/>
  <c r="X79" i="12"/>
  <c r="X78" i="12"/>
  <c r="X56" i="12"/>
  <c r="AB88" i="12"/>
  <c r="AA39" i="12"/>
  <c r="AA76" i="12"/>
  <c r="Y79" i="12"/>
  <c r="Y72" i="12"/>
  <c r="Z68" i="12"/>
  <c r="Z46" i="12"/>
  <c r="X73" i="12"/>
  <c r="X72" i="12"/>
  <c r="X46" i="12"/>
  <c r="AB67" i="12"/>
  <c r="AA92" i="12"/>
  <c r="Y69" i="12"/>
  <c r="Z45" i="12"/>
  <c r="X70" i="12"/>
  <c r="AA57" i="12"/>
  <c r="Y86" i="12"/>
  <c r="Y66" i="12"/>
  <c r="Z88" i="12"/>
  <c r="X68" i="12"/>
  <c r="X45" i="12"/>
  <c r="AB63" i="12"/>
  <c r="AB16" i="12"/>
  <c r="AA63" i="12"/>
  <c r="AA91" i="12"/>
  <c r="Y80" i="12"/>
  <c r="Y63" i="12"/>
  <c r="Y57" i="12"/>
  <c r="Z91" i="12"/>
  <c r="Z78" i="12"/>
  <c r="X67" i="12"/>
  <c r="X64" i="12"/>
  <c r="AB80" i="12"/>
  <c r="AB87" i="12"/>
  <c r="AO12" i="14"/>
  <c r="K35" i="14"/>
  <c r="AH35" i="14"/>
  <c r="AI35" i="14"/>
  <c r="BQ93" i="1"/>
  <c r="AE35" i="14"/>
  <c r="BT51" i="1"/>
  <c r="BT58" i="1"/>
  <c r="V35" i="10"/>
  <c r="D35" i="10"/>
  <c r="BR58" i="9"/>
  <c r="AG35" i="10"/>
  <c r="BT26" i="1"/>
  <c r="BQ58" i="8"/>
  <c r="BO33" i="1"/>
  <c r="BT58" i="9"/>
  <c r="BQ89" i="1"/>
  <c r="T35" i="10"/>
  <c r="AR35" i="10"/>
  <c r="BQ47" i="1"/>
  <c r="U35" i="10"/>
  <c r="BS58" i="9"/>
  <c r="BP93" i="1"/>
  <c r="AH35" i="10"/>
  <c r="BR58" i="1"/>
  <c r="BO53" i="1"/>
  <c r="BO60" i="1" s="1"/>
  <c r="BO98" i="1" s="1"/>
  <c r="BT22" i="1"/>
  <c r="BT52" i="1"/>
  <c r="BT28" i="1"/>
  <c r="BT20" i="1"/>
  <c r="BS26" i="1"/>
  <c r="BS28" i="1"/>
  <c r="BS22" i="1"/>
  <c r="F35" i="10"/>
  <c r="BS27" i="1"/>
  <c r="BS21" i="1"/>
  <c r="BS20" i="1"/>
  <c r="BR26" i="1"/>
  <c r="BR20" i="1"/>
  <c r="BR28" i="1"/>
  <c r="BQ27" i="1"/>
  <c r="BP28" i="1"/>
  <c r="BP20" i="1"/>
  <c r="BP27" i="1"/>
  <c r="BP26" i="1"/>
  <c r="BP22" i="1"/>
  <c r="BP21" i="1"/>
  <c r="BO29" i="1"/>
  <c r="BO23" i="1"/>
  <c r="BY17" i="10"/>
  <c r="BT21" i="1"/>
  <c r="BR27" i="1"/>
  <c r="BR21" i="1"/>
  <c r="BQ27" i="8"/>
  <c r="BR22" i="1"/>
  <c r="BQ20" i="1"/>
  <c r="BQ26" i="1"/>
  <c r="BQ28" i="1"/>
  <c r="BQ21" i="1"/>
  <c r="BS96" i="10"/>
  <c r="BT96" i="10"/>
  <c r="BP96" i="10"/>
  <c r="BR96" i="10"/>
  <c r="BQ96" i="10"/>
  <c r="BQ28" i="8"/>
  <c r="BT27" i="9"/>
  <c r="BS93" i="9"/>
  <c r="BR28" i="9"/>
  <c r="BR27" i="9"/>
  <c r="BR27" i="8"/>
  <c r="BQ93" i="8"/>
  <c r="BP27" i="9"/>
  <c r="BY17" i="8"/>
  <c r="BT28" i="9"/>
  <c r="BO34" i="1"/>
  <c r="BP93" i="10"/>
  <c r="BQ28" i="9"/>
  <c r="BP89" i="9"/>
  <c r="BT27" i="1"/>
  <c r="BS28" i="9"/>
  <c r="BS28" i="8"/>
  <c r="BQ89" i="9"/>
  <c r="BS17" i="9"/>
  <c r="BP28" i="9"/>
  <c r="BS58" i="8"/>
  <c r="BX17" i="9"/>
  <c r="BS93" i="10"/>
  <c r="BR93" i="10"/>
  <c r="BR89" i="10"/>
  <c r="BQ89" i="10"/>
  <c r="BT58" i="10"/>
  <c r="BP27" i="10"/>
  <c r="BT28" i="10"/>
  <c r="BR27" i="10"/>
  <c r="BS17" i="10"/>
  <c r="BP28" i="10"/>
  <c r="CB17" i="10"/>
  <c r="BP58" i="10"/>
  <c r="BQ93" i="10"/>
  <c r="BS50" i="10"/>
  <c r="BS41" i="10"/>
  <c r="BS20" i="10"/>
  <c r="BS22" i="10"/>
  <c r="BS52" i="10"/>
  <c r="BS51" i="10"/>
  <c r="BS26" i="10"/>
  <c r="BS47" i="10"/>
  <c r="BT20" i="10"/>
  <c r="BT21" i="10"/>
  <c r="BT26" i="10"/>
  <c r="BP41" i="10"/>
  <c r="BP20" i="10"/>
  <c r="BP50" i="10"/>
  <c r="BP21" i="10"/>
  <c r="BP51" i="10"/>
  <c r="BP22" i="10"/>
  <c r="BP52" i="10"/>
  <c r="BP26" i="10"/>
  <c r="BP47" i="10"/>
  <c r="BR20" i="10"/>
  <c r="BR50" i="10"/>
  <c r="BR41" i="10"/>
  <c r="BR21" i="10"/>
  <c r="BR51" i="10"/>
  <c r="BR26" i="10"/>
  <c r="BR47" i="10"/>
  <c r="BQ41" i="10"/>
  <c r="BQ20" i="10"/>
  <c r="BQ50" i="10"/>
  <c r="BQ21" i="10"/>
  <c r="BQ51" i="10"/>
  <c r="BQ22" i="10"/>
  <c r="BQ52" i="10"/>
  <c r="BQ26" i="10"/>
  <c r="BP17" i="10"/>
  <c r="BR83" i="10"/>
  <c r="BT89" i="10"/>
  <c r="BP83" i="10"/>
  <c r="BQ83" i="10"/>
  <c r="BP89" i="10"/>
  <c r="BR58" i="10"/>
  <c r="BR17" i="10"/>
  <c r="BT17" i="10"/>
  <c r="BX17" i="10"/>
  <c r="BQ58" i="10"/>
  <c r="BS28" i="10"/>
  <c r="BQ28" i="10"/>
  <c r="BT89" i="9"/>
  <c r="BR93" i="9"/>
  <c r="BS89" i="9"/>
  <c r="BR21" i="9"/>
  <c r="BR51" i="9"/>
  <c r="BR52" i="9"/>
  <c r="BR22" i="9"/>
  <c r="BR47" i="9"/>
  <c r="BR26" i="9"/>
  <c r="BR20" i="9"/>
  <c r="BR41" i="9"/>
  <c r="BR50" i="9"/>
  <c r="BP52" i="9"/>
  <c r="BP22" i="9"/>
  <c r="BP47" i="9"/>
  <c r="BP26" i="9"/>
  <c r="BP20" i="9"/>
  <c r="BP41" i="9"/>
  <c r="BP50" i="9"/>
  <c r="BP21" i="9"/>
  <c r="BP51" i="9"/>
  <c r="BS52" i="9"/>
  <c r="BS22" i="9"/>
  <c r="BS47" i="9"/>
  <c r="BS26" i="9"/>
  <c r="BS20" i="9"/>
  <c r="BS41" i="9"/>
  <c r="BS50" i="9"/>
  <c r="BS21" i="9"/>
  <c r="BS51" i="9"/>
  <c r="BQ52" i="9"/>
  <c r="BQ22" i="9"/>
  <c r="BQ47" i="9"/>
  <c r="BQ26" i="9"/>
  <c r="BQ21" i="9"/>
  <c r="BQ51" i="9"/>
  <c r="BQ20" i="9"/>
  <c r="BQ41" i="9"/>
  <c r="BQ50" i="9"/>
  <c r="BT20" i="9"/>
  <c r="BT41" i="9"/>
  <c r="BT50" i="9"/>
  <c r="BT52" i="9"/>
  <c r="BT22" i="9"/>
  <c r="BT47" i="9"/>
  <c r="BT26" i="9"/>
  <c r="BT21" i="9"/>
  <c r="BT51" i="9"/>
  <c r="BP17" i="9"/>
  <c r="BP58" i="9"/>
  <c r="BQ93" i="9"/>
  <c r="BQ58" i="9"/>
  <c r="BQ83" i="9"/>
  <c r="BS27" i="9"/>
  <c r="BQ17" i="9"/>
  <c r="BR83" i="9"/>
  <c r="BP83" i="9"/>
  <c r="BT83" i="9"/>
  <c r="BS83" i="9"/>
  <c r="BT93" i="9"/>
  <c r="CB17" i="9"/>
  <c r="BR17" i="9"/>
  <c r="BR89" i="9"/>
  <c r="BT17" i="9"/>
  <c r="BZ17" i="9"/>
  <c r="BP93" i="9"/>
  <c r="CA17" i="9"/>
  <c r="BY17" i="9"/>
  <c r="BQ27" i="9"/>
  <c r="BS27" i="8"/>
  <c r="BR28" i="8"/>
  <c r="BT93" i="8"/>
  <c r="BQ41" i="8"/>
  <c r="BQ50" i="8"/>
  <c r="BQ20" i="8"/>
  <c r="BQ51" i="8"/>
  <c r="BQ21" i="8"/>
  <c r="BQ52" i="8"/>
  <c r="BQ22" i="8"/>
  <c r="BQ47" i="8"/>
  <c r="BQ26" i="8"/>
  <c r="BT41" i="8"/>
  <c r="BT50" i="8"/>
  <c r="BT20" i="8"/>
  <c r="BT51" i="8"/>
  <c r="BT21" i="8"/>
  <c r="BT52" i="8"/>
  <c r="BT22" i="8"/>
  <c r="BT47" i="8"/>
  <c r="BT26" i="8"/>
  <c r="BS41" i="8"/>
  <c r="BS50" i="8"/>
  <c r="BS20" i="8"/>
  <c r="BS51" i="8"/>
  <c r="BS21" i="8"/>
  <c r="BS52" i="8"/>
  <c r="BS22" i="8"/>
  <c r="BS47" i="8"/>
  <c r="BS26" i="8"/>
  <c r="BP41" i="8"/>
  <c r="BP50" i="8"/>
  <c r="BP20" i="8"/>
  <c r="BP51" i="8"/>
  <c r="BP21" i="8"/>
  <c r="BP52" i="8"/>
  <c r="BP22" i="8"/>
  <c r="BP47" i="8"/>
  <c r="BP26" i="8"/>
  <c r="BR41" i="8"/>
  <c r="BR50" i="8"/>
  <c r="BR20" i="8"/>
  <c r="BR51" i="8"/>
  <c r="BR21" i="8"/>
  <c r="BR52" i="8"/>
  <c r="BR22" i="8"/>
  <c r="BR47" i="8"/>
  <c r="BR26" i="8"/>
  <c r="BQ89" i="8"/>
  <c r="BS17" i="8"/>
  <c r="BS89" i="8"/>
  <c r="BP17" i="8"/>
  <c r="BT89" i="8"/>
  <c r="BT58" i="8"/>
  <c r="BP93" i="8"/>
  <c r="BQ83" i="8"/>
  <c r="BT17" i="8"/>
  <c r="BP89" i="8"/>
  <c r="BX17" i="8"/>
  <c r="BS83" i="8"/>
  <c r="BR17" i="8"/>
  <c r="BR58" i="8"/>
  <c r="BQ17" i="8"/>
  <c r="BT27" i="8"/>
  <c r="BP83" i="8"/>
  <c r="BR83" i="8"/>
  <c r="BT28" i="8"/>
  <c r="BS93" i="8"/>
  <c r="BZ17" i="8"/>
  <c r="CB17" i="8"/>
  <c r="CA17" i="8"/>
  <c r="BP28" i="8"/>
  <c r="BP58" i="8"/>
  <c r="BR89" i="8"/>
  <c r="BT83" i="8"/>
  <c r="BP27" i="8"/>
  <c r="BR93" i="8"/>
  <c r="BX17" i="1"/>
  <c r="BQ52" i="1"/>
  <c r="BQ22" i="1"/>
  <c r="BT83" i="1"/>
  <c r="CB17" i="1"/>
  <c r="BY17" i="1"/>
  <c r="CA17" i="1"/>
  <c r="BZ17" i="1"/>
  <c r="BR93" i="1"/>
  <c r="BR47" i="1"/>
  <c r="BR52" i="1"/>
  <c r="BP52" i="1"/>
  <c r="BT89" i="1"/>
  <c r="BS93" i="1"/>
  <c r="BR83" i="1"/>
  <c r="BS83" i="1"/>
  <c r="BQ83" i="1"/>
  <c r="BP83" i="1"/>
  <c r="BT17" i="1"/>
  <c r="BT93" i="1"/>
  <c r="BS89" i="1"/>
  <c r="BR89" i="1"/>
  <c r="BP89" i="1"/>
  <c r="BP58" i="1"/>
  <c r="BQ58" i="1"/>
  <c r="BT50" i="1"/>
  <c r="BT41" i="1"/>
  <c r="BS50" i="1"/>
  <c r="BS41" i="1"/>
  <c r="BR50" i="1"/>
  <c r="BR41" i="1"/>
  <c r="BQ50" i="1"/>
  <c r="BQ41" i="1"/>
  <c r="BP50" i="1"/>
  <c r="BP41" i="1"/>
  <c r="BT47" i="1"/>
  <c r="BS51" i="1"/>
  <c r="BS47" i="1"/>
  <c r="BR51" i="1"/>
  <c r="BP47" i="1"/>
  <c r="BS52" i="1"/>
  <c r="BQ51" i="1"/>
  <c r="BS58" i="1"/>
  <c r="BP51" i="1"/>
  <c r="BQ17" i="1"/>
  <c r="BP17" i="1"/>
  <c r="BS17" i="1"/>
  <c r="BR17" i="1"/>
  <c r="Y70" i="12" a="1"/>
  <c r="AB40" i="12" a="1"/>
  <c r="AB91" i="12" a="1"/>
  <c r="Y78" i="12" a="1"/>
  <c r="X20" i="12" a="1"/>
  <c r="Y102" i="12" a="1"/>
  <c r="Y26" i="12" a="1"/>
  <c r="AB8" i="12" a="1"/>
  <c r="AB9" i="12" a="1"/>
  <c r="Y22" i="12" a="1"/>
  <c r="W28" i="12" a="1"/>
  <c r="W91" i="12" a="1"/>
  <c r="W22" i="12" a="1"/>
  <c r="AA88" i="12" a="1"/>
  <c r="W57" i="12" a="1"/>
  <c r="AA69" i="12" a="1"/>
  <c r="Z20" i="12" a="1"/>
  <c r="AB20" i="12" a="1"/>
  <c r="Z10" i="12" a="1"/>
  <c r="Y8" i="12" a="1"/>
  <c r="Y21" i="12" a="1"/>
  <c r="F102" i="12" a="1"/>
  <c r="Y38" i="12" a="1"/>
  <c r="W87" i="12" a="1"/>
  <c r="W75" i="12" a="1"/>
  <c r="AA9" i="12" a="1"/>
  <c r="X86" i="12" a="1"/>
  <c r="AA70" i="12" a="1"/>
  <c r="W45" i="12" a="1"/>
  <c r="AB78" i="12" a="1"/>
  <c r="Y20" i="12" a="1"/>
  <c r="X21" i="12" a="1"/>
  <c r="X8" i="12" a="1"/>
  <c r="AA68" i="12" a="1"/>
  <c r="AB86" i="12" a="1"/>
  <c r="AB26" i="12" a="1"/>
  <c r="X9" i="12" a="1"/>
  <c r="AA22" i="12" a="1"/>
  <c r="X10" i="12" a="1"/>
  <c r="AA95" i="12" a="1"/>
  <c r="Z15" i="12" a="1"/>
  <c r="AB77" i="12" a="1"/>
  <c r="Y82" i="12" a="1"/>
  <c r="W9" i="12" a="1"/>
  <c r="Z21" i="12" a="1"/>
  <c r="AA45" i="12" a="1"/>
  <c r="W8" i="12" a="1"/>
  <c r="W67" i="12" a="1"/>
  <c r="AA26" i="12" a="1"/>
  <c r="W27" i="12" a="1"/>
  <c r="W78" i="12" a="1"/>
  <c r="AA20" i="12" a="1"/>
  <c r="AB72" i="12" a="1"/>
  <c r="Z8" i="12" a="1"/>
  <c r="W38" i="12" a="1"/>
  <c r="AB70" i="12" a="1"/>
  <c r="AA87" i="12" a="1"/>
  <c r="AB56" i="12" a="1"/>
  <c r="AB45" i="12" a="1"/>
  <c r="Z28" i="12" a="1"/>
  <c r="AB95" i="12" a="1"/>
  <c r="AA56" i="12" a="1"/>
  <c r="X22" i="12" a="1"/>
  <c r="Z69" i="12" a="1"/>
  <c r="X26" i="12" a="1"/>
  <c r="X28" i="12" a="1"/>
  <c r="AA8" i="12" a="1"/>
  <c r="W15" i="12" a="1"/>
  <c r="W14" i="12" a="1"/>
  <c r="Y45" i="12" a="1"/>
  <c r="AA15" i="12" a="1"/>
  <c r="X95" i="12" a="1"/>
  <c r="X27" i="12" a="1"/>
  <c r="Z27" i="12" a="1"/>
  <c r="W88" i="12" a="1"/>
  <c r="Y44" i="12" a="1"/>
  <c r="W86" i="12" a="1"/>
  <c r="Z9" i="12" a="1"/>
  <c r="Y10" i="12" a="1"/>
  <c r="Z26" i="12" a="1"/>
  <c r="Y88" i="12" a="1"/>
  <c r="AA10" i="12" a="1"/>
  <c r="AB39" i="12" a="1"/>
  <c r="AA86" i="12" a="1"/>
  <c r="Z16" i="12" a="1"/>
  <c r="AB38" i="12" a="1"/>
  <c r="W20" i="12" a="1"/>
  <c r="Z64" i="12" a="1"/>
  <c r="AB68" i="12" a="1"/>
  <c r="Y95" i="12" a="1"/>
  <c r="W77" i="12" a="1"/>
  <c r="AA74" i="12" a="1"/>
  <c r="W68" i="12" a="1"/>
  <c r="Z95" i="12" a="1"/>
  <c r="AB28" i="12" a="1"/>
  <c r="Y15" i="12" a="1"/>
  <c r="AA38" i="12" a="1"/>
  <c r="AA71" i="12" a="1"/>
  <c r="Z40" i="12" a="1"/>
  <c r="W102" i="12" a="1"/>
  <c r="Z67" i="12" a="1"/>
  <c r="W44" i="12" a="1"/>
  <c r="W10" i="12" a="1"/>
  <c r="Z14" i="12" a="1"/>
  <c r="Z56" i="12" a="1"/>
  <c r="AA28" i="12" a="1"/>
  <c r="Y28" i="12" a="1"/>
  <c r="Y67" i="12" a="1"/>
  <c r="W76" i="12" a="1"/>
  <c r="Y14" i="12" a="1"/>
  <c r="K79" i="12" l="1"/>
  <c r="K9" i="12"/>
  <c r="T8" i="12"/>
  <c r="K88" i="12"/>
  <c r="O69" i="12"/>
  <c r="X86" i="12"/>
  <c r="Q79" i="12"/>
  <c r="BP89" i="14"/>
  <c r="BS20" i="14"/>
  <c r="BS32" i="14" s="1"/>
  <c r="BG29" i="10"/>
  <c r="BJ35" i="1"/>
  <c r="BQ89" i="14"/>
  <c r="BQ28" i="14"/>
  <c r="BG32" i="10"/>
  <c r="BC29" i="14"/>
  <c r="BB35" i="1"/>
  <c r="BW17" i="10"/>
  <c r="BO23" i="10" s="1"/>
  <c r="BQ27" i="10"/>
  <c r="BS27" i="10"/>
  <c r="BE32" i="14"/>
  <c r="BI33" i="14"/>
  <c r="AZ29" i="10"/>
  <c r="BJ29" i="10"/>
  <c r="BE34" i="14"/>
  <c r="E20" i="12"/>
  <c r="K68" i="12"/>
  <c r="K77" i="12"/>
  <c r="AA69" i="12"/>
  <c r="AG69" i="12" s="1"/>
  <c r="AB91" i="12"/>
  <c r="AB93" i="12" s="1"/>
  <c r="Z40" i="12"/>
  <c r="Z52" i="12" s="1"/>
  <c r="Z16" i="12"/>
  <c r="AF16" i="12" s="1"/>
  <c r="AA15" i="12"/>
  <c r="AG15" i="12" s="1"/>
  <c r="AA87" i="12"/>
  <c r="Y82" i="12"/>
  <c r="AK82" i="12" s="1"/>
  <c r="W45" i="12"/>
  <c r="W51" i="12" s="1"/>
  <c r="W57" i="12"/>
  <c r="AE57" i="12" s="1"/>
  <c r="AB40" i="12"/>
  <c r="AN40" i="12" s="1"/>
  <c r="AA71" i="12"/>
  <c r="AA86" i="12"/>
  <c r="Y45" i="12"/>
  <c r="Y51" i="12" s="1"/>
  <c r="AB70" i="12"/>
  <c r="AB77" i="12"/>
  <c r="AA70" i="12"/>
  <c r="AG70" i="12" s="1"/>
  <c r="AA88" i="12"/>
  <c r="Y70" i="12"/>
  <c r="AK70" i="12" s="1"/>
  <c r="AA38" i="12"/>
  <c r="AG38" i="12" s="1"/>
  <c r="AB39" i="12"/>
  <c r="AH39" i="12" s="1"/>
  <c r="W14" i="12"/>
  <c r="AH14" i="12" s="1"/>
  <c r="W38" i="12"/>
  <c r="Z15" i="12"/>
  <c r="J35" i="14"/>
  <c r="F34" i="10"/>
  <c r="BZ17" i="10"/>
  <c r="BR23" i="10" s="1"/>
  <c r="AQ34" i="14"/>
  <c r="BT51" i="14"/>
  <c r="E93" i="12"/>
  <c r="K69" i="12"/>
  <c r="BT51" i="10"/>
  <c r="AX23" i="10"/>
  <c r="AX35" i="10" s="1"/>
  <c r="AX53" i="10"/>
  <c r="AX60" i="10" s="1"/>
  <c r="AX98" i="10" s="1"/>
  <c r="D23" i="14"/>
  <c r="D35" i="14" s="1"/>
  <c r="AI33" i="14"/>
  <c r="Y33" i="10"/>
  <c r="G34" i="14"/>
  <c r="BT50" i="10"/>
  <c r="BS21" i="10"/>
  <c r="BT27" i="10"/>
  <c r="BS28" i="14"/>
  <c r="BS34" i="14" s="1"/>
  <c r="V23" i="14"/>
  <c r="V35" i="14" s="1"/>
  <c r="R53" i="14"/>
  <c r="R60" i="14" s="1"/>
  <c r="R98" i="14" s="1"/>
  <c r="AB34" i="10"/>
  <c r="AV98" i="10"/>
  <c r="P35" i="1"/>
  <c r="BO21" i="10"/>
  <c r="AI53" i="14"/>
  <c r="AI60" i="14" s="1"/>
  <c r="AI98" i="14" s="1"/>
  <c r="E47" i="12"/>
  <c r="E11" i="12"/>
  <c r="E41" i="12"/>
  <c r="BO51" i="10"/>
  <c r="AP34" i="14"/>
  <c r="S23" i="10"/>
  <c r="S35" i="10" s="1"/>
  <c r="S29" i="10"/>
  <c r="AL35" i="1"/>
  <c r="BR52" i="10"/>
  <c r="BR53" i="10" s="1"/>
  <c r="BR60" i="10" s="1"/>
  <c r="BR98" i="10" s="1"/>
  <c r="R33" i="14"/>
  <c r="E26" i="12"/>
  <c r="E32" i="12" s="1"/>
  <c r="E89" i="12"/>
  <c r="P53" i="10"/>
  <c r="P60" i="10" s="1"/>
  <c r="P98" i="10" s="1"/>
  <c r="P29" i="10"/>
  <c r="P35" i="10" s="1"/>
  <c r="H11" i="12"/>
  <c r="BS102" i="10"/>
  <c r="AD102" i="10"/>
  <c r="AF33" i="14"/>
  <c r="Z35" i="1"/>
  <c r="E35" i="1"/>
  <c r="K34" i="10"/>
  <c r="AM53" i="10"/>
  <c r="AM60" i="10" s="1"/>
  <c r="AM98" i="10" s="1"/>
  <c r="L102" i="10"/>
  <c r="AX102" i="10"/>
  <c r="L34" i="10"/>
  <c r="N53" i="14"/>
  <c r="BS50" i="14"/>
  <c r="BS89" i="10"/>
  <c r="H29" i="10"/>
  <c r="CA17" i="10"/>
  <c r="AF35" i="14"/>
  <c r="AL34" i="10"/>
  <c r="N23" i="10"/>
  <c r="N35" i="10" s="1"/>
  <c r="X29" i="10"/>
  <c r="D60" i="14"/>
  <c r="D98" i="14" s="1"/>
  <c r="AM32" i="10"/>
  <c r="BR22" i="10"/>
  <c r="BT52" i="10"/>
  <c r="AP54" i="14"/>
  <c r="BZ17" i="14"/>
  <c r="BR29" i="14" s="1"/>
  <c r="BO53" i="8"/>
  <c r="BO60" i="8" s="1"/>
  <c r="BO98" i="8" s="1"/>
  <c r="AC33" i="14"/>
  <c r="Z34" i="14"/>
  <c r="G89" i="12"/>
  <c r="R68" i="12"/>
  <c r="N60" i="14"/>
  <c r="N98" i="14" s="1"/>
  <c r="AK23" i="10"/>
  <c r="AO53" i="10"/>
  <c r="AO60" i="10" s="1"/>
  <c r="AO98" i="10" s="1"/>
  <c r="AH53" i="10"/>
  <c r="AH60" i="10" s="1"/>
  <c r="G29" i="10"/>
  <c r="I33" i="10"/>
  <c r="BP17" i="14"/>
  <c r="W53" i="10"/>
  <c r="W60" i="10" s="1"/>
  <c r="W98" i="10" s="1"/>
  <c r="W23" i="10"/>
  <c r="W35" i="10" s="1"/>
  <c r="BQ47" i="10"/>
  <c r="BQ29" i="10" s="1"/>
  <c r="BT93" i="10"/>
  <c r="Q38" i="12"/>
  <c r="Q87" i="12"/>
  <c r="BT83" i="10"/>
  <c r="BT22" i="10"/>
  <c r="BT34" i="10" s="1"/>
  <c r="BS83" i="10"/>
  <c r="AC53" i="10"/>
  <c r="AC60" i="10" s="1"/>
  <c r="AC98" i="10" s="1"/>
  <c r="N98" i="10"/>
  <c r="N35" i="1"/>
  <c r="AQ32" i="10"/>
  <c r="N53" i="10"/>
  <c r="N60" i="10" s="1"/>
  <c r="E60" i="10"/>
  <c r="E98" i="10" s="1"/>
  <c r="BX17" i="14"/>
  <c r="J29" i="14"/>
  <c r="Q35" i="9"/>
  <c r="E50" i="12"/>
  <c r="Q64" i="12"/>
  <c r="E21" i="12"/>
  <c r="K45" i="12"/>
  <c r="E83" i="12"/>
  <c r="E17" i="12"/>
  <c r="E23" i="12" s="1"/>
  <c r="D7" i="13" s="1"/>
  <c r="T14" i="12"/>
  <c r="L68" i="12"/>
  <c r="Q8" i="12"/>
  <c r="Q76" i="12"/>
  <c r="K91" i="12"/>
  <c r="E27" i="12"/>
  <c r="Q15" i="12"/>
  <c r="K65" i="12"/>
  <c r="K63" i="12"/>
  <c r="X8" i="12"/>
  <c r="X10" i="12"/>
  <c r="X9" i="12"/>
  <c r="BO83" i="14"/>
  <c r="BR28" i="14"/>
  <c r="CA17" i="14"/>
  <c r="BS23" i="14" s="1"/>
  <c r="BA35" i="1"/>
  <c r="BC102" i="10"/>
  <c r="BH32" i="10"/>
  <c r="BD23" i="10"/>
  <c r="BD35" i="10" s="1"/>
  <c r="BD53" i="10"/>
  <c r="BD60" i="10" s="1"/>
  <c r="BD98" i="10" s="1"/>
  <c r="BG34" i="14"/>
  <c r="BA102" i="10"/>
  <c r="BB102" i="10"/>
  <c r="BP102" i="10"/>
  <c r="BC33" i="14"/>
  <c r="AZ29" i="14"/>
  <c r="AZ33" i="10"/>
  <c r="BE53" i="14"/>
  <c r="BE60" i="14" s="1"/>
  <c r="BE98" i="14" s="1"/>
  <c r="BE23" i="14"/>
  <c r="BE35" i="14" s="1"/>
  <c r="BP11" i="10"/>
  <c r="BP47" i="14"/>
  <c r="BP29" i="14" s="1"/>
  <c r="BP26" i="14"/>
  <c r="BQ17" i="14"/>
  <c r="BF53" i="14"/>
  <c r="BF60" i="14" s="1"/>
  <c r="BF98" i="14" s="1"/>
  <c r="BF23" i="14"/>
  <c r="BF35" i="14" s="1"/>
  <c r="BH53" i="10"/>
  <c r="BH60" i="10" s="1"/>
  <c r="BH98" i="10" s="1"/>
  <c r="BH23" i="10"/>
  <c r="BH35" i="10" s="1"/>
  <c r="BD32" i="14"/>
  <c r="BJ32" i="10"/>
  <c r="BB32" i="14"/>
  <c r="BG32" i="14"/>
  <c r="BD35" i="1"/>
  <c r="BC102" i="14"/>
  <c r="BP102" i="14"/>
  <c r="BB102" i="14"/>
  <c r="BG53" i="10"/>
  <c r="BG60" i="10" s="1"/>
  <c r="BG98" i="10" s="1"/>
  <c r="BG23" i="10"/>
  <c r="BG35" i="10" s="1"/>
  <c r="BD53" i="14"/>
  <c r="BD60" i="14" s="1"/>
  <c r="BD98" i="14" s="1"/>
  <c r="BJ53" i="10"/>
  <c r="BJ60" i="10" s="1"/>
  <c r="BJ98" i="10" s="1"/>
  <c r="BJ23" i="10"/>
  <c r="BJ35" i="10" s="1"/>
  <c r="AZ23" i="14"/>
  <c r="AZ53" i="14"/>
  <c r="AZ60" i="14" s="1"/>
  <c r="AZ98" i="14" s="1"/>
  <c r="BB23" i="14"/>
  <c r="BB35" i="14" s="1"/>
  <c r="BB53" i="14"/>
  <c r="BB60" i="14" s="1"/>
  <c r="BB98" i="14" s="1"/>
  <c r="BG53" i="14"/>
  <c r="BG60" i="14" s="1"/>
  <c r="BG98" i="14" s="1"/>
  <c r="BG23" i="14"/>
  <c r="BG35" i="14" s="1"/>
  <c r="BE23" i="10"/>
  <c r="BE35" i="10" s="1"/>
  <c r="BE53" i="10"/>
  <c r="BE60" i="10" s="1"/>
  <c r="BE98" i="10" s="1"/>
  <c r="AZ33" i="14"/>
  <c r="BF32" i="14"/>
  <c r="BA23" i="10"/>
  <c r="BA35" i="10" s="1"/>
  <c r="BA53" i="10"/>
  <c r="BA60" i="10" s="1"/>
  <c r="BA98" i="10" s="1"/>
  <c r="BI53" i="14"/>
  <c r="BI60" i="14" s="1"/>
  <c r="BI98" i="14" s="1"/>
  <c r="BI23" i="14"/>
  <c r="BI35" i="14" s="1"/>
  <c r="BB33" i="14"/>
  <c r="BC32" i="10"/>
  <c r="BA33" i="14"/>
  <c r="BF35" i="1"/>
  <c r="BJ102" i="14"/>
  <c r="BK29" i="14"/>
  <c r="BE32" i="10"/>
  <c r="BP83" i="14"/>
  <c r="BI34" i="14"/>
  <c r="BP21" i="14"/>
  <c r="BP33" i="14" s="1"/>
  <c r="BP51" i="14"/>
  <c r="BK32" i="10"/>
  <c r="BH53" i="14"/>
  <c r="BH60" i="14" s="1"/>
  <c r="BH98" i="14" s="1"/>
  <c r="BH23" i="14"/>
  <c r="BH35" i="14" s="1"/>
  <c r="BA33" i="10"/>
  <c r="BC23" i="10"/>
  <c r="BC35" i="10" s="1"/>
  <c r="BC53" i="10"/>
  <c r="BC60" i="10" s="1"/>
  <c r="BC98" i="10" s="1"/>
  <c r="AZ23" i="10"/>
  <c r="AZ35" i="10" s="1"/>
  <c r="AZ53" i="10"/>
  <c r="AZ60" i="10" s="1"/>
  <c r="AZ98" i="10" s="1"/>
  <c r="BP41" i="14"/>
  <c r="BP23" i="14" s="1"/>
  <c r="BP20" i="14"/>
  <c r="BP50" i="14"/>
  <c r="BF32" i="10"/>
  <c r="BJ32" i="14"/>
  <c r="BB33" i="10"/>
  <c r="BK32" i="14"/>
  <c r="BP52" i="14"/>
  <c r="BP22" i="14"/>
  <c r="BP34" i="14" s="1"/>
  <c r="S40" i="12"/>
  <c r="BE35" i="1"/>
  <c r="BP58" i="14"/>
  <c r="BH32" i="14"/>
  <c r="BE34" i="10"/>
  <c r="BB23" i="10"/>
  <c r="BB35" i="10" s="1"/>
  <c r="BB53" i="10"/>
  <c r="BB60" i="10" s="1"/>
  <c r="BB98" i="10" s="1"/>
  <c r="BF33" i="10"/>
  <c r="BF53" i="10"/>
  <c r="BF60" i="10" s="1"/>
  <c r="BF98" i="10" s="1"/>
  <c r="BJ53" i="14"/>
  <c r="BJ60" i="14" s="1"/>
  <c r="BJ98" i="14" s="1"/>
  <c r="BJ23" i="14"/>
  <c r="BJ35" i="14" s="1"/>
  <c r="BK53" i="14"/>
  <c r="BK60" i="14" s="1"/>
  <c r="BK98" i="14" s="1"/>
  <c r="BK23" i="14"/>
  <c r="BK35" i="14" s="1"/>
  <c r="BA32" i="14"/>
  <c r="AZ34" i="14"/>
  <c r="BK23" i="10"/>
  <c r="BK35" i="10" s="1"/>
  <c r="BK53" i="10"/>
  <c r="BK60" i="10" s="1"/>
  <c r="BK98" i="10" s="1"/>
  <c r="BS53" i="14"/>
  <c r="BS60" i="14" s="1"/>
  <c r="BF35" i="10"/>
  <c r="R69" i="12"/>
  <c r="BB32" i="10"/>
  <c r="BD32" i="10"/>
  <c r="BI53" i="10"/>
  <c r="BI60" i="10" s="1"/>
  <c r="BI98" i="10" s="1"/>
  <c r="BI23" i="10"/>
  <c r="BI35" i="10" s="1"/>
  <c r="BC23" i="14"/>
  <c r="BC35" i="14" s="1"/>
  <c r="BC53" i="14"/>
  <c r="BC60" i="14" s="1"/>
  <c r="BC98" i="14" s="1"/>
  <c r="BE102" i="14"/>
  <c r="BF33" i="14"/>
  <c r="BA53" i="14"/>
  <c r="BA60" i="14" s="1"/>
  <c r="BA98" i="14" s="1"/>
  <c r="BA23" i="14"/>
  <c r="BA35" i="14" s="1"/>
  <c r="Z56" i="12"/>
  <c r="AL56" i="12" s="1"/>
  <c r="AB72" i="12"/>
  <c r="AN72" i="12" s="1"/>
  <c r="W78" i="12"/>
  <c r="AJ78" i="12" s="1"/>
  <c r="Y44" i="12"/>
  <c r="Z67" i="12"/>
  <c r="AB78" i="12"/>
  <c r="AA74" i="12"/>
  <c r="AG74" i="12" s="1"/>
  <c r="AB68" i="12"/>
  <c r="AK34" i="14"/>
  <c r="BQ83" i="14"/>
  <c r="G35" i="14"/>
  <c r="E98" i="14"/>
  <c r="X98" i="14"/>
  <c r="AH98" i="10"/>
  <c r="M102" i="14"/>
  <c r="F27" i="12"/>
  <c r="T96" i="12"/>
  <c r="M14" i="12"/>
  <c r="O46" i="12"/>
  <c r="P98" i="14"/>
  <c r="O102" i="10"/>
  <c r="AD98" i="10"/>
  <c r="N69" i="12"/>
  <c r="I89" i="12"/>
  <c r="H27" i="12"/>
  <c r="S46" i="12"/>
  <c r="I22" i="12"/>
  <c r="U15" i="12"/>
  <c r="G20" i="12"/>
  <c r="M77" i="12"/>
  <c r="R56" i="12"/>
  <c r="U65" i="12"/>
  <c r="AN35" i="10"/>
  <c r="T98" i="14"/>
  <c r="R102" i="10"/>
  <c r="AO53" i="14"/>
  <c r="AO23" i="14"/>
  <c r="AO35" i="14" s="1"/>
  <c r="T69" i="12"/>
  <c r="F22" i="12"/>
  <c r="M46" i="12"/>
  <c r="O65" i="12"/>
  <c r="N10" i="12"/>
  <c r="O16" i="12"/>
  <c r="N14" i="12"/>
  <c r="O63" i="12"/>
  <c r="H51" i="12"/>
  <c r="Q56" i="12"/>
  <c r="F58" i="12"/>
  <c r="S74" i="12"/>
  <c r="M68" i="12"/>
  <c r="H22" i="12"/>
  <c r="N15" i="12"/>
  <c r="L63" i="12"/>
  <c r="H21" i="12"/>
  <c r="F47" i="12"/>
  <c r="G52" i="12"/>
  <c r="L78" i="12"/>
  <c r="S77" i="12"/>
  <c r="L91" i="12"/>
  <c r="O15" i="12"/>
  <c r="Q69" i="12"/>
  <c r="M69" i="12"/>
  <c r="T9" i="12"/>
  <c r="Q65" i="12"/>
  <c r="K15" i="12"/>
  <c r="S78" i="12"/>
  <c r="K56" i="12"/>
  <c r="Q46" i="12"/>
  <c r="L15" i="12"/>
  <c r="R15" i="12"/>
  <c r="K64" i="12"/>
  <c r="S65" i="12"/>
  <c r="K8" i="12"/>
  <c r="O79" i="12"/>
  <c r="L40" i="12"/>
  <c r="I58" i="12"/>
  <c r="I20" i="12"/>
  <c r="L8" i="12"/>
  <c r="K16" i="12"/>
  <c r="Q74" i="12"/>
  <c r="K14" i="12"/>
  <c r="U95" i="12"/>
  <c r="U63" i="12"/>
  <c r="K76" i="12"/>
  <c r="O77" i="12"/>
  <c r="U46" i="12"/>
  <c r="L45" i="12"/>
  <c r="R78" i="12"/>
  <c r="M76" i="12"/>
  <c r="U16" i="12"/>
  <c r="T16" i="12"/>
  <c r="S14" i="12"/>
  <c r="Q16" i="12"/>
  <c r="D28" i="12"/>
  <c r="R16" i="12"/>
  <c r="Q77" i="12"/>
  <c r="Q68" i="12"/>
  <c r="I21" i="12"/>
  <c r="N63" i="12"/>
  <c r="Q63" i="12"/>
  <c r="U91" i="12"/>
  <c r="T45" i="12"/>
  <c r="U76" i="12"/>
  <c r="O76" i="12"/>
  <c r="N77" i="12"/>
  <c r="L39" i="12"/>
  <c r="U78" i="12"/>
  <c r="M9" i="12"/>
  <c r="N78" i="12"/>
  <c r="T78" i="12"/>
  <c r="S45" i="12"/>
  <c r="T63" i="12"/>
  <c r="Q78" i="12"/>
  <c r="T76" i="12"/>
  <c r="U77" i="12"/>
  <c r="I93" i="12"/>
  <c r="T56" i="12"/>
  <c r="F93" i="12"/>
  <c r="M63" i="12"/>
  <c r="U72" i="12"/>
  <c r="N9" i="12"/>
  <c r="D27" i="12"/>
  <c r="N45" i="12"/>
  <c r="L56" i="12"/>
  <c r="L72" i="12"/>
  <c r="T15" i="12"/>
  <c r="N16" i="12"/>
  <c r="R63" i="12"/>
  <c r="L64" i="12"/>
  <c r="M45" i="12"/>
  <c r="T64" i="12"/>
  <c r="S68" i="12"/>
  <c r="R64" i="12"/>
  <c r="N56" i="12"/>
  <c r="R9" i="12"/>
  <c r="K95" i="12"/>
  <c r="O14" i="12"/>
  <c r="N64" i="12"/>
  <c r="S72" i="12"/>
  <c r="G27" i="12"/>
  <c r="M56" i="12"/>
  <c r="T68" i="12"/>
  <c r="G50" i="12"/>
  <c r="L86" i="12"/>
  <c r="O9" i="12"/>
  <c r="L76" i="12"/>
  <c r="N81" i="12"/>
  <c r="U64" i="12"/>
  <c r="Z64" i="12"/>
  <c r="AA56" i="12"/>
  <c r="AA58" i="12" s="1"/>
  <c r="Y78" i="12"/>
  <c r="AA45" i="12"/>
  <c r="Y15" i="12"/>
  <c r="AA68" i="12"/>
  <c r="Z14" i="12"/>
  <c r="W88" i="12"/>
  <c r="AB56" i="12"/>
  <c r="AH56" i="12" s="1"/>
  <c r="Y67" i="12"/>
  <c r="W67" i="12"/>
  <c r="AN67" i="12" s="1"/>
  <c r="AB38" i="12"/>
  <c r="Y88" i="12"/>
  <c r="Y89" i="12" s="1"/>
  <c r="W27" i="12"/>
  <c r="Y38" i="12"/>
  <c r="AK38" i="12" s="1"/>
  <c r="W15" i="12"/>
  <c r="AB86" i="12"/>
  <c r="AB89" i="12" s="1"/>
  <c r="AB45" i="12"/>
  <c r="AH45" i="12" s="1"/>
  <c r="Z69" i="12"/>
  <c r="AL69" i="12" s="1"/>
  <c r="AE29" i="10"/>
  <c r="AE35" i="10" s="1"/>
  <c r="AE53" i="10"/>
  <c r="F11" i="12"/>
  <c r="N40" i="12"/>
  <c r="U9" i="12"/>
  <c r="AW60" i="10"/>
  <c r="AW98" i="10" s="1"/>
  <c r="T23" i="14"/>
  <c r="T35" i="14" s="1"/>
  <c r="X29" i="14"/>
  <c r="X35" i="14" s="1"/>
  <c r="K86" i="12"/>
  <c r="AN34" i="14"/>
  <c r="AG33" i="14"/>
  <c r="AQ29" i="14"/>
  <c r="AS33" i="14"/>
  <c r="H17" i="12"/>
  <c r="L16" i="12"/>
  <c r="R46" i="12"/>
  <c r="R74" i="12"/>
  <c r="O91" i="12"/>
  <c r="T65" i="12"/>
  <c r="S76" i="12"/>
  <c r="M74" i="12"/>
  <c r="I28" i="12"/>
  <c r="G32" i="14"/>
  <c r="BS83" i="14"/>
  <c r="AE60" i="10"/>
  <c r="AE98" i="10" s="1"/>
  <c r="D34" i="14"/>
  <c r="N33" i="10"/>
  <c r="O64" i="12"/>
  <c r="BT83" i="14"/>
  <c r="AR53" i="14"/>
  <c r="AR29" i="14"/>
  <c r="AR35" i="14" s="1"/>
  <c r="AU35" i="8"/>
  <c r="AA53" i="10"/>
  <c r="AA60" i="10" s="1"/>
  <c r="AA98" i="10" s="1"/>
  <c r="AA23" i="10"/>
  <c r="AA35" i="10" s="1"/>
  <c r="Q86" i="12"/>
  <c r="M15" i="12"/>
  <c r="R76" i="12"/>
  <c r="R86" i="12"/>
  <c r="V98" i="10"/>
  <c r="S102" i="14"/>
  <c r="J29" i="10"/>
  <c r="J35" i="10" s="1"/>
  <c r="J53" i="10"/>
  <c r="J60" i="10" s="1"/>
  <c r="Z53" i="10"/>
  <c r="Z60" i="10" s="1"/>
  <c r="Z98" i="10" s="1"/>
  <c r="Z29" i="10"/>
  <c r="Z35" i="10" s="1"/>
  <c r="AA32" i="10"/>
  <c r="K23" i="10"/>
  <c r="K29" i="10"/>
  <c r="L29" i="10"/>
  <c r="L35" i="10" s="1"/>
  <c r="L53" i="10"/>
  <c r="L60" i="10" s="1"/>
  <c r="L98" i="10" s="1"/>
  <c r="Z23" i="14"/>
  <c r="Z35" i="14" s="1"/>
  <c r="Z53" i="14"/>
  <c r="Z60" i="14" s="1"/>
  <c r="Z98" i="14" s="1"/>
  <c r="S38" i="12"/>
  <c r="G26" i="12"/>
  <c r="S15" i="12"/>
  <c r="BR34" i="14"/>
  <c r="AH98" i="14"/>
  <c r="AN53" i="10"/>
  <c r="AN60" i="10" s="1"/>
  <c r="AN98" i="10" s="1"/>
  <c r="R71" i="12"/>
  <c r="G17" i="12"/>
  <c r="I83" i="12"/>
  <c r="H11" i="13" s="1"/>
  <c r="N87" i="12"/>
  <c r="L38" i="12"/>
  <c r="O67" i="12"/>
  <c r="F83" i="12"/>
  <c r="M64" i="12"/>
  <c r="N74" i="12"/>
  <c r="S75" i="12"/>
  <c r="H58" i="12"/>
  <c r="N38" i="12"/>
  <c r="I11" i="12"/>
  <c r="H47" i="12"/>
  <c r="AL102" i="10"/>
  <c r="AK102" i="10"/>
  <c r="Y32" i="14"/>
  <c r="BO17" i="10"/>
  <c r="AR33" i="14"/>
  <c r="Q53" i="10"/>
  <c r="Q60" i="10" s="1"/>
  <c r="Q98" i="10" s="1"/>
  <c r="Q29" i="10"/>
  <c r="Q35" i="10" s="1"/>
  <c r="N68" i="12"/>
  <c r="P32" i="14"/>
  <c r="AE98" i="14"/>
  <c r="N91" i="12"/>
  <c r="F89" i="12"/>
  <c r="R10" i="12"/>
  <c r="O73" i="12"/>
  <c r="I50" i="12"/>
  <c r="G93" i="12"/>
  <c r="N76" i="12"/>
  <c r="AD29" i="14"/>
  <c r="AD35" i="14" s="1"/>
  <c r="AD53" i="14"/>
  <c r="AD60" i="14" s="1"/>
  <c r="AD98" i="14" s="1"/>
  <c r="AB23" i="14"/>
  <c r="AB35" i="14" s="1"/>
  <c r="AB53" i="14"/>
  <c r="AB60" i="14" s="1"/>
  <c r="AB98" i="14" s="1"/>
  <c r="AY53" i="10"/>
  <c r="AY60" i="10" s="1"/>
  <c r="AY98" i="10" s="1"/>
  <c r="AY23" i="10"/>
  <c r="AY35" i="10" s="1"/>
  <c r="AV18" i="14"/>
  <c r="AV29" i="14"/>
  <c r="R29" i="10"/>
  <c r="R35" i="10" s="1"/>
  <c r="R53" i="10"/>
  <c r="R60" i="10" s="1"/>
  <c r="R98" i="10" s="1"/>
  <c r="AO23" i="10"/>
  <c r="AO35" i="10" s="1"/>
  <c r="BQ17" i="10"/>
  <c r="S44" i="12"/>
  <c r="I41" i="12"/>
  <c r="G47" i="12"/>
  <c r="BO89" i="14"/>
  <c r="J98" i="10"/>
  <c r="U68" i="12"/>
  <c r="R79" i="12"/>
  <c r="U69" i="12"/>
  <c r="M65" i="12"/>
  <c r="R81" i="12"/>
  <c r="L69" i="12"/>
  <c r="I17" i="12"/>
  <c r="H13" i="13" s="1"/>
  <c r="M35" i="8"/>
  <c r="Y29" i="14"/>
  <c r="Y35" i="14" s="1"/>
  <c r="G21" i="12"/>
  <c r="G33" i="12" s="1"/>
  <c r="G51" i="12"/>
  <c r="G41" i="12"/>
  <c r="K70" i="12"/>
  <c r="R70" i="12"/>
  <c r="L70" i="12"/>
  <c r="M70" i="12"/>
  <c r="T70" i="12"/>
  <c r="Q70" i="12"/>
  <c r="S70" i="12"/>
  <c r="N70" i="12"/>
  <c r="F17" i="12"/>
  <c r="L14" i="12"/>
  <c r="K44" i="12"/>
  <c r="N44" i="12"/>
  <c r="L44" i="12"/>
  <c r="D26" i="12"/>
  <c r="S26" i="12" s="1"/>
  <c r="R44" i="12"/>
  <c r="U45" i="12"/>
  <c r="I27" i="12"/>
  <c r="I51" i="12"/>
  <c r="S82" i="12"/>
  <c r="N82" i="12"/>
  <c r="Q82" i="12"/>
  <c r="T82" i="12"/>
  <c r="L82" i="12"/>
  <c r="R82" i="12"/>
  <c r="M79" i="12"/>
  <c r="N79" i="12"/>
  <c r="H52" i="12"/>
  <c r="O45" i="12"/>
  <c r="R8" i="12"/>
  <c r="D22" i="12"/>
  <c r="U40" i="12"/>
  <c r="O40" i="12"/>
  <c r="R40" i="12"/>
  <c r="D52" i="12"/>
  <c r="Q52" i="12" s="1"/>
  <c r="L77" i="12"/>
  <c r="R77" i="12"/>
  <c r="K38" i="12"/>
  <c r="U38" i="12"/>
  <c r="O38" i="12"/>
  <c r="D20" i="12"/>
  <c r="R87" i="12"/>
  <c r="S87" i="12"/>
  <c r="M87" i="12"/>
  <c r="L87" i="12"/>
  <c r="K87" i="12"/>
  <c r="O87" i="12"/>
  <c r="T87" i="12"/>
  <c r="T81" i="12"/>
  <c r="S81" i="12"/>
  <c r="U81" i="12"/>
  <c r="L81" i="12"/>
  <c r="O81" i="12"/>
  <c r="K81" i="12"/>
  <c r="Q81" i="12"/>
  <c r="M81" i="12"/>
  <c r="R65" i="12"/>
  <c r="L65" i="12"/>
  <c r="M40" i="12"/>
  <c r="S79" i="12"/>
  <c r="M73" i="12"/>
  <c r="M72" i="12"/>
  <c r="O68" i="12"/>
  <c r="Q40" i="12"/>
  <c r="L10" i="12"/>
  <c r="T79" i="12"/>
  <c r="S63" i="12"/>
  <c r="R88" i="12"/>
  <c r="M57" i="12"/>
  <c r="S56" i="12"/>
  <c r="R72" i="12"/>
  <c r="T95" i="12"/>
  <c r="R14" i="12"/>
  <c r="H83" i="12"/>
  <c r="S69" i="12"/>
  <c r="H50" i="12"/>
  <c r="Q39" i="12"/>
  <c r="D21" i="12"/>
  <c r="U39" i="12"/>
  <c r="O39" i="12"/>
  <c r="S39" i="12"/>
  <c r="T39" i="12"/>
  <c r="K39" i="12"/>
  <c r="G96" i="12"/>
  <c r="S96" i="12" s="1"/>
  <c r="M95" i="12"/>
  <c r="S8" i="12"/>
  <c r="D11" i="12"/>
  <c r="O8" i="12"/>
  <c r="N8" i="12"/>
  <c r="M8" i="12"/>
  <c r="U82" i="12"/>
  <c r="D51" i="12"/>
  <c r="O44" i="12"/>
  <c r="U56" i="12"/>
  <c r="O56" i="12"/>
  <c r="O86" i="12"/>
  <c r="N86" i="12"/>
  <c r="M86" i="12"/>
  <c r="U86" i="12"/>
  <c r="S86" i="12"/>
  <c r="T86" i="12"/>
  <c r="M44" i="12"/>
  <c r="D41" i="12"/>
  <c r="U79" i="12"/>
  <c r="U87" i="12"/>
  <c r="N39" i="12"/>
  <c r="G58" i="12"/>
  <c r="D47" i="12"/>
  <c r="S10" i="12"/>
  <c r="M82" i="12"/>
  <c r="O82" i="12"/>
  <c r="T67" i="12"/>
  <c r="T74" i="12"/>
  <c r="F26" i="12"/>
  <c r="M80" i="12"/>
  <c r="L80" i="12"/>
  <c r="K80" i="12"/>
  <c r="T92" i="12"/>
  <c r="K92" i="12"/>
  <c r="S92" i="12"/>
  <c r="T66" i="12"/>
  <c r="D83" i="12"/>
  <c r="Q75" i="12"/>
  <c r="U75" i="12"/>
  <c r="T75" i="12"/>
  <c r="N57" i="12"/>
  <c r="D58" i="12"/>
  <c r="L58" i="12" s="1"/>
  <c r="U57" i="12"/>
  <c r="R57" i="12"/>
  <c r="O57" i="12"/>
  <c r="Q57" i="12"/>
  <c r="M10" i="12"/>
  <c r="K10" i="12"/>
  <c r="O10" i="12"/>
  <c r="I47" i="12"/>
  <c r="I26" i="12"/>
  <c r="U71" i="12"/>
  <c r="U44" i="12"/>
  <c r="K71" i="12"/>
  <c r="U70" i="12"/>
  <c r="N75" i="12"/>
  <c r="Q44" i="12"/>
  <c r="K75" i="12"/>
  <c r="Q73" i="12"/>
  <c r="S73" i="12"/>
  <c r="R73" i="12"/>
  <c r="L73" i="12"/>
  <c r="U73" i="12"/>
  <c r="S57" i="12"/>
  <c r="N80" i="12"/>
  <c r="K73" i="12"/>
  <c r="L79" i="12"/>
  <c r="M38" i="12"/>
  <c r="D50" i="12"/>
  <c r="AJ69" i="12"/>
  <c r="T10" i="12"/>
  <c r="K40" i="12"/>
  <c r="U10" i="12"/>
  <c r="T40" i="12"/>
  <c r="T44" i="12"/>
  <c r="O88" i="12"/>
  <c r="T91" i="12"/>
  <c r="L57" i="12"/>
  <c r="O75" i="12"/>
  <c r="L74" i="12"/>
  <c r="O95" i="12"/>
  <c r="N65" i="12"/>
  <c r="O72" i="12"/>
  <c r="K74" i="12"/>
  <c r="F28" i="12"/>
  <c r="K72" i="12"/>
  <c r="R45" i="12"/>
  <c r="N95" i="12"/>
  <c r="Q14" i="12"/>
  <c r="F52" i="12"/>
  <c r="Q95" i="12"/>
  <c r="S95" i="12"/>
  <c r="I52" i="12"/>
  <c r="T72" i="12"/>
  <c r="D17" i="12"/>
  <c r="L9" i="12"/>
  <c r="N72" i="12"/>
  <c r="S91" i="12"/>
  <c r="U14" i="12"/>
  <c r="AN69" i="12"/>
  <c r="L46" i="12"/>
  <c r="R91" i="12"/>
  <c r="Q91" i="12"/>
  <c r="Q9" i="12"/>
  <c r="Q45" i="12"/>
  <c r="R38" i="12"/>
  <c r="M88" i="12"/>
  <c r="U92" i="12"/>
  <c r="R75" i="12"/>
  <c r="T73" i="12"/>
  <c r="D93" i="12"/>
  <c r="O93" i="12" s="1"/>
  <c r="N88" i="12"/>
  <c r="L75" i="12"/>
  <c r="U80" i="12"/>
  <c r="F21" i="12"/>
  <c r="F33" i="12" s="1"/>
  <c r="Q88" i="12"/>
  <c r="U74" i="12"/>
  <c r="T77" i="12"/>
  <c r="S64" i="12"/>
  <c r="N73" i="12"/>
  <c r="H41" i="12"/>
  <c r="N46" i="12"/>
  <c r="O71" i="12"/>
  <c r="R95" i="12"/>
  <c r="O78" i="12"/>
  <c r="S66" i="12"/>
  <c r="L88" i="12"/>
  <c r="U8" i="12"/>
  <c r="Q67" i="12"/>
  <c r="U66" i="12"/>
  <c r="M75" i="12"/>
  <c r="F50" i="12"/>
  <c r="L71" i="12"/>
  <c r="F51" i="12"/>
  <c r="L66" i="12"/>
  <c r="G11" i="12"/>
  <c r="S71" i="12"/>
  <c r="L92" i="12"/>
  <c r="G28" i="12"/>
  <c r="M66" i="12"/>
  <c r="N92" i="12"/>
  <c r="R66" i="12"/>
  <c r="R80" i="12"/>
  <c r="K67" i="12"/>
  <c r="K66" i="12"/>
  <c r="T38" i="12"/>
  <c r="M67" i="12"/>
  <c r="R39" i="12"/>
  <c r="T71" i="12"/>
  <c r="AH73" i="12"/>
  <c r="H20" i="12"/>
  <c r="H32" i="12" s="1"/>
  <c r="F41" i="12"/>
  <c r="T57" i="12"/>
  <c r="N66" i="12"/>
  <c r="O92" i="12"/>
  <c r="U67" i="12"/>
  <c r="S9" i="12"/>
  <c r="O66" i="12"/>
  <c r="T80" i="12"/>
  <c r="H28" i="12"/>
  <c r="S67" i="12"/>
  <c r="G83" i="12"/>
  <c r="N71" i="12"/>
  <c r="O80" i="12"/>
  <c r="N67" i="12"/>
  <c r="O74" i="12"/>
  <c r="M71" i="12"/>
  <c r="Q92" i="12"/>
  <c r="U88" i="12"/>
  <c r="L67" i="12"/>
  <c r="M92" i="12"/>
  <c r="Q66" i="12"/>
  <c r="Q80" i="12"/>
  <c r="R92" i="12"/>
  <c r="AF73" i="12"/>
  <c r="T46" i="12"/>
  <c r="F20" i="12"/>
  <c r="L95" i="12"/>
  <c r="H89" i="12"/>
  <c r="R67" i="12"/>
  <c r="S16" i="12"/>
  <c r="Q71" i="12"/>
  <c r="M16" i="12"/>
  <c r="AJ73" i="12"/>
  <c r="AE73" i="12"/>
  <c r="AG73" i="12"/>
  <c r="D89" i="12"/>
  <c r="G22" i="12"/>
  <c r="S80" i="12"/>
  <c r="T88" i="12"/>
  <c r="S88" i="12"/>
  <c r="AH71" i="12"/>
  <c r="BO28" i="14"/>
  <c r="BO34" i="14" s="1"/>
  <c r="BS27" i="14"/>
  <c r="BS33" i="14" s="1"/>
  <c r="BO35" i="8"/>
  <c r="W86" i="12"/>
  <c r="AF86" i="12" s="1"/>
  <c r="W44" i="12"/>
  <c r="W9" i="12"/>
  <c r="AK9" i="12" s="1"/>
  <c r="W10" i="12"/>
  <c r="AB9" i="12"/>
  <c r="W91" i="12"/>
  <c r="AA8" i="12"/>
  <c r="W77" i="12"/>
  <c r="AJ77" i="12" s="1"/>
  <c r="W75" i="12"/>
  <c r="AH75" i="12" s="1"/>
  <c r="W87" i="12"/>
  <c r="AL87" i="12" s="1"/>
  <c r="W8" i="12"/>
  <c r="AE8" i="12" s="1"/>
  <c r="Z9" i="12"/>
  <c r="Y10" i="12"/>
  <c r="AA9" i="12"/>
  <c r="Z10" i="12"/>
  <c r="W76" i="12"/>
  <c r="AH76" i="12" s="1"/>
  <c r="W68" i="12"/>
  <c r="AE68" i="12" s="1"/>
  <c r="Y8" i="12"/>
  <c r="AB8" i="12"/>
  <c r="Z8" i="12"/>
  <c r="AA10" i="12"/>
  <c r="AS54" i="14"/>
  <c r="AS60" i="14"/>
  <c r="AS98" i="14" s="1"/>
  <c r="BO47" i="14"/>
  <c r="BO26" i="14"/>
  <c r="BO32" i="14" s="1"/>
  <c r="BO50" i="14"/>
  <c r="Q23" i="14"/>
  <c r="Q35" i="14" s="1"/>
  <c r="Q53" i="14"/>
  <c r="Q60" i="14" s="1"/>
  <c r="Q98" i="14" s="1"/>
  <c r="BO89" i="10"/>
  <c r="AC29" i="14"/>
  <c r="AC35" i="14" s="1"/>
  <c r="AC53" i="14"/>
  <c r="AC60" i="14" s="1"/>
  <c r="AC98" i="14" s="1"/>
  <c r="BO50" i="10"/>
  <c r="BO26" i="10"/>
  <c r="F23" i="14"/>
  <c r="F35" i="14" s="1"/>
  <c r="F53" i="14"/>
  <c r="F60" i="14" s="1"/>
  <c r="F98" i="14" s="1"/>
  <c r="M33" i="10"/>
  <c r="AT102" i="14"/>
  <c r="AS102" i="14"/>
  <c r="K32" i="14"/>
  <c r="AQ53" i="10"/>
  <c r="AQ60" i="10" s="1"/>
  <c r="AQ98" i="10" s="1"/>
  <c r="AQ23" i="10"/>
  <c r="AQ35" i="10" s="1"/>
  <c r="AK29" i="10"/>
  <c r="AK35" i="10" s="1"/>
  <c r="AK53" i="10"/>
  <c r="AK60" i="10" s="1"/>
  <c r="AK98" i="10" s="1"/>
  <c r="M53" i="14"/>
  <c r="M60" i="14" s="1"/>
  <c r="M98" i="14" s="1"/>
  <c r="W60" i="14"/>
  <c r="W98" i="14" s="1"/>
  <c r="AD33" i="10"/>
  <c r="Y102" i="10"/>
  <c r="Z102" i="10"/>
  <c r="BO21" i="14"/>
  <c r="BO27" i="14"/>
  <c r="BW17" i="14"/>
  <c r="BO23" i="14" s="1"/>
  <c r="AL53" i="10"/>
  <c r="AL60" i="10" s="1"/>
  <c r="AL98" i="10" s="1"/>
  <c r="AL23" i="10"/>
  <c r="AL35" i="10" s="1"/>
  <c r="I102" i="14"/>
  <c r="J102" i="14"/>
  <c r="AV23" i="14"/>
  <c r="AV35" i="14" s="1"/>
  <c r="AV53" i="14"/>
  <c r="AO33" i="10"/>
  <c r="AI53" i="10"/>
  <c r="AI60" i="10" s="1"/>
  <c r="AI98" i="10" s="1"/>
  <c r="AI23" i="10"/>
  <c r="AI35" i="10" s="1"/>
  <c r="M29" i="10"/>
  <c r="Z32" i="14"/>
  <c r="AO32" i="10"/>
  <c r="G33" i="10"/>
  <c r="AS102" i="10"/>
  <c r="AR102" i="10"/>
  <c r="Y29" i="10"/>
  <c r="Y35" i="10" s="1"/>
  <c r="Y53" i="10"/>
  <c r="Y60" i="10" s="1"/>
  <c r="Y98" i="10" s="1"/>
  <c r="AO102" i="14"/>
  <c r="BO102" i="14"/>
  <c r="BQ102" i="14"/>
  <c r="AP102" i="14"/>
  <c r="G33" i="14"/>
  <c r="G53" i="10"/>
  <c r="G60" i="10" s="1"/>
  <c r="G98" i="10" s="1"/>
  <c r="G23" i="10"/>
  <c r="G35" i="10" s="1"/>
  <c r="BO93" i="10"/>
  <c r="AG29" i="14"/>
  <c r="AG35" i="14" s="1"/>
  <c r="AG53" i="14"/>
  <c r="AG60" i="14" s="1"/>
  <c r="AG98" i="14" s="1"/>
  <c r="AC35" i="8"/>
  <c r="BQ47" i="14"/>
  <c r="BQ27" i="14"/>
  <c r="BQ51" i="14"/>
  <c r="AP29" i="10"/>
  <c r="AP35" i="10" s="1"/>
  <c r="AT35" i="10"/>
  <c r="U29" i="14"/>
  <c r="U23" i="14"/>
  <c r="BS11" i="10"/>
  <c r="AO34" i="14"/>
  <c r="V102" i="14"/>
  <c r="W102" i="14"/>
  <c r="CB17" i="14"/>
  <c r="BT29" i="14" s="1"/>
  <c r="BT26" i="14"/>
  <c r="S34" i="10"/>
  <c r="U33" i="10"/>
  <c r="R32" i="10"/>
  <c r="AP60" i="10"/>
  <c r="AP98" i="10" s="1"/>
  <c r="AF29" i="10"/>
  <c r="E29" i="14"/>
  <c r="E35" i="14" s="1"/>
  <c r="M53" i="10"/>
  <c r="M60" i="10" s="1"/>
  <c r="M98" i="10" s="1"/>
  <c r="M23" i="10"/>
  <c r="AY18" i="14"/>
  <c r="AY29" i="14"/>
  <c r="T102" i="10"/>
  <c r="U102" i="10"/>
  <c r="BQ21" i="14"/>
  <c r="BY17" i="14"/>
  <c r="I102" i="10"/>
  <c r="H102" i="10"/>
  <c r="F98" i="10"/>
  <c r="AP18" i="14"/>
  <c r="AP29" i="14"/>
  <c r="AP23" i="14"/>
  <c r="AN29" i="14"/>
  <c r="BT41" i="14"/>
  <c r="BT50" i="14"/>
  <c r="BT20" i="14"/>
  <c r="E29" i="10"/>
  <c r="E23" i="10"/>
  <c r="X53" i="10"/>
  <c r="X60" i="10" s="1"/>
  <c r="X98" i="10" s="1"/>
  <c r="X23" i="10"/>
  <c r="X35" i="10" s="1"/>
  <c r="AT53" i="10"/>
  <c r="AT60" i="10" s="1"/>
  <c r="AT98" i="10" s="1"/>
  <c r="P34" i="10"/>
  <c r="AF23" i="10"/>
  <c r="AF53" i="10"/>
  <c r="AF60" i="10" s="1"/>
  <c r="AF98" i="10" s="1"/>
  <c r="AQ102" i="10"/>
  <c r="AP102" i="10"/>
  <c r="AU34" i="10"/>
  <c r="AT23" i="14"/>
  <c r="AT35" i="14" s="1"/>
  <c r="AT53" i="14"/>
  <c r="AB102" i="10"/>
  <c r="BR102" i="10"/>
  <c r="AC102" i="10"/>
  <c r="D35" i="1"/>
  <c r="V102" i="10"/>
  <c r="AS53" i="10"/>
  <c r="AS60" i="10" s="1"/>
  <c r="AS98" i="10" s="1"/>
  <c r="AS29" i="10"/>
  <c r="AS35" i="10" s="1"/>
  <c r="BO52" i="14"/>
  <c r="BS102" i="14"/>
  <c r="AU102" i="10"/>
  <c r="AV102" i="10"/>
  <c r="AW53" i="14"/>
  <c r="AW23" i="14"/>
  <c r="AW35" i="14" s="1"/>
  <c r="AJ53" i="14"/>
  <c r="AJ60" i="14" s="1"/>
  <c r="AJ98" i="14" s="1"/>
  <c r="AJ23" i="14"/>
  <c r="AJ35" i="14" s="1"/>
  <c r="AW23" i="10"/>
  <c r="AW35" i="10" s="1"/>
  <c r="AY53" i="14"/>
  <c r="AY23" i="14"/>
  <c r="BT22" i="14"/>
  <c r="BT28" i="14"/>
  <c r="I29" i="14"/>
  <c r="I35" i="14" s="1"/>
  <c r="I53" i="14"/>
  <c r="I60" i="14" s="1"/>
  <c r="I98" i="14" s="1"/>
  <c r="BT102" i="14"/>
  <c r="G102" i="14"/>
  <c r="F102" i="14"/>
  <c r="Y32" i="10"/>
  <c r="BS47" i="14"/>
  <c r="BO11" i="10"/>
  <c r="AU53" i="10"/>
  <c r="AU60" i="10" s="1"/>
  <c r="AU98" i="10" s="1"/>
  <c r="AU23" i="10"/>
  <c r="AU35" i="10" s="1"/>
  <c r="AQ23" i="14"/>
  <c r="AQ35" i="14" s="1"/>
  <c r="AQ53" i="14"/>
  <c r="H23" i="10"/>
  <c r="H35" i="10" s="1"/>
  <c r="H53" i="10"/>
  <c r="H60" i="10" s="1"/>
  <c r="H98" i="10" s="1"/>
  <c r="L102" i="14"/>
  <c r="K102" i="14"/>
  <c r="AG102" i="10"/>
  <c r="AH102" i="10"/>
  <c r="L53" i="14"/>
  <c r="L60" i="14" s="1"/>
  <c r="L98" i="14" s="1"/>
  <c r="L23" i="14"/>
  <c r="L35" i="14" s="1"/>
  <c r="BR50" i="14"/>
  <c r="BR53" i="14" s="1"/>
  <c r="BR60" i="14" s="1"/>
  <c r="BR98" i="14" s="1"/>
  <c r="BR20" i="14"/>
  <c r="BR32" i="14" s="1"/>
  <c r="AN53" i="14"/>
  <c r="AN60" i="14" s="1"/>
  <c r="AN98" i="14" s="1"/>
  <c r="AN23" i="14"/>
  <c r="AJ33" i="10"/>
  <c r="AJ35" i="1"/>
  <c r="BT89" i="14"/>
  <c r="AQ32" i="14"/>
  <c r="G53" i="14"/>
  <c r="G60" i="14" s="1"/>
  <c r="G98" i="14" s="1"/>
  <c r="BO83" i="10"/>
  <c r="AS29" i="14"/>
  <c r="AS35" i="14" s="1"/>
  <c r="BO47" i="10"/>
  <c r="BO29" i="10" s="1"/>
  <c r="BO35" i="10" s="1"/>
  <c r="O53" i="10"/>
  <c r="O60" i="10" s="1"/>
  <c r="O98" i="10" s="1"/>
  <c r="O23" i="10"/>
  <c r="O35" i="10" s="1"/>
  <c r="AK32" i="10"/>
  <c r="AL23" i="14"/>
  <c r="AL35" i="14" s="1"/>
  <c r="AL53" i="14"/>
  <c r="AL60" i="14" s="1"/>
  <c r="AL98" i="14" s="1"/>
  <c r="AN32" i="14"/>
  <c r="AL34" i="14"/>
  <c r="AU29" i="14"/>
  <c r="AU35" i="14" s="1"/>
  <c r="AU53" i="14"/>
  <c r="AY32" i="10"/>
  <c r="O53" i="14"/>
  <c r="O60" i="14" s="1"/>
  <c r="O98" i="14" s="1"/>
  <c r="O29" i="14"/>
  <c r="O35" i="14" s="1"/>
  <c r="BQ11" i="10"/>
  <c r="BT11" i="10"/>
  <c r="W102" i="10"/>
  <c r="F102" i="10"/>
  <c r="E102" i="10"/>
  <c r="BT102" i="10"/>
  <c r="AB32" i="10"/>
  <c r="AG102" i="14"/>
  <c r="AD102" i="14"/>
  <c r="AC102" i="14"/>
  <c r="S53" i="14"/>
  <c r="S60" i="14" s="1"/>
  <c r="S98" i="14" s="1"/>
  <c r="S23" i="14"/>
  <c r="S35" i="14" s="1"/>
  <c r="I53" i="10"/>
  <c r="I60" i="10" s="1"/>
  <c r="I98" i="10" s="1"/>
  <c r="I29" i="10"/>
  <c r="I35" i="10" s="1"/>
  <c r="BQ52" i="14"/>
  <c r="BQ22" i="14"/>
  <c r="BQ41" i="14"/>
  <c r="BQ23" i="14" s="1"/>
  <c r="AD23" i="10"/>
  <c r="AD29" i="10"/>
  <c r="AA23" i="14"/>
  <c r="AA35" i="14" s="1"/>
  <c r="AA53" i="14"/>
  <c r="AA60" i="14" s="1"/>
  <c r="AA98" i="14" s="1"/>
  <c r="X33" i="14"/>
  <c r="BR11" i="10"/>
  <c r="AU34" i="14"/>
  <c r="AB53" i="10"/>
  <c r="AB60" i="10" s="1"/>
  <c r="AB98" i="10" s="1"/>
  <c r="AB23" i="10"/>
  <c r="AB35" i="10" s="1"/>
  <c r="AL70" i="12"/>
  <c r="AF80" i="12"/>
  <c r="AE80" i="12"/>
  <c r="AD80" i="12"/>
  <c r="AE71" i="12"/>
  <c r="AH80" i="12"/>
  <c r="AE79" i="12"/>
  <c r="AF69" i="12"/>
  <c r="AG79" i="12"/>
  <c r="AD74" i="12"/>
  <c r="AD64" i="12"/>
  <c r="AD79" i="12"/>
  <c r="AG80" i="12"/>
  <c r="AG71" i="12"/>
  <c r="AD71" i="12"/>
  <c r="AN63" i="12"/>
  <c r="AF71" i="12"/>
  <c r="AD63" i="12"/>
  <c r="AL63" i="12"/>
  <c r="E34" i="12"/>
  <c r="AN16" i="12"/>
  <c r="W28" i="12"/>
  <c r="Y102" i="12"/>
  <c r="R15" i="13" s="1"/>
  <c r="W102" i="12"/>
  <c r="P15" i="13" s="1"/>
  <c r="AH82" i="12"/>
  <c r="AD66" i="12"/>
  <c r="AH66" i="12"/>
  <c r="AJ82" i="12"/>
  <c r="AK65" i="12"/>
  <c r="BO34" i="10"/>
  <c r="AE66" i="12"/>
  <c r="AD70" i="12"/>
  <c r="AN64" i="12"/>
  <c r="AH70" i="12"/>
  <c r="AE63" i="12"/>
  <c r="AE74" i="12"/>
  <c r="AH74" i="12"/>
  <c r="AF66" i="12"/>
  <c r="AK16" i="12"/>
  <c r="AD46" i="12"/>
  <c r="AK81" i="12"/>
  <c r="AF81" i="12"/>
  <c r="AH81" i="12"/>
  <c r="AG46" i="12"/>
  <c r="AM63" i="12"/>
  <c r="AG66" i="12"/>
  <c r="AG16" i="12"/>
  <c r="AE69" i="12"/>
  <c r="AL46" i="12"/>
  <c r="AE64" i="12"/>
  <c r="AE46" i="12"/>
  <c r="AG81" i="12"/>
  <c r="AL82" i="12"/>
  <c r="AJ81" i="12"/>
  <c r="AG82" i="12"/>
  <c r="AL74" i="12"/>
  <c r="AN46" i="12"/>
  <c r="AM64" i="12"/>
  <c r="AH65" i="12"/>
  <c r="AF65" i="12"/>
  <c r="AG65" i="12"/>
  <c r="W17" i="12"/>
  <c r="AD15" i="12"/>
  <c r="AJ65" i="12"/>
  <c r="AD72" i="12"/>
  <c r="AK72" i="12"/>
  <c r="AL72" i="12"/>
  <c r="AG72" i="12"/>
  <c r="AH63" i="12"/>
  <c r="AK46" i="12"/>
  <c r="AJ64" i="12"/>
  <c r="X58" i="12"/>
  <c r="X50" i="12"/>
  <c r="AJ71" i="12"/>
  <c r="AN82" i="12"/>
  <c r="X51" i="12"/>
  <c r="AH16" i="12"/>
  <c r="AM66" i="12"/>
  <c r="O96" i="12"/>
  <c r="AF63" i="12"/>
  <c r="BR53" i="9"/>
  <c r="BR60" i="9" s="1"/>
  <c r="BR98" i="9" s="1"/>
  <c r="K96" i="12"/>
  <c r="R96" i="12"/>
  <c r="Q96" i="12"/>
  <c r="L96" i="12"/>
  <c r="N96" i="12"/>
  <c r="U96" i="12"/>
  <c r="AD81" i="12"/>
  <c r="AA50" i="12"/>
  <c r="AD56" i="12"/>
  <c r="AF92" i="12"/>
  <c r="AH69" i="12"/>
  <c r="AK71" i="12"/>
  <c r="AM80" i="12"/>
  <c r="AE92" i="12"/>
  <c r="AF46" i="12"/>
  <c r="Y52" i="12"/>
  <c r="AL92" i="12"/>
  <c r="AJ92" i="12"/>
  <c r="AJ46" i="12"/>
  <c r="AD82" i="12"/>
  <c r="AG63" i="12"/>
  <c r="AN71" i="12"/>
  <c r="AA41" i="12"/>
  <c r="X52" i="12"/>
  <c r="AF72" i="12"/>
  <c r="X93" i="12"/>
  <c r="AN79" i="12"/>
  <c r="AH64" i="12"/>
  <c r="AM92" i="12"/>
  <c r="AE16" i="12"/>
  <c r="AD69" i="12"/>
  <c r="AG92" i="12"/>
  <c r="X89" i="12"/>
  <c r="AF70" i="12"/>
  <c r="X47" i="12"/>
  <c r="Z47" i="12"/>
  <c r="AG39" i="12"/>
  <c r="AJ63" i="12"/>
  <c r="AG64" i="12"/>
  <c r="AJ70" i="12"/>
  <c r="Y58" i="12"/>
  <c r="AD92" i="12"/>
  <c r="AL65" i="12"/>
  <c r="AJ56" i="12"/>
  <c r="AF38" i="12"/>
  <c r="X41" i="12"/>
  <c r="Z51" i="12"/>
  <c r="AK92" i="12"/>
  <c r="AH92" i="12"/>
  <c r="AJ74" i="12"/>
  <c r="AJ88" i="12"/>
  <c r="AF82" i="12"/>
  <c r="AJ66" i="12"/>
  <c r="AN65" i="12"/>
  <c r="AK73" i="12"/>
  <c r="AL81" i="12"/>
  <c r="AJ79" i="12"/>
  <c r="AD40" i="12"/>
  <c r="Z89" i="12"/>
  <c r="AK40" i="12"/>
  <c r="AL71" i="12"/>
  <c r="AD65" i="12"/>
  <c r="AE40" i="12"/>
  <c r="AL80" i="12"/>
  <c r="AN73" i="12"/>
  <c r="AN15" i="12"/>
  <c r="AK64" i="12"/>
  <c r="AK66" i="12"/>
  <c r="AF74" i="12"/>
  <c r="AD73" i="12"/>
  <c r="AN80" i="12"/>
  <c r="AM79" i="12"/>
  <c r="BP34" i="1"/>
  <c r="AF39" i="12"/>
  <c r="AE65" i="12"/>
  <c r="AL38" i="12"/>
  <c r="AJ80" i="12"/>
  <c r="AH88" i="12"/>
  <c r="Z41" i="12"/>
  <c r="AA52" i="12"/>
  <c r="Z50" i="12"/>
  <c r="AE72" i="12"/>
  <c r="AK79" i="12"/>
  <c r="AJ72" i="12"/>
  <c r="AN70" i="12"/>
  <c r="AB17" i="12"/>
  <c r="AP98" i="14"/>
  <c r="AP61" i="14"/>
  <c r="AX98" i="14"/>
  <c r="AX61" i="14"/>
  <c r="AN74" i="12"/>
  <c r="AJ14" i="12"/>
  <c r="X17" i="12"/>
  <c r="Y95" i="12"/>
  <c r="AE95" i="12" s="1"/>
  <c r="Z21" i="12"/>
  <c r="Z20" i="12"/>
  <c r="Y22" i="12"/>
  <c r="AB20" i="12"/>
  <c r="X22" i="12"/>
  <c r="Z28" i="12"/>
  <c r="X20" i="12"/>
  <c r="AA28" i="12"/>
  <c r="AA95" i="12"/>
  <c r="AG95" i="12" s="1"/>
  <c r="X27" i="12"/>
  <c r="W22" i="12"/>
  <c r="Z95" i="12"/>
  <c r="AL95" i="12" s="1"/>
  <c r="Y20" i="12"/>
  <c r="X21" i="12"/>
  <c r="AA26" i="12"/>
  <c r="X28" i="12"/>
  <c r="Y14" i="12"/>
  <c r="AB95" i="12"/>
  <c r="AB96" i="12" s="1"/>
  <c r="F102" i="12"/>
  <c r="E15" i="13" s="1"/>
  <c r="Z26" i="12"/>
  <c r="W20" i="12"/>
  <c r="Y28" i="12"/>
  <c r="AB28" i="12"/>
  <c r="AA22" i="12"/>
  <c r="AB26" i="12"/>
  <c r="AA20" i="12"/>
  <c r="Y26" i="12"/>
  <c r="Z27" i="12"/>
  <c r="Y21" i="12"/>
  <c r="X26" i="12"/>
  <c r="X95" i="12"/>
  <c r="AD95" i="12" s="1"/>
  <c r="AK69" i="12"/>
  <c r="AL66" i="12"/>
  <c r="AJ39" i="12"/>
  <c r="AN66" i="12"/>
  <c r="AM46" i="12"/>
  <c r="Z93" i="12"/>
  <c r="AK80" i="12"/>
  <c r="AK63" i="12"/>
  <c r="AK56" i="12"/>
  <c r="AM81" i="12"/>
  <c r="AM40" i="12"/>
  <c r="AJ16" i="12"/>
  <c r="AE81" i="12"/>
  <c r="AF88" i="12"/>
  <c r="AH46" i="12"/>
  <c r="AG40" i="12"/>
  <c r="AD16" i="12"/>
  <c r="W52" i="12"/>
  <c r="AK74" i="12"/>
  <c r="AK39" i="12"/>
  <c r="AL40" i="12"/>
  <c r="AL77" i="12"/>
  <c r="AJ40" i="12"/>
  <c r="AJ38" i="12"/>
  <c r="AN92" i="12"/>
  <c r="AN81" i="12"/>
  <c r="AM73" i="12"/>
  <c r="AM71" i="12"/>
  <c r="AM72" i="12"/>
  <c r="AM38" i="12"/>
  <c r="AL79" i="12"/>
  <c r="AM82" i="12"/>
  <c r="AM65" i="12"/>
  <c r="AA93" i="12"/>
  <c r="AL88" i="12"/>
  <c r="AN39" i="12"/>
  <c r="AM16" i="12"/>
  <c r="W41" i="12"/>
  <c r="Y93" i="12"/>
  <c r="AE56" i="12"/>
  <c r="X83" i="12"/>
  <c r="AE39" i="12"/>
  <c r="AF40" i="12"/>
  <c r="AD38" i="12"/>
  <c r="AL73" i="12"/>
  <c r="AN88" i="12"/>
  <c r="AM39" i="12"/>
  <c r="AL39" i="12"/>
  <c r="AD39" i="12"/>
  <c r="BS33" i="1"/>
  <c r="BR32" i="1"/>
  <c r="BO35" i="1"/>
  <c r="BP33" i="1"/>
  <c r="BT32" i="1"/>
  <c r="BP32" i="1"/>
  <c r="BR33" i="1"/>
  <c r="BT34" i="1"/>
  <c r="BS32" i="1"/>
  <c r="BQ29" i="1"/>
  <c r="BR34" i="1"/>
  <c r="BQ33" i="1"/>
  <c r="BT53" i="1"/>
  <c r="BT60" i="1" s="1"/>
  <c r="BT98" i="1" s="1"/>
  <c r="BQ23" i="10"/>
  <c r="BT23" i="10"/>
  <c r="BT29" i="10"/>
  <c r="BS34" i="1"/>
  <c r="BT33" i="1"/>
  <c r="BQ33" i="8"/>
  <c r="BS23" i="10"/>
  <c r="BS29" i="10"/>
  <c r="BQ32" i="1"/>
  <c r="BQ32" i="9"/>
  <c r="BR29" i="1"/>
  <c r="BR33" i="9"/>
  <c r="BR34" i="9"/>
  <c r="BP34" i="9"/>
  <c r="BP23" i="9"/>
  <c r="BQ34" i="9"/>
  <c r="BQ34" i="8"/>
  <c r="BQ29" i="8"/>
  <c r="BR33" i="8"/>
  <c r="BP33" i="10"/>
  <c r="BP34" i="10"/>
  <c r="BR34" i="10"/>
  <c r="BT34" i="9"/>
  <c r="BT33" i="9"/>
  <c r="BQ23" i="8"/>
  <c r="BQ34" i="1"/>
  <c r="BT33" i="10"/>
  <c r="BR33" i="10"/>
  <c r="BP33" i="9"/>
  <c r="BS34" i="9"/>
  <c r="BS33" i="8"/>
  <c r="BS34" i="8"/>
  <c r="BS32" i="9"/>
  <c r="BT23" i="1"/>
  <c r="BS23" i="1"/>
  <c r="BR23" i="1"/>
  <c r="BQ53" i="9"/>
  <c r="BQ60" i="9" s="1"/>
  <c r="BQ98" i="9" s="1"/>
  <c r="BR29" i="10"/>
  <c r="BQ23" i="1"/>
  <c r="BR34" i="8"/>
  <c r="BP23" i="1"/>
  <c r="BT29" i="1"/>
  <c r="BS29" i="1"/>
  <c r="BP29" i="1"/>
  <c r="BP29" i="9"/>
  <c r="BQ32" i="10"/>
  <c r="BP53" i="10"/>
  <c r="BP60" i="10" s="1"/>
  <c r="BP98" i="10" s="1"/>
  <c r="BQ53" i="10"/>
  <c r="BQ60" i="10" s="1"/>
  <c r="BQ98" i="10" s="1"/>
  <c r="BS34" i="10"/>
  <c r="BT32" i="10"/>
  <c r="BQ34" i="10"/>
  <c r="BP32" i="10"/>
  <c r="BP29" i="10"/>
  <c r="BS53" i="10"/>
  <c r="BS60" i="10" s="1"/>
  <c r="BS32" i="10"/>
  <c r="BS33" i="10"/>
  <c r="BT53" i="10"/>
  <c r="BT60" i="10" s="1"/>
  <c r="BT98" i="10" s="1"/>
  <c r="BP23" i="10"/>
  <c r="BR32" i="10"/>
  <c r="BQ33" i="10"/>
  <c r="BQ29" i="9"/>
  <c r="BT23" i="9"/>
  <c r="BS29" i="9"/>
  <c r="BR32" i="9"/>
  <c r="BS23" i="9"/>
  <c r="BS33" i="9"/>
  <c r="BQ33" i="9"/>
  <c r="BQ23" i="9"/>
  <c r="BT32" i="9"/>
  <c r="BT53" i="9"/>
  <c r="BT60" i="9" s="1"/>
  <c r="BT98" i="9" s="1"/>
  <c r="BT29" i="9"/>
  <c r="BR29" i="9"/>
  <c r="BR23" i="9"/>
  <c r="BP32" i="9"/>
  <c r="BP53" i="9"/>
  <c r="BP60" i="9" s="1"/>
  <c r="BP98" i="9" s="1"/>
  <c r="BS53" i="9"/>
  <c r="BS60" i="9" s="1"/>
  <c r="BS98" i="9" s="1"/>
  <c r="BQ32" i="8"/>
  <c r="BR53" i="8"/>
  <c r="BR60" i="8" s="1"/>
  <c r="BR98" i="8" s="1"/>
  <c r="BT23" i="8"/>
  <c r="BQ53" i="8"/>
  <c r="BQ60" i="8" s="1"/>
  <c r="BQ98" i="8" s="1"/>
  <c r="BT53" i="8"/>
  <c r="BT60" i="8" s="1"/>
  <c r="BT98" i="8" s="1"/>
  <c r="BT34" i="8"/>
  <c r="BS23" i="8"/>
  <c r="BP34" i="8"/>
  <c r="BT33" i="8"/>
  <c r="BS53" i="8"/>
  <c r="BS60" i="8" s="1"/>
  <c r="BS98" i="8" s="1"/>
  <c r="BP53" i="8"/>
  <c r="BP60" i="8" s="1"/>
  <c r="BP98" i="8" s="1"/>
  <c r="BT29" i="8"/>
  <c r="BP23" i="8"/>
  <c r="BR23" i="8"/>
  <c r="BP33" i="8"/>
  <c r="BT32" i="8"/>
  <c r="BS32" i="8"/>
  <c r="BS29" i="8"/>
  <c r="BP29" i="8"/>
  <c r="BR32" i="8"/>
  <c r="BP32" i="8"/>
  <c r="BR29" i="8"/>
  <c r="BS53" i="1"/>
  <c r="BS60" i="1" s="1"/>
  <c r="BS98" i="1" s="1"/>
  <c r="BR53" i="1"/>
  <c r="BR60" i="1" s="1"/>
  <c r="BR98" i="1" s="1"/>
  <c r="BQ53" i="1"/>
  <c r="BQ60" i="1" s="1"/>
  <c r="BQ98" i="1" s="1"/>
  <c r="BP53" i="1"/>
  <c r="BP60" i="1" s="1"/>
  <c r="BP98" i="1" s="1"/>
  <c r="G102" i="12" a="1"/>
  <c r="AB21" i="12" a="1"/>
  <c r="AA29" i="12" a="1"/>
  <c r="Y27" i="12" a="1"/>
  <c r="Z23" i="12" a="1"/>
  <c r="Y23" i="12" a="1"/>
  <c r="X23" i="12" a="1"/>
  <c r="W21" i="12" a="1"/>
  <c r="H102" i="12" a="1"/>
  <c r="AA27" i="12" a="1"/>
  <c r="X29" i="12" a="1"/>
  <c r="W29" i="12" a="1"/>
  <c r="W23" i="12" a="1"/>
  <c r="W26" i="12" a="1"/>
  <c r="Z22" i="12" a="1"/>
  <c r="Z29" i="12" a="1"/>
  <c r="X102" i="12" a="1"/>
  <c r="AB29" i="12" a="1"/>
  <c r="D102" i="12" a="1"/>
  <c r="AA102" i="12" a="1"/>
  <c r="AA21" i="12" a="1"/>
  <c r="I102" i="12" a="1"/>
  <c r="AB22" i="12" a="1"/>
  <c r="AB27" i="12" a="1"/>
  <c r="AB102" i="12" a="1"/>
  <c r="Z102" i="12" a="1"/>
  <c r="E102" i="12" a="1"/>
  <c r="AM14" i="12" l="1"/>
  <c r="D11" i="13"/>
  <c r="AD8" i="12"/>
  <c r="AA17" i="12"/>
  <c r="G13" i="13"/>
  <c r="U26" i="12"/>
  <c r="AF14" i="12"/>
  <c r="E53" i="12"/>
  <c r="F34" i="12"/>
  <c r="K41" i="12"/>
  <c r="D34" i="12"/>
  <c r="Y47" i="12"/>
  <c r="AN14" i="12"/>
  <c r="AG14" i="12"/>
  <c r="AD14" i="12"/>
  <c r="AE14" i="12"/>
  <c r="AM15" i="12"/>
  <c r="AD67" i="12"/>
  <c r="F53" i="12"/>
  <c r="F60" i="12" s="1"/>
  <c r="AG8" i="12"/>
  <c r="I34" i="12"/>
  <c r="AM88" i="12"/>
  <c r="N11" i="12"/>
  <c r="AE82" i="12"/>
  <c r="AH57" i="12"/>
  <c r="AG88" i="12"/>
  <c r="T11" i="12"/>
  <c r="AL57" i="12"/>
  <c r="AN57" i="12"/>
  <c r="AF57" i="12"/>
  <c r="AJ57" i="12"/>
  <c r="AM57" i="12"/>
  <c r="AD57" i="12"/>
  <c r="L41" i="12"/>
  <c r="D13" i="13"/>
  <c r="AG57" i="12"/>
  <c r="AK57" i="12"/>
  <c r="AM69" i="12"/>
  <c r="W58" i="12"/>
  <c r="AH72" i="12"/>
  <c r="AA27" i="12"/>
  <c r="Y27" i="12"/>
  <c r="L11" i="12"/>
  <c r="AE70" i="12"/>
  <c r="Z58" i="12"/>
  <c r="S11" i="12"/>
  <c r="AH78" i="12"/>
  <c r="AJ8" i="12"/>
  <c r="I32" i="12"/>
  <c r="M11" i="12"/>
  <c r="Q11" i="12"/>
  <c r="AE78" i="12"/>
  <c r="Q21" i="12"/>
  <c r="AL78" i="12"/>
  <c r="AH40" i="12"/>
  <c r="AF78" i="12"/>
  <c r="BQ34" i="14"/>
  <c r="BR23" i="14"/>
  <c r="BR35" i="14" s="1"/>
  <c r="AB52" i="12"/>
  <c r="AF56" i="12"/>
  <c r="Q22" i="12"/>
  <c r="BP35" i="14"/>
  <c r="AA89" i="12"/>
  <c r="E33" i="12"/>
  <c r="G102" i="12"/>
  <c r="F15" i="13" s="1"/>
  <c r="AA102" i="12"/>
  <c r="T15" i="13" s="1"/>
  <c r="AB27" i="12"/>
  <c r="AN27" i="12" s="1"/>
  <c r="W21" i="12"/>
  <c r="AL21" i="12" s="1"/>
  <c r="AA21" i="12"/>
  <c r="Z22" i="12"/>
  <c r="Z34" i="12" s="1"/>
  <c r="D5" i="13"/>
  <c r="E60" i="12"/>
  <c r="E98" i="12" s="1"/>
  <c r="AL45" i="12"/>
  <c r="U22" i="12"/>
  <c r="AE9" i="12"/>
  <c r="BS29" i="14"/>
  <c r="BS35" i="14" s="1"/>
  <c r="AK45" i="12"/>
  <c r="AF87" i="12"/>
  <c r="BT53" i="14"/>
  <c r="BT60" i="14" s="1"/>
  <c r="BT98" i="14" s="1"/>
  <c r="F11" i="13"/>
  <c r="AG67" i="12"/>
  <c r="AF45" i="12"/>
  <c r="AD45" i="12"/>
  <c r="AE45" i="12"/>
  <c r="D9" i="13"/>
  <c r="AL16" i="12"/>
  <c r="AN45" i="12"/>
  <c r="AG78" i="12"/>
  <c r="AJ45" i="12"/>
  <c r="AE51" i="12"/>
  <c r="AM70" i="12"/>
  <c r="AD78" i="12"/>
  <c r="F13" i="13"/>
  <c r="AF15" i="12"/>
  <c r="N51" i="12"/>
  <c r="AA83" i="12"/>
  <c r="T11" i="13" s="1"/>
  <c r="W47" i="12"/>
  <c r="K47" i="12"/>
  <c r="Q27" i="12"/>
  <c r="AF51" i="12"/>
  <c r="AK78" i="12"/>
  <c r="AD51" i="12"/>
  <c r="AM78" i="12"/>
  <c r="BO53" i="10"/>
  <c r="BO60" i="10" s="1"/>
  <c r="BO98" i="10" s="1"/>
  <c r="AB83" i="12"/>
  <c r="BO33" i="10"/>
  <c r="BS98" i="10"/>
  <c r="AN35" i="14"/>
  <c r="H29" i="12"/>
  <c r="BS98" i="14"/>
  <c r="AM45" i="12"/>
  <c r="AF67" i="12"/>
  <c r="E29" i="12"/>
  <c r="G32" i="12"/>
  <c r="T27" i="12"/>
  <c r="AM27" i="12"/>
  <c r="S27" i="12"/>
  <c r="Q17" i="12"/>
  <c r="AJ27" i="12"/>
  <c r="AE77" i="12"/>
  <c r="AD77" i="12"/>
  <c r="R11" i="12"/>
  <c r="AN78" i="12"/>
  <c r="L52" i="12"/>
  <c r="W33" i="12"/>
  <c r="AM74" i="12"/>
  <c r="K52" i="12"/>
  <c r="M52" i="12"/>
  <c r="L83" i="12"/>
  <c r="AL27" i="12"/>
  <c r="AK27" i="12"/>
  <c r="S52" i="12"/>
  <c r="R27" i="12"/>
  <c r="X102" i="12"/>
  <c r="Q15" i="13" s="1"/>
  <c r="W15" i="13" s="1"/>
  <c r="E102" i="12"/>
  <c r="D15" i="13" s="1"/>
  <c r="BP53" i="14"/>
  <c r="BP60" i="14" s="1"/>
  <c r="BP98" i="14" s="1"/>
  <c r="AF8" i="12"/>
  <c r="BP32" i="14"/>
  <c r="AZ35" i="14"/>
  <c r="AL67" i="12"/>
  <c r="H33" i="12"/>
  <c r="AK15" i="12"/>
  <c r="X11" i="12"/>
  <c r="H102" i="12"/>
  <c r="G15" i="13" s="1"/>
  <c r="AE86" i="12"/>
  <c r="Y41" i="12"/>
  <c r="T51" i="12"/>
  <c r="AO60" i="14"/>
  <c r="AO98" i="14" s="1"/>
  <c r="AO54" i="14"/>
  <c r="U51" i="12"/>
  <c r="I23" i="12"/>
  <c r="H7" i="13" s="1"/>
  <c r="Y11" i="12"/>
  <c r="C11" i="13"/>
  <c r="J11" i="13" s="1"/>
  <c r="G53" i="12"/>
  <c r="I53" i="12"/>
  <c r="I60" i="12" s="1"/>
  <c r="BQ33" i="14"/>
  <c r="E35" i="10"/>
  <c r="U35" i="14"/>
  <c r="AE38" i="12"/>
  <c r="O89" i="12"/>
  <c r="AL14" i="12"/>
  <c r="Z17" i="12"/>
  <c r="AH77" i="12"/>
  <c r="L50" i="12"/>
  <c r="I33" i="12"/>
  <c r="F23" i="12"/>
  <c r="S47" i="12"/>
  <c r="T47" i="12"/>
  <c r="U41" i="12"/>
  <c r="Y50" i="12"/>
  <c r="G11" i="13"/>
  <c r="W34" i="12"/>
  <c r="K51" i="12"/>
  <c r="AJ28" i="12"/>
  <c r="AA51" i="12"/>
  <c r="AG51" i="12" s="1"/>
  <c r="M51" i="12"/>
  <c r="M83" i="12"/>
  <c r="K83" i="12"/>
  <c r="U83" i="12"/>
  <c r="AJ91" i="12"/>
  <c r="AF91" i="12"/>
  <c r="AE91" i="12"/>
  <c r="AN91" i="12"/>
  <c r="Q89" i="12"/>
  <c r="N89" i="12"/>
  <c r="R89" i="12"/>
  <c r="U89" i="12"/>
  <c r="S89" i="12"/>
  <c r="D32" i="12"/>
  <c r="Q32" i="12" s="1"/>
  <c r="R20" i="12"/>
  <c r="U20" i="12"/>
  <c r="S20" i="12"/>
  <c r="AB50" i="12"/>
  <c r="AN38" i="12"/>
  <c r="AD91" i="12"/>
  <c r="S83" i="12"/>
  <c r="T83" i="12"/>
  <c r="AM67" i="12"/>
  <c r="AH67" i="12"/>
  <c r="AJ67" i="12"/>
  <c r="Q20" i="12"/>
  <c r="Q83" i="12"/>
  <c r="AA47" i="12"/>
  <c r="AG47" i="12" s="1"/>
  <c r="AG91" i="12"/>
  <c r="AB11" i="12"/>
  <c r="AN8" i="12"/>
  <c r="AH8" i="12"/>
  <c r="W11" i="12"/>
  <c r="AK8" i="12"/>
  <c r="AL8" i="12"/>
  <c r="AN10" i="12"/>
  <c r="AH10" i="12"/>
  <c r="F32" i="12"/>
  <c r="T41" i="12"/>
  <c r="H53" i="12"/>
  <c r="G9" i="13" s="1"/>
  <c r="H23" i="12"/>
  <c r="G7" i="13" s="1"/>
  <c r="I29" i="12"/>
  <c r="O47" i="12"/>
  <c r="K58" i="12"/>
  <c r="T58" i="12"/>
  <c r="N58" i="12"/>
  <c r="Q58" i="12"/>
  <c r="S58" i="12"/>
  <c r="O58" i="12"/>
  <c r="R58" i="12"/>
  <c r="N41" i="12"/>
  <c r="Q41" i="12"/>
  <c r="O41" i="12"/>
  <c r="K11" i="12"/>
  <c r="O11" i="12"/>
  <c r="U11" i="12"/>
  <c r="T22" i="12"/>
  <c r="R22" i="12"/>
  <c r="S22" i="12"/>
  <c r="Q26" i="12"/>
  <c r="T26" i="12"/>
  <c r="AB51" i="12"/>
  <c r="AH51" i="12" s="1"/>
  <c r="AB47" i="12"/>
  <c r="AH47" i="12" s="1"/>
  <c r="Y83" i="12"/>
  <c r="R11" i="13" s="1"/>
  <c r="AG56" i="12"/>
  <c r="AM56" i="12"/>
  <c r="T50" i="12"/>
  <c r="K50" i="12"/>
  <c r="O50" i="12"/>
  <c r="M50" i="12"/>
  <c r="N83" i="12"/>
  <c r="G34" i="12"/>
  <c r="S34" i="12" s="1"/>
  <c r="Q50" i="12"/>
  <c r="N50" i="12"/>
  <c r="R50" i="12"/>
  <c r="O83" i="12"/>
  <c r="M41" i="12"/>
  <c r="AB41" i="12"/>
  <c r="AH41" i="12" s="1"/>
  <c r="AG45" i="12"/>
  <c r="AE88" i="12"/>
  <c r="M89" i="12"/>
  <c r="S41" i="12"/>
  <c r="U27" i="12"/>
  <c r="AH38" i="12"/>
  <c r="AK67" i="12"/>
  <c r="F29" i="12"/>
  <c r="U50" i="12"/>
  <c r="S50" i="12"/>
  <c r="R83" i="12"/>
  <c r="R41" i="12"/>
  <c r="T89" i="12"/>
  <c r="R26" i="12"/>
  <c r="U58" i="12"/>
  <c r="AE15" i="12"/>
  <c r="AE67" i="12"/>
  <c r="H34" i="12"/>
  <c r="T34" i="12" s="1"/>
  <c r="L89" i="12"/>
  <c r="Z83" i="12"/>
  <c r="S11" i="13" s="1"/>
  <c r="U28" i="12"/>
  <c r="AJ87" i="12"/>
  <c r="AN28" i="12"/>
  <c r="AH87" i="12"/>
  <c r="AN87" i="12"/>
  <c r="AK88" i="12"/>
  <c r="T28" i="12"/>
  <c r="AN56" i="12"/>
  <c r="AK28" i="12"/>
  <c r="AD88" i="12"/>
  <c r="AE87" i="12"/>
  <c r="AM87" i="12"/>
  <c r="S28" i="12"/>
  <c r="AL15" i="12"/>
  <c r="AJ15" i="12"/>
  <c r="M96" i="12"/>
  <c r="AH15" i="12"/>
  <c r="AK87" i="12"/>
  <c r="AF64" i="12"/>
  <c r="AG87" i="12"/>
  <c r="R51" i="12"/>
  <c r="Q28" i="12"/>
  <c r="R28" i="12"/>
  <c r="AH91" i="12"/>
  <c r="AD87" i="12"/>
  <c r="AL64" i="12"/>
  <c r="AB58" i="12"/>
  <c r="AH58" i="12" s="1"/>
  <c r="AL91" i="12"/>
  <c r="E13" i="13"/>
  <c r="E11" i="13"/>
  <c r="K11" i="13" s="1"/>
  <c r="G23" i="12"/>
  <c r="F7" i="13" s="1"/>
  <c r="G29" i="12"/>
  <c r="W93" i="12"/>
  <c r="AJ93" i="12" s="1"/>
  <c r="L93" i="12"/>
  <c r="M58" i="12"/>
  <c r="AS61" i="14"/>
  <c r="L51" i="12"/>
  <c r="K93" i="12"/>
  <c r="Q93" i="12"/>
  <c r="AF35" i="10"/>
  <c r="AL75" i="12"/>
  <c r="U17" i="12"/>
  <c r="C13" i="13"/>
  <c r="J13" i="13" s="1"/>
  <c r="AN76" i="12"/>
  <c r="N93" i="12"/>
  <c r="AP35" i="14"/>
  <c r="K35" i="10"/>
  <c r="AR60" i="14"/>
  <c r="AR54" i="14"/>
  <c r="AK75" i="12"/>
  <c r="AL68" i="12"/>
  <c r="D33" i="12"/>
  <c r="O17" i="12"/>
  <c r="T21" i="12"/>
  <c r="AL44" i="12"/>
  <c r="AK76" i="12"/>
  <c r="R17" i="12"/>
  <c r="AM76" i="12"/>
  <c r="AG75" i="12"/>
  <c r="AK86" i="12"/>
  <c r="U21" i="12"/>
  <c r="S17" i="12"/>
  <c r="D23" i="12"/>
  <c r="C7" i="13" s="1"/>
  <c r="M7" i="13" s="1"/>
  <c r="N17" i="12"/>
  <c r="T52" i="12"/>
  <c r="U93" i="12"/>
  <c r="M17" i="12"/>
  <c r="U52" i="12"/>
  <c r="AH86" i="12"/>
  <c r="AE76" i="12"/>
  <c r="AN86" i="12"/>
  <c r="AE75" i="12"/>
  <c r="L17" i="12"/>
  <c r="S51" i="12"/>
  <c r="F5" i="13"/>
  <c r="AE44" i="12"/>
  <c r="AJ76" i="12"/>
  <c r="L47" i="12"/>
  <c r="AD86" i="12"/>
  <c r="AM86" i="12"/>
  <c r="K17" i="12"/>
  <c r="AM75" i="12"/>
  <c r="R47" i="12"/>
  <c r="AN77" i="12"/>
  <c r="AL86" i="12"/>
  <c r="M93" i="12"/>
  <c r="AD75" i="12"/>
  <c r="AJ68" i="12"/>
  <c r="AF75" i="12"/>
  <c r="AJ75" i="12"/>
  <c r="AL76" i="12"/>
  <c r="R93" i="12"/>
  <c r="AH44" i="12"/>
  <c r="T17" i="12"/>
  <c r="AM77" i="12"/>
  <c r="D53" i="12"/>
  <c r="K53" i="12" s="1"/>
  <c r="AJ86" i="12"/>
  <c r="U47" i="12"/>
  <c r="R52" i="12"/>
  <c r="AG76" i="12"/>
  <c r="S93" i="12"/>
  <c r="O52" i="12"/>
  <c r="M47" i="12"/>
  <c r="W89" i="12"/>
  <c r="AH89" i="12" s="1"/>
  <c r="AG86" i="12"/>
  <c r="AD76" i="12"/>
  <c r="S21" i="12"/>
  <c r="T93" i="12"/>
  <c r="AN75" i="12"/>
  <c r="D29" i="12"/>
  <c r="Q29" i="12" s="1"/>
  <c r="Q51" i="12"/>
  <c r="O51" i="12"/>
  <c r="AM44" i="12"/>
  <c r="R21" i="12"/>
  <c r="AF76" i="12"/>
  <c r="Q47" i="12"/>
  <c r="T20" i="12"/>
  <c r="N52" i="12"/>
  <c r="N47" i="12"/>
  <c r="AG77" i="12"/>
  <c r="AK77" i="12"/>
  <c r="AM91" i="12"/>
  <c r="K89" i="12"/>
  <c r="E35" i="12"/>
  <c r="AM8" i="12"/>
  <c r="W50" i="12"/>
  <c r="AF50" i="12" s="1"/>
  <c r="AD44" i="12"/>
  <c r="AG68" i="12"/>
  <c r="AF77" i="12"/>
  <c r="AD68" i="12"/>
  <c r="AN44" i="12"/>
  <c r="AH68" i="12"/>
  <c r="AM68" i="12"/>
  <c r="W83" i="12"/>
  <c r="BT32" i="14"/>
  <c r="Z11" i="12"/>
  <c r="AL11" i="12" s="1"/>
  <c r="AK68" i="12"/>
  <c r="AF68" i="12"/>
  <c r="AN68" i="12"/>
  <c r="AJ44" i="12"/>
  <c r="AK44" i="12"/>
  <c r="AF44" i="12"/>
  <c r="AG44" i="12"/>
  <c r="AE47" i="12"/>
  <c r="D102" i="12"/>
  <c r="C15" i="13" s="1"/>
  <c r="M15" i="13" s="1"/>
  <c r="AB102" i="12"/>
  <c r="U15" i="13" s="1"/>
  <c r="AA15" i="13" s="1"/>
  <c r="Z102" i="12"/>
  <c r="S15" i="13" s="1"/>
  <c r="Y15" i="13" s="1"/>
  <c r="W26" i="12"/>
  <c r="W32" i="12" s="1"/>
  <c r="I102" i="12"/>
  <c r="H15" i="13" s="1"/>
  <c r="W29" i="12"/>
  <c r="AQ54" i="14"/>
  <c r="AQ60" i="14"/>
  <c r="AA11" i="12"/>
  <c r="AK91" i="12"/>
  <c r="M35" i="10"/>
  <c r="BO53" i="14"/>
  <c r="BO60" i="14" s="1"/>
  <c r="BO98" i="14" s="1"/>
  <c r="AU54" i="14"/>
  <c r="AU60" i="14"/>
  <c r="AW60" i="14"/>
  <c r="AW54" i="14"/>
  <c r="BO32" i="10"/>
  <c r="AF10" i="12"/>
  <c r="AG10" i="12"/>
  <c r="AE10" i="12"/>
  <c r="AL10" i="12"/>
  <c r="AD10" i="12"/>
  <c r="AK10" i="12"/>
  <c r="AJ10" i="12"/>
  <c r="AM10" i="12"/>
  <c r="BT34" i="14"/>
  <c r="BT23" i="14"/>
  <c r="BT35" i="14" s="1"/>
  <c r="BQ53" i="14"/>
  <c r="BQ60" i="14" s="1"/>
  <c r="BQ98" i="14" s="1"/>
  <c r="BO29" i="14"/>
  <c r="BO35" i="14" s="1"/>
  <c r="AM9" i="12"/>
  <c r="AG9" i="12"/>
  <c r="AL9" i="12"/>
  <c r="AJ9" i="12"/>
  <c r="AN9" i="12"/>
  <c r="AD9" i="12"/>
  <c r="AH9" i="12"/>
  <c r="AF9" i="12"/>
  <c r="AD35" i="10"/>
  <c r="AY35" i="14"/>
  <c r="AT60" i="14"/>
  <c r="AT54" i="14"/>
  <c r="AV60" i="14"/>
  <c r="AV54" i="14"/>
  <c r="BO33" i="14"/>
  <c r="AY60" i="14"/>
  <c r="AY54" i="14"/>
  <c r="BQ29" i="14"/>
  <c r="BQ35" i="14" s="1"/>
  <c r="AJ17" i="12"/>
  <c r="AH17" i="12"/>
  <c r="AM28" i="12"/>
  <c r="AL28" i="12"/>
  <c r="W53" i="12"/>
  <c r="AJ47" i="12"/>
  <c r="AG17" i="12"/>
  <c r="AF47" i="12"/>
  <c r="H9" i="13"/>
  <c r="H5" i="13"/>
  <c r="U13" i="13"/>
  <c r="AJ51" i="12"/>
  <c r="AJ52" i="12"/>
  <c r="F9" i="13"/>
  <c r="G60" i="12"/>
  <c r="G98" i="12" s="1"/>
  <c r="AE41" i="12"/>
  <c r="AF41" i="12"/>
  <c r="U11" i="13"/>
  <c r="AL51" i="12"/>
  <c r="AL41" i="12"/>
  <c r="AG58" i="12"/>
  <c r="AD17" i="12"/>
  <c r="AK51" i="12"/>
  <c r="T13" i="13"/>
  <c r="AM41" i="12"/>
  <c r="X32" i="12"/>
  <c r="N11" i="13"/>
  <c r="E9" i="13"/>
  <c r="AM17" i="12"/>
  <c r="Q13" i="13"/>
  <c r="X15" i="13"/>
  <c r="AB32" i="12"/>
  <c r="AA96" i="12"/>
  <c r="E5" i="13"/>
  <c r="AM95" i="12"/>
  <c r="AG41" i="12"/>
  <c r="Z53" i="12"/>
  <c r="Z60" i="12" s="1"/>
  <c r="AA53" i="12"/>
  <c r="AD52" i="12"/>
  <c r="AK47" i="12"/>
  <c r="Y34" i="12"/>
  <c r="AM52" i="12"/>
  <c r="AL47" i="12"/>
  <c r="Y53" i="12"/>
  <c r="Y60" i="12" s="1"/>
  <c r="AK58" i="12"/>
  <c r="AL58" i="12"/>
  <c r="AM11" i="12"/>
  <c r="AF58" i="12"/>
  <c r="Z15" i="13"/>
  <c r="S13" i="13"/>
  <c r="X53" i="12"/>
  <c r="X33" i="12"/>
  <c r="AJ41" i="12"/>
  <c r="R34" i="12"/>
  <c r="AN95" i="12"/>
  <c r="AM58" i="12"/>
  <c r="AK20" i="12"/>
  <c r="Z32" i="12"/>
  <c r="AE58" i="12"/>
  <c r="AJ95" i="12"/>
  <c r="AJ58" i="12"/>
  <c r="AD58" i="12"/>
  <c r="AD47" i="12"/>
  <c r="Y17" i="12"/>
  <c r="R13" i="13" s="1"/>
  <c r="AH95" i="12"/>
  <c r="AA34" i="12"/>
  <c r="X96" i="12"/>
  <c r="AD96" i="12" s="1"/>
  <c r="AK14" i="12"/>
  <c r="AG52" i="12"/>
  <c r="Z33" i="12"/>
  <c r="AL33" i="12" s="1"/>
  <c r="AK21" i="12"/>
  <c r="H35" i="12"/>
  <c r="AD41" i="12"/>
  <c r="AL52" i="12"/>
  <c r="AL17" i="12"/>
  <c r="U34" i="12"/>
  <c r="AM47" i="12"/>
  <c r="M11" i="13"/>
  <c r="AF17" i="12"/>
  <c r="AK41" i="12"/>
  <c r="Q34" i="12"/>
  <c r="AN17" i="12"/>
  <c r="AH52" i="12"/>
  <c r="Q11" i="13"/>
  <c r="Z23" i="12"/>
  <c r="S7" i="13" s="1"/>
  <c r="W23" i="12"/>
  <c r="AA29" i="12"/>
  <c r="AB22" i="12"/>
  <c r="AN22" i="12" s="1"/>
  <c r="Y23" i="12"/>
  <c r="R7" i="13" s="1"/>
  <c r="X29" i="12"/>
  <c r="AB21" i="12"/>
  <c r="AN21" i="12" s="1"/>
  <c r="Z29" i="12"/>
  <c r="AB29" i="12"/>
  <c r="X23" i="12"/>
  <c r="Q7" i="13" s="1"/>
  <c r="X34" i="12"/>
  <c r="AK22" i="12"/>
  <c r="AK52" i="12"/>
  <c r="AL20" i="12"/>
  <c r="Z96" i="12"/>
  <c r="AL96" i="12" s="1"/>
  <c r="AK95" i="12"/>
  <c r="AE52" i="12"/>
  <c r="AJ22" i="12"/>
  <c r="AJ20" i="12"/>
  <c r="AF52" i="12"/>
  <c r="AA32" i="12"/>
  <c r="Y96" i="12"/>
  <c r="AE96" i="12" s="1"/>
  <c r="AF95" i="12"/>
  <c r="AM21" i="12"/>
  <c r="AL22" i="12"/>
  <c r="AN20" i="12"/>
  <c r="AM20" i="12"/>
  <c r="Y33" i="12"/>
  <c r="Y32" i="12"/>
  <c r="AN52" i="12"/>
  <c r="AM22" i="12"/>
  <c r="AJ21" i="12"/>
  <c r="BQ35" i="8"/>
  <c r="BQ35" i="1"/>
  <c r="BT35" i="10"/>
  <c r="BQ35" i="10"/>
  <c r="BR35" i="1"/>
  <c r="BP35" i="9"/>
  <c r="BS35" i="10"/>
  <c r="AH96" i="12"/>
  <c r="AN96" i="12"/>
  <c r="BR35" i="10"/>
  <c r="BT35" i="1"/>
  <c r="BS35" i="1"/>
  <c r="I98" i="12"/>
  <c r="F98" i="12"/>
  <c r="BP35" i="1"/>
  <c r="BS35" i="9"/>
  <c r="BQ35" i="9"/>
  <c r="BT35" i="9"/>
  <c r="BP35" i="10"/>
  <c r="BR35" i="9"/>
  <c r="BT35" i="8"/>
  <c r="BP35" i="8"/>
  <c r="BS35" i="8"/>
  <c r="BR35" i="8"/>
  <c r="AB23" i="12" a="1"/>
  <c r="Y29" i="12" a="1"/>
  <c r="AA23" i="12" a="1"/>
  <c r="AA33" i="12" l="1"/>
  <c r="L11" i="13"/>
  <c r="Q33" i="12"/>
  <c r="AH11" i="12"/>
  <c r="T29" i="12"/>
  <c r="AF83" i="12"/>
  <c r="AK33" i="12"/>
  <c r="AJ33" i="12"/>
  <c r="AM33" i="12"/>
  <c r="AJ34" i="12"/>
  <c r="AN51" i="12"/>
  <c r="M13" i="13"/>
  <c r="AD11" i="12"/>
  <c r="T32" i="12"/>
  <c r="U32" i="12"/>
  <c r="F35" i="12"/>
  <c r="AN41" i="12"/>
  <c r="AM51" i="12"/>
  <c r="G5" i="13"/>
  <c r="I35" i="12"/>
  <c r="R32" i="12"/>
  <c r="AK83" i="12"/>
  <c r="L13" i="13"/>
  <c r="E7" i="13"/>
  <c r="K7" i="13" s="1"/>
  <c r="AM34" i="12"/>
  <c r="K13" i="13"/>
  <c r="AB53" i="12"/>
  <c r="AH53" i="12" s="1"/>
  <c r="N13" i="13"/>
  <c r="AL34" i="12"/>
  <c r="AN58" i="12"/>
  <c r="AK34" i="12"/>
  <c r="D60" i="12"/>
  <c r="K60" i="12" s="1"/>
  <c r="N7" i="13"/>
  <c r="AD83" i="12"/>
  <c r="S29" i="12"/>
  <c r="AJ50" i="12"/>
  <c r="R29" i="12"/>
  <c r="AD93" i="12"/>
  <c r="C5" i="13"/>
  <c r="J5" i="13" s="1"/>
  <c r="AJ11" i="12"/>
  <c r="AM93" i="12"/>
  <c r="AL29" i="12"/>
  <c r="AD50" i="12"/>
  <c r="H60" i="12"/>
  <c r="H98" i="12" s="1"/>
  <c r="AK11" i="12"/>
  <c r="AK93" i="12"/>
  <c r="Q23" i="12"/>
  <c r="AN11" i="12"/>
  <c r="S32" i="12"/>
  <c r="AE11" i="12"/>
  <c r="AH93" i="12"/>
  <c r="AN47" i="12"/>
  <c r="AG11" i="12"/>
  <c r="AF93" i="12"/>
  <c r="U33" i="12"/>
  <c r="AM89" i="12"/>
  <c r="AG50" i="12"/>
  <c r="R33" i="12"/>
  <c r="P9" i="13"/>
  <c r="AK26" i="12"/>
  <c r="AN93" i="12"/>
  <c r="AE83" i="12"/>
  <c r="AJ26" i="12"/>
  <c r="AJ29" i="12"/>
  <c r="AN83" i="12"/>
  <c r="D35" i="12"/>
  <c r="Q35" i="12" s="1"/>
  <c r="C9" i="13"/>
  <c r="J9" i="13" s="1"/>
  <c r="AL50" i="12"/>
  <c r="G35" i="12"/>
  <c r="AN26" i="12"/>
  <c r="P13" i="13"/>
  <c r="Y13" i="13" s="1"/>
  <c r="L7" i="13"/>
  <c r="AG93" i="12"/>
  <c r="AL93" i="12"/>
  <c r="AE93" i="12"/>
  <c r="S33" i="12"/>
  <c r="T33" i="12"/>
  <c r="AR98" i="14"/>
  <c r="AR61" i="14"/>
  <c r="AE89" i="12"/>
  <c r="L53" i="12"/>
  <c r="S53" i="12"/>
  <c r="R53" i="12"/>
  <c r="P11" i="13"/>
  <c r="W11" i="13" s="1"/>
  <c r="R23" i="12"/>
  <c r="AJ89" i="12"/>
  <c r="AG89" i="12"/>
  <c r="AF89" i="12"/>
  <c r="AN89" i="12"/>
  <c r="AH83" i="12"/>
  <c r="AK89" i="12"/>
  <c r="U29" i="12"/>
  <c r="T23" i="12"/>
  <c r="O53" i="12"/>
  <c r="N53" i="12"/>
  <c r="AK50" i="12"/>
  <c r="AG53" i="12"/>
  <c r="AE50" i="12"/>
  <c r="AJ83" i="12"/>
  <c r="AD89" i="12"/>
  <c r="J7" i="13"/>
  <c r="AL89" i="12"/>
  <c r="U23" i="12"/>
  <c r="Q53" i="12"/>
  <c r="U53" i="12"/>
  <c r="AM29" i="12"/>
  <c r="AG83" i="12"/>
  <c r="S23" i="12"/>
  <c r="T53" i="12"/>
  <c r="M53" i="12"/>
  <c r="N15" i="13"/>
  <c r="L15" i="13"/>
  <c r="AJ32" i="12"/>
  <c r="AK32" i="12"/>
  <c r="J15" i="13"/>
  <c r="AL26" i="12"/>
  <c r="AM26" i="12"/>
  <c r="K15" i="13"/>
  <c r="AM32" i="12"/>
  <c r="AM83" i="12"/>
  <c r="W60" i="12"/>
  <c r="W98" i="12" s="1"/>
  <c r="AF11" i="12"/>
  <c r="Y11" i="13"/>
  <c r="P5" i="13"/>
  <c r="AM50" i="12"/>
  <c r="W35" i="12"/>
  <c r="AN50" i="12"/>
  <c r="AN32" i="12"/>
  <c r="AL83" i="12"/>
  <c r="AH50" i="12"/>
  <c r="AN29" i="12"/>
  <c r="AL32" i="12"/>
  <c r="AY98" i="14"/>
  <c r="AY61" i="14"/>
  <c r="AU98" i="14"/>
  <c r="AU61" i="14"/>
  <c r="AV98" i="14"/>
  <c r="AV61" i="14"/>
  <c r="AT61" i="14"/>
  <c r="AT98" i="14"/>
  <c r="AQ98" i="14"/>
  <c r="AQ61" i="14"/>
  <c r="AW98" i="14"/>
  <c r="AW61" i="14"/>
  <c r="AL53" i="12"/>
  <c r="AF53" i="12"/>
  <c r="AK53" i="12"/>
  <c r="AE53" i="12"/>
  <c r="AJ96" i="12"/>
  <c r="AA60" i="12"/>
  <c r="T9" i="13"/>
  <c r="Q9" i="13"/>
  <c r="AM96" i="12"/>
  <c r="AG96" i="12"/>
  <c r="X60" i="12"/>
  <c r="X98" i="12" s="1"/>
  <c r="AM53" i="12"/>
  <c r="AF96" i="12"/>
  <c r="AE17" i="12"/>
  <c r="T5" i="13"/>
  <c r="X35" i="12"/>
  <c r="S9" i="13"/>
  <c r="S5" i="13"/>
  <c r="AB33" i="12"/>
  <c r="AN33" i="12" s="1"/>
  <c r="AD53" i="12"/>
  <c r="AJ53" i="12"/>
  <c r="Q5" i="13"/>
  <c r="AK17" i="12"/>
  <c r="P7" i="13"/>
  <c r="X7" i="13" s="1"/>
  <c r="R9" i="13"/>
  <c r="AK23" i="12"/>
  <c r="AB34" i="12"/>
  <c r="AN34" i="12" s="1"/>
  <c r="R5" i="13"/>
  <c r="AK96" i="12"/>
  <c r="AL23" i="12"/>
  <c r="Y29" i="12"/>
  <c r="AK29" i="12" s="1"/>
  <c r="AB23" i="12"/>
  <c r="AB35" i="12" s="1"/>
  <c r="AA23" i="12"/>
  <c r="T7" i="13" s="1"/>
  <c r="Z35" i="12"/>
  <c r="AJ23" i="12"/>
  <c r="Y98" i="12"/>
  <c r="Z98" i="12"/>
  <c r="U60" i="12" l="1"/>
  <c r="T35" i="12"/>
  <c r="W9" i="13"/>
  <c r="L9" i="13"/>
  <c r="AN53" i="12"/>
  <c r="S35" i="12"/>
  <c r="Y9" i="13"/>
  <c r="N9" i="13"/>
  <c r="X9" i="13"/>
  <c r="T60" i="12"/>
  <c r="AB60" i="12"/>
  <c r="AN60" i="12" s="1"/>
  <c r="U5" i="13"/>
  <c r="AA5" i="13" s="1"/>
  <c r="U9" i="13"/>
  <c r="AA9" i="13" s="1"/>
  <c r="Z9" i="13"/>
  <c r="K9" i="13"/>
  <c r="R35" i="12"/>
  <c r="M9" i="13"/>
  <c r="X13" i="13"/>
  <c r="S60" i="12"/>
  <c r="D98" i="12"/>
  <c r="N98" i="12" s="1"/>
  <c r="O60" i="12"/>
  <c r="R60" i="12"/>
  <c r="Y5" i="13"/>
  <c r="Q60" i="12"/>
  <c r="L5" i="13"/>
  <c r="N60" i="12"/>
  <c r="M5" i="13"/>
  <c r="L60" i="12"/>
  <c r="N5" i="13"/>
  <c r="AN35" i="12"/>
  <c r="M60" i="12"/>
  <c r="K5" i="13"/>
  <c r="AJ35" i="12"/>
  <c r="U35" i="12"/>
  <c r="W5" i="13"/>
  <c r="AA13" i="13"/>
  <c r="AL35" i="12"/>
  <c r="Z13" i="13"/>
  <c r="W13" i="13"/>
  <c r="AA11" i="13"/>
  <c r="Z11" i="13"/>
  <c r="AL98" i="12"/>
  <c r="X11" i="13"/>
  <c r="AK60" i="12"/>
  <c r="AL60" i="12"/>
  <c r="AE60" i="12"/>
  <c r="AM60" i="12"/>
  <c r="AF60" i="12"/>
  <c r="X5" i="13"/>
  <c r="Z5" i="13"/>
  <c r="AB98" i="12"/>
  <c r="AN98" i="12" s="1"/>
  <c r="AJ60" i="12"/>
  <c r="AA98" i="12"/>
  <c r="AM98" i="12" s="1"/>
  <c r="AD60" i="12"/>
  <c r="AG60" i="12"/>
  <c r="Y35" i="12"/>
  <c r="AK35" i="12" s="1"/>
  <c r="Y7" i="13"/>
  <c r="AA35" i="12"/>
  <c r="AM35" i="12" s="1"/>
  <c r="W7" i="13"/>
  <c r="Z7" i="13"/>
  <c r="U7" i="13"/>
  <c r="AA7" i="13" s="1"/>
  <c r="AN23" i="12"/>
  <c r="AM23" i="12"/>
  <c r="AD98" i="12"/>
  <c r="AJ98" i="12"/>
  <c r="AK98" i="12"/>
  <c r="AE98" i="12"/>
  <c r="AF98" i="12"/>
  <c r="AH60" i="12" l="1"/>
  <c r="M98" i="12"/>
  <c r="T98" i="12"/>
  <c r="R98" i="12"/>
  <c r="K98" i="12"/>
  <c r="U98" i="12"/>
  <c r="S98" i="12"/>
  <c r="L98" i="12"/>
  <c r="Q98" i="12"/>
  <c r="O98" i="12"/>
  <c r="AH98" i="12"/>
  <c r="AG98" i="12"/>
  <c r="AQ12" i="14"/>
  <c r="AP12" i="14"/>
  <c r="AS12" i="14"/>
  <c r="AM90" i="14"/>
  <c r="AM18" i="14"/>
  <c r="AT12" i="14" l="1"/>
  <c r="AX12" i="14"/>
  <c r="AU12" i="14"/>
  <c r="AJ18" i="14"/>
  <c r="AK18" i="14"/>
  <c r="AL18" i="14"/>
  <c r="AK90" i="14"/>
  <c r="AJ90" i="14"/>
  <c r="AL90" i="14"/>
  <c r="AV12" i="14" l="1"/>
  <c r="AR12" i="14"/>
  <c r="AY12" i="14"/>
  <c r="AW12" i="14"/>
  <c r="AB18" i="14"/>
  <c r="AI18" i="14"/>
  <c r="AC90" i="14"/>
  <c r="AF18" i="14"/>
  <c r="AG90" i="14"/>
  <c r="AG18" i="14"/>
  <c r="AE18" i="14"/>
  <c r="AI90" i="14"/>
  <c r="AB90" i="14"/>
  <c r="AE90" i="14"/>
  <c r="AH90" i="14"/>
  <c r="AD90" i="14"/>
  <c r="AH18" i="14"/>
  <c r="AD18" i="14"/>
  <c r="AC18" i="14"/>
  <c r="AF90" i="14"/>
  <c r="AM12" i="14" l="1"/>
  <c r="AN18" i="14"/>
  <c r="AN90" i="14"/>
  <c r="S18" i="14" l="1"/>
  <c r="V90" i="14"/>
  <c r="U90" i="14"/>
  <c r="R90" i="14"/>
  <c r="P18" i="14"/>
  <c r="W90" i="14"/>
  <c r="Z90" i="14"/>
  <c r="X90" i="14"/>
  <c r="Q18" i="14"/>
  <c r="S90" i="14"/>
  <c r="W18" i="14"/>
  <c r="Y18" i="14"/>
  <c r="U18" i="14"/>
  <c r="P90" i="14"/>
  <c r="V18" i="14"/>
  <c r="T90" i="14"/>
  <c r="AA18" i="14"/>
  <c r="T18" i="14"/>
  <c r="X18" i="14"/>
  <c r="AA90" i="14"/>
  <c r="R18" i="14"/>
  <c r="Q90" i="14"/>
  <c r="Z18" i="14"/>
  <c r="Y90" i="14"/>
  <c r="I18" i="14" l="1"/>
  <c r="J18" i="14"/>
  <c r="K90" i="14"/>
  <c r="L18" i="14"/>
  <c r="G90" i="14"/>
  <c r="L90" i="14"/>
  <c r="E18" i="14"/>
  <c r="J90" i="14"/>
  <c r="M18" i="14"/>
  <c r="N90" i="14"/>
  <c r="E90" i="14"/>
  <c r="I90" i="14"/>
  <c r="F90" i="14"/>
  <c r="F18" i="14"/>
  <c r="O18" i="14"/>
  <c r="H18" i="14"/>
  <c r="N18" i="14"/>
  <c r="G18" i="14"/>
  <c r="M90" i="14"/>
  <c r="O90" i="14"/>
  <c r="K18" i="14"/>
  <c r="H90" i="14" l="1"/>
  <c r="D18" i="14"/>
  <c r="AK12" i="14" l="1"/>
  <c r="AL12" i="14"/>
  <c r="AJ12" i="14"/>
  <c r="D90" i="14"/>
  <c r="H97" i="14" l="1"/>
  <c r="E97" i="14"/>
  <c r="G97" i="14"/>
  <c r="D94" i="14"/>
  <c r="N97" i="14"/>
  <c r="J97" i="14"/>
  <c r="L97" i="14"/>
  <c r="M97" i="14"/>
  <c r="K97" i="14"/>
  <c r="I97" i="14"/>
  <c r="O97" i="14"/>
  <c r="E94" i="14" l="1"/>
  <c r="F94" i="14"/>
  <c r="J94" i="14"/>
  <c r="N94" i="14"/>
  <c r="G94" i="14"/>
  <c r="L94" i="14"/>
  <c r="O94" i="14"/>
  <c r="M94" i="14"/>
  <c r="K94" i="14"/>
  <c r="I94" i="14"/>
  <c r="H94" i="14"/>
  <c r="F97" i="14"/>
  <c r="R94" i="14" l="1"/>
  <c r="Q94" i="14"/>
  <c r="AC97" i="14"/>
  <c r="Q97" i="14"/>
  <c r="P97" i="14"/>
  <c r="AB97" i="14"/>
  <c r="P94" i="14"/>
  <c r="AD97" i="14" l="1"/>
  <c r="R97" i="14"/>
  <c r="AE97" i="14" l="1"/>
  <c r="AF97" i="14"/>
  <c r="S94" i="14"/>
  <c r="T94" i="14" l="1"/>
  <c r="S97" i="14"/>
  <c r="T97" i="14" l="1"/>
  <c r="AG97" i="14"/>
  <c r="AI97" i="14" l="1"/>
  <c r="U97" i="14"/>
  <c r="U94" i="14"/>
  <c r="AH97" i="14" l="1"/>
  <c r="W94" i="14" l="1"/>
  <c r="W97" i="14" l="1"/>
  <c r="V94" i="14"/>
  <c r="V97" i="14" l="1"/>
  <c r="X94" i="14" l="1"/>
  <c r="X97" i="14" l="1"/>
  <c r="Y94" i="14" l="1"/>
  <c r="Y97" i="14" l="1"/>
  <c r="Z94" i="14" l="1"/>
  <c r="Z97" i="14" l="1"/>
  <c r="AA94" i="14" l="1"/>
  <c r="AA97" i="14" l="1"/>
  <c r="AJ97" i="14" l="1"/>
  <c r="AN97" i="14" l="1"/>
  <c r="AL97" i="14" l="1"/>
  <c r="AK97" i="14" l="1"/>
  <c r="AM97" i="14" l="1"/>
  <c r="D97" i="14" l="1"/>
  <c r="AF12" i="14" l="1"/>
  <c r="AE12" i="14"/>
  <c r="AH12" i="14"/>
  <c r="AB12" i="14"/>
  <c r="AD12" i="14"/>
  <c r="AI12" i="14"/>
  <c r="AC12" i="14"/>
  <c r="AG12" i="14"/>
  <c r="AN12" i="14" l="1"/>
  <c r="AC94" i="14" l="1"/>
  <c r="AD94" i="14" l="1"/>
  <c r="AB94" i="14" l="1"/>
  <c r="AF94" i="14"/>
  <c r="AE94" i="14"/>
  <c r="AG94" i="14" l="1"/>
  <c r="AI94" i="14" l="1"/>
  <c r="AG84" i="14" l="1"/>
  <c r="AH94" i="14"/>
  <c r="AH84" i="14" l="1"/>
  <c r="AI84" i="14" l="1"/>
  <c r="AO84" i="14" l="1"/>
  <c r="AN84" i="14"/>
  <c r="AC84" i="14" l="1"/>
  <c r="V12" i="14"/>
  <c r="AE84" i="14"/>
  <c r="U12" i="14"/>
  <c r="K12" i="14"/>
  <c r="L12" i="14"/>
  <c r="J12" i="14"/>
  <c r="R12" i="14"/>
  <c r="I12" i="14"/>
  <c r="Z12" i="14"/>
  <c r="N12" i="14"/>
  <c r="X12" i="14"/>
  <c r="M12" i="14"/>
  <c r="AA12" i="14"/>
  <c r="D12" i="14"/>
  <c r="O12" i="14"/>
  <c r="F12" i="14"/>
  <c r="AF84" i="14"/>
  <c r="G12" i="14"/>
  <c r="H12" i="14"/>
  <c r="Y12" i="14"/>
  <c r="P12" i="14"/>
  <c r="S12" i="14"/>
  <c r="E12" i="14"/>
  <c r="AD84" i="14" l="1"/>
  <c r="T12" i="14"/>
  <c r="E54" i="14"/>
  <c r="J54" i="14"/>
  <c r="Q12" i="14"/>
  <c r="K54" i="14"/>
  <c r="AB84" i="14"/>
  <c r="M54" i="14"/>
  <c r="L54" i="14"/>
  <c r="N54" i="14"/>
  <c r="H54" i="14"/>
  <c r="I54" i="14"/>
  <c r="G54" i="14"/>
  <c r="F54" i="14"/>
  <c r="O54" i="14"/>
  <c r="W12" i="14" l="1"/>
  <c r="D54" i="14"/>
  <c r="U84" i="14" l="1"/>
  <c r="R84" i="14"/>
  <c r="H84" i="14"/>
  <c r="Y84" i="14"/>
  <c r="N84" i="14" l="1"/>
  <c r="V84" i="14"/>
  <c r="X84" i="14"/>
  <c r="E84" i="14"/>
  <c r="F84" i="14"/>
  <c r="K84" i="14"/>
  <c r="L84" i="14"/>
  <c r="G84" i="14"/>
  <c r="I84" i="14"/>
  <c r="AA84" i="14"/>
  <c r="W84" i="14" l="1"/>
  <c r="S84" i="14"/>
  <c r="T84" i="14"/>
  <c r="J84" i="14"/>
  <c r="O84" i="14"/>
  <c r="Q84" i="14"/>
  <c r="Z84" i="14"/>
  <c r="D84" i="14"/>
  <c r="M84" i="14"/>
  <c r="P84" i="14"/>
  <c r="I61" i="14" l="1"/>
  <c r="J61" i="14"/>
  <c r="G61" i="14" l="1"/>
  <c r="H61" i="14"/>
  <c r="K61" i="14"/>
  <c r="O61" i="14"/>
  <c r="F61" i="14" l="1"/>
  <c r="L61" i="14"/>
  <c r="M61" i="14"/>
  <c r="E61" i="14"/>
  <c r="N61" i="14"/>
  <c r="D61" i="14" l="1"/>
  <c r="AB54" i="14" l="1"/>
  <c r="AB61" i="14" l="1"/>
  <c r="AC54" i="14" l="1"/>
  <c r="P54" i="14" l="1"/>
  <c r="AD54" i="14"/>
  <c r="AC61" i="14"/>
  <c r="P61" i="14" l="1"/>
  <c r="Q61" i="14"/>
  <c r="AE54" i="14"/>
  <c r="AD61" i="14"/>
  <c r="Q54" i="14"/>
  <c r="R54" i="14" l="1"/>
  <c r="R61" i="14"/>
  <c r="AF54" i="14"/>
  <c r="AE61" i="14"/>
  <c r="S54" i="14" l="1"/>
  <c r="AF61" i="14"/>
  <c r="AG54" i="14"/>
  <c r="S61" i="14" l="1"/>
  <c r="AH54" i="14"/>
  <c r="AG61" i="14"/>
  <c r="T54" i="14" l="1"/>
  <c r="AH61" i="14"/>
  <c r="T61" i="14" l="1"/>
  <c r="U54" i="14"/>
  <c r="U61" i="14"/>
  <c r="AI54" i="14"/>
  <c r="V54" i="14"/>
  <c r="AI61" i="14" l="1"/>
  <c r="V61" i="14" l="1"/>
  <c r="X54" i="14" l="1"/>
  <c r="W54" i="14"/>
  <c r="X61" i="14"/>
  <c r="W61" i="14"/>
  <c r="Y54" i="14" l="1"/>
  <c r="Y61" i="14"/>
  <c r="Z54" i="14" l="1"/>
  <c r="Z61" i="14"/>
  <c r="AA61" i="14" l="1"/>
  <c r="AA54" i="14"/>
  <c r="AJ94" i="14" l="1"/>
  <c r="AJ54" i="14" l="1"/>
  <c r="AJ61" i="14" l="1"/>
  <c r="AJ84" i="14" l="1"/>
  <c r="AN94" i="14" l="1"/>
  <c r="AO94" i="14" l="1"/>
  <c r="AZ94" i="14" l="1"/>
  <c r="AZ97" i="14" l="1"/>
  <c r="AN54" i="14" l="1"/>
  <c r="AN61" i="14" l="1"/>
  <c r="AO61" i="14" l="1"/>
  <c r="AK84" i="14" l="1"/>
  <c r="AM84" i="14" l="1"/>
  <c r="AL84" i="14"/>
  <c r="AL94" i="14" l="1"/>
  <c r="AK94" i="14" l="1"/>
  <c r="AM94" i="14" l="1"/>
  <c r="AK54" i="14" l="1"/>
  <c r="AK61" i="14" l="1"/>
  <c r="AL54" i="14" l="1"/>
  <c r="AL61" i="14" l="1"/>
  <c r="AM54" i="14"/>
  <c r="AM61" i="14" l="1"/>
  <c r="AZ12" i="14" l="1"/>
  <c r="AZ18" i="14" l="1"/>
  <c r="AZ54" i="14" l="1"/>
  <c r="AZ61" i="14" l="1"/>
  <c r="AZ84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19E99-6257-4950-B96D-51C34339484D}" keepAlive="1" name="DataSetPPECONVVEH" type="5" refreshedVersion="8" saveData="1">
    <dbPr connection="Provider=MSOLAP.8;Integrated Security=ClaimsToken;Persist Security Info=True;Initial Catalog=sobe_wowvirtualserver-b0b160a6-ebc5-4855-b2f7-af60e51163a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52EE77EA-6606-4BAB-A062-54E3A66896FD}" keepAlive="1" name="DataSetPPTO26PPECONVVEH" type="5" refreshedVersion="8" saveData="1">
    <dbPr connection="Provider=MSOLAP.8;Integrated Security=ClaimsToken;Persist Security Info=True;Initial Catalog=sobe_wowvirtualserver-84447922-96ff-4e1f-b318-13084cf8c1b8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7">
    <s v="{[Base].[Tipo_Valor].&amp;[Solarizado]}"/>
    <s v="DataSetPPECONVVEH"/>
    <s v="{[Base].[PRODUCTO].&amp;[Préstamos]}"/>
    <s v="DataSetPPTO26PPECONVVEH"/>
    <s v="{[Base_PPE].[PRODUCTO].&amp;[Préstamos]}"/>
    <s v="{[Base_PPE].[Tipo_Valor].&amp;[Solarizado]}"/>
    <s v="{[Base_PPE].[Tipo].&amp;[P]}"/>
  </metadataStrings>
  <mdxMetadata count="5">
    <mdx n="1" f="s">
      <ms ns="0" c="0"/>
    </mdx>
    <mdx n="1" f="s">
      <ms ns="2" c="0"/>
    </mdx>
    <mdx n="3" f="s">
      <ms ns="4" c="0"/>
    </mdx>
    <mdx n="3" f="s">
      <ms ns="5" c="0"/>
    </mdx>
    <mdx n="3" f="s">
      <ms ns="6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<sst xmlns="http://schemas.openxmlformats.org/spreadsheetml/2006/main" count="1282" uniqueCount="135">
  <si>
    <t>Vigente</t>
  </si>
  <si>
    <t>Refinanciado</t>
  </si>
  <si>
    <t>Saldo FdP</t>
  </si>
  <si>
    <t>Producto</t>
  </si>
  <si>
    <t>Convenios</t>
  </si>
  <si>
    <t>Etiquetas de columna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</si>
  <si>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</si>
  <si>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</si>
  <si>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</si>
  <si>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</si>
  <si>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</si>
  <si>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</si>
  <si>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</si>
  <si>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</si>
  <si>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</si>
  <si>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</si>
  <si>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</si>
  <si>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</si>
  <si>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</si>
  <si>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</si>
  <si>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</si>
  <si>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</si>
  <si>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</si>
  <si>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</si>
  <si>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</si>
  <si>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</si>
  <si>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</si>
  <si>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</si>
  <si>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</si>
  <si>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</si>
  <si>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</si>
  <si>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</si>
  <si>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</si>
  <si>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</si>
  <si>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</si>
  <si>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</si>
  <si>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</si>
  <si>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</si>
  <si>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</si>
  <si>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</si>
  <si>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</si>
  <si>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</si>
  <si>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Suma de Importe</t>
  </si>
  <si>
    <t>PRODUCTO</t>
  </si>
  <si>
    <t>Etiquetas de fila</t>
  </si>
  <si>
    <t>Vencido y Judicial</t>
  </si>
  <si>
    <t>Consumo Inicial</t>
  </si>
  <si>
    <t>Masivo</t>
  </si>
  <si>
    <t>Otros</t>
  </si>
  <si>
    <t>Renta Alta</t>
  </si>
  <si>
    <t>FTP</t>
  </si>
  <si>
    <t>SALDO_FDP</t>
  </si>
  <si>
    <t>SALDO_PROM</t>
  </si>
  <si>
    <t>Tipo_Valor</t>
  </si>
  <si>
    <t>Solarizado</t>
  </si>
  <si>
    <t>Ingreso_Financiero</t>
  </si>
  <si>
    <t>Saldo Prom</t>
  </si>
  <si>
    <t>Ingreso Financiero</t>
  </si>
  <si>
    <t>Costo de Fondos</t>
  </si>
  <si>
    <t>Tasa Implicita</t>
  </si>
  <si>
    <t>Tasa FTP</t>
  </si>
  <si>
    <t>N° dias T.Imp</t>
  </si>
  <si>
    <t>N° dias FTP</t>
  </si>
  <si>
    <t>Spread</t>
  </si>
  <si>
    <t>Gasto_Provision</t>
  </si>
  <si>
    <t>Recupero</t>
  </si>
  <si>
    <t>Resultado Financiero Bruto</t>
  </si>
  <si>
    <t>Provisiones Cartera</t>
  </si>
  <si>
    <t>Provisiones Netas</t>
  </si>
  <si>
    <t>Recupero de Castigos</t>
  </si>
  <si>
    <t>Resultado Financiero Neto</t>
  </si>
  <si>
    <t>INOF</t>
  </si>
  <si>
    <t>Comisiones</t>
  </si>
  <si>
    <t>Gastos de casilleros</t>
  </si>
  <si>
    <t>No Considerar</t>
  </si>
  <si>
    <t>Seguro de Desgravamen</t>
  </si>
  <si>
    <t>Gastos Operativos</t>
  </si>
  <si>
    <t>202601</t>
  </si>
  <si>
    <t>Gasto Canal</t>
  </si>
  <si>
    <t>Gasto Directo</t>
  </si>
  <si>
    <t>Gasto Indirecto</t>
  </si>
  <si>
    <t>Extraordinarios</t>
  </si>
  <si>
    <t>ROF</t>
  </si>
  <si>
    <t>Venta de Cartera</t>
  </si>
  <si>
    <t>UAI</t>
  </si>
  <si>
    <t>Donaciones</t>
  </si>
  <si>
    <t>Tipo</t>
  </si>
  <si>
    <t>R</t>
  </si>
  <si>
    <t>P</t>
  </si>
  <si>
    <t>Año</t>
  </si>
  <si>
    <t>Acumulado</t>
  </si>
  <si>
    <t>Saldo Prom Acumulado</t>
  </si>
  <si>
    <t>REAL</t>
  </si>
  <si>
    <t>PRESUPUESTO</t>
  </si>
  <si>
    <t>Mensual</t>
  </si>
  <si>
    <t>Lista Fechas</t>
  </si>
  <si>
    <t>Segmentos</t>
  </si>
  <si>
    <t>Renta_Alta</t>
  </si>
  <si>
    <t>Consumo_Inicial</t>
  </si>
  <si>
    <t>Total_Producto</t>
  </si>
  <si>
    <t>Variación S/.</t>
  </si>
  <si>
    <t>Variación %</t>
  </si>
  <si>
    <t>Desempeño Financiero</t>
  </si>
  <si>
    <t>En S/. Miles</t>
  </si>
  <si>
    <t>Eficiencia</t>
  </si>
  <si>
    <t>Rendimiento de Colocaciones</t>
  </si>
  <si>
    <t>INOF / Ingresos Totales</t>
  </si>
  <si>
    <t>INOF / Gasto Operativo</t>
  </si>
  <si>
    <t>Gasto Operativo / Activo</t>
  </si>
  <si>
    <t>Provisiones Brutas / Cartera Bruta</t>
  </si>
  <si>
    <t>Prom SFdP</t>
  </si>
  <si>
    <t>ROE</t>
  </si>
  <si>
    <t>ROA</t>
  </si>
  <si>
    <t>Comisión por envío EC</t>
  </si>
  <si>
    <t>Varios</t>
  </si>
  <si>
    <t>Penalidad por Incumplimiento Pago</t>
  </si>
  <si>
    <t>Préstamos</t>
  </si>
  <si>
    <t>Total Préstamos</t>
  </si>
  <si>
    <t>202602</t>
  </si>
  <si>
    <t>Total general</t>
  </si>
  <si>
    <t>Abogados Recuperaciones</t>
  </si>
  <si>
    <t>Comisiones - Varias</t>
  </si>
  <si>
    <t>Penalidad por Incumplimiento Pago JCC</t>
  </si>
  <si>
    <t>Recuperaciones</t>
  </si>
  <si>
    <t>Inversiones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</si>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</sst>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 * #,##0_ ;_ * \-#,##0_ ;_ * &quot;-&quot;??_ ;_ @_ "/>
    <numFmt numFmtId="167" formatCode="mmm\ yy"/>
    <numFmt numFmtId="168" formatCode="mmm\-yy\ &quot;P&quot;"/>
    <numFmt numFmtId="169" formatCode="#,##0_ ;\-#,##0\ "/>
    <numFmt numFmtId="170" formatCode="0.0%"/>
    <numFmt numFmtId="171" formatCode="mmm\-yy\ \P"/>
    <numFmt numFmtId="172" formatCode="#,##0;\(#,##0\)"/>
    <numFmt numFmtId="173" formatCode="\+0.0%;\-0.0%"/>
    <numFmt numFmtId="174" formatCode="\+0.0\ &quot;pbs&quot;;\-0.0\ &quot;pbs&quot;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39A6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i/>
      <sz val="6"/>
      <color theme="1"/>
      <name val="Arial Nova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color theme="1"/>
      <name val="Arial Nova"/>
      <family val="2"/>
    </font>
    <font>
      <b/>
      <sz val="12"/>
      <color theme="0"/>
      <name val="Aptos Narrow"/>
      <family val="2"/>
      <scheme val="minor"/>
    </font>
    <font>
      <b/>
      <sz val="10"/>
      <color rgb="FF0039A6"/>
      <name val="Arial"/>
      <family val="2"/>
    </font>
    <font>
      <b/>
      <sz val="11"/>
      <color rgb="FFFFFFFF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i/>
      <sz val="6"/>
      <color theme="0" tint="-0.14999847407452621"/>
      <name val="Arial Nova"/>
      <family val="2"/>
    </font>
    <font>
      <b/>
      <sz val="10"/>
      <color theme="0"/>
      <name val="Geometria"/>
      <family val="2"/>
    </font>
    <font>
      <b/>
      <sz val="10"/>
      <color theme="0" tint="-0.14999847407452621"/>
      <name val="Century Gothic"/>
      <family val="2"/>
    </font>
    <font>
      <b/>
      <sz val="11"/>
      <color theme="0" tint="-0.14999847407452621"/>
      <name val="Aptos Narrow"/>
      <family val="2"/>
      <scheme val="minor"/>
    </font>
    <font>
      <i/>
      <sz val="6"/>
      <color theme="1"/>
      <name val="Arial Nova"/>
      <family val="2"/>
    </font>
    <font>
      <sz val="6"/>
      <color theme="1"/>
      <name val="Arial Nova"/>
      <family val="2"/>
    </font>
    <font>
      <b/>
      <sz val="10"/>
      <color theme="0"/>
      <name val="Geometria"/>
      <family val="2"/>
    </font>
    <font>
      <b/>
      <sz val="11"/>
      <color rgb="FF0039A6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 tint="-0.1499984740745262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rgb="FFF0F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5BE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0039A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9A6"/>
        <bgColor indexed="64"/>
      </patternFill>
    </fill>
  </fills>
  <borders count="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 style="thick">
        <color rgb="FFFFFFFF"/>
      </right>
      <top/>
      <bottom style="medium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73">
    <xf numFmtId="0" fontId="0" fillId="0" borderId="0" xfId="0"/>
    <xf numFmtId="17" fontId="3" fillId="2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164" fontId="0" fillId="0" borderId="0" xfId="0" applyNumberFormat="1"/>
    <xf numFmtId="166" fontId="7" fillId="4" borderId="0" xfId="3" applyNumberFormat="1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0" fontId="0" fillId="0" borderId="0" xfId="2" applyNumberFormat="1" applyFont="1"/>
    <xf numFmtId="10" fontId="7" fillId="4" borderId="0" xfId="2" applyNumberFormat="1" applyFont="1" applyFill="1" applyAlignment="1">
      <alignment vertical="center"/>
    </xf>
    <xf numFmtId="166" fontId="0" fillId="0" borderId="0" xfId="0" applyNumberFormat="1"/>
    <xf numFmtId="164" fontId="9" fillId="0" borderId="0" xfId="1" applyNumberFormat="1" applyFont="1"/>
    <xf numFmtId="0" fontId="9" fillId="0" borderId="0" xfId="0" applyFont="1"/>
    <xf numFmtId="164" fontId="9" fillId="0" borderId="0" xfId="0" applyNumberFormat="1" applyFont="1"/>
    <xf numFmtId="14" fontId="0" fillId="0" borderId="0" xfId="0" applyNumberFormat="1"/>
    <xf numFmtId="167" fontId="0" fillId="0" borderId="0" xfId="0" applyNumberFormat="1" applyAlignment="1">
      <alignment horizontal="center"/>
    </xf>
    <xf numFmtId="168" fontId="3" fillId="2" borderId="0" xfId="0" applyNumberFormat="1" applyFont="1" applyFill="1" applyAlignment="1">
      <alignment horizontal="center"/>
    </xf>
    <xf numFmtId="37" fontId="7" fillId="4" borderId="0" xfId="3" applyNumberFormat="1" applyFont="1" applyFill="1" applyAlignment="1">
      <alignment horizontal="center" vertical="center"/>
    </xf>
    <xf numFmtId="169" fontId="0" fillId="0" borderId="0" xfId="1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7" fontId="0" fillId="0" borderId="0" xfId="0" applyNumberFormat="1"/>
    <xf numFmtId="2" fontId="8" fillId="0" borderId="0" xfId="0" applyNumberFormat="1" applyFont="1" applyAlignment="1">
      <alignment horizontal="center"/>
    </xf>
    <xf numFmtId="170" fontId="0" fillId="0" borderId="0" xfId="2" applyNumberFormat="1" applyFont="1" applyAlignment="1">
      <alignment horizontal="center"/>
    </xf>
    <xf numFmtId="170" fontId="7" fillId="4" borderId="0" xfId="2" applyNumberFormat="1" applyFont="1" applyFill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/>
    </xf>
    <xf numFmtId="167" fontId="0" fillId="7" borderId="0" xfId="0" applyNumberFormat="1" applyFill="1" applyAlignment="1">
      <alignment horizontal="center"/>
    </xf>
    <xf numFmtId="171" fontId="13" fillId="8" borderId="2" xfId="0" applyNumberFormat="1" applyFont="1" applyFill="1" applyBorder="1" applyAlignment="1">
      <alignment horizontal="center"/>
    </xf>
    <xf numFmtId="17" fontId="13" fillId="8" borderId="2" xfId="0" applyNumberFormat="1" applyFont="1" applyFill="1" applyBorder="1" applyAlignment="1">
      <alignment horizontal="center"/>
    </xf>
    <xf numFmtId="172" fontId="0" fillId="0" borderId="0" xfId="1" applyNumberFormat="1" applyFont="1"/>
    <xf numFmtId="172" fontId="7" fillId="4" borderId="0" xfId="3" applyNumberFormat="1" applyFont="1" applyFill="1" applyAlignment="1">
      <alignment vertical="center"/>
    </xf>
    <xf numFmtId="173" fontId="0" fillId="0" borderId="0" xfId="1" applyNumberFormat="1" applyFont="1" applyAlignment="1">
      <alignment horizontal="center"/>
    </xf>
    <xf numFmtId="173" fontId="2" fillId="4" borderId="0" xfId="1" applyNumberFormat="1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174" fontId="0" fillId="0" borderId="0" xfId="0" applyNumberFormat="1" applyAlignment="1">
      <alignment horizontal="center"/>
    </xf>
    <xf numFmtId="174" fontId="7" fillId="4" borderId="0" xfId="0" applyNumberFormat="1" applyFont="1" applyFill="1" applyAlignment="1">
      <alignment horizontal="center"/>
    </xf>
    <xf numFmtId="0" fontId="0" fillId="10" borderId="0" xfId="0" applyFill="1"/>
    <xf numFmtId="1" fontId="18" fillId="11" borderId="3" xfId="0" applyNumberFormat="1" applyFont="1" applyFill="1" applyBorder="1" applyAlignment="1">
      <alignment horizontal="left" vertical="center"/>
    </xf>
    <xf numFmtId="0" fontId="19" fillId="0" borderId="0" xfId="0" applyFont="1"/>
    <xf numFmtId="164" fontId="20" fillId="0" borderId="0" xfId="1" applyNumberFormat="1" applyFont="1"/>
    <xf numFmtId="0" fontId="20" fillId="0" borderId="0" xfId="0" applyFont="1"/>
    <xf numFmtId="170" fontId="7" fillId="4" borderId="0" xfId="2" applyNumberFormat="1" applyFont="1" applyFill="1" applyAlignment="1">
      <alignment horizontal="center"/>
    </xf>
    <xf numFmtId="174" fontId="10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1" fontId="23" fillId="11" borderId="3" xfId="0" applyNumberFormat="1" applyFont="1" applyFill="1" applyBorder="1" applyAlignment="1">
      <alignment horizontal="left" vertical="center"/>
    </xf>
    <xf numFmtId="17" fontId="24" fillId="2" borderId="1" xfId="0" applyNumberFormat="1" applyFont="1" applyFill="1" applyBorder="1" applyAlignment="1">
      <alignment horizontal="center"/>
    </xf>
    <xf numFmtId="168" fontId="24" fillId="2" borderId="1" xfId="0" applyNumberFormat="1" applyFont="1" applyFill="1" applyBorder="1" applyAlignment="1">
      <alignment horizontal="center"/>
    </xf>
    <xf numFmtId="168" fontId="24" fillId="2" borderId="0" xfId="0" applyNumberFormat="1" applyFont="1" applyFill="1" applyAlignment="1">
      <alignment horizontal="center"/>
    </xf>
    <xf numFmtId="0" fontId="21" fillId="0" borderId="0" xfId="0" applyFont="1"/>
    <xf numFmtId="0" fontId="25" fillId="3" borderId="0" xfId="0" applyFont="1" applyFill="1" applyAlignment="1">
      <alignment horizontal="right"/>
    </xf>
    <xf numFmtId="0" fontId="26" fillId="4" borderId="0" xfId="0" applyFont="1" applyFill="1" applyAlignment="1">
      <alignment vertical="center"/>
    </xf>
    <xf numFmtId="166" fontId="27" fillId="4" borderId="0" xfId="3" applyNumberFormat="1" applyFont="1" applyFill="1" applyAlignment="1">
      <alignment vertical="center"/>
    </xf>
    <xf numFmtId="37" fontId="27" fillId="4" borderId="0" xfId="3" applyNumberFormat="1" applyFont="1" applyFill="1" applyAlignment="1">
      <alignment horizontal="center" vertical="center"/>
    </xf>
    <xf numFmtId="10" fontId="27" fillId="4" borderId="0" xfId="2" applyNumberFormat="1" applyFont="1" applyFill="1" applyAlignment="1">
      <alignment vertical="center"/>
    </xf>
    <xf numFmtId="170" fontId="27" fillId="4" borderId="0" xfId="2" applyNumberFormat="1" applyFont="1" applyFill="1" applyAlignment="1">
      <alignment horizontal="center" vertical="center"/>
    </xf>
    <xf numFmtId="0" fontId="28" fillId="0" borderId="0" xfId="0" applyFont="1"/>
    <xf numFmtId="0" fontId="12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" fontId="14" fillId="9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4">
    <cellStyle name="Millares" xfId="1" builtinId="3"/>
    <cellStyle name="Millares 2 2 2" xfId="3" xr:uid="{59B4208A-C3FC-4BC8-9240-D808A467DA1C}"/>
    <cellStyle name="Normal" xfId="0" builtinId="0"/>
    <cellStyle name="Porcentaje" xfId="2" builtinId="5"/>
  </cellStyles>
  <dxfs count="3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colors>
    <mruColors>
      <color rgb="FF05B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laneamiento4/Planeamiento/BancaPersonal/Performance/2026/Pr&#233;stamos/Performance%20Pr&#233;stamos_2026.xlsm" TargetMode="External"/><Relationship Id="rId2" Type="http://schemas.openxmlformats.org/officeDocument/2006/relationships/externalLinkPath" Target="file:///\\ibdfs\dfs\Planeamiento4\Planeamiento\BancaPersonal\Performance\2026\Pr&#233;stamos\Performance%20Pr&#233;stamos_2026.xlsm" TargetMode="External"/><Relationship Id="rId1" Type="http://schemas.openxmlformats.org/officeDocument/2006/relationships/externalLinkPath" Target="/Planeamiento4/Planeamiento/BancaPersonal/Performance/2026/Pr&#233;stamos/Performance%20Pr&#233;stamos_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metros"/>
      <sheetName val="Resumen Ejecutivo"/>
      <sheetName val="Indicadores"/>
      <sheetName val="ROE-ROA"/>
      <sheetName val="Desempeño Financiero"/>
      <sheetName val="Check Repro26"/>
      <sheetName val="Desempeño_Financiero_Evol"/>
      <sheetName val="ThinkCell"/>
      <sheetName val="Segmentos--&gt;"/>
      <sheetName val="Total"/>
      <sheetName val="Renta_Alta"/>
      <sheetName val="Masivo"/>
      <sheetName val="Cons_Inicial"/>
      <sheetName val="Saldos_FTP--&gt;"/>
      <sheetName val="TABLA_FDP"/>
      <sheetName val="TABLA_PROM"/>
      <sheetName val="TABLA_FTP"/>
      <sheetName val="Resultados_Saldos_FTP_Nuevo"/>
      <sheetName val="Intereses--&gt;"/>
      <sheetName val="TABLA_INTERESES"/>
      <sheetName val="Resultados_Interes_Nuevo"/>
      <sheetName val="INOF--&gt;"/>
      <sheetName val="Recla_Inof"/>
      <sheetName val="TABLA_INOF"/>
      <sheetName val="Resultado_INOF_Nuevo"/>
      <sheetName val="Situación y TC"/>
      <sheetName val="Gastos"/>
      <sheetName val="DB_Gastos"/>
      <sheetName val="Extraordinarios"/>
      <sheetName val="Preliminar"/>
    </sheetNames>
    <sheetDataSet>
      <sheetData sheetId="0"/>
      <sheetData sheetId="1"/>
      <sheetData sheetId="2"/>
      <sheetData sheetId="3">
        <row r="83">
          <cell r="C83"/>
        </row>
      </sheetData>
      <sheetData sheetId="4"/>
      <sheetData sheetId="5"/>
      <sheetData sheetId="6">
        <row r="5">
          <cell r="D5">
            <v>43465</v>
          </cell>
        </row>
        <row r="50">
          <cell r="BA50">
            <v>3296914.78076912</v>
          </cell>
          <cell r="BB50">
            <v>3386022.48602542</v>
          </cell>
          <cell r="BC50">
            <v>3500227.0615905197</v>
          </cell>
          <cell r="BD50">
            <v>3571915.4312445498</v>
          </cell>
          <cell r="BE50">
            <v>3642173.8625961109</v>
          </cell>
          <cell r="BF50">
            <v>3704605.2049601995</v>
          </cell>
          <cell r="BG50">
            <v>3758207.2051795209</v>
          </cell>
          <cell r="BH50">
            <v>3885169.9886769499</v>
          </cell>
          <cell r="BI50">
            <v>3915399.0950326999</v>
          </cell>
          <cell r="BJ50">
            <v>3916655.2454670602</v>
          </cell>
          <cell r="BK50">
            <v>3892351.0026260791</v>
          </cell>
          <cell r="BL50">
            <v>3818030.5215202598</v>
          </cell>
          <cell r="BM50">
            <v>3742291.2590232003</v>
          </cell>
          <cell r="BN50">
            <v>3659491.5053274003</v>
          </cell>
          <cell r="BO50">
            <v>3609083.8258050601</v>
          </cell>
          <cell r="BP50">
            <v>3538953.9409519094</v>
          </cell>
          <cell r="BQ50">
            <v>3449455.9059704603</v>
          </cell>
          <cell r="BR50">
            <v>3351286.4509442504</v>
          </cell>
          <cell r="BS50">
            <v>3243965.1346891597</v>
          </cell>
          <cell r="BT50">
            <v>3180067.3956427202</v>
          </cell>
          <cell r="BU50">
            <v>3138110.0815630606</v>
          </cell>
          <cell r="BV50">
            <v>3106911.7757610399</v>
          </cell>
          <cell r="BW50">
            <v>3061124.3087379197</v>
          </cell>
          <cell r="BX50">
            <v>3032210.9136776398</v>
          </cell>
          <cell r="BY50">
            <v>3007235.1020355802</v>
          </cell>
          <cell r="BZ50">
            <v>2993132.1110260701</v>
          </cell>
          <cell r="CA50">
            <v>3020734.37356296</v>
          </cell>
          <cell r="CB50">
            <v>3018609.3962160004</v>
          </cell>
          <cell r="CC50">
            <v>3035295.2698411401</v>
          </cell>
          <cell r="CD50">
            <v>3015444.1275555799</v>
          </cell>
          <cell r="CE50">
            <v>3026184.9529242096</v>
          </cell>
          <cell r="CF50">
            <v>3061840.8351085493</v>
          </cell>
          <cell r="CG50">
            <v>3088637.6411906006</v>
          </cell>
          <cell r="CH50">
            <v>3156707.0955512496</v>
          </cell>
          <cell r="CI50">
            <v>3177441.0764379203</v>
          </cell>
          <cell r="CJ50">
            <v>3181009.9563163198</v>
          </cell>
          <cell r="CK50">
            <v>3217904.6899999995</v>
          </cell>
          <cell r="CL50">
            <v>3280334.5600000005</v>
          </cell>
          <cell r="CM50">
            <v>3321188.67</v>
          </cell>
          <cell r="CN50">
            <v>3370567.7085829498</v>
          </cell>
          <cell r="CO50">
            <v>3433027.8648983603</v>
          </cell>
          <cell r="CP50">
            <v>3517310.7519987011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3206378.7069383357</v>
          </cell>
        </row>
        <row r="95">
          <cell r="BA95">
            <v>3257026.1227062996</v>
          </cell>
          <cell r="BB95">
            <v>3323336.9335368495</v>
          </cell>
          <cell r="BC95">
            <v>3434933.4674730012</v>
          </cell>
          <cell r="BD95">
            <v>3534434.3251021197</v>
          </cell>
          <cell r="BE95">
            <v>3604900.7358028791</v>
          </cell>
          <cell r="BF95">
            <v>3659769.2412404995</v>
          </cell>
          <cell r="BG95">
            <v>3716600.77669439</v>
          </cell>
          <cell r="BH95">
            <v>3798217.62531352</v>
          </cell>
          <cell r="BI95">
            <v>3913048.1808544905</v>
          </cell>
          <cell r="BJ95">
            <v>3906460.7124741506</v>
          </cell>
          <cell r="BK95">
            <v>3890616.8620439596</v>
          </cell>
          <cell r="BL95">
            <v>3840128.0332242893</v>
          </cell>
          <cell r="BM95">
            <v>3783620.9260740001</v>
          </cell>
          <cell r="BN95">
            <v>3705769.9286079588</v>
          </cell>
          <cell r="BO95">
            <v>3635142.2392439898</v>
          </cell>
          <cell r="BP95">
            <v>3582356.7392356806</v>
          </cell>
          <cell r="BQ95">
            <v>3495879.6326031997</v>
          </cell>
          <cell r="BR95">
            <v>3393360.9060034705</v>
          </cell>
          <cell r="BS95">
            <v>3284275.8945839601</v>
          </cell>
          <cell r="BT95">
            <v>3195070.8437033892</v>
          </cell>
          <cell r="BU95">
            <v>3157385.393927081</v>
          </cell>
          <cell r="BV95">
            <v>3112836.1417673593</v>
          </cell>
          <cell r="BW95">
            <v>3071378.0520629799</v>
          </cell>
          <cell r="BX95">
            <v>3035707.1692871004</v>
          </cell>
          <cell r="BY95">
            <v>3011220.75721962</v>
          </cell>
          <cell r="BZ95">
            <v>3006586.4207250001</v>
          </cell>
          <cell r="CA95">
            <v>3007993.5393951703</v>
          </cell>
          <cell r="CB95">
            <v>3015793.5766815306</v>
          </cell>
          <cell r="CC95">
            <v>3015488.6273351987</v>
          </cell>
          <cell r="CD95">
            <v>3016292.9113885197</v>
          </cell>
          <cell r="CE95">
            <v>3012239.5265355804</v>
          </cell>
          <cell r="CF95">
            <v>3039474.1408535</v>
          </cell>
          <cell r="CG95">
            <v>3067021.1873473492</v>
          </cell>
          <cell r="CH95">
            <v>3118496.9410701599</v>
          </cell>
          <cell r="CI95">
            <v>3157156.6111479001</v>
          </cell>
          <cell r="CJ95">
            <v>3166948.1105958018</v>
          </cell>
          <cell r="CK95">
            <v>3183537.6400000006</v>
          </cell>
          <cell r="CL95">
            <v>3235569.92</v>
          </cell>
          <cell r="CM95">
            <v>3298380.1900000004</v>
          </cell>
          <cell r="CN95">
            <v>3328038.1276888205</v>
          </cell>
          <cell r="CO95">
            <v>3379158.198013701</v>
          </cell>
          <cell r="CP95">
            <v>3466118.3275588015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3193486.1557515673</v>
          </cell>
        </row>
        <row r="361">
          <cell r="BA361">
            <v>28766.780957670013</v>
          </cell>
          <cell r="BB361">
            <v>26237.595194489997</v>
          </cell>
          <cell r="BC361">
            <v>29211.785240779987</v>
          </cell>
          <cell r="BD361">
            <v>27291.432945509998</v>
          </cell>
          <cell r="BE361">
            <v>31259.968463609999</v>
          </cell>
          <cell r="BF361">
            <v>29898.80225203</v>
          </cell>
          <cell r="BG361">
            <v>31303.686575520009</v>
          </cell>
          <cell r="BH361">
            <v>31431.178059410002</v>
          </cell>
          <cell r="BI361">
            <v>30281.390740230006</v>
          </cell>
          <cell r="BJ361">
            <v>30659.423302209987</v>
          </cell>
          <cell r="BK361">
            <v>28760.17104073002</v>
          </cell>
          <cell r="BL361">
            <v>28156.477930890003</v>
          </cell>
          <cell r="BM361">
            <v>27125.534446229998</v>
          </cell>
          <cell r="BN361">
            <v>23849.862509330003</v>
          </cell>
          <cell r="BO361">
            <v>25075.251654620002</v>
          </cell>
          <cell r="BP361">
            <v>24691.771671959999</v>
          </cell>
          <cell r="BQ361">
            <v>25212.586214630006</v>
          </cell>
          <cell r="BR361">
            <v>24006.444545829992</v>
          </cell>
          <cell r="BS361">
            <v>25166.55164219001</v>
          </cell>
          <cell r="BT361">
            <v>23982.256172849997</v>
          </cell>
          <cell r="BU361">
            <v>22970.447456350012</v>
          </cell>
          <cell r="BV361">
            <v>23346.268423749996</v>
          </cell>
          <cell r="BW361">
            <v>21954.77811114</v>
          </cell>
          <cell r="BX361">
            <v>22456.372092500013</v>
          </cell>
          <cell r="BY361">
            <v>22187.323740699991</v>
          </cell>
          <cell r="BZ361">
            <v>19642.067733009997</v>
          </cell>
          <cell r="CA361">
            <v>22447.667153969996</v>
          </cell>
          <cell r="CB361">
            <v>21760.543639650008</v>
          </cell>
          <cell r="CC361">
            <v>22614.867209209999</v>
          </cell>
          <cell r="CD361">
            <v>21828.735562129994</v>
          </cell>
          <cell r="CE361">
            <v>22894.6524623</v>
          </cell>
          <cell r="CF361">
            <v>23047.77629540001</v>
          </cell>
          <cell r="CG361">
            <v>22783.347463799997</v>
          </cell>
          <cell r="CH361">
            <v>23743.914166420007</v>
          </cell>
          <cell r="CI361">
            <v>23647.20860555</v>
          </cell>
          <cell r="CJ361">
            <v>25274.99578632999</v>
          </cell>
          <cell r="CK361">
            <v>25247.681212130003</v>
          </cell>
          <cell r="CL361">
            <v>23463.282532089994</v>
          </cell>
          <cell r="CM361">
            <v>26356.897712999991</v>
          </cell>
          <cell r="CN361">
            <v>25440.068040580001</v>
          </cell>
          <cell r="CO361">
            <v>26702.655192769998</v>
          </cell>
          <cell r="CP361">
            <v>26273.522577590011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24852.247000859694</v>
          </cell>
        </row>
        <row r="407">
          <cell r="BA407">
            <v>4720.1905192147124</v>
          </cell>
          <cell r="BB407">
            <v>12454.171467458178</v>
          </cell>
          <cell r="BC407">
            <v>4770.2371981933929</v>
          </cell>
          <cell r="BD407">
            <v>4406.5138945322933</v>
          </cell>
          <cell r="BE407">
            <v>-5972.7369517088864</v>
          </cell>
          <cell r="BF407">
            <v>-14171.887608479454</v>
          </cell>
          <cell r="BG407">
            <v>-16674.777623138263</v>
          </cell>
          <cell r="BH407">
            <v>-33918.351712678974</v>
          </cell>
          <cell r="BI407">
            <v>-15040.220845044092</v>
          </cell>
          <cell r="BJ407">
            <v>-40771.355661353999</v>
          </cell>
          <cell r="BK407">
            <v>-21281.193421429252</v>
          </cell>
          <cell r="BL407">
            <v>-34151.658460613326</v>
          </cell>
          <cell r="BM407">
            <v>-57921.032949688903</v>
          </cell>
          <cell r="BN407">
            <v>-33668.339871653574</v>
          </cell>
          <cell r="BO407">
            <v>-51997.228115035941</v>
          </cell>
          <cell r="BP407">
            <v>-46804.837545957307</v>
          </cell>
          <cell r="BQ407">
            <v>-40655.163948182766</v>
          </cell>
          <cell r="BR407">
            <v>-32921.872027747784</v>
          </cell>
          <cell r="BS407">
            <v>-21433.247421201708</v>
          </cell>
          <cell r="BT407">
            <v>-13637.555414092054</v>
          </cell>
          <cell r="BU407">
            <v>-11031.881511975895</v>
          </cell>
          <cell r="BV407">
            <v>-16501.22465375821</v>
          </cell>
          <cell r="BW407">
            <v>2331.1638475580403</v>
          </cell>
          <cell r="BX407">
            <v>-4042.4996177037651</v>
          </cell>
          <cell r="BY407">
            <v>-14666.214243864251</v>
          </cell>
          <cell r="BZ407">
            <v>737.55192141397538</v>
          </cell>
          <cell r="CA407">
            <v>-2092.7244898621398</v>
          </cell>
          <cell r="CB407">
            <v>-3478.9632573725321</v>
          </cell>
          <cell r="CC407">
            <v>2089.0952375984107</v>
          </cell>
          <cell r="CD407">
            <v>-986.88381090804978</v>
          </cell>
          <cell r="CE407">
            <v>2290.5094791893252</v>
          </cell>
          <cell r="CF407">
            <v>3816.7765552361757</v>
          </cell>
          <cell r="CG407">
            <v>4436.9668193114203</v>
          </cell>
          <cell r="CH407">
            <v>-1470.8127220280958</v>
          </cell>
          <cell r="CI407">
            <v>11662.278917067781</v>
          </cell>
          <cell r="CJ407">
            <v>11813.375293887455</v>
          </cell>
          <cell r="CK407">
            <v>12107.309796114685</v>
          </cell>
          <cell r="CL407">
            <v>9351.3074448911575</v>
          </cell>
          <cell r="CM407">
            <v>13509.296589839792</v>
          </cell>
          <cell r="CN407">
            <v>10504.812992971129</v>
          </cell>
          <cell r="CO407">
            <v>12554.039502770202</v>
          </cell>
          <cell r="CP407">
            <v>9679.4611875902883</v>
          </cell>
          <cell r="CQ407"/>
          <cell r="CR407"/>
          <cell r="CS407"/>
          <cell r="CT407"/>
          <cell r="CU407"/>
          <cell r="CV407"/>
          <cell r="CW407">
            <v>8195.190921677462</v>
          </cell>
        </row>
        <row r="518">
          <cell r="BA518">
            <v>384.60945337999999</v>
          </cell>
          <cell r="BB518">
            <v>358.24318214000004</v>
          </cell>
          <cell r="BC518">
            <v>295.90515660000005</v>
          </cell>
          <cell r="BD518">
            <v>445.41277640000004</v>
          </cell>
          <cell r="BE518">
            <v>370.76042223999985</v>
          </cell>
          <cell r="BF518">
            <v>431.36794100000003</v>
          </cell>
          <cell r="BG518">
            <v>405.95326735000009</v>
          </cell>
          <cell r="BH518">
            <v>438.48505736000004</v>
          </cell>
          <cell r="BI518">
            <v>448.60509983999992</v>
          </cell>
          <cell r="BJ518">
            <v>395.10937040000005</v>
          </cell>
          <cell r="BK518">
            <v>403.53449441999999</v>
          </cell>
          <cell r="BL518">
            <v>351.82962430999999</v>
          </cell>
          <cell r="BM518">
            <v>432.25845880000003</v>
          </cell>
          <cell r="BN518">
            <v>384.14187895999999</v>
          </cell>
          <cell r="BO518">
            <v>429.41719226999993</v>
          </cell>
          <cell r="BP518">
            <v>331.38954400000017</v>
          </cell>
          <cell r="BQ518">
            <v>345.62294880000002</v>
          </cell>
          <cell r="BR518">
            <v>347.62406353000006</v>
          </cell>
          <cell r="BS518">
            <v>307.19849949999997</v>
          </cell>
          <cell r="BT518">
            <v>327.69334932999999</v>
          </cell>
          <cell r="BU518">
            <v>747.79463155999986</v>
          </cell>
          <cell r="BV518">
            <v>-97.86345768000001</v>
          </cell>
          <cell r="BW518">
            <v>332.95901465999998</v>
          </cell>
          <cell r="BX518">
            <v>274.59362965000008</v>
          </cell>
          <cell r="BY518">
            <v>374.57753530000002</v>
          </cell>
          <cell r="BZ518">
            <v>257.52345300000002</v>
          </cell>
          <cell r="CA518">
            <v>151.34738408999996</v>
          </cell>
          <cell r="CB518">
            <v>294.56008502999998</v>
          </cell>
          <cell r="CC518">
            <v>282.6672782</v>
          </cell>
          <cell r="CD518">
            <v>356.52553939999996</v>
          </cell>
          <cell r="CE518">
            <v>298.7272008600001</v>
          </cell>
          <cell r="CF518">
            <v>334.14972250000005</v>
          </cell>
          <cell r="CG518">
            <v>323.72471716000001</v>
          </cell>
          <cell r="CH518">
            <v>294.74146616000002</v>
          </cell>
          <cell r="CI518">
            <v>436.03952052999989</v>
          </cell>
          <cell r="CJ518">
            <v>299.51220685999999</v>
          </cell>
          <cell r="CK518">
            <v>356.76178470000008</v>
          </cell>
          <cell r="CL518">
            <v>272.36226234000003</v>
          </cell>
          <cell r="CM518">
            <v>286.88538750000004</v>
          </cell>
          <cell r="CW518">
            <v>311.28190726195987</v>
          </cell>
        </row>
        <row r="563">
          <cell r="BA563">
            <v>-4492.154595106399</v>
          </cell>
          <cell r="BB563">
            <v>-4733.0406929128994</v>
          </cell>
          <cell r="BC563">
            <v>-4763.5338991540993</v>
          </cell>
          <cell r="BD563">
            <v>-4814.7517270245999</v>
          </cell>
          <cell r="BE563">
            <v>-4872.4870096493023</v>
          </cell>
          <cell r="BF563">
            <v>-4774.2008092157985</v>
          </cell>
          <cell r="BG563">
            <v>-4667.5721105219</v>
          </cell>
          <cell r="BH563">
            <v>-4552.5200400077001</v>
          </cell>
          <cell r="BI563">
            <v>-4637.0190303303998</v>
          </cell>
          <cell r="BJ563">
            <v>-4370.7123208681005</v>
          </cell>
          <cell r="BK563">
            <v>-4649.0118065632023</v>
          </cell>
          <cell r="BL563">
            <v>-4209.7157180139002</v>
          </cell>
          <cell r="BM563">
            <v>-4274.6089685764982</v>
          </cell>
          <cell r="BN563">
            <v>-4415.0190819888003</v>
          </cell>
          <cell r="BO563">
            <v>-4185.6827640570009</v>
          </cell>
          <cell r="BP563">
            <v>-4432.5929025549003</v>
          </cell>
          <cell r="BQ563">
            <v>-4657.6369608144005</v>
          </cell>
          <cell r="BR563">
            <v>-5345.7339364494001</v>
          </cell>
          <cell r="BS563">
            <v>-5295.3092822793005</v>
          </cell>
          <cell r="BT563">
            <v>-4785.8628174678006</v>
          </cell>
          <cell r="BU563">
            <v>-4665.871790368099</v>
          </cell>
          <cell r="BV563">
            <v>-4413.0464933657004</v>
          </cell>
          <cell r="BW563">
            <v>-4383.3985442761004</v>
          </cell>
          <cell r="BX563">
            <v>-4362.3965965622001</v>
          </cell>
          <cell r="BY563">
            <v>-4609.4261114802021</v>
          </cell>
          <cell r="BZ563">
            <v>-4133.131406834601</v>
          </cell>
          <cell r="CA563">
            <v>-4652.9828182167003</v>
          </cell>
          <cell r="CB563">
            <v>-4606.3419190879995</v>
          </cell>
          <cell r="CC563">
            <v>-4743.6518656790004</v>
          </cell>
          <cell r="CD563">
            <v>-4755.9797579075002</v>
          </cell>
          <cell r="CE563">
            <v>-4766.4135892438999</v>
          </cell>
          <cell r="CF563">
            <v>-4879.7671913660006</v>
          </cell>
          <cell r="CG563">
            <v>-4651.0296147812996</v>
          </cell>
          <cell r="CH563">
            <v>-4388.8909712487994</v>
          </cell>
          <cell r="CI563">
            <v>-4762.7441077317999</v>
          </cell>
          <cell r="CJ563">
            <v>-5268.7022544837</v>
          </cell>
          <cell r="CK563">
            <v>-5211.2893832449008</v>
          </cell>
          <cell r="CL563">
            <v>-5298.4296948542997</v>
          </cell>
          <cell r="CM563">
            <v>-5568.8027309483005</v>
          </cell>
          <cell r="CN563">
            <v>-5920.3572644864989</v>
          </cell>
          <cell r="CO563">
            <v>-5262.8306063371001</v>
          </cell>
          <cell r="CP563">
            <v>-5858.9299170490995</v>
          </cell>
          <cell r="CW563">
            <v>-5207.2691896613014</v>
          </cell>
        </row>
        <row r="597"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2367.4772100000005</v>
          </cell>
          <cell r="BI597">
            <v>0</v>
          </cell>
          <cell r="BJ597">
            <v>1185.1146399999998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400.00000000000011</v>
          </cell>
          <cell r="BW597">
            <v>5.9150000000000009</v>
          </cell>
          <cell r="BX597">
            <v>-0.78200000000000014</v>
          </cell>
          <cell r="BY597">
            <v>0</v>
          </cell>
          <cell r="BZ597">
            <v>0</v>
          </cell>
          <cell r="CA597">
            <v>2363.9499999999998</v>
          </cell>
          <cell r="CB597">
            <v>-17.71</v>
          </cell>
          <cell r="CC597">
            <v>0</v>
          </cell>
          <cell r="CD597">
            <v>2993.25</v>
          </cell>
          <cell r="CE597">
            <v>0</v>
          </cell>
          <cell r="CF597">
            <v>0</v>
          </cell>
          <cell r="CG597">
            <v>2766.6500000000005</v>
          </cell>
          <cell r="CH597">
            <v>-0.26</v>
          </cell>
          <cell r="CI597">
            <v>2946.5189970534807</v>
          </cell>
          <cell r="CJ597">
            <v>-0.93800000000000006</v>
          </cell>
          <cell r="CK597">
            <v>0</v>
          </cell>
          <cell r="CL597">
            <v>0</v>
          </cell>
          <cell r="CM597">
            <v>0</v>
          </cell>
          <cell r="CW597">
            <v>0</v>
          </cell>
        </row>
        <row r="609">
          <cell r="BA609">
            <v>-182.6519716710302</v>
          </cell>
          <cell r="BB609">
            <v>-147.82116167103007</v>
          </cell>
          <cell r="BC609">
            <v>-51.149913060445378</v>
          </cell>
          <cell r="BD609">
            <v>-133.3724016710301</v>
          </cell>
          <cell r="BE609">
            <v>-97.972641671030104</v>
          </cell>
          <cell r="BF609">
            <v>-263.83044284781897</v>
          </cell>
          <cell r="BG609">
            <v>-197.57804167103012</v>
          </cell>
          <cell r="BH609">
            <v>-603.70026832896997</v>
          </cell>
          <cell r="BI609">
            <v>-54.233505455994241</v>
          </cell>
          <cell r="BJ609">
            <v>-384.60948343063444</v>
          </cell>
          <cell r="BK609">
            <v>-203.95961471968391</v>
          </cell>
          <cell r="BL609">
            <v>-144.53021833177772</v>
          </cell>
          <cell r="BM609">
            <v>-215.92816929716182</v>
          </cell>
          <cell r="BN609">
            <v>-170.97149144227816</v>
          </cell>
          <cell r="BO609">
            <v>-105.16542302070052</v>
          </cell>
          <cell r="BP609">
            <v>-288.67693169703642</v>
          </cell>
          <cell r="BQ609">
            <v>-416.01698005430649</v>
          </cell>
          <cell r="BR609">
            <v>-422.25888749479532</v>
          </cell>
          <cell r="BS609">
            <v>-269.48420921622869</v>
          </cell>
          <cell r="BT609">
            <v>-250.3285699483466</v>
          </cell>
          <cell r="BU609">
            <v>-482.87609984046713</v>
          </cell>
          <cell r="BV609">
            <v>-181.53387786747138</v>
          </cell>
          <cell r="BW609">
            <v>-170.29329583668303</v>
          </cell>
          <cell r="BX609">
            <v>-248.62925363208467</v>
          </cell>
          <cell r="BY609">
            <v>-93.907376340042333</v>
          </cell>
          <cell r="BZ609">
            <v>-83.980518542885534</v>
          </cell>
          <cell r="CA609">
            <v>-77.861820154549648</v>
          </cell>
          <cell r="CB609">
            <v>-602.88065328579899</v>
          </cell>
          <cell r="CC609">
            <v>-368.22557959015427</v>
          </cell>
          <cell r="CD609">
            <v>24.231889214289211</v>
          </cell>
          <cell r="CE609">
            <v>-173.53798129084277</v>
          </cell>
          <cell r="CF609">
            <v>-57.386259289461997</v>
          </cell>
          <cell r="CG609">
            <v>-232.57339488360773</v>
          </cell>
          <cell r="CH609">
            <v>-87.667587319007367</v>
          </cell>
          <cell r="CI609">
            <v>-46.255638680712181</v>
          </cell>
          <cell r="CJ609">
            <v>-304.15677236611339</v>
          </cell>
          <cell r="CK609">
            <v>-38.056087050755046</v>
          </cell>
          <cell r="CL609">
            <v>-19.984786268692805</v>
          </cell>
          <cell r="CW609">
            <v>-182.70307034423791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govia Ureta, Gianpier Andre" refreshedDate="46245.708282291664" createdVersion="8" refreshedVersion="8" minRefreshableVersion="3" recordCount="0" supportSubquery="1" supportAdvancedDrill="1" xr:uid="{336FA69D-51B4-4563-9F44-26C3FD2390D4}">
  <cacheSource type="external" connectionId="1"/>
  <cacheFields count="8">
    <cacheField name="[Calendario].[AñoMes].[AñoMes]" caption="AñoMes" numFmtId="0" hierarchy="49" level="1">
      <sharedItems count="48">
        <s v="[Calendario].[AñoMes].&amp;[202301]" c="202301"/>
        <s v="[Calendario].[AñoMes].&amp;[202302]" c="202302"/>
        <s v="[Calendario].[AñoMes].&amp;[202303]" c="202303"/>
        <s v="[Calendario].[AñoMes].&amp;[202304]" c="202304"/>
        <s v="[Calendario].[AñoMes].&amp;[202305]" c="202305"/>
        <s v="[Calendario].[AñoMes].&amp;[202306]" c="202306"/>
        <s v="[Calendario].[AñoMes].&amp;[202307]" c="202307"/>
        <s v="[Calendario].[AñoMes].&amp;[202308]" c="202308"/>
        <s v="[Calendario].[AñoMes].&amp;[202309]" c="202309"/>
        <s v="[Calendario].[AñoMes].&amp;[202310]" c="202310"/>
        <s v="[Calendario].[AñoMes].&amp;[202311]" c="202311"/>
        <s v="[Calendario].[AñoMes].&amp;[202312]" c="202312"/>
        <s v="[Calendario].[AñoMes].&amp;[202401]" c="202401"/>
        <s v="[Calendario].[AñoMes].&amp;[202402]" c="202402"/>
        <s v="[Calendario].[AñoMes].&amp;[202403]" c="202403"/>
        <s v="[Calendario].[AñoMes].&amp;[202404]" c="202404"/>
        <s v="[Calendario].[AñoMes].&amp;[202405]" c="202405"/>
        <s v="[Calendario].[AñoMes].&amp;[202406]" c="202406"/>
        <s v="[Calendario].[AñoMes].&amp;[202407]" c="202407"/>
        <s v="[Calendario].[AñoMes].&amp;[202408]" c="202408"/>
        <s v="[Calendario].[AñoMes].&amp;[202409]" c="202409"/>
        <s v="[Calendario].[AñoMes].&amp;[202410]" c="202410"/>
        <s v="[Calendario].[AñoMes].&amp;[202411]" c="202411"/>
        <s v="[Calendario].[AñoMes].&amp;[202412]" c="202412"/>
        <s v="[Calendario].[AñoMes].&amp;[202501]" c="202501"/>
        <s v="[Calendario].[AñoMes].&amp;[202502]" c="202502"/>
        <s v="[Calendario].[AñoMes].&amp;[202503]" c="202503"/>
        <s v="[Calendario].[AñoMes].&amp;[202504]" c="202504"/>
        <s v="[Calendario].[AñoMes].&amp;[202505]" c="202505"/>
        <s v="[Calendario].[AñoMes].&amp;[202506]" c="202506"/>
        <s v="[Calendario].[AñoMes].&amp;[202507]" c="202507"/>
        <s v="[Calendario].[AñoMes].&amp;[202508]" c="202508"/>
        <s v="[Calendario].[AñoMes].&amp;[202509]" c="202509"/>
        <s v="[Calendario].[AñoMes].&amp;[202510]" c="202510"/>
        <s v="[Calendario].[AñoMes].&amp;[202511]" c="202511"/>
        <s v="[Calendario].[AñoMes].&amp;[202512]" c="202512"/>
        <s v="[Calendario].[AñoMes].&amp;[202601]" c="202601"/>
        <s v="[Calendario].[AñoMes].&amp;[202602]" c="202602"/>
        <s v="[Calendario].[AñoMes].&amp;[202603]" c="202603"/>
        <s v="[Calendario].[AñoMes].&amp;[202604]" c="202604"/>
        <s v="[Calendario].[AñoMes].&amp;[202605]" c="202605"/>
        <s v="[Calendario].[AñoMes].&amp;[202606]" c="202606"/>
        <s v="[Calendario].[AñoMes].&amp;[202607]" u="1" c="202607"/>
        <s v="[Calendario].[AñoMes].&amp;[202608]" u="1" c="202608"/>
        <s v="[Calendario].[AñoMes].&amp;[202609]" u="1" c="202609"/>
        <s v="[Calendario].[AñoMes].&amp;[202610]" u="1" c="202610"/>
        <s v="[Calendario].[AñoMes].&amp;[202611]" u="1" c="202611"/>
        <s v="[Calendario].[AñoMes].&amp;[202612]" u="1" c="202612"/>
      </sharedItems>
    </cacheField>
    <cacheField name="[Base].[Metrica].[Metrica]" caption="Metrica" numFmtId="0" hierarchy="16" level="1">
      <sharedItems count="10">
        <s v="[Base].[Metrica].&amp;[Extraordinarios]" c="Extraordinarios"/>
        <s v="[Base].[Metrica].&amp;[FTP]" c="FTP"/>
        <s v="[Base].[Metrica].&amp;[Gasto_Provision]" c="Gasto_Provision"/>
        <s v="[Base].[Metrica].&amp;[Gastos Operativos]" c="Gastos Operativos"/>
        <s v="[Base].[Metrica].&amp;[Ingreso_Financiero]" c="Ingreso_Financiero"/>
        <s v="[Base].[Metrica].&amp;[INOF]" c="INOF"/>
        <s v="[Base].[Metrica].&amp;[Recupero]" c="Recupero"/>
        <s v="[Base].[Metrica].&amp;[ROF]" c="ROF"/>
        <s v="[Base].[Metrica].&amp;[SALDO_FDP]" c="SALDO_FDP"/>
        <s v="[Base].[Metrica].&amp;[SALDO_PROM]" c="SALDO_PROM"/>
      </sharedItems>
    </cacheField>
    <cacheField name="[Base].[SEGMENTO_DESCRIP].[SEGMENTO_DESCRIP]" caption="SEGMENTO_DESCRIP" numFmtId="0" hierarchy="20" level="1">
      <sharedItems count="4">
        <s v="[Base].[SEGMENTO_DESCRIP].&amp;[Consumo Inicial]" c="Consumo Inicial"/>
        <s v="[Base].[SEGMENTO_DESCRIP].&amp;[Masivo]" c="Masivo"/>
        <s v="[Base].[SEGMENTO_DESCRIP].&amp;[Otros]" c="Otros"/>
        <s v="[Base].[SEGMENTO_DESCRIP].&amp;[Renta Alta]" c="Renta Alta"/>
      </sharedItems>
    </cacheField>
    <cacheField name="[Base].[SITUACION].[SITUACION]" caption="SITUACION" numFmtId="0" hierarchy="21" level="1">
      <sharedItems count="14">
        <s v="[Base].[SITUACION].&amp;[Otros]" c="Otros"/>
        <s v="[Base].[SITUACION].&amp;[Refinanciado]" c="Refinanciado"/>
        <s v="[Base].[SITUACION].&amp;[Vencido y Judicial]" c="Vencido y Judicial"/>
        <s v="[Base].[SITUACION].&amp;[Vigente]" c="Vigente"/>
        <s v="[Base].[SITUACION].&amp;[Provisiones Cartera]" c="Provisiones Cartera"/>
        <s v="[Base].[SITUACION].&amp;[Gasto Canal]" c="Gasto Canal"/>
        <s v="[Base].[SITUACION].&amp;[Gasto Directo]" c="Gasto Directo"/>
        <s v="[Base].[SITUACION].&amp;[Gasto Indirecto]" c="Gasto Indirecto"/>
        <s v="[Base].[SITUACION].&amp;[No Considerar]" c="No Considerar"/>
        <s v="[Base].[SITUACION].&amp;[Comisión por envío EC]" c="Comisión por envío EC"/>
        <s v="[Base].[SITUACION].&amp;[Seguro de Desgravamen]" c="Seguro de Desgravamen"/>
        <s v="[Base].[SITUACION].&amp;[Varios]" c="Varios"/>
        <s v="[Base].[SITUACION].&amp;[Recupero de Castigos]" c="Recupero de Castigos"/>
        <s v="[Base].[SITUACION].&amp;[Venta de Cartera]" c="Venta de Cartera"/>
      </sharedItems>
    </cacheField>
    <cacheField name="[Base].[Importe].[Importe]" caption="Importe" numFmtId="0" hierarchy="15" level="1">
      <sharedItems containsSemiMixedTypes="0" containsString="0"/>
    </cacheField>
    <cacheField name="[Base].[PRODUCTO].[PRODUCTO]" caption="PRODUCTO" numFmtId="0" hierarchy="19" level="1">
      <sharedItems containsSemiMixedTypes="0" containsString="0"/>
    </cacheField>
    <cacheField name="[Base].[Tipo_Valor].[Tipo_Valor]" caption="Tipo_Valor" numFmtId="0" hierarchy="24" level="1">
      <sharedItems containsSemiMixedTypes="0" containsString="0"/>
    </cacheField>
    <cacheField name="Unsupported0" numFmtId="0" hierarchy="121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122">
    <cacheHierarchy uniqueName="[Anexar1].[FECHA]" caption="FECHA" attribute="1" time="1" defaultMemberUniqueName="[Anexar1].[FECHA].[All]" allUniqueName="[Anexar1].[FECHA].[All]" dimensionUniqueName="[Anexar1]" displayFolder="" count="0" memberValueDatatype="7" unbalanced="0"/>
    <cacheHierarchy uniqueName="[Anexar1].[Importe]" caption="Importe" attribute="1" defaultMemberUniqueName="[Anexar1].[Importe].[All]" allUniqueName="[Anexar1].[Importe].[All]" dimensionUniqueName="[Anexar1]" displayFolder="" count="0" memberValueDatatype="5" unbalanced="0"/>
    <cacheHierarchy uniqueName="[Anexar1].[Metrica]" caption="Metrica" attribute="1" defaultMemberUniqueName="[Anexar1].[Metrica].[All]" allUniqueName="[Anexar1].[Metrica].[All]" dimensionUniqueName="[Anexar1]" displayFolder="" count="0" memberValueDatatype="130" unbalanced="0"/>
    <cacheHierarchy uniqueName="[Anexar1].[MONEDA]" caption="MONEDA" attribute="1" defaultMemberUniqueName="[Anexar1].[MONEDA].[All]" allUniqueName="[Anexar1].[MONEDA].[All]" dimensionUniqueName="[Anexar1]" displayFolder="" count="0" memberValueDatatype="130" unbalanced="0"/>
    <cacheHierarchy uniqueName="[Anexar1].[PERIODO]" caption="PERIODO" attribute="1" defaultMemberUniqueName="[Anexar1].[PERIODO].[All]" allUniqueName="[Anexar1].[PERIODO].[All]" dimensionUniqueName="[Anexar1]" displayFolder="" count="0" memberValueDatatype="130" unbalanced="0"/>
    <cacheHierarchy uniqueName="[Anexar1].[PRODUCTO]" caption="PRODUCTO" attribute="1" defaultMemberUniqueName="[Anexar1].[PRODUCTO].[All]" allUniqueName="[Anexar1].[PRODUCTO].[All]" dimensionUniqueName="[Anexar1]" displayFolder="" count="0" memberValueDatatype="130" unbalanced="0"/>
    <cacheHierarchy uniqueName="[Anexar1].[SG3_GRUPO_SEGMENTO]" caption="SG3_GRUPO_SEGMENTO" attribute="1" defaultMemberUniqueName="[Anexar1].[SG3_GRUPO_SEGMENTO].[All]" allUniqueName="[Anexar1].[SG3_GRUPO_SEGMENTO].[All]" dimensionUniqueName="[Anexar1]" displayFolder="" count="0" memberValueDatatype="130" unbalanced="0"/>
    <cacheHierarchy uniqueName="[Anexar1].[SITUACION]" caption="SITUACION" attribute="1" defaultMemberUniqueName="[Anexar1].[SITUACION].[All]" allUniqueName="[Anexar1].[SITUACION].[All]" dimensionUniqueName="[Anexar1]" displayFolder="" count="0" memberValueDatatype="130" unbalanced="0"/>
    <cacheHierarchy uniqueName="[Anexar1].[Sub Producto]" caption="Sub Producto" attribute="1" defaultMemberUniqueName="[Anexar1].[Sub Producto].[All]" allUniqueName="[Anexar1].[Sub Producto].[All]" dimensionUniqueName="[Anexar1]" displayFolder="" count="0" memberValueDatatype="130" unbalanced="0"/>
    <cacheHierarchy uniqueName="[Anexar1].[TIPO_PRODUCTO]" caption="TIPO_PRODUCTO" attribute="1" defaultMemberUniqueName="[Anexar1].[TIPO_PRODUCTO].[All]" allUniqueName="[Anexar1].[TIPO_PRODUCTO].[All]" dimensionUniqueName="[Anexar1]" displayFolder="" count="0" memberValueDatatype="130" unbalanced="0"/>
    <cacheHierarchy uniqueName="[Anexar1].[Tipo_Valor]" caption="Tipo_Valor" attribute="1" defaultMemberUniqueName="[Anexar1].[Tipo_Valor].[All]" allUniqueName="[Anexar1].[Tipo_Valor].[All]" dimensionUniqueName="[Anexar1]" displayFolder="" count="0" memberValueDatatype="130" unbalanced="0"/>
    <cacheHierarchy uniqueName="[Anexar1].[VP]" caption="VP" attribute="1" defaultMemberUniqueName="[Anexar1].[VP].[All]" allUniqueName="[Anexar1].[VP].[All]" dimensionUniqueName="[Anexar1]" displayFolder="" count="0" memberValueDatatype="130" unbalanced="0"/>
    <cacheHierarchy uniqueName="[Base].[Año]" caption="Año" attribute="1" defaultMemberUniqueName="[Base].[Año].[All]" allUniqueName="[Base].[Año].[All]" dimensionUniqueName="[Base]" displayFolder="" count="0" memberValueDatatype="130" unbalanced="0"/>
    <cacheHierarchy uniqueName="[Base].[FECHA]" caption="FECHA" attribute="1" time="1" defaultMemberUniqueName="[Base].[FECHA].[All]" allUniqueName="[Base].[FECHA].[All]" dimensionUniqueName="[Base]" displayFolder="" count="0" memberValueDatatype="7" unbalanced="0"/>
    <cacheHierarchy uniqueName="[Base].[Fuente]" caption="Fuente" attribute="1" defaultMemberUniqueName="[Base].[Fuente].[All]" allUniqueName="[Base].[Fuente].[All]" dimensionUniqueName="[Base]" displayFolder="" count="0" memberValueDatatype="130" unbalanced="0"/>
    <cacheHierarchy uniqueName="[Base].[Importe]" caption="Importe" attribute="1" defaultMemberUniqueName="[Base].[Importe].[All]" allUniqueName="[Base].[Importe].[All]" dimensionUniqueName="[Base]" displayFolder="" count="2" memberValueDatatype="5" unbalanced="0">
      <fieldsUsage count="2">
        <fieldUsage x="-1"/>
        <fieldUsage x="4"/>
      </fieldsUsage>
    </cacheHierarchy>
    <cacheHierarchy uniqueName="[Base].[Metrica]" caption="Metrica" attribute="1" defaultMemberUniqueName="[Base].[Metrica].[All]" allUniqueName="[Base].[Metrica].[All]" dimensionUniqueName="[Base]" displayFolder="" count="2" memberValueDatatype="130" unbalanced="0">
      <fieldsUsage count="2">
        <fieldUsage x="-1"/>
        <fieldUsage x="1"/>
      </fieldsUsage>
    </cacheHierarchy>
    <cacheHierarchy uniqueName="[Base].[MONEDA]" caption="MONEDA" attribute="1" defaultMemberUniqueName="[Base].[MONEDA].[All]" allUniqueName="[Base].[MONEDA].[All]" dimensionUniqueName="[Base]" displayFolder="" count="0" memberValueDatatype="130" unbalanced="0"/>
    <cacheHierarchy uniqueName="[Base].[Periodo]" caption="Periodo" attribute="1" defaultMemberUniqueName="[Base].[Periodo].[All]" allUniqueName="[Base].[Periodo].[All]" dimensionUniqueName="[Base]" displayFolder="" count="0" memberValueDatatype="130" unbalanced="0"/>
    <cacheHierarchy uniqueName="[Base].[PRODUCTO]" caption="PRODUCTO" attribute="1" defaultMemberUniqueName="[Base].[PRODUCTO].[All]" allUniqueName="[Base].[PRODUCTO].[All]" dimensionUniqueName="[Base]" displayFolder="" count="2" memberValueDatatype="130" unbalanced="0">
      <fieldsUsage count="2">
        <fieldUsage x="-1"/>
        <fieldUsage x="5"/>
      </fieldsUsage>
    </cacheHierarchy>
    <cacheHierarchy uniqueName="[Base].[SEGMENTO_DESCRIP]" caption="SEGMENTO_DESCRIP" attribute="1" defaultMemberUniqueName="[Base].[SEGMENTO_DESCRIP].[All]" allUniqueName="[Base].[SEGMENTO_DESCRIP].[All]" dimensionUniqueName="[Base]" displayFolder="" count="2" memberValueDatatype="130" unbalanced="0">
      <fieldsUsage count="2">
        <fieldUsage x="-1"/>
        <fieldUsage x="2"/>
      </fieldsUsage>
    </cacheHierarchy>
    <cacheHierarchy uniqueName="[Base].[SITUACION]" caption="SITUACION" attribute="1" defaultMemberUniqueName="[Base].[SITUACION].[All]" allUniqueName="[Base].[SITUACION].[All]" dimensionUniqueName="[Base]" displayFolder="" count="2" memberValueDatatype="130" unbalanced="0">
      <fieldsUsage count="2">
        <fieldUsage x="-1"/>
        <fieldUsage x="3"/>
      </fieldsUsage>
    </cacheHierarchy>
    <cacheHierarchy uniqueName="[Base].[Sub Producto]" caption="Sub Producto" attribute="1" defaultMemberUniqueName="[Base].[Sub Producto].[All]" allUniqueName="[Base].[Sub Producto].[All]" dimensionUniqueName="[Base]" displayFolder="" count="0" memberValueDatatype="130" unbalanced="0"/>
    <cacheHierarchy uniqueName="[Base].[TIPO]" caption="TIPO" attribute="1" defaultMemberUniqueName="[Base].[TIPO].[All]" allUniqueName="[Base].[TIPO].[All]" dimensionUniqueName="[Base]" displayFolder="" count="0" memberValueDatatype="130" unbalanced="0"/>
    <cacheHierarchy uniqueName="[Base].[Tipo_Valor]" caption="Tipo_Valor" attribute="1" defaultMemberUniqueName="[Base].[Tipo_Valor].[All]" allUniqueName="[Base].[Tipo_Valor].[All]" dimensionUniqueName="[Base]" displayFolder="" count="2" memberValueDatatype="130" unbalanced="0">
      <fieldsUsage count="2">
        <fieldUsage x="-1"/>
        <fieldUsage x="6"/>
      </fieldsUsage>
    </cacheHierarchy>
    <cacheHierarchy uniqueName="[Base].[VP]" caption="VP" attribute="1" defaultMemberUniqueName="[Base].[VP].[All]" allUniqueName="[Base].[VP].[All]" dimensionUniqueName="[Base]" displayFolder="" count="0" memberValueDatatype="130" unbalanced="0"/>
    <cacheHierarchy uniqueName="[Base_PJ_Inmobiliaria].[FECHA]" caption="FECHA" attribute="1" time="1" defaultMemberUniqueName="[Base_PJ_Inmobiliaria].[FECHA].[All]" allUniqueName="[Base_PJ_Inmobiliaria].[FECHA].[All]" dimensionUniqueName="[Base_PJ_Inmobiliaria]" displayFolder="" count="0" memberValueDatatype="7" unbalanced="0"/>
    <cacheHierarchy uniqueName="[Base_PJ_Inmobiliaria].[Importe]" caption="Importe" attribute="1" defaultMemberUniqueName="[Base_PJ_Inmobiliaria].[Importe].[All]" allUniqueName="[Base_PJ_Inmobiliaria].[Importe].[All]" dimensionUniqueName="[Base_PJ_Inmobiliaria]" displayFolder="" count="0" memberValueDatatype="5" unbalanced="0"/>
    <cacheHierarchy uniqueName="[Base_PJ_Inmobiliaria].[Metrica]" caption="Metrica" attribute="1" defaultMemberUniqueName="[Base_PJ_Inmobiliaria].[Metrica].[All]" allUniqueName="[Base_PJ_Inmobiliaria].[Metrica].[All]" dimensionUniqueName="[Base_PJ_Inmobiliaria]" displayFolder="" count="0" memberValueDatatype="130" unbalanced="0"/>
    <cacheHierarchy uniqueName="[Base_PJ_Inmobiliaria].[MONEDA]" caption="MONEDA" attribute="1" defaultMemberUniqueName="[Base_PJ_Inmobiliaria].[MONEDA].[All]" allUniqueName="[Base_PJ_Inmobiliaria].[MONEDA].[All]" dimensionUniqueName="[Base_PJ_Inmobiliaria]" displayFolder="" count="0" memberValueDatatype="130" unbalanced="0"/>
    <cacheHierarchy uniqueName="[Base_PJ_Inmobiliaria].[PERIODO]" caption="PERIODO" attribute="1" defaultMemberUniqueName="[Base_PJ_Inmobiliaria].[PERIODO].[All]" allUniqueName="[Base_PJ_Inmobiliaria].[PERIODO].[All]" dimensionUniqueName="[Base_PJ_Inmobiliaria]" displayFolder="" count="0" memberValueDatatype="130" unbalanced="0"/>
    <cacheHierarchy uniqueName="[Base_PJ_Inmobiliaria].[PRODUCTO]" caption="PRODUCTO" attribute="1" defaultMemberUniqueName="[Base_PJ_Inmobiliaria].[PRODUCTO].[All]" allUniqueName="[Base_PJ_Inmobiliaria].[PRODUCTO].[All]" dimensionUniqueName="[Base_PJ_Inmobiliaria]" displayFolder="" count="0" memberValueDatatype="130" unbalanced="0"/>
    <cacheHierarchy uniqueName="[Base_PJ_Inmobiliaria].[SG3_GRUPO_SEGMENTO]" caption="SG3_GRUPO_SEGMENTO" attribute="1" defaultMemberUniqueName="[Base_PJ_Inmobiliaria].[SG3_GRUPO_SEGMENTO].[All]" allUniqueName="[Base_PJ_Inmobiliaria].[SG3_GRUPO_SEGMENTO].[All]" dimensionUniqueName="[Base_PJ_Inmobiliaria]" displayFolder="" count="0" memberValueDatatype="130" unbalanced="0"/>
    <cacheHierarchy uniqueName="[Base_PJ_Inmobiliaria].[SITUACION]" caption="SITUACION" attribute="1" defaultMemberUniqueName="[Base_PJ_Inmobiliaria].[SITUACION].[All]" allUniqueName="[Base_PJ_Inmobiliaria].[SITUACION].[All]" dimensionUniqueName="[Base_PJ_Inmobiliaria]" displayFolder="" count="0" memberValueDatatype="130" unbalanced="0"/>
    <cacheHierarchy uniqueName="[Base_PJ_Inmobiliaria].[Sub Producto]" caption="Sub Producto" attribute="1" defaultMemberUniqueName="[Base_PJ_Inmobiliaria].[Sub Producto].[All]" allUniqueName="[Base_PJ_Inmobiliaria].[Sub Producto].[All]" dimensionUniqueName="[Base_PJ_Inmobiliaria]" displayFolder="" count="0" memberValueDatatype="130" unbalanced="0"/>
    <cacheHierarchy uniqueName="[Base_PJ_Inmobiliaria].[TIPO_PRODUCTO]" caption="TIPO_PRODUCTO" attribute="1" defaultMemberUniqueName="[Base_PJ_Inmobiliaria].[TIPO_PRODUCTO].[All]" allUniqueName="[Base_PJ_Inmobiliaria].[TIPO_PRODUCTO].[All]" dimensionUniqueName="[Base_PJ_Inmobiliaria]" displayFolder="" count="0" memberValueDatatype="130" unbalanced="0"/>
    <cacheHierarchy uniqueName="[Base_PJ_Inmobiliaria].[Tipo_Valor]" caption="Tipo_Valor" attribute="1" defaultMemberUniqueName="[Base_PJ_Inmobiliaria].[Tipo_Valor].[All]" allUniqueName="[Base_PJ_Inmobiliaria].[Tipo_Valor].[All]" dimensionUniqueName="[Base_PJ_Inmobiliaria]" displayFolder="" count="0" memberValueDatatype="130" unbalanced="0"/>
    <cacheHierarchy uniqueName="[Base_PJ_Inmobiliaria].[VP]" caption="VP" attribute="1" defaultMemberUniqueName="[Base_PJ_Inmobiliaria].[VP].[All]" allUniqueName="[Base_PJ_Inmobiliaria].[VP].[All]" dimensionUniqueName="[Base_PJ_Inmobiliaria]" displayFolder="" count="0" memberValueDatatype="130" unbalanced="0"/>
    <cacheHierarchy uniqueName="[Base_PJ_Inmobiliaria_INOF].[FECHA]" caption="FECHA" attribute="1" time="1" defaultMemberUniqueName="[Base_PJ_Inmobiliaria_INOF].[FECHA].[All]" allUniqueName="[Base_PJ_Inmobiliaria_INOF].[FECHA].[All]" dimensionUniqueName="[Base_PJ_Inmobiliaria_INOF]" displayFolder="" count="0" memberValueDatatype="7" unbalanced="0"/>
    <cacheHierarchy uniqueName="[Base_PJ_Inmobiliaria_INOF].[Importe]" caption="Importe" attribute="1" defaultMemberUniqueName="[Base_PJ_Inmobiliaria_INOF].[Importe].[All]" allUniqueName="[Base_PJ_Inmobiliaria_INOF].[Importe].[All]" dimensionUniqueName="[Base_PJ_Inmobiliaria_INOF]" displayFolder="" count="0" memberValueDatatype="5" unbalanced="0"/>
    <cacheHierarchy uniqueName="[Base_PJ_Inmobiliaria_INOF].[Metrica]" caption="Metrica" attribute="1" defaultMemberUniqueName="[Base_PJ_Inmobiliaria_INOF].[Metrica].[All]" allUniqueName="[Base_PJ_Inmobiliaria_INOF].[Metrica].[All]" dimensionUniqueName="[Base_PJ_Inmobiliaria_INOF]" displayFolder="" count="0" memberValueDatatype="130" unbalanced="0"/>
    <cacheHierarchy uniqueName="[Base_PJ_Inmobiliaria_INOF].[MONEDA]" caption="MONEDA" attribute="1" defaultMemberUniqueName="[Base_PJ_Inmobiliaria_INOF].[MONEDA].[All]" allUniqueName="[Base_PJ_Inmobiliaria_INOF].[MONEDA].[All]" dimensionUniqueName="[Base_PJ_Inmobiliaria_INOF]" displayFolder="" count="0" memberValueDatatype="130" unbalanced="0"/>
    <cacheHierarchy uniqueName="[Base_PJ_Inmobiliaria_INOF].[PERIODO]" caption="PERIODO" attribute="1" defaultMemberUniqueName="[Base_PJ_Inmobiliaria_INOF].[PERIODO].[All]" allUniqueName="[Base_PJ_Inmobiliaria_INOF].[PERIODO].[All]" dimensionUniqueName="[Base_PJ_Inmobiliaria_INOF]" displayFolder="" count="0" memberValueDatatype="130" unbalanced="0"/>
    <cacheHierarchy uniqueName="[Base_PJ_Inmobiliaria_INOF].[PRODUCTO]" caption="PRODUCTO" attribute="1" defaultMemberUniqueName="[Base_PJ_Inmobiliaria_INOF].[PRODUCTO].[All]" allUniqueName="[Base_PJ_Inmobiliaria_INOF].[PRODUCTO].[All]" dimensionUniqueName="[Base_PJ_Inmobiliaria_INOF]" displayFolder="" count="0" memberValueDatatype="130" unbalanced="0"/>
    <cacheHierarchy uniqueName="[Base_PJ_Inmobiliaria_INOF].[SITUACION]" caption="SITUACION" attribute="1" defaultMemberUniqueName="[Base_PJ_Inmobiliaria_INOF].[SITUACION].[All]" allUniqueName="[Base_PJ_Inmobiliaria_INOF].[SITUACION].[All]" dimensionUniqueName="[Base_PJ_Inmobiliaria_INOF]" displayFolder="" count="0" memberValueDatatype="130" unbalanced="0"/>
    <cacheHierarchy uniqueName="[Base_PJ_Inmobiliaria_INOF].[Sub Producto]" caption="Sub Producto" attribute="1" defaultMemberUniqueName="[Base_PJ_Inmobiliaria_INOF].[Sub Producto].[All]" allUniqueName="[Base_PJ_Inmobiliaria_INOF].[Sub Producto].[All]" dimensionUniqueName="[Base_PJ_Inmobiliaria_INOF]" displayFolder="" count="0" memberValueDatatype="130" unbalanced="0"/>
    <cacheHierarchy uniqueName="[Base_PJ_Inmobiliaria_INOF].[TIPO_PRODUCTO]" caption="TIPO_PRODUCTO" attribute="1" defaultMemberUniqueName="[Base_PJ_Inmobiliaria_INOF].[TIPO_PRODUCTO].[All]" allUniqueName="[Base_PJ_Inmobiliaria_INOF].[TIPO_PRODUCTO].[All]" dimensionUniqueName="[Base_PJ_Inmobiliaria_INOF]" displayFolder="" count="0" memberValueDatatype="130" unbalanced="0"/>
    <cacheHierarchy uniqueName="[Base_PJ_Inmobiliaria_INOF].[Tipo_Valor]" caption="Tipo_Valor" attribute="1" defaultMemberUniqueName="[Base_PJ_Inmobiliaria_INOF].[Tipo_Valor].[All]" allUniqueName="[Base_PJ_Inmobiliaria_INOF].[Tipo_Valor].[All]" dimensionUniqueName="[Base_PJ_Inmobiliaria_INOF]" displayFolder="" count="0" memberValueDatatype="130" unbalanced="0"/>
    <cacheHierarchy uniqueName="[Base_PJ_Inmobiliaria_INOF].[VP]" caption="VP" attribute="1" defaultMemberUniqueName="[Base_PJ_Inmobiliaria_INOF].[VP].[All]" allUniqueName="[Base_PJ_Inmobiliaria_INOF].[VP].[All]" dimensionUniqueName="[Base_PJ_Inmobiliaria_INOF]" displayFolder="" count="0" memberValueDatatype="130" unbalanced="0"/>
    <cacheHierarchy uniqueName="[Calendario].[AñoMes]" caption="AñoMes" attribute="1" defaultMemberUniqueName="[Calendario].[AñoMes].[All]" allUniqueName="[Calendario].[AñoMe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Date]" caption="Date" attribute="1" time="1" defaultMemberUniqueName="[Calendario].[Date].[All]" allUniqueName="[Calendario].[Date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-yy]" caption="Mes-yy" attribute="1" defaultMemberUniqueName="[Calendario].[Mes-yy].[All]" allUniqueName="[Calendario].[Mes-yy].[All]" dimensionUniqueName="[Calendario]" displayFolder="" count="0" memberValueDatatype="130" unbalanced="0"/>
    <cacheHierarchy uniqueName="[Cuentas_INOF_Vehicular].[Cuenta_Contable]" caption="Cuenta_Contable" attribute="1" defaultMemberUniqueName="[Cuentas_INOF_Vehicular].[Cuenta_Contable].[All]" allUniqueName="[Cuentas_INOF_Vehicular].[Cuenta_Contable].[All]" dimensionUniqueName="[Cuentas_INOF_Vehicular]" displayFolder="" count="0" memberValueDatatype="130" unbalanced="0"/>
    <cacheHierarchy uniqueName="[Cuentas_INOF_Vehicular].[Fuente]" caption="Fuente" attribute="1" defaultMemberUniqueName="[Cuentas_INOF_Vehicular].[Fuente].[All]" allUniqueName="[Cuentas_INOF_Vehicular].[Fuente].[All]" dimensionUniqueName="[Cuentas_INOF_Vehicular]" displayFolder="" count="0" memberValueDatatype="130" unbalanced="0"/>
    <cacheHierarchy uniqueName="[Cuentas_INOF_Vehicular].[PRODUCTO]" caption="PRODUCTO" attribute="1" defaultMemberUniqueName="[Cuentas_INOF_Vehicular].[PRODUCTO].[All]" allUniqueName="[Cuentas_INOF_Vehicular].[PRODUCTO].[All]" dimensionUniqueName="[Cuentas_INOF_Vehicular]" displayFolder="" count="0" memberValueDatatype="130" unbalanced="0"/>
    <cacheHierarchy uniqueName="[Cuentas_INOF_Vehicular].[Sub Producto]" caption="Sub Producto" attribute="1" defaultMemberUniqueName="[Cuentas_INOF_Vehicular].[Sub Producto].[All]" allUniqueName="[Cuentas_INOF_Vehicular].[Sub Producto].[All]" dimensionUniqueName="[Cuentas_INOF_Vehicular]" displayFolder="" count="0" memberValueDatatype="130" unbalanced="0"/>
    <cacheHierarchy uniqueName="[Cuentas_INOF_Vehicular].[VP]" caption="VP" attribute="1" defaultMemberUniqueName="[Cuentas_INOF_Vehicular].[VP].[All]" allUniqueName="[Cuentas_INOF_Vehicular].[VP].[All]" dimensionUniqueName="[Cuentas_INOF_Vehicular]" displayFolder="" count="0" memberValueDatatype="130" unbalanced="0"/>
    <cacheHierarchy uniqueName="[EGyP_Consolidado_INOF_GARANTIAS].[Cuenta_Contable]" caption="Cuenta_Contable" attribute="1" defaultMemberUniqueName="[EGyP_Consolidado_INOF_GARANTIAS].[Cuenta_Contable].[All]" allUniqueName="[EGyP_Consolidado_INOF_GARANTIAS].[Cuenta_Contable].[All]" dimensionUniqueName="[EGyP_Consolidado_INOF_GARANTIAS]" displayFolder="" count="0" memberValueDatatype="130" unbalanced="0"/>
    <cacheHierarchy uniqueName="[EGyP_Consolidado_INOF_GARANTIAS].[Descripcion_Cta_Contable]" caption="Descripcion_Cta_Contable" attribute="1" defaultMemberUniqueName="[EGyP_Consolidado_INOF_GARANTIAS].[Descripcion_Cta_Contable].[All]" allUniqueName="[EGyP_Consolidado_INOF_GARANTIAS].[Descripcion_Cta_Contable].[All]" dimensionUniqueName="[EGyP_Consolidado_INOF_GARANTIAS]" displayFolder="" count="0" memberValueDatatype="130" unbalanced="0"/>
    <cacheHierarchy uniqueName="[EGyP_Consolidado_INOF_GARANTIAS].[Driver]" caption="Driver" attribute="1" defaultMemberUniqueName="[EGyP_Consolidado_INOF_GARANTIAS].[Driver].[All]" allUniqueName="[EGyP_Consolidado_INOF_GARANTIAS].[Driver].[All]" dimensionUniqueName="[EGyP_Consolidado_INOF_GARANTIAS]" displayFolder="" count="0" memberValueDatatype="5" unbalanced="0"/>
    <cacheHierarchy uniqueName="[EGyP_Consolidado_INOF_GARANTIAS].[FECHA]" caption="FECHA" attribute="1" time="1" defaultMemberUniqueName="[EGyP_Consolidado_INOF_GARANTIAS].[FECHA].[All]" allUniqueName="[EGyP_Consolidado_INOF_GARANTIAS].[FECHA].[All]" dimensionUniqueName="[EGyP_Consolidado_INOF_GARANTIAS]" displayFolder="" count="0" memberValueDatatype="7" unbalanced="0"/>
    <cacheHierarchy uniqueName="[EGyP_Consolidado_INOF_GARANTIAS].[Fuente]" caption="Fuente" attribute="1" defaultMemberUniqueName="[EGyP_Consolidado_INOF_GARANTIAS].[Fuente].[All]" allUniqueName="[EGyP_Consolidado_INOF_GARANTIAS].[Fuente].[All]" dimensionUniqueName="[EGyP_Consolidado_INOF_GARANTIAS]" displayFolder="" count="0" memberValueDatatype="130" unbalanced="0"/>
    <cacheHierarchy uniqueName="[EGyP_Consolidado_INOF_GARANTIAS].[Importe]" caption="Importe" attribute="1" defaultMemberUniqueName="[EGyP_Consolidado_INOF_GARANTIAS].[Importe].[All]" allUniqueName="[EGyP_Consolidado_INOF_GARANTIAS].[Importe].[All]" dimensionUniqueName="[EGyP_Consolidado_INOF_GARANTIAS]" displayFolder="" count="0" memberValueDatatype="5" unbalanced="0"/>
    <cacheHierarchy uniqueName="[EGyP_Consolidado_INOF_GARANTIAS].[Importe_Original]" caption="Importe_Original" attribute="1" defaultMemberUniqueName="[EGyP_Consolidado_INOF_GARANTIAS].[Importe_Original].[All]" allUniqueName="[EGyP_Consolidado_INOF_GARANTIAS].[Importe_Original].[All]" dimensionUniqueName="[EGyP_Consolidado_INOF_GARANTIAS]" displayFolder="" count="0" memberValueDatatype="5" unbalanced="0"/>
    <cacheHierarchy uniqueName="[EGyP_Consolidado_INOF_GARANTIAS].[Metrica]" caption="Metrica" attribute="1" defaultMemberUniqueName="[EGyP_Consolidado_INOF_GARANTIAS].[Metrica].[All]" allUniqueName="[EGyP_Consolidado_INOF_GARANTIAS].[Metrica].[All]" dimensionUniqueName="[EGyP_Consolidado_INOF_GARANTIAS]" displayFolder="" count="0" memberValueDatatype="130" unbalanced="0"/>
    <cacheHierarchy uniqueName="[EGyP_Consolidado_INOF_GARANTIAS].[PRODUCTO]" caption="PRODUCTO" attribute="1" defaultMemberUniqueName="[EGyP_Consolidado_INOF_GARANTIAS].[PRODUCTO].[All]" allUniqueName="[EGyP_Consolidado_INOF_GARANTIAS].[PRODUCTO].[All]" dimensionUniqueName="[EGyP_Consolidado_INOF_GARANTIAS]" displayFolder="" count="0" memberValueDatatype="130" unbalanced="0"/>
    <cacheHierarchy uniqueName="[EGyP_Consolidado_INOF_GARANTIAS].[SEGMENTO_DESCRIP]" caption="SEGMENTO_DESCRIP" attribute="1" defaultMemberUniqueName="[EGyP_Consolidado_INOF_GARANTIAS].[SEGMENTO_DESCRIP].[All]" allUniqueName="[EGyP_Consolidado_INOF_GARANTIAS].[SEGMENTO_DESCRIP].[All]" dimensionUniqueName="[EGyP_Consolidado_INOF_GARANTIAS]" displayFolder="" count="0" memberValueDatatype="130" unbalanced="0"/>
    <cacheHierarchy uniqueName="[EGyP_Consolidado_INOF_GARANTIAS].[SITUACION]" caption="SITUACION" attribute="1" defaultMemberUniqueName="[EGyP_Consolidado_INOF_GARANTIAS].[SITUACION].[All]" allUniqueName="[EGyP_Consolidado_INOF_GARANTIAS].[SITUACION].[All]" dimensionUniqueName="[EGyP_Consolidado_INOF_GARANTIAS]" displayFolder="" count="0" memberValueDatatype="130" unbalanced="0"/>
    <cacheHierarchy uniqueName="[EGyP_Consolidado_INOF_GARANTIAS].[Sub Producto]" caption="Sub Producto" attribute="1" defaultMemberUniqueName="[EGyP_Consolidado_INOF_GARANTIAS].[Sub Producto].[All]" allUniqueName="[EGyP_Consolidado_INOF_GARANTIAS].[Sub Producto].[All]" dimensionUniqueName="[EGyP_Consolidado_INOF_GARANTIAS]" displayFolder="" count="0" memberValueDatatype="130" unbalanced="0"/>
    <cacheHierarchy uniqueName="[EGyP_Consolidado_INOF_GARANTIAS].[Tipo_Valor]" caption="Tipo_Valor" attribute="1" defaultMemberUniqueName="[EGyP_Consolidado_INOF_GARANTIAS].[Tipo_Valor].[All]" allUniqueName="[EGyP_Consolidado_INOF_GARANTIAS].[Tipo_Valor].[All]" dimensionUniqueName="[EGyP_Consolidado_INOF_GARANTIAS]" displayFolder="" count="0" memberValueDatatype="130" unbalanced="0"/>
    <cacheHierarchy uniqueName="[EGyP_Consolidado_INOF_GARANTIAS].[VP]" caption="VP" attribute="1" defaultMemberUniqueName="[EGyP_Consolidado_INOF_GARANTIAS].[VP].[All]" allUniqueName="[EGyP_Consolidado_INOF_GARANTIAS].[VP].[All]" dimensionUniqueName="[EGyP_Consolidado_INOF_GARANTIAS]" displayFolder="" count="0" memberValueDatatype="130" unbalanced="0"/>
    <cacheHierarchy uniqueName="[DateTableTemplate_72f0a05c-07b2-47d1-a3b4-b7bc7dd6241b].[Año]" caption="Año" attribute="1" defaultMemberUniqueName="[DateTableTemplate_72f0a05c-07b2-47d1-a3b4-b7bc7dd6241b].[Año].[All]" allUniqueName="[DateTableTemplate_72f0a05c-07b2-47d1-a3b4-b7bc7dd6241b].[Año].[All]" dimensionUniqueName="[DateTableTemplate_72f0a05c-07b2-47d1-a3b4-b7bc7dd6241b]" displayFolder="" count="0" memberValueDatatype="20" unbalanced="0" hidden="1"/>
    <cacheHierarchy uniqueName="[DateTableTemplate_72f0a05c-07b2-47d1-a3b4-b7bc7dd6241b].[Date]" caption="Date" attribute="1" time="1" defaultMemberUniqueName="[DateTableTemplate_72f0a05c-07b2-47d1-a3b4-b7bc7dd6241b].[Date].[All]" allUniqueName="[DateTableTemplate_72f0a05c-07b2-47d1-a3b4-b7bc7dd6241b].[Date].[All]" dimensionUniqueName="[DateTableTemplate_72f0a05c-07b2-47d1-a3b4-b7bc7dd6241b]" displayFolder="" count="0" memberValueDatatype="7" unbalanced="0" hidden="1"/>
    <cacheHierarchy uniqueName="[DateTableTemplate_72f0a05c-07b2-47d1-a3b4-b7bc7dd6241b].[Día]" caption="Día" attribute="1" defaultMemberUniqueName="[DateTableTemplate_72f0a05c-07b2-47d1-a3b4-b7bc7dd6241b].[Día].[All]" allUniqueName="[DateTableTemplate_72f0a05c-07b2-47d1-a3b4-b7bc7dd6241b].[Día].[All]" dimensionUniqueName="[DateTableTemplate_72f0a05c-07b2-47d1-a3b4-b7bc7dd6241b]" displayFolder="" count="0" memberValueDatatype="20" unbalanced="0" hidden="1"/>
    <cacheHierarchy uniqueName="[DateTableTemplate_72f0a05c-07b2-47d1-a3b4-b7bc7dd6241b].[Jerarquía de fechas]" caption="Jerarquía de fechas" defaultMemberUniqueName="[DateTableTemplate_72f0a05c-07b2-47d1-a3b4-b7bc7dd6241b].[Jerarquía de fechas].[All]" allUniqueName="[DateTableTemplate_72f0a05c-07b2-47d1-a3b4-b7bc7dd6241b].[Jerarquía de fechas].[All]" dimensionUniqueName="[DateTableTemplate_72f0a05c-07b2-47d1-a3b4-b7bc7dd6241b]" displayFolder="" count="0" unbalanced="0" hidden="1"/>
    <cacheHierarchy uniqueName="[DateTableTemplate_72f0a05c-07b2-47d1-a3b4-b7bc7dd6241b].[Mes]" caption="Mes" attribute="1" defaultMemberUniqueName="[DateTableTemplate_72f0a05c-07b2-47d1-a3b4-b7bc7dd6241b].[Mes].[All]" allUniqueName="[DateTableTemplate_72f0a05c-07b2-47d1-a3b4-b7bc7dd6241b].[Mes].[All]" dimensionUniqueName="[DateTableTemplate_72f0a05c-07b2-47d1-a3b4-b7bc7dd6241b]" displayFolder="" count="0" memberValueDatatype="130" unbalanced="0" hidden="1"/>
    <cacheHierarchy uniqueName="[DateTableTemplate_72f0a05c-07b2-47d1-a3b4-b7bc7dd6241b].[NroMes]" caption="NroMes" attribute="1" defaultMemberUniqueName="[DateTableTemplate_72f0a05c-07b2-47d1-a3b4-b7bc7dd6241b].[NroMes].[All]" allUniqueName="[DateTableTemplate_72f0a05c-07b2-47d1-a3b4-b7bc7dd6241b].[NroMes].[All]" dimensionUniqueName="[DateTableTemplate_72f0a05c-07b2-47d1-a3b4-b7bc7dd6241b]" displayFolder="" count="0" memberValueDatatype="20" unbalanced="0" hidden="1"/>
    <cacheHierarchy uniqueName="[DateTableTemplate_72f0a05c-07b2-47d1-a3b4-b7bc7dd6241b].[NroTrimestre]" caption="NroTrimestre" attribute="1" defaultMemberUniqueName="[DateTableTemplate_72f0a05c-07b2-47d1-a3b4-b7bc7dd6241b].[NroTrimestre].[All]" allUniqueName="[DateTableTemplate_72f0a05c-07b2-47d1-a3b4-b7bc7dd6241b].[NroTrimestre].[All]" dimensionUniqueName="[DateTableTemplate_72f0a05c-07b2-47d1-a3b4-b7bc7dd6241b]" displayFolder="" count="0" memberValueDatatype="20" unbalanced="0" hidden="1"/>
    <cacheHierarchy uniqueName="[DateTableTemplate_72f0a05c-07b2-47d1-a3b4-b7bc7dd6241b].[Trimestre]" caption="Trimestre" attribute="1" defaultMemberUniqueName="[DateTableTemplate_72f0a05c-07b2-47d1-a3b4-b7bc7dd6241b].[Trimestre].[All]" allUniqueName="[DateTableTemplate_72f0a05c-07b2-47d1-a3b4-b7bc7dd6241b].[Trimestre].[All]" dimensionUniqueName="[DateTableTemplate_72f0a05c-07b2-47d1-a3b4-b7bc7dd6241b]" displayFolder="" count="0" memberValueDatatype="130" unbalanced="0" hidden="1"/>
    <cacheHierarchy uniqueName="[LocalDateTable_2a6e7bd2-0c34-420f-a738-8eda02a7b610].[Año]" caption="Año" attribute="1" defaultMemberUniqueName="[LocalDateTable_2a6e7bd2-0c34-420f-a738-8eda02a7b610].[Año].[All]" allUniqueName="[LocalDateTable_2a6e7bd2-0c34-420f-a738-8eda02a7b610].[Año].[All]" dimensionUniqueName="[LocalDateTable_2a6e7bd2-0c34-420f-a738-8eda02a7b610]" displayFolder="" count="0" memberValueDatatype="20" unbalanced="0" hidden="1"/>
    <cacheHierarchy uniqueName="[LocalDateTable_2a6e7bd2-0c34-420f-a738-8eda02a7b610].[Date]" caption="Date" attribute="1" time="1" defaultMemberUniqueName="[LocalDateTable_2a6e7bd2-0c34-420f-a738-8eda02a7b610].[Date].[All]" allUniqueName="[LocalDateTable_2a6e7bd2-0c34-420f-a738-8eda02a7b610].[Date].[All]" dimensionUniqueName="[LocalDateTable_2a6e7bd2-0c34-420f-a738-8eda02a7b610]" displayFolder="" count="0" memberValueDatatype="7" unbalanced="0" hidden="1"/>
    <cacheHierarchy uniqueName="[LocalDateTable_2a6e7bd2-0c34-420f-a738-8eda02a7b610].[Día]" caption="Día" attribute="1" defaultMemberUniqueName="[LocalDateTable_2a6e7bd2-0c34-420f-a738-8eda02a7b610].[Día].[All]" allUniqueName="[LocalDateTable_2a6e7bd2-0c34-420f-a738-8eda02a7b610].[Día].[All]" dimensionUniqueName="[LocalDateTable_2a6e7bd2-0c34-420f-a738-8eda02a7b610]" displayFolder="" count="0" memberValueDatatype="20" unbalanced="0" hidden="1"/>
    <cacheHierarchy uniqueName="[LocalDateTable_2a6e7bd2-0c34-420f-a738-8eda02a7b610].[Jerarquía de fechas]" caption="Jerarquía de fechas" defaultMemberUniqueName="[LocalDateTable_2a6e7bd2-0c34-420f-a738-8eda02a7b610].[Jerarquía de fechas].[All]" allUniqueName="[LocalDateTable_2a6e7bd2-0c34-420f-a738-8eda02a7b610].[Jerarquía de fechas].[All]" dimensionUniqueName="[LocalDateTable_2a6e7bd2-0c34-420f-a738-8eda02a7b610]" displayFolder="" count="0" unbalanced="0" hidden="1"/>
    <cacheHierarchy uniqueName="[LocalDateTable_2a6e7bd2-0c34-420f-a738-8eda02a7b610].[Mes]" caption="Mes" attribute="1" defaultMemberUniqueName="[LocalDateTable_2a6e7bd2-0c34-420f-a738-8eda02a7b610].[Mes].[All]" allUniqueName="[LocalDateTable_2a6e7bd2-0c34-420f-a738-8eda02a7b610].[Mes].[All]" dimensionUniqueName="[LocalDateTable_2a6e7bd2-0c34-420f-a738-8eda02a7b610]" displayFolder="" count="0" memberValueDatatype="130" unbalanced="0" hidden="1"/>
    <cacheHierarchy uniqueName="[LocalDateTable_2a6e7bd2-0c34-420f-a738-8eda02a7b610].[NroMes]" caption="NroMes" attribute="1" defaultMemberUniqueName="[LocalDateTable_2a6e7bd2-0c34-420f-a738-8eda02a7b610].[NroMes].[All]" allUniqueName="[LocalDateTable_2a6e7bd2-0c34-420f-a738-8eda02a7b610].[NroMes].[All]" dimensionUniqueName="[LocalDateTable_2a6e7bd2-0c34-420f-a738-8eda02a7b610]" displayFolder="" count="0" memberValueDatatype="20" unbalanced="0" hidden="1"/>
    <cacheHierarchy uniqueName="[LocalDateTable_2a6e7bd2-0c34-420f-a738-8eda02a7b610].[NroTrimestre]" caption="NroTrimestre" attribute="1" defaultMemberUniqueName="[LocalDateTable_2a6e7bd2-0c34-420f-a738-8eda02a7b610].[NroTrimestre].[All]" allUniqueName="[LocalDateTable_2a6e7bd2-0c34-420f-a738-8eda02a7b610].[NroTrimestre].[All]" dimensionUniqueName="[LocalDateTable_2a6e7bd2-0c34-420f-a738-8eda02a7b610]" displayFolder="" count="0" memberValueDatatype="20" unbalanced="0" hidden="1"/>
    <cacheHierarchy uniqueName="[LocalDateTable_2a6e7bd2-0c34-420f-a738-8eda02a7b610].[Trimestre]" caption="Trimestre" attribute="1" defaultMemberUniqueName="[LocalDateTable_2a6e7bd2-0c34-420f-a738-8eda02a7b610].[Trimestre].[All]" allUniqueName="[LocalDateTable_2a6e7bd2-0c34-420f-a738-8eda02a7b610].[Trimestre].[All]" dimensionUniqueName="[LocalDateTable_2a6e7bd2-0c34-420f-a738-8eda02a7b610]" displayFolder="" count="0" memberValueDatatype="130" unbalanced="0" hidden="1"/>
    <cacheHierarchy uniqueName="[LocalDateTable_43a050e6-86be-40f5-952e-e2ada6730267].[Año]" caption="Año" attribute="1" defaultMemberUniqueName="[LocalDateTable_43a050e6-86be-40f5-952e-e2ada6730267].[Año].[All]" allUniqueName="[LocalDateTable_43a050e6-86be-40f5-952e-e2ada6730267].[Año].[All]" dimensionUniqueName="[LocalDateTable_43a050e6-86be-40f5-952e-e2ada6730267]" displayFolder="" count="0" memberValueDatatype="20" unbalanced="0" hidden="1"/>
    <cacheHierarchy uniqueName="[LocalDateTable_43a050e6-86be-40f5-952e-e2ada6730267].[Date]" caption="Date" attribute="1" time="1" defaultMemberUniqueName="[LocalDateTable_43a050e6-86be-40f5-952e-e2ada6730267].[Date].[All]" allUniqueName="[LocalDateTable_43a050e6-86be-40f5-952e-e2ada6730267].[Date].[All]" dimensionUniqueName="[LocalDateTable_43a050e6-86be-40f5-952e-e2ada6730267]" displayFolder="" count="0" memberValueDatatype="7" unbalanced="0" hidden="1"/>
    <cacheHierarchy uniqueName="[LocalDateTable_43a050e6-86be-40f5-952e-e2ada6730267].[Día]" caption="Día" attribute="1" defaultMemberUniqueName="[LocalDateTable_43a050e6-86be-40f5-952e-e2ada6730267].[Día].[All]" allUniqueName="[LocalDateTable_43a050e6-86be-40f5-952e-e2ada6730267].[Día].[All]" dimensionUniqueName="[LocalDateTable_43a050e6-86be-40f5-952e-e2ada6730267]" displayFolder="" count="0" memberValueDatatype="20" unbalanced="0" hidden="1"/>
    <cacheHierarchy uniqueName="[LocalDateTable_43a050e6-86be-40f5-952e-e2ada6730267].[Jerarquía de fechas]" caption="Jerarquía de fechas" defaultMemberUniqueName="[LocalDateTable_43a050e6-86be-40f5-952e-e2ada6730267].[Jerarquía de fechas].[All]" allUniqueName="[LocalDateTable_43a050e6-86be-40f5-952e-e2ada6730267].[Jerarquía de fechas].[All]" dimensionUniqueName="[LocalDateTable_43a050e6-86be-40f5-952e-e2ada6730267]" displayFolder="" count="0" unbalanced="0" hidden="1"/>
    <cacheHierarchy uniqueName="[LocalDateTable_43a050e6-86be-40f5-952e-e2ada6730267].[Mes]" caption="Mes" attribute="1" defaultMemberUniqueName="[LocalDateTable_43a050e6-86be-40f5-952e-e2ada6730267].[Mes].[All]" allUniqueName="[LocalDateTable_43a050e6-86be-40f5-952e-e2ada6730267].[Mes].[All]" dimensionUniqueName="[LocalDateTable_43a050e6-86be-40f5-952e-e2ada6730267]" displayFolder="" count="0" memberValueDatatype="130" unbalanced="0" hidden="1"/>
    <cacheHierarchy uniqueName="[LocalDateTable_43a050e6-86be-40f5-952e-e2ada6730267].[NroMes]" caption="NroMes" attribute="1" defaultMemberUniqueName="[LocalDateTable_43a050e6-86be-40f5-952e-e2ada6730267].[NroMes].[All]" allUniqueName="[LocalDateTable_43a050e6-86be-40f5-952e-e2ada6730267].[NroMes].[All]" dimensionUniqueName="[LocalDateTable_43a050e6-86be-40f5-952e-e2ada6730267]" displayFolder="" count="0" memberValueDatatype="20" unbalanced="0" hidden="1"/>
    <cacheHierarchy uniqueName="[LocalDateTable_43a050e6-86be-40f5-952e-e2ada6730267].[NroTrimestre]" caption="NroTrimestre" attribute="1" defaultMemberUniqueName="[LocalDateTable_43a050e6-86be-40f5-952e-e2ada6730267].[NroTrimestre].[All]" allUniqueName="[LocalDateTable_43a050e6-86be-40f5-952e-e2ada6730267].[NroTrimestre].[All]" dimensionUniqueName="[LocalDateTable_43a050e6-86be-40f5-952e-e2ada6730267]" displayFolder="" count="0" memberValueDatatype="20" unbalanced="0" hidden="1"/>
    <cacheHierarchy uniqueName="[LocalDateTable_43a050e6-86be-40f5-952e-e2ada6730267].[Trimestre]" caption="Trimestre" attribute="1" defaultMemberUniqueName="[LocalDateTable_43a050e6-86be-40f5-952e-e2ada6730267].[Trimestre].[All]" allUniqueName="[LocalDateTable_43a050e6-86be-40f5-952e-e2ada6730267].[Trimestre].[All]" dimensionUniqueName="[LocalDateTable_43a050e6-86be-40f5-952e-e2ada6730267]" displayFolder="" count="0" memberValueDatatype="130" unbalanced="0" hidden="1"/>
    <cacheHierarchy uniqueName="[LocalDateTable_56b3bae5-31f9-4935-91ee-2be8289cdc9a].[Año]" caption="Año" attribute="1" defaultMemberUniqueName="[LocalDateTable_56b3bae5-31f9-4935-91ee-2be8289cdc9a].[Año].[All]" allUniqueName="[LocalDateTable_56b3bae5-31f9-4935-91ee-2be8289cdc9a].[Año].[All]" dimensionUniqueName="[LocalDateTable_56b3bae5-31f9-4935-91ee-2be8289cdc9a]" displayFolder="" count="0" memberValueDatatype="20" unbalanced="0" hidden="1"/>
    <cacheHierarchy uniqueName="[LocalDateTable_56b3bae5-31f9-4935-91ee-2be8289cdc9a].[Date]" caption="Date" attribute="1" time="1" defaultMemberUniqueName="[LocalDateTable_56b3bae5-31f9-4935-91ee-2be8289cdc9a].[Date].[All]" allUniqueName="[LocalDateTable_56b3bae5-31f9-4935-91ee-2be8289cdc9a].[Date].[All]" dimensionUniqueName="[LocalDateTable_56b3bae5-31f9-4935-91ee-2be8289cdc9a]" displayFolder="" count="0" memberValueDatatype="7" unbalanced="0" hidden="1"/>
    <cacheHierarchy uniqueName="[LocalDateTable_56b3bae5-31f9-4935-91ee-2be8289cdc9a].[Día]" caption="Día" attribute="1" defaultMemberUniqueName="[LocalDateTable_56b3bae5-31f9-4935-91ee-2be8289cdc9a].[Día].[All]" allUniqueName="[LocalDateTable_56b3bae5-31f9-4935-91ee-2be8289cdc9a].[Día].[All]" dimensionUniqueName="[LocalDateTable_56b3bae5-31f9-4935-91ee-2be8289cdc9a]" displayFolder="" count="0" memberValueDatatype="20" unbalanced="0" hidden="1"/>
    <cacheHierarchy uniqueName="[LocalDateTable_56b3bae5-31f9-4935-91ee-2be8289cdc9a].[Jerarquía de fechas]" caption="Jerarquía de fechas" defaultMemberUniqueName="[LocalDateTable_56b3bae5-31f9-4935-91ee-2be8289cdc9a].[Jerarquía de fechas].[All]" allUniqueName="[LocalDateTable_56b3bae5-31f9-4935-91ee-2be8289cdc9a].[Jerarquía de fechas].[All]" dimensionUniqueName="[LocalDateTable_56b3bae5-31f9-4935-91ee-2be8289cdc9a]" displayFolder="" count="0" unbalanced="0" hidden="1"/>
    <cacheHierarchy uniqueName="[LocalDateTable_56b3bae5-31f9-4935-91ee-2be8289cdc9a].[Mes]" caption="Mes" attribute="1" defaultMemberUniqueName="[LocalDateTable_56b3bae5-31f9-4935-91ee-2be8289cdc9a].[Mes].[All]" allUniqueName="[LocalDateTable_56b3bae5-31f9-4935-91ee-2be8289cdc9a].[Mes].[All]" dimensionUniqueName="[LocalDateTable_56b3bae5-31f9-4935-91ee-2be8289cdc9a]" displayFolder="" count="0" memberValueDatatype="130" unbalanced="0" hidden="1"/>
    <cacheHierarchy uniqueName="[LocalDateTable_56b3bae5-31f9-4935-91ee-2be8289cdc9a].[NroMes]" caption="NroMes" attribute="1" defaultMemberUniqueName="[LocalDateTable_56b3bae5-31f9-4935-91ee-2be8289cdc9a].[NroMes].[All]" allUniqueName="[LocalDateTable_56b3bae5-31f9-4935-91ee-2be8289cdc9a].[NroMes].[All]" dimensionUniqueName="[LocalDateTable_56b3bae5-31f9-4935-91ee-2be8289cdc9a]" displayFolder="" count="0" memberValueDatatype="20" unbalanced="0" hidden="1"/>
    <cacheHierarchy uniqueName="[LocalDateTable_56b3bae5-31f9-4935-91ee-2be8289cdc9a].[NroTrimestre]" caption="NroTrimestre" attribute="1" defaultMemberUniqueName="[LocalDateTable_56b3bae5-31f9-4935-91ee-2be8289cdc9a].[NroTrimestre].[All]" allUniqueName="[LocalDateTable_56b3bae5-31f9-4935-91ee-2be8289cdc9a].[NroTrimestre].[All]" dimensionUniqueName="[LocalDateTable_56b3bae5-31f9-4935-91ee-2be8289cdc9a]" displayFolder="" count="0" memberValueDatatype="20" unbalanced="0" hidden="1"/>
    <cacheHierarchy uniqueName="[LocalDateTable_56b3bae5-31f9-4935-91ee-2be8289cdc9a].[Trimestre]" caption="Trimestre" attribute="1" defaultMemberUniqueName="[LocalDateTable_56b3bae5-31f9-4935-91ee-2be8289cdc9a].[Trimestre].[All]" allUniqueName="[LocalDateTable_56b3bae5-31f9-4935-91ee-2be8289cdc9a].[Trimestre].[All]" dimensionUniqueName="[LocalDateTable_56b3bae5-31f9-4935-91ee-2be8289cdc9a]" displayFolder="" count="0" memberValueDatatype="130" unbalanced="0" hidden="1"/>
    <cacheHierarchy uniqueName="[LocalDateTable_6751b8f4-599e-441c-84de-b28316bd8278].[Año]" caption="Año" attribute="1" defaultMemberUniqueName="[LocalDateTable_6751b8f4-599e-441c-84de-b28316bd8278].[Año].[All]" allUniqueName="[LocalDateTable_6751b8f4-599e-441c-84de-b28316bd8278].[Año].[All]" dimensionUniqueName="[LocalDateTable_6751b8f4-599e-441c-84de-b28316bd8278]" displayFolder="" count="0" memberValueDatatype="20" unbalanced="0" hidden="1"/>
    <cacheHierarchy uniqueName="[LocalDateTable_6751b8f4-599e-441c-84de-b28316bd8278].[Date]" caption="Date" attribute="1" time="1" defaultMemberUniqueName="[LocalDateTable_6751b8f4-599e-441c-84de-b28316bd8278].[Date].[All]" allUniqueName="[LocalDateTable_6751b8f4-599e-441c-84de-b28316bd8278].[Date].[All]" dimensionUniqueName="[LocalDateTable_6751b8f4-599e-441c-84de-b28316bd8278]" displayFolder="" count="0" memberValueDatatype="7" unbalanced="0" hidden="1"/>
    <cacheHierarchy uniqueName="[LocalDateTable_6751b8f4-599e-441c-84de-b28316bd8278].[Día]" caption="Día" attribute="1" defaultMemberUniqueName="[LocalDateTable_6751b8f4-599e-441c-84de-b28316bd8278].[Día].[All]" allUniqueName="[LocalDateTable_6751b8f4-599e-441c-84de-b28316bd8278].[Día].[All]" dimensionUniqueName="[LocalDateTable_6751b8f4-599e-441c-84de-b28316bd8278]" displayFolder="" count="0" memberValueDatatype="20" unbalanced="0" hidden="1"/>
    <cacheHierarchy uniqueName="[LocalDateTable_6751b8f4-599e-441c-84de-b28316bd8278].[Jerarquía de fechas]" caption="Jerarquía de fechas" defaultMemberUniqueName="[LocalDateTable_6751b8f4-599e-441c-84de-b28316bd8278].[Jerarquía de fechas].[All]" allUniqueName="[LocalDateTable_6751b8f4-599e-441c-84de-b28316bd8278].[Jerarquía de fechas].[All]" dimensionUniqueName="[LocalDateTable_6751b8f4-599e-441c-84de-b28316bd8278]" displayFolder="" count="0" unbalanced="0" hidden="1"/>
    <cacheHierarchy uniqueName="[LocalDateTable_6751b8f4-599e-441c-84de-b28316bd8278].[Mes]" caption="Mes" attribute="1" defaultMemberUniqueName="[LocalDateTable_6751b8f4-599e-441c-84de-b28316bd8278].[Mes].[All]" allUniqueName="[LocalDateTable_6751b8f4-599e-441c-84de-b28316bd8278].[Mes].[All]" dimensionUniqueName="[LocalDateTable_6751b8f4-599e-441c-84de-b28316bd8278]" displayFolder="" count="0" memberValueDatatype="130" unbalanced="0" hidden="1"/>
    <cacheHierarchy uniqueName="[LocalDateTable_6751b8f4-599e-441c-84de-b28316bd8278].[NroMes]" caption="NroMes" attribute="1" defaultMemberUniqueName="[LocalDateTable_6751b8f4-599e-441c-84de-b28316bd8278].[NroMes].[All]" allUniqueName="[LocalDateTable_6751b8f4-599e-441c-84de-b28316bd8278].[NroMes].[All]" dimensionUniqueName="[LocalDateTable_6751b8f4-599e-441c-84de-b28316bd8278]" displayFolder="" count="0" memberValueDatatype="20" unbalanced="0" hidden="1"/>
    <cacheHierarchy uniqueName="[LocalDateTable_6751b8f4-599e-441c-84de-b28316bd8278].[NroTrimestre]" caption="NroTrimestre" attribute="1" defaultMemberUniqueName="[LocalDateTable_6751b8f4-599e-441c-84de-b28316bd8278].[NroTrimestre].[All]" allUniqueName="[LocalDateTable_6751b8f4-599e-441c-84de-b28316bd8278].[NroTrimestre].[All]" dimensionUniqueName="[LocalDateTable_6751b8f4-599e-441c-84de-b28316bd8278]" displayFolder="" count="0" memberValueDatatype="20" unbalanced="0" hidden="1"/>
    <cacheHierarchy uniqueName="[LocalDateTable_6751b8f4-599e-441c-84de-b28316bd8278].[Trimestre]" caption="Trimestre" attribute="1" defaultMemberUniqueName="[LocalDateTable_6751b8f4-599e-441c-84de-b28316bd8278].[Trimestre].[All]" allUniqueName="[LocalDateTable_6751b8f4-599e-441c-84de-b28316bd8278].[Trimestre].[All]" dimensionUniqueName="[LocalDateTable_6751b8f4-599e-441c-84de-b28316bd8278]" displayFolder="" count="0" memberValueDatatype="130" unbalanced="0" hidden="1"/>
    <cacheHierarchy uniqueName="[LocalDateTable_95fc77b1-0b61-482a-8be4-a0215fb0eb6b].[Año]" caption="Año" attribute="1" defaultMemberUniqueName="[LocalDateTable_95fc77b1-0b61-482a-8be4-a0215fb0eb6b].[Año].[All]" allUniqueName="[LocalDateTable_95fc77b1-0b61-482a-8be4-a0215fb0eb6b].[Año].[All]" dimensionUniqueName="[LocalDateTable_95fc77b1-0b61-482a-8be4-a0215fb0eb6b]" displayFolder="" count="0" memberValueDatatype="20" unbalanced="0" hidden="1"/>
    <cacheHierarchy uniqueName="[LocalDateTable_95fc77b1-0b61-482a-8be4-a0215fb0eb6b].[Date]" caption="Date" attribute="1" time="1" defaultMemberUniqueName="[LocalDateTable_95fc77b1-0b61-482a-8be4-a0215fb0eb6b].[Date].[All]" allUniqueName="[LocalDateTable_95fc77b1-0b61-482a-8be4-a0215fb0eb6b].[Date].[All]" dimensionUniqueName="[LocalDateTable_95fc77b1-0b61-482a-8be4-a0215fb0eb6b]" displayFolder="" count="0" memberValueDatatype="7" unbalanced="0" hidden="1"/>
    <cacheHierarchy uniqueName="[LocalDateTable_95fc77b1-0b61-482a-8be4-a0215fb0eb6b].[Día]" caption="Día" attribute="1" defaultMemberUniqueName="[LocalDateTable_95fc77b1-0b61-482a-8be4-a0215fb0eb6b].[Día].[All]" allUniqueName="[LocalDateTable_95fc77b1-0b61-482a-8be4-a0215fb0eb6b].[Día].[All]" dimensionUniqueName="[LocalDateTable_95fc77b1-0b61-482a-8be4-a0215fb0eb6b]" displayFolder="" count="0" memberValueDatatype="20" unbalanced="0" hidden="1"/>
    <cacheHierarchy uniqueName="[LocalDateTable_95fc77b1-0b61-482a-8be4-a0215fb0eb6b].[Jerarquía de fechas]" caption="Jerarquía de fechas" defaultMemberUniqueName="[LocalDateTable_95fc77b1-0b61-482a-8be4-a0215fb0eb6b].[Jerarquía de fechas].[All]" allUniqueName="[LocalDateTable_95fc77b1-0b61-482a-8be4-a0215fb0eb6b].[Jerarquía de fechas].[All]" dimensionUniqueName="[LocalDateTable_95fc77b1-0b61-482a-8be4-a0215fb0eb6b]" displayFolder="" count="0" unbalanced="0" hidden="1"/>
    <cacheHierarchy uniqueName="[LocalDateTable_95fc77b1-0b61-482a-8be4-a0215fb0eb6b].[Mes]" caption="Mes" attribute="1" defaultMemberUniqueName="[LocalDateTable_95fc77b1-0b61-482a-8be4-a0215fb0eb6b].[Mes].[All]" allUniqueName="[LocalDateTable_95fc77b1-0b61-482a-8be4-a0215fb0eb6b].[Mes].[All]" dimensionUniqueName="[LocalDateTable_95fc77b1-0b61-482a-8be4-a0215fb0eb6b]" displayFolder="" count="0" memberValueDatatype="130" unbalanced="0" hidden="1"/>
    <cacheHierarchy uniqueName="[LocalDateTable_95fc77b1-0b61-482a-8be4-a0215fb0eb6b].[NroMes]" caption="NroMes" attribute="1" defaultMemberUniqueName="[LocalDateTable_95fc77b1-0b61-482a-8be4-a0215fb0eb6b].[NroMes].[All]" allUniqueName="[LocalDateTable_95fc77b1-0b61-482a-8be4-a0215fb0eb6b].[NroMes].[All]" dimensionUniqueName="[LocalDateTable_95fc77b1-0b61-482a-8be4-a0215fb0eb6b]" displayFolder="" count="0" memberValueDatatype="20" unbalanced="0" hidden="1"/>
    <cacheHierarchy uniqueName="[LocalDateTable_95fc77b1-0b61-482a-8be4-a0215fb0eb6b].[NroTrimestre]" caption="NroTrimestre" attribute="1" defaultMemberUniqueName="[LocalDateTable_95fc77b1-0b61-482a-8be4-a0215fb0eb6b].[NroTrimestre].[All]" allUniqueName="[LocalDateTable_95fc77b1-0b61-482a-8be4-a0215fb0eb6b].[NroTrimestre].[All]" dimensionUniqueName="[LocalDateTable_95fc77b1-0b61-482a-8be4-a0215fb0eb6b]" displayFolder="" count="0" memberValueDatatype="20" unbalanced="0" hidden="1"/>
    <cacheHierarchy uniqueName="[LocalDateTable_95fc77b1-0b61-482a-8be4-a0215fb0eb6b].[Trimestre]" caption="Trimestre" attribute="1" defaultMemberUniqueName="[LocalDateTable_95fc77b1-0b61-482a-8be4-a0215fb0eb6b].[Trimestre].[All]" allUniqueName="[LocalDateTable_95fc77b1-0b61-482a-8be4-a0215fb0eb6b].[Trimestre].[All]" dimensionUniqueName="[LocalDateTable_95fc77b1-0b61-482a-8be4-a0215fb0eb6b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FECH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8">
    <dimension name="Anexar1" uniqueName="[Anexar1]" caption="Anexar1"/>
    <dimension name="Base" uniqueName="[Base]" caption="Base"/>
    <dimension name="Base_PJ_Inmobiliaria" uniqueName="[Base_PJ_Inmobiliaria]" caption="Base_PJ_Inmobiliaria"/>
    <dimension name="Base_PJ_Inmobiliaria_INOF" uniqueName="[Base_PJ_Inmobiliaria_INOF]" caption="Base_PJ_Inmobiliaria_INOF"/>
    <dimension name="Calendario" uniqueName="[Calendario]" caption="Calendario"/>
    <dimension name="Cuentas_INOF_Vehicular" uniqueName="[Cuentas_INOF_Vehicular]" caption="Cuentas_INOF_Vehicular"/>
    <dimension name="EGyP_Consolidado_INOF_GARANTIAS" uniqueName="[EGyP_Consolidado_INOF_GARANTIAS]" caption="EGyP_Consolidado_INOF_GARANTIAS"/>
    <dimension measure="1" name="Measures" uniqueName="[Measures]" caption="Measures"/>
  </dimensions>
  <measureGroups count="13">
    <measureGroup name="Anexar1" caption="Anexar1"/>
    <measureGroup name="Base" caption="Base"/>
    <measureGroup name="Base_PJ_Inmobiliaria" caption="Base_PJ_Inmobiliaria"/>
    <measureGroup name="Base_PJ_Inmobiliaria_INOF" caption="Base_PJ_Inmobiliaria_INOF"/>
    <measureGroup name="Calendario" caption="Calendario"/>
    <measureGroup name="Cuentas_INOF_Vehicular" caption="Cuentas_INOF_Vehicular"/>
    <measureGroup name="DateTableTemplate_72f0a05c-07b2-47d1-a3b4-b7bc7dd6241b" caption="DateTableTemplate_72f0a05c-07b2-47d1-a3b4-b7bc7dd6241b"/>
    <measureGroup name="EGyP_Consolidado_INOF_GARANTIAS" caption="EGyP_Consolidado_INOF_GARANTIAS"/>
    <measureGroup name="LocalDateTable_2a6e7bd2-0c34-420f-a738-8eda02a7b610" caption="LocalDateTable_2a6e7bd2-0c34-420f-a738-8eda02a7b610"/>
    <measureGroup name="LocalDateTable_43a050e6-86be-40f5-952e-e2ada6730267" caption="LocalDateTable_43a050e6-86be-40f5-952e-e2ada6730267"/>
    <measureGroup name="LocalDateTable_56b3bae5-31f9-4935-91ee-2be8289cdc9a" caption="LocalDateTable_56b3bae5-31f9-4935-91ee-2be8289cdc9a"/>
    <measureGroup name="LocalDateTable_6751b8f4-599e-441c-84de-b28316bd8278" caption="LocalDateTable_6751b8f4-599e-441c-84de-b28316bd8278"/>
    <measureGroup name="LocalDateTable_95fc77b1-0b61-482a-8be4-a0215fb0eb6b" caption="LocalDateTable_95fc77b1-0b61-482a-8be4-a0215fb0eb6b"/>
  </measureGroups>
  <maps count="9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5"/>
    <map measureGroup="7" dimension="5"/>
    <map measureGroup="7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govia Ureta, Gianpier Andre" refreshedDate="46245.708518981482" createdVersion="8" refreshedVersion="8" minRefreshableVersion="3" recordCount="0" supportSubquery="1" supportAdvancedDrill="1" xr:uid="{AEA94202-8723-47BF-975F-06939A281AC1}">
  <cacheSource type="external" connectionId="2"/>
  <cacheFields count="9">
    <cacheField name="[Base_PPE].[PRODUCTO].[PRODUCTO]" caption="PRODUCTO" numFmtId="0" hierarchy="26" level="1">
      <sharedItems containsSemiMixedTypes="0" containsString="0"/>
    </cacheField>
    <cacheField name="[Base_PPE].[Tipo_Valor].[Tipo_Valor]" caption="Tipo_Valor" numFmtId="0" hierarchy="31" level="1">
      <sharedItems containsSemiMixedTypes="0" containsString="0"/>
    </cacheField>
    <cacheField name="[Base_PPE].[Metrica].[Metrica]" caption="Metrica" numFmtId="0" hierarchy="24" level="1">
      <sharedItems count="10">
        <s v="[Base_PPE].[Metrica].&amp;[Extraordinarios]" c="Extraordinarios"/>
        <s v="[Base_PPE].[Metrica].&amp;[FTP]" c="FTP"/>
        <s v="[Base_PPE].[Metrica].&amp;[Gasto_Provision]" c="Gasto_Provision"/>
        <s v="[Base_PPE].[Metrica].&amp;[Gastos Operativos]" c="Gastos Operativos"/>
        <s v="[Base_PPE].[Metrica].&amp;[Ingreso_Financiero]" c="Ingreso_Financiero"/>
        <s v="[Base_PPE].[Metrica].&amp;[INOF]" c="INOF"/>
        <s v="[Base_PPE].[Metrica].&amp;[Recupero]" c="Recupero"/>
        <s v="[Base_PPE].[Metrica].&amp;[ROF]" c="ROF"/>
        <s v="[Base_PPE].[Metrica].&amp;[SALDO_FDP]" c="SALDO_FDP"/>
        <s v="[Base_PPE].[Metrica].&amp;[SALDO_PROM]" c="SALDO_PROM"/>
      </sharedItems>
    </cacheField>
    <cacheField name="[Base_PPE].[SITUACION].[SITUACION]" caption="SITUACION" numFmtId="0" hierarchy="28" level="1">
      <sharedItems count="20">
        <s v="[Base_PPE].[SITUACION].&amp;[Otros]" c="Otros"/>
        <s v="[Base_PPE].[SITUACION].&amp;[Refinanciado]" c="Refinanciado"/>
        <s v="[Base_PPE].[SITUACION].&amp;[Vencido y Judicial]" c="Vencido y Judicial"/>
        <s v="[Base_PPE].[SITUACION].&amp;[Vigente]" c="Vigente"/>
        <s v="[Base_PPE].[SITUACION].&amp;[Provisiones Cartera]" c="Provisiones Cartera"/>
        <s v="[Base_PPE].[SITUACION].&amp;[Gasto Canal]" c="Gasto Canal"/>
        <s v="[Base_PPE].[SITUACION].&amp;[Gasto Directo]" c="Gasto Directo"/>
        <s v="[Base_PPE].[SITUACION].&amp;[Gasto Indirecto]" c="Gasto Indirecto"/>
        <s v="[Base_PPE].[SITUACION].&amp;[Abogados Recuperaciones]" c="Abogados Recuperaciones"/>
        <s v="[Base_PPE].[SITUACION].&amp;[Comisión por envío EC]" c="Comisión por envío EC"/>
        <s v="[Base_PPE].[SITUACION].&amp;[Comisiones]" c="Comisiones"/>
        <s v="[Base_PPE].[SITUACION].&amp;[Comisiones - Varias]" c="Comisiones - Varias"/>
        <s v="[Base_PPE].[SITUACION].&amp;[Penalidad por Incumplimiento Pago]" c="Penalidad por Incumplimiento Pago"/>
        <s v="[Base_PPE].[SITUACION].&amp;[Penalidad por Incumplimiento Pago JCC]" c="Penalidad por Incumplimiento Pago JCC"/>
        <s v="[Base_PPE].[SITUACION].&amp;[Recuperaciones]" c="Recuperaciones"/>
        <s v="[Base_PPE].[SITUACION].&amp;[Seguro de Desgravamen]" c="Seguro de Desgravamen"/>
        <s v="[Base_PPE].[SITUACION].&amp;[Varios]" c="Varios"/>
        <s v="[Base_PPE].[SITUACION].&amp;[Recupero de Castigos]" c="Recupero de Castigos"/>
        <s v="[Base_PPE].[SITUACION].&amp;[Inversiones]" c="Inversiones"/>
        <s v="[Base_PPE].[SITUACION].&amp;[Venta de Cartera]" c="Venta de Cartera"/>
      </sharedItems>
    </cacheField>
    <cacheField name="[Base_PPE].[SEGMENTO_DESCRIP].[SEGMENTO_DESCRIP]" caption="SEGMENTO_DESCRIP" numFmtId="0" hierarchy="27" level="1">
      <sharedItems count="3">
        <s v="[Base_PPE].[SEGMENTO_DESCRIP].&amp;[Consumo Inicial]" c="Consumo Inicial"/>
        <s v="[Base_PPE].[SEGMENTO_DESCRIP].&amp;[Masivo]" c="Masivo"/>
        <s v="[Base_PPE].[SEGMENTO_DESCRIP].&amp;[Renta Alta]" c="Renta Alta"/>
      </sharedItems>
    </cacheField>
    <cacheField name="[Base_PPE].[Periodo].[Periodo]" caption="Periodo" numFmtId="0" hierarchy="25" level="1">
      <sharedItems count="12">
        <s v="[Base_PPE].[Periodo].&amp;[202601]" c="202601"/>
        <s v="[Base_PPE].[Periodo].&amp;[202602]" c="202602"/>
        <s v="[Base_PPE].[Periodo].&amp;[202603]" c="202603"/>
        <s v="[Base_PPE].[Periodo].&amp;[202604]" c="202604"/>
        <s v="[Base_PPE].[Periodo].&amp;[202605]" c="202605"/>
        <s v="[Base_PPE].[Periodo].&amp;[202606]" c="202606"/>
        <s v="[Base_PPE].[Periodo].&amp;[202607]" c="202607"/>
        <s v="[Base_PPE].[Periodo].&amp;[202608]" c="202608"/>
        <s v="[Base_PPE].[Periodo].&amp;[202609]" c="202609"/>
        <s v="[Base_PPE].[Periodo].&amp;[202610]" c="202610"/>
        <s v="[Base_PPE].[Periodo].&amp;[202611]" c="202611"/>
        <s v="[Base_PPE].[Periodo].&amp;[202612]" c="202612"/>
      </sharedItems>
    </cacheField>
    <cacheField name="[Base_PPE].[Importe].[Importe]" caption="Importe" numFmtId="0" hierarchy="23" level="1">
      <sharedItems containsSemiMixedTypes="0" containsString="0"/>
    </cacheField>
    <cacheField name="[Base_PPE].[Tipo].[Tipo]" caption="Tipo" numFmtId="0" hierarchy="30" level="1">
      <sharedItems containsSemiMixedTypes="0" containsString="0"/>
    </cacheField>
    <cacheField name="Unsupported0" numFmtId="0" hierarchy="102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103">
    <cacheHierarchy uniqueName="[BASE_CONVE_PPTO].[FECHA]" caption="FECHA" attribute="1" time="1" defaultMemberUniqueName="[BASE_CONVE_PPTO].[FECHA].[All]" allUniqueName="[BASE_CONVE_PPTO].[FECHA].[All]" dimensionUniqueName="[BASE_CONVE_PPTO]" displayFolder="" count="0" memberValueDatatype="7" unbalanced="0"/>
    <cacheHierarchy uniqueName="[BASE_CONVE_PPTO].[Importe]" caption="Importe" attribute="1" defaultMemberUniqueName="[BASE_CONVE_PPTO].[Importe].[All]" allUniqueName="[BASE_CONVE_PPTO].[Importe].[All]" dimensionUniqueName="[BASE_CONVE_PPTO]" displayFolder="" count="0" memberValueDatatype="5" unbalanced="0"/>
    <cacheHierarchy uniqueName="[BASE_CONVE_PPTO].[Metrica]" caption="Metrica" attribute="1" defaultMemberUniqueName="[BASE_CONVE_PPTO].[Metrica].[All]" allUniqueName="[BASE_CONVE_PPTO].[Metrica].[All]" dimensionUniqueName="[BASE_CONVE_PPTO]" displayFolder="" count="0" memberValueDatatype="130" unbalanced="0"/>
    <cacheHierarchy uniqueName="[BASE_CONVE_PPTO].[Periodo]" caption="Periodo" attribute="1" defaultMemberUniqueName="[BASE_CONVE_PPTO].[Periodo].[All]" allUniqueName="[BASE_CONVE_PPTO].[Periodo].[All]" dimensionUniqueName="[BASE_CONVE_PPTO]" displayFolder="" count="0" memberValueDatatype="130" unbalanced="0"/>
    <cacheHierarchy uniqueName="[BASE_CONVE_PPTO].[PRODUCTO]" caption="PRODUCTO" attribute="1" defaultMemberUniqueName="[BASE_CONVE_PPTO].[PRODUCTO].[All]" allUniqueName="[BASE_CONVE_PPTO].[PRODUCTO].[All]" dimensionUniqueName="[BASE_CONVE_PPTO]" displayFolder="" count="0" memberValueDatatype="130" unbalanced="0"/>
    <cacheHierarchy uniqueName="[BASE_CONVE_PPTO].[SEGMENTO_DESCRIP]" caption="SEGMENTO_DESCRIP" attribute="1" defaultMemberUniqueName="[BASE_CONVE_PPTO].[SEGMENTO_DESCRIP].[All]" allUniqueName="[BASE_CONVE_PPTO].[SEGMENTO_DESCRIP].[All]" dimensionUniqueName="[BASE_CONVE_PPTO]" displayFolder="" count="0" memberValueDatatype="130" unbalanced="0"/>
    <cacheHierarchy uniqueName="[BASE_CONVE_PPTO].[SITUACION]" caption="SITUACION" attribute="1" defaultMemberUniqueName="[BASE_CONVE_PPTO].[SITUACION].[All]" allUniqueName="[BASE_CONVE_PPTO].[SITUACION].[All]" dimensionUniqueName="[BASE_CONVE_PPTO]" displayFolder="" count="0" memberValueDatatype="130" unbalanced="0"/>
    <cacheHierarchy uniqueName="[BASE_CONVE_PPTO].[Sub_Producto]" caption="Sub_Producto" attribute="1" defaultMemberUniqueName="[BASE_CONVE_PPTO].[Sub_Producto].[All]" allUniqueName="[BASE_CONVE_PPTO].[Sub_Producto].[All]" dimensionUniqueName="[BASE_CONVE_PPTO]" displayFolder="" count="0" memberValueDatatype="130" unbalanced="0"/>
    <cacheHierarchy uniqueName="[BASE_CONVE_PPTO].[Tipo]" caption="Tipo" attribute="1" defaultMemberUniqueName="[BASE_CONVE_PPTO].[Tipo].[All]" allUniqueName="[BASE_CONVE_PPTO].[Tipo].[All]" dimensionUniqueName="[BASE_CONVE_PPTO]" displayFolder="" count="0" memberValueDatatype="130" unbalanced="0"/>
    <cacheHierarchy uniqueName="[BASE_CONVE_PPTO].[Tipo_Valor]" caption="Tipo_Valor" attribute="1" defaultMemberUniqueName="[BASE_CONVE_PPTO].[Tipo_Valor].[All]" allUniqueName="[BASE_CONVE_PPTO].[Tipo_Valor].[All]" dimensionUniqueName="[BASE_CONVE_PPTO]" displayFolder="" count="0" memberValueDatatype="130" unbalanced="0"/>
    <cacheHierarchy uniqueName="[BASE_HIPO_PPTO].[Año]" caption="Año" attribute="1" defaultMemberUniqueName="[BASE_HIPO_PPTO].[Año].[All]" allUniqueName="[BASE_HIPO_PPTO].[Año].[All]" dimensionUniqueName="[BASE_HIPO_PPTO]" displayFolder="" count="0" memberValueDatatype="130" unbalanced="0"/>
    <cacheHierarchy uniqueName="[BASE_HIPO_PPTO].[FECHA]" caption="FECHA" attribute="1" time="1" defaultMemberUniqueName="[BASE_HIPO_PPTO].[FECHA].[All]" allUniqueName="[BASE_HIPO_PPTO].[FECHA].[All]" dimensionUniqueName="[BASE_HIPO_PPTO]" displayFolder="" count="0" memberValueDatatype="7" unbalanced="0"/>
    <cacheHierarchy uniqueName="[BASE_HIPO_PPTO].[Importe]" caption="Importe" attribute="1" defaultMemberUniqueName="[BASE_HIPO_PPTO].[Importe].[All]" allUniqueName="[BASE_HIPO_PPTO].[Importe].[All]" dimensionUniqueName="[BASE_HIPO_PPTO]" displayFolder="" count="0" memberValueDatatype="5" unbalanced="0"/>
    <cacheHierarchy uniqueName="[BASE_HIPO_PPTO].[Metrica]" caption="Metrica" attribute="1" defaultMemberUniqueName="[BASE_HIPO_PPTO].[Metrica].[All]" allUniqueName="[BASE_HIPO_PPTO].[Metrica].[All]" dimensionUniqueName="[BASE_HIPO_PPTO]" displayFolder="" count="0" memberValueDatatype="130" unbalanced="0"/>
    <cacheHierarchy uniqueName="[BASE_HIPO_PPTO].[Periodo]" caption="Periodo" attribute="1" defaultMemberUniqueName="[BASE_HIPO_PPTO].[Periodo].[All]" allUniqueName="[BASE_HIPO_PPTO].[Periodo].[All]" dimensionUniqueName="[BASE_HIPO_PPTO]" displayFolder="" count="0" memberValueDatatype="130" unbalanced="0"/>
    <cacheHierarchy uniqueName="[BASE_HIPO_PPTO].[PRODUCTO]" caption="PRODUCTO" attribute="1" defaultMemberUniqueName="[BASE_HIPO_PPTO].[PRODUCTO].[All]" allUniqueName="[BASE_HIPO_PPTO].[PRODUCTO].[All]" dimensionUniqueName="[BASE_HIPO_PPTO]" displayFolder="" count="0" memberValueDatatype="130" unbalanced="0"/>
    <cacheHierarchy uniqueName="[BASE_HIPO_PPTO].[SEGMENTO_DESCRIP]" caption="SEGMENTO_DESCRIP" attribute="1" defaultMemberUniqueName="[BASE_HIPO_PPTO].[SEGMENTO_DESCRIP].[All]" allUniqueName="[BASE_HIPO_PPTO].[SEGMENTO_DESCRIP].[All]" dimensionUniqueName="[BASE_HIPO_PPTO]" displayFolder="" count="0" memberValueDatatype="130" unbalanced="0"/>
    <cacheHierarchy uniqueName="[BASE_HIPO_PPTO].[SITUACION]" caption="SITUACION" attribute="1" defaultMemberUniqueName="[BASE_HIPO_PPTO].[SITUACION].[All]" allUniqueName="[BASE_HIPO_PPTO].[SITUACION].[All]" dimensionUniqueName="[BASE_HIPO_PPTO]" displayFolder="" count="0" memberValueDatatype="130" unbalanced="0"/>
    <cacheHierarchy uniqueName="[BASE_HIPO_PPTO].[Sub Producto]" caption="Sub Producto" attribute="1" defaultMemberUniqueName="[BASE_HIPO_PPTO].[Sub Producto].[All]" allUniqueName="[BASE_HIPO_PPTO].[Sub Producto].[All]" dimensionUniqueName="[BASE_HIPO_PPTO]" displayFolder="" count="0" memberValueDatatype="130" unbalanced="0"/>
    <cacheHierarchy uniqueName="[BASE_HIPO_PPTO].[Tipo]" caption="Tipo" attribute="1" defaultMemberUniqueName="[BASE_HIPO_PPTO].[Tipo].[All]" allUniqueName="[BASE_HIPO_PPTO].[Tipo].[All]" dimensionUniqueName="[BASE_HIPO_PPTO]" displayFolder="" count="0" memberValueDatatype="130" unbalanced="0"/>
    <cacheHierarchy uniqueName="[BASE_HIPO_PPTO].[Tipo_Valor]" caption="Tipo_Valor" attribute="1" defaultMemberUniqueName="[BASE_HIPO_PPTO].[Tipo_Valor].[All]" allUniqueName="[BASE_HIPO_PPTO].[Tipo_Valor].[All]" dimensionUniqueName="[BASE_HIPO_PPTO]" displayFolder="" count="0" memberValueDatatype="130" unbalanced="0"/>
    <cacheHierarchy uniqueName="[Base_PPE].[Año]" caption="Año" attribute="1" defaultMemberUniqueName="[Base_PPE].[Año].[All]" allUniqueName="[Base_PPE].[Año].[All]" dimensionUniqueName="[Base_PPE]" displayFolder="" count="0" memberValueDatatype="20" unbalanced="0"/>
    <cacheHierarchy uniqueName="[Base_PPE].[FECHA]" caption="FECHA" attribute="1" time="1" defaultMemberUniqueName="[Base_PPE].[FECHA].[All]" allUniqueName="[Base_PPE].[FECHA].[All]" dimensionUniqueName="[Base_PPE]" displayFolder="" count="0" memberValueDatatype="7" unbalanced="0"/>
    <cacheHierarchy uniqueName="[Base_PPE].[Importe]" caption="Importe" attribute="1" defaultMemberUniqueName="[Base_PPE].[Importe].[All]" allUniqueName="[Base_PPE].[Importe].[All]" dimensionUniqueName="[Base_PPE]" displayFolder="" count="2" memberValueDatatype="5" unbalanced="0">
      <fieldsUsage count="2">
        <fieldUsage x="-1"/>
        <fieldUsage x="6"/>
      </fieldsUsage>
    </cacheHierarchy>
    <cacheHierarchy uniqueName="[Base_PPE].[Metrica]" caption="Metrica" attribute="1" defaultMemberUniqueName="[Base_PPE].[Metrica].[All]" allUniqueName="[Base_PPE].[Metrica].[All]" dimensionUniqueName="[Base_PPE]" displayFolder="" count="2" memberValueDatatype="130" unbalanced="0">
      <fieldsUsage count="2">
        <fieldUsage x="-1"/>
        <fieldUsage x="2"/>
      </fieldsUsage>
    </cacheHierarchy>
    <cacheHierarchy uniqueName="[Base_PPE].[Periodo]" caption="Periodo" attribute="1" defaultMemberUniqueName="[Base_PPE].[Periodo].[All]" allUniqueName="[Base_PPE].[Periodo].[All]" dimensionUniqueName="[Base_PPE]" displayFolder="" count="2" memberValueDatatype="130" unbalanced="0">
      <fieldsUsage count="2">
        <fieldUsage x="-1"/>
        <fieldUsage x="5"/>
      </fieldsUsage>
    </cacheHierarchy>
    <cacheHierarchy uniqueName="[Base_PPE].[PRODUCTO]" caption="PRODUCTO" attribute="1" defaultMemberUniqueName="[Base_PPE].[PRODUCTO].[All]" allUniqueName="[Base_PPE].[PRODUCTO].[All]" dimensionUniqueName="[Base_PPE]" displayFolder="" count="2" memberValueDatatype="130" unbalanced="0">
      <fieldsUsage count="2">
        <fieldUsage x="-1"/>
        <fieldUsage x="0"/>
      </fieldsUsage>
    </cacheHierarchy>
    <cacheHierarchy uniqueName="[Base_PPE].[SEGMENTO_DESCRIP]" caption="SEGMENTO_DESCRIP" attribute="1" defaultMemberUniqueName="[Base_PPE].[SEGMENTO_DESCRIP].[All]" allUniqueName="[Base_PPE].[SEGMENTO_DESCRIP].[All]" dimensionUniqueName="[Base_PPE]" displayFolder="" count="2" memberValueDatatype="130" unbalanced="0">
      <fieldsUsage count="2">
        <fieldUsage x="-1"/>
        <fieldUsage x="4"/>
      </fieldsUsage>
    </cacheHierarchy>
    <cacheHierarchy uniqueName="[Base_PPE].[SITUACION]" caption="SITUACION" attribute="1" defaultMemberUniqueName="[Base_PPE].[SITUACION].[All]" allUniqueName="[Base_PPE].[SITUACION].[All]" dimensionUniqueName="[Base_PPE]" displayFolder="" count="2" memberValueDatatype="130" unbalanced="0">
      <fieldsUsage count="2">
        <fieldUsage x="-1"/>
        <fieldUsage x="3"/>
      </fieldsUsage>
    </cacheHierarchy>
    <cacheHierarchy uniqueName="[Base_PPE].[Sub Producto]" caption="Sub Producto" attribute="1" defaultMemberUniqueName="[Base_PPE].[Sub Producto].[All]" allUniqueName="[Base_PPE].[Sub Producto].[All]" dimensionUniqueName="[Base_PPE]" displayFolder="" count="0" memberValueDatatype="130" unbalanced="0"/>
    <cacheHierarchy uniqueName="[Base_PPE].[Tipo]" caption="Tipo" attribute="1" defaultMemberUniqueName="[Base_PPE].[Tipo].[All]" allUniqueName="[Base_PPE].[Tipo].[All]" dimensionUniqueName="[Base_PPE]" displayFolder="" count="2" memberValueDatatype="130" unbalanced="0">
      <fieldsUsage count="2">
        <fieldUsage x="-1"/>
        <fieldUsage x="7"/>
      </fieldsUsage>
    </cacheHierarchy>
    <cacheHierarchy uniqueName="[Base_PPE].[Tipo_Valor]" caption="Tipo_Valor" attribute="1" defaultMemberUniqueName="[Base_PPE].[Tipo_Valor].[All]" allUniqueName="[Base_PPE].[Tipo_Valor].[All]" dimensionUniqueName="[Base_PPE]" displayFolder="" count="2" memberValueDatatype="130" unbalanced="0">
      <fieldsUsage count="2">
        <fieldUsage x="-1"/>
        <fieldUsage x="1"/>
      </fieldsUsage>
    </cacheHierarchy>
    <cacheHierarchy uniqueName="[Base_TC_PPTO].[Año]" caption="Año" attribute="1" defaultMemberUniqueName="[Base_TC_PPTO].[Año].[All]" allUniqueName="[Base_TC_PPTO].[Año].[All]" dimensionUniqueName="[Base_TC_PPTO]" displayFolder="" count="0" memberValueDatatype="20" unbalanced="0"/>
    <cacheHierarchy uniqueName="[Base_TC_PPTO].[FECHA]" caption="FECHA" attribute="1" time="1" defaultMemberUniqueName="[Base_TC_PPTO].[FECHA].[All]" allUniqueName="[Base_TC_PPTO].[FECHA].[All]" dimensionUniqueName="[Base_TC_PPTO]" displayFolder="" count="0" memberValueDatatype="7" unbalanced="0"/>
    <cacheHierarchy uniqueName="[Base_TC_PPTO].[Importe]" caption="Importe" attribute="1" defaultMemberUniqueName="[Base_TC_PPTO].[Importe].[All]" allUniqueName="[Base_TC_PPTO].[Importe].[All]" dimensionUniqueName="[Base_TC_PPTO]" displayFolder="" count="0" memberValueDatatype="5" unbalanced="0"/>
    <cacheHierarchy uniqueName="[Base_TC_PPTO].[Metrica]" caption="Metrica" attribute="1" defaultMemberUniqueName="[Base_TC_PPTO].[Metrica].[All]" allUniqueName="[Base_TC_PPTO].[Metrica].[All]" dimensionUniqueName="[Base_TC_PPTO]" displayFolder="" count="0" memberValueDatatype="130" unbalanced="0"/>
    <cacheHierarchy uniqueName="[Base_TC_PPTO].[Periodo]" caption="Periodo" attribute="1" defaultMemberUniqueName="[Base_TC_PPTO].[Periodo].[All]" allUniqueName="[Base_TC_PPTO].[Periodo].[All]" dimensionUniqueName="[Base_TC_PPTO]" displayFolder="" count="0" memberValueDatatype="130" unbalanced="0"/>
    <cacheHierarchy uniqueName="[Base_TC_PPTO].[PRODUCTO]" caption="PRODUCTO" attribute="1" defaultMemberUniqueName="[Base_TC_PPTO].[PRODUCTO].[All]" allUniqueName="[Base_TC_PPTO].[PRODUCTO].[All]" dimensionUniqueName="[Base_TC_PPTO]" displayFolder="" count="0" memberValueDatatype="130" unbalanced="0"/>
    <cacheHierarchy uniqueName="[Base_TC_PPTO].[SEGMENTO_DESCRIP]" caption="SEGMENTO_DESCRIP" attribute="1" defaultMemberUniqueName="[Base_TC_PPTO].[SEGMENTO_DESCRIP].[All]" allUniqueName="[Base_TC_PPTO].[SEGMENTO_DESCRIP].[All]" dimensionUniqueName="[Base_TC_PPTO]" displayFolder="" count="0" memberValueDatatype="130" unbalanced="0"/>
    <cacheHierarchy uniqueName="[Base_TC_PPTO].[Situacion]" caption="Situacion" attribute="1" defaultMemberUniqueName="[Base_TC_PPTO].[Situacion].[All]" allUniqueName="[Base_TC_PPTO].[Situacion].[All]" dimensionUniqueName="[Base_TC_PPTO]" displayFolder="" count="0" memberValueDatatype="130" unbalanced="0"/>
    <cacheHierarchy uniqueName="[Base_TC_PPTO].[Sub Producto]" caption="Sub Producto" attribute="1" defaultMemberUniqueName="[Base_TC_PPTO].[Sub Producto].[All]" allUniqueName="[Base_TC_PPTO].[Sub Producto].[All]" dimensionUniqueName="[Base_TC_PPTO]" displayFolder="" count="0" memberValueDatatype="130" unbalanced="0"/>
    <cacheHierarchy uniqueName="[Base_TC_PPTO].[Tipo]" caption="Tipo" attribute="1" defaultMemberUniqueName="[Base_TC_PPTO].[Tipo].[All]" allUniqueName="[Base_TC_PPTO].[Tipo].[All]" dimensionUniqueName="[Base_TC_PPTO]" displayFolder="" count="0" memberValueDatatype="130" unbalanced="0"/>
    <cacheHierarchy uniqueName="[Base_TC_PPTO].[Tipo_Valor]" caption="Tipo_Valor" attribute="1" defaultMemberUniqueName="[Base_TC_PPTO].[Tipo_Valor].[All]" allUniqueName="[Base_TC_PPTO].[Tipo_Valor].[All]" dimensionUniqueName="[Base_TC_PPTO]" displayFolder="" count="0" memberValueDatatype="130" unbalanced="0"/>
    <cacheHierarchy uniqueName="[BASE_VEH_PPTO].[FECHA]" caption="FECHA" attribute="1" time="1" defaultMemberUniqueName="[BASE_VEH_PPTO].[FECHA].[All]" allUniqueName="[BASE_VEH_PPTO].[FECHA].[All]" dimensionUniqueName="[BASE_VEH_PPTO]" displayFolder="" count="0" memberValueDatatype="7" unbalanced="0"/>
    <cacheHierarchy uniqueName="[BASE_VEH_PPTO].[Importe]" caption="Importe" attribute="1" defaultMemberUniqueName="[BASE_VEH_PPTO].[Importe].[All]" allUniqueName="[BASE_VEH_PPTO].[Importe].[All]" dimensionUniqueName="[BASE_VEH_PPTO]" displayFolder="" count="0" memberValueDatatype="5" unbalanced="0"/>
    <cacheHierarchy uniqueName="[BASE_VEH_PPTO].[Metrica]" caption="Metrica" attribute="1" defaultMemberUniqueName="[BASE_VEH_PPTO].[Metrica].[All]" allUniqueName="[BASE_VEH_PPTO].[Metrica].[All]" dimensionUniqueName="[BASE_VEH_PPTO]" displayFolder="" count="0" memberValueDatatype="130" unbalanced="0"/>
    <cacheHierarchy uniqueName="[BASE_VEH_PPTO].[Periodo]" caption="Periodo" attribute="1" defaultMemberUniqueName="[BASE_VEH_PPTO].[Periodo].[All]" allUniqueName="[BASE_VEH_PPTO].[Periodo].[All]" dimensionUniqueName="[BASE_VEH_PPTO]" displayFolder="" count="0" memberValueDatatype="130" unbalanced="0"/>
    <cacheHierarchy uniqueName="[BASE_VEH_PPTO].[PRODUCTO]" caption="PRODUCTO" attribute="1" defaultMemberUniqueName="[BASE_VEH_PPTO].[PRODUCTO].[All]" allUniqueName="[BASE_VEH_PPTO].[PRODUCTO].[All]" dimensionUniqueName="[BASE_VEH_PPTO]" displayFolder="" count="0" memberValueDatatype="130" unbalanced="0"/>
    <cacheHierarchy uniqueName="[BASE_VEH_PPTO].[SEGMENTO_DESCRIP]" caption="SEGMENTO_DESCRIP" attribute="1" defaultMemberUniqueName="[BASE_VEH_PPTO].[SEGMENTO_DESCRIP].[All]" allUniqueName="[BASE_VEH_PPTO].[SEGMENTO_DESCRIP].[All]" dimensionUniqueName="[BASE_VEH_PPTO]" displayFolder="" count="0" memberValueDatatype="130" unbalanced="0"/>
    <cacheHierarchy uniqueName="[BASE_VEH_PPTO].[SITUACION]" caption="SITUACION" attribute="1" defaultMemberUniqueName="[BASE_VEH_PPTO].[SITUACION].[All]" allUniqueName="[BASE_VEH_PPTO].[SITUACION].[All]" dimensionUniqueName="[BASE_VEH_PPTO]" displayFolder="" count="0" memberValueDatatype="130" unbalanced="0"/>
    <cacheHierarchy uniqueName="[BASE_VEH_PPTO].[Sub_Producto]" caption="Sub_Producto" attribute="1" defaultMemberUniqueName="[BASE_VEH_PPTO].[Sub_Producto].[All]" allUniqueName="[BASE_VEH_PPTO].[Sub_Producto].[All]" dimensionUniqueName="[BASE_VEH_PPTO]" displayFolder="" count="0" memberValueDatatype="130" unbalanced="0"/>
    <cacheHierarchy uniqueName="[BASE_VEH_PPTO].[Tipo]" caption="Tipo" attribute="1" defaultMemberUniqueName="[BASE_VEH_PPTO].[Tipo].[All]" allUniqueName="[BASE_VEH_PPTO].[Tipo].[All]" dimensionUniqueName="[BASE_VEH_PPTO]" displayFolder="" count="0" memberValueDatatype="130" unbalanced="0"/>
    <cacheHierarchy uniqueName="[BASE_VEH_PPTO].[Tipo_Valor]" caption="Tipo_Valor" attribute="1" defaultMemberUniqueName="[BASE_VEH_PPTO].[Tipo_Valor].[All]" allUniqueName="[BASE_VEH_PPTO].[Tipo_Valor].[All]" dimensionUniqueName="[BASE_VEH_PPTO]" displayFolder="" count="0" memberValueDatatype="130" unbalanced="0"/>
    <cacheHierarchy uniqueName="[DateTableTemplate_7a49a5e4-a98b-44e8-97e3-e7368ff3c7e3].[Año]" caption="Año" attribute="1" defaultMemberUniqueName="[DateTableTemplate_7a49a5e4-a98b-44e8-97e3-e7368ff3c7e3].[Año].[All]" allUniqueName="[DateTableTemplate_7a49a5e4-a98b-44e8-97e3-e7368ff3c7e3].[Año].[All]" dimensionUniqueName="[DateTableTemplate_7a49a5e4-a98b-44e8-97e3-e7368ff3c7e3]" displayFolder="" count="0" memberValueDatatype="20" unbalanced="0" hidden="1"/>
    <cacheHierarchy uniqueName="[DateTableTemplate_7a49a5e4-a98b-44e8-97e3-e7368ff3c7e3].[Date]" caption="Date" attribute="1" time="1" defaultMemberUniqueName="[DateTableTemplate_7a49a5e4-a98b-44e8-97e3-e7368ff3c7e3].[Date].[All]" allUniqueName="[DateTableTemplate_7a49a5e4-a98b-44e8-97e3-e7368ff3c7e3].[Date].[All]" dimensionUniqueName="[DateTableTemplate_7a49a5e4-a98b-44e8-97e3-e7368ff3c7e3]" displayFolder="" count="0" memberValueDatatype="7" unbalanced="0" hidden="1"/>
    <cacheHierarchy uniqueName="[DateTableTemplate_7a49a5e4-a98b-44e8-97e3-e7368ff3c7e3].[Día]" caption="Día" attribute="1" defaultMemberUniqueName="[DateTableTemplate_7a49a5e4-a98b-44e8-97e3-e7368ff3c7e3].[Día].[All]" allUniqueName="[DateTableTemplate_7a49a5e4-a98b-44e8-97e3-e7368ff3c7e3].[Día].[All]" dimensionUniqueName="[DateTableTemplate_7a49a5e4-a98b-44e8-97e3-e7368ff3c7e3]" displayFolder="" count="0" memberValueDatatype="20" unbalanced="0" hidden="1"/>
    <cacheHierarchy uniqueName="[DateTableTemplate_7a49a5e4-a98b-44e8-97e3-e7368ff3c7e3].[Jerarquía de fechas]" caption="Jerarquía de fechas" defaultMemberUniqueName="[DateTableTemplate_7a49a5e4-a98b-44e8-97e3-e7368ff3c7e3].[Jerarquía de fechas].[All]" allUniqueName="[DateTableTemplate_7a49a5e4-a98b-44e8-97e3-e7368ff3c7e3].[Jerarquía de fechas].[All]" dimensionUniqueName="[DateTableTemplate_7a49a5e4-a98b-44e8-97e3-e7368ff3c7e3]" displayFolder="" count="0" unbalanced="0" hidden="1"/>
    <cacheHierarchy uniqueName="[DateTableTemplate_7a49a5e4-a98b-44e8-97e3-e7368ff3c7e3].[Mes]" caption="Mes" attribute="1" defaultMemberUniqueName="[DateTableTemplate_7a49a5e4-a98b-44e8-97e3-e7368ff3c7e3].[Mes].[All]" allUniqueName="[DateTableTemplate_7a49a5e4-a98b-44e8-97e3-e7368ff3c7e3].[Mes].[All]" dimensionUniqueName="[DateTableTemplate_7a49a5e4-a98b-44e8-97e3-e7368ff3c7e3]" displayFolder="" count="0" memberValueDatatype="130" unbalanced="0" hidden="1"/>
    <cacheHierarchy uniqueName="[DateTableTemplate_7a49a5e4-a98b-44e8-97e3-e7368ff3c7e3].[NroMes]" caption="NroMes" attribute="1" defaultMemberUniqueName="[DateTableTemplate_7a49a5e4-a98b-44e8-97e3-e7368ff3c7e3].[NroMes].[All]" allUniqueName="[DateTableTemplate_7a49a5e4-a98b-44e8-97e3-e7368ff3c7e3].[NroMes].[All]" dimensionUniqueName="[DateTableTemplate_7a49a5e4-a98b-44e8-97e3-e7368ff3c7e3]" displayFolder="" count="0" memberValueDatatype="20" unbalanced="0" hidden="1"/>
    <cacheHierarchy uniqueName="[DateTableTemplate_7a49a5e4-a98b-44e8-97e3-e7368ff3c7e3].[NroTrimestre]" caption="NroTrimestre" attribute="1" defaultMemberUniqueName="[DateTableTemplate_7a49a5e4-a98b-44e8-97e3-e7368ff3c7e3].[NroTrimestre].[All]" allUniqueName="[DateTableTemplate_7a49a5e4-a98b-44e8-97e3-e7368ff3c7e3].[NroTrimestre].[All]" dimensionUniqueName="[DateTableTemplate_7a49a5e4-a98b-44e8-97e3-e7368ff3c7e3]" displayFolder="" count="0" memberValueDatatype="20" unbalanced="0" hidden="1"/>
    <cacheHierarchy uniqueName="[DateTableTemplate_7a49a5e4-a98b-44e8-97e3-e7368ff3c7e3].[Trimestre]" caption="Trimestre" attribute="1" defaultMemberUniqueName="[DateTableTemplate_7a49a5e4-a98b-44e8-97e3-e7368ff3c7e3].[Trimestre].[All]" allUniqueName="[DateTableTemplate_7a49a5e4-a98b-44e8-97e3-e7368ff3c7e3].[Trimestre].[All]" dimensionUniqueName="[DateTableTemplate_7a49a5e4-a98b-44e8-97e3-e7368ff3c7e3]" displayFolder="" count="0" memberValueDatatype="130" unbalanced="0" hidden="1"/>
    <cacheHierarchy uniqueName="[LocalDateTable_4d3d2595-d713-4fa0-af74-994f2248f3a7].[Año]" caption="Año" attribute="1" defaultMemberUniqueName="[LocalDateTable_4d3d2595-d713-4fa0-af74-994f2248f3a7].[Año].[All]" allUniqueName="[LocalDateTable_4d3d2595-d713-4fa0-af74-994f2248f3a7].[Año].[All]" dimensionUniqueName="[LocalDateTable_4d3d2595-d713-4fa0-af74-994f2248f3a7]" displayFolder="" count="0" memberValueDatatype="20" unbalanced="0" hidden="1"/>
    <cacheHierarchy uniqueName="[LocalDateTable_4d3d2595-d713-4fa0-af74-994f2248f3a7].[Date]" caption="Date" attribute="1" time="1" defaultMemberUniqueName="[LocalDateTable_4d3d2595-d713-4fa0-af74-994f2248f3a7].[Date].[All]" allUniqueName="[LocalDateTable_4d3d2595-d713-4fa0-af74-994f2248f3a7].[Date].[All]" dimensionUniqueName="[LocalDateTable_4d3d2595-d713-4fa0-af74-994f2248f3a7]" displayFolder="" count="0" memberValueDatatype="7" unbalanced="0" hidden="1"/>
    <cacheHierarchy uniqueName="[LocalDateTable_4d3d2595-d713-4fa0-af74-994f2248f3a7].[Día]" caption="Día" attribute="1" defaultMemberUniqueName="[LocalDateTable_4d3d2595-d713-4fa0-af74-994f2248f3a7].[Día].[All]" allUniqueName="[LocalDateTable_4d3d2595-d713-4fa0-af74-994f2248f3a7].[Día].[All]" dimensionUniqueName="[LocalDateTable_4d3d2595-d713-4fa0-af74-994f2248f3a7]" displayFolder="" count="0" memberValueDatatype="20" unbalanced="0" hidden="1"/>
    <cacheHierarchy uniqueName="[LocalDateTable_4d3d2595-d713-4fa0-af74-994f2248f3a7].[Jerarquía de fechas]" caption="Jerarquía de fechas" defaultMemberUniqueName="[LocalDateTable_4d3d2595-d713-4fa0-af74-994f2248f3a7].[Jerarquía de fechas].[All]" allUniqueName="[LocalDateTable_4d3d2595-d713-4fa0-af74-994f2248f3a7].[Jerarquía de fechas].[All]" dimensionUniqueName="[LocalDateTable_4d3d2595-d713-4fa0-af74-994f2248f3a7]" displayFolder="" count="0" unbalanced="0" hidden="1"/>
    <cacheHierarchy uniqueName="[LocalDateTable_4d3d2595-d713-4fa0-af74-994f2248f3a7].[Mes]" caption="Mes" attribute="1" defaultMemberUniqueName="[LocalDateTable_4d3d2595-d713-4fa0-af74-994f2248f3a7].[Mes].[All]" allUniqueName="[LocalDateTable_4d3d2595-d713-4fa0-af74-994f2248f3a7].[Mes].[All]" dimensionUniqueName="[LocalDateTable_4d3d2595-d713-4fa0-af74-994f2248f3a7]" displayFolder="" count="0" memberValueDatatype="130" unbalanced="0" hidden="1"/>
    <cacheHierarchy uniqueName="[LocalDateTable_4d3d2595-d713-4fa0-af74-994f2248f3a7].[NroMes]" caption="NroMes" attribute="1" defaultMemberUniqueName="[LocalDateTable_4d3d2595-d713-4fa0-af74-994f2248f3a7].[NroMes].[All]" allUniqueName="[LocalDateTable_4d3d2595-d713-4fa0-af74-994f2248f3a7].[NroMes].[All]" dimensionUniqueName="[LocalDateTable_4d3d2595-d713-4fa0-af74-994f2248f3a7]" displayFolder="" count="0" memberValueDatatype="20" unbalanced="0" hidden="1"/>
    <cacheHierarchy uniqueName="[LocalDateTable_4d3d2595-d713-4fa0-af74-994f2248f3a7].[NroTrimestre]" caption="NroTrimestre" attribute="1" defaultMemberUniqueName="[LocalDateTable_4d3d2595-d713-4fa0-af74-994f2248f3a7].[NroTrimestre].[All]" allUniqueName="[LocalDateTable_4d3d2595-d713-4fa0-af74-994f2248f3a7].[NroTrimestre].[All]" dimensionUniqueName="[LocalDateTable_4d3d2595-d713-4fa0-af74-994f2248f3a7]" displayFolder="" count="0" memberValueDatatype="20" unbalanced="0" hidden="1"/>
    <cacheHierarchy uniqueName="[LocalDateTable_4d3d2595-d713-4fa0-af74-994f2248f3a7].[Trimestre]" caption="Trimestre" attribute="1" defaultMemberUniqueName="[LocalDateTable_4d3d2595-d713-4fa0-af74-994f2248f3a7].[Trimestre].[All]" allUniqueName="[LocalDateTable_4d3d2595-d713-4fa0-af74-994f2248f3a7].[Trimestre].[All]" dimensionUniqueName="[LocalDateTable_4d3d2595-d713-4fa0-af74-994f2248f3a7]" displayFolder="" count="0" memberValueDatatype="130" unbalanced="0" hidden="1"/>
    <cacheHierarchy uniqueName="[LocalDateTable_5bc15ee3-9fa5-490a-99b1-9e3d00fdb792].[Año]" caption="Año" attribute="1" defaultMemberUniqueName="[LocalDateTable_5bc15ee3-9fa5-490a-99b1-9e3d00fdb792].[Año].[All]" allUniqueName="[LocalDateTable_5bc15ee3-9fa5-490a-99b1-9e3d00fdb792].[Año].[All]" dimensionUniqueName="[LocalDateTable_5bc15ee3-9fa5-490a-99b1-9e3d00fdb792]" displayFolder="" count="0" memberValueDatatype="20" unbalanced="0" hidden="1"/>
    <cacheHierarchy uniqueName="[LocalDateTable_5bc15ee3-9fa5-490a-99b1-9e3d00fdb792].[Date]" caption="Date" attribute="1" time="1" defaultMemberUniqueName="[LocalDateTable_5bc15ee3-9fa5-490a-99b1-9e3d00fdb792].[Date].[All]" allUniqueName="[LocalDateTable_5bc15ee3-9fa5-490a-99b1-9e3d00fdb792].[Date].[All]" dimensionUniqueName="[LocalDateTable_5bc15ee3-9fa5-490a-99b1-9e3d00fdb792]" displayFolder="" count="0" memberValueDatatype="7" unbalanced="0" hidden="1"/>
    <cacheHierarchy uniqueName="[LocalDateTable_5bc15ee3-9fa5-490a-99b1-9e3d00fdb792].[Día]" caption="Día" attribute="1" defaultMemberUniqueName="[LocalDateTable_5bc15ee3-9fa5-490a-99b1-9e3d00fdb792].[Día].[All]" allUniqueName="[LocalDateTable_5bc15ee3-9fa5-490a-99b1-9e3d00fdb792].[Día].[All]" dimensionUniqueName="[LocalDateTable_5bc15ee3-9fa5-490a-99b1-9e3d00fdb792]" displayFolder="" count="0" memberValueDatatype="20" unbalanced="0" hidden="1"/>
    <cacheHierarchy uniqueName="[LocalDateTable_5bc15ee3-9fa5-490a-99b1-9e3d00fdb792].[Jerarquía de fechas]" caption="Jerarquía de fechas" defaultMemberUniqueName="[LocalDateTable_5bc15ee3-9fa5-490a-99b1-9e3d00fdb792].[Jerarquía de fechas].[All]" allUniqueName="[LocalDateTable_5bc15ee3-9fa5-490a-99b1-9e3d00fdb792].[Jerarquía de fechas].[All]" dimensionUniqueName="[LocalDateTable_5bc15ee3-9fa5-490a-99b1-9e3d00fdb792]" displayFolder="" count="0" unbalanced="0" hidden="1"/>
    <cacheHierarchy uniqueName="[LocalDateTable_5bc15ee3-9fa5-490a-99b1-9e3d00fdb792].[Mes]" caption="Mes" attribute="1" defaultMemberUniqueName="[LocalDateTable_5bc15ee3-9fa5-490a-99b1-9e3d00fdb792].[Mes].[All]" allUniqueName="[LocalDateTable_5bc15ee3-9fa5-490a-99b1-9e3d00fdb792].[Mes].[All]" dimensionUniqueName="[LocalDateTable_5bc15ee3-9fa5-490a-99b1-9e3d00fdb792]" displayFolder="" count="0" memberValueDatatype="130" unbalanced="0" hidden="1"/>
    <cacheHierarchy uniqueName="[LocalDateTable_5bc15ee3-9fa5-490a-99b1-9e3d00fdb792].[NroMes]" caption="NroMes" attribute="1" defaultMemberUniqueName="[LocalDateTable_5bc15ee3-9fa5-490a-99b1-9e3d00fdb792].[NroMes].[All]" allUniqueName="[LocalDateTable_5bc15ee3-9fa5-490a-99b1-9e3d00fdb792].[NroMes].[All]" dimensionUniqueName="[LocalDateTable_5bc15ee3-9fa5-490a-99b1-9e3d00fdb792]" displayFolder="" count="0" memberValueDatatype="20" unbalanced="0" hidden="1"/>
    <cacheHierarchy uniqueName="[LocalDateTable_5bc15ee3-9fa5-490a-99b1-9e3d00fdb792].[NroTrimestre]" caption="NroTrimestre" attribute="1" defaultMemberUniqueName="[LocalDateTable_5bc15ee3-9fa5-490a-99b1-9e3d00fdb792].[NroTrimestre].[All]" allUniqueName="[LocalDateTable_5bc15ee3-9fa5-490a-99b1-9e3d00fdb792].[NroTrimestre].[All]" dimensionUniqueName="[LocalDateTable_5bc15ee3-9fa5-490a-99b1-9e3d00fdb792]" displayFolder="" count="0" memberValueDatatype="20" unbalanced="0" hidden="1"/>
    <cacheHierarchy uniqueName="[LocalDateTable_5bc15ee3-9fa5-490a-99b1-9e3d00fdb792].[Trimestre]" caption="Trimestre" attribute="1" defaultMemberUniqueName="[LocalDateTable_5bc15ee3-9fa5-490a-99b1-9e3d00fdb792].[Trimestre].[All]" allUniqueName="[LocalDateTable_5bc15ee3-9fa5-490a-99b1-9e3d00fdb792].[Trimestre].[All]" dimensionUniqueName="[LocalDateTable_5bc15ee3-9fa5-490a-99b1-9e3d00fdb792]" displayFolder="" count="0" memberValueDatatype="130" unbalanced="0" hidden="1"/>
    <cacheHierarchy uniqueName="[LocalDateTable_5bf10396-4aa2-4aba-9a59-6e28c1786d8e].[Año]" caption="Año" attribute="1" defaultMemberUniqueName="[LocalDateTable_5bf10396-4aa2-4aba-9a59-6e28c1786d8e].[Año].[All]" allUniqueName="[LocalDateTable_5bf10396-4aa2-4aba-9a59-6e28c1786d8e].[Año].[All]" dimensionUniqueName="[LocalDateTable_5bf10396-4aa2-4aba-9a59-6e28c1786d8e]" displayFolder="" count="0" memberValueDatatype="20" unbalanced="0" hidden="1"/>
    <cacheHierarchy uniqueName="[LocalDateTable_5bf10396-4aa2-4aba-9a59-6e28c1786d8e].[Date]" caption="Date" attribute="1" time="1" defaultMemberUniqueName="[LocalDateTable_5bf10396-4aa2-4aba-9a59-6e28c1786d8e].[Date].[All]" allUniqueName="[LocalDateTable_5bf10396-4aa2-4aba-9a59-6e28c1786d8e].[Date].[All]" dimensionUniqueName="[LocalDateTable_5bf10396-4aa2-4aba-9a59-6e28c1786d8e]" displayFolder="" count="0" memberValueDatatype="7" unbalanced="0" hidden="1"/>
    <cacheHierarchy uniqueName="[LocalDateTable_5bf10396-4aa2-4aba-9a59-6e28c1786d8e].[Día]" caption="Día" attribute="1" defaultMemberUniqueName="[LocalDateTable_5bf10396-4aa2-4aba-9a59-6e28c1786d8e].[Día].[All]" allUniqueName="[LocalDateTable_5bf10396-4aa2-4aba-9a59-6e28c1786d8e].[Día].[All]" dimensionUniqueName="[LocalDateTable_5bf10396-4aa2-4aba-9a59-6e28c1786d8e]" displayFolder="" count="0" memberValueDatatype="20" unbalanced="0" hidden="1"/>
    <cacheHierarchy uniqueName="[LocalDateTable_5bf10396-4aa2-4aba-9a59-6e28c1786d8e].[Jerarquía de fechas]" caption="Jerarquía de fechas" defaultMemberUniqueName="[LocalDateTable_5bf10396-4aa2-4aba-9a59-6e28c1786d8e].[Jerarquía de fechas].[All]" allUniqueName="[LocalDateTable_5bf10396-4aa2-4aba-9a59-6e28c1786d8e].[Jerarquía de fechas].[All]" dimensionUniqueName="[LocalDateTable_5bf10396-4aa2-4aba-9a59-6e28c1786d8e]" displayFolder="" count="0" unbalanced="0" hidden="1"/>
    <cacheHierarchy uniqueName="[LocalDateTable_5bf10396-4aa2-4aba-9a59-6e28c1786d8e].[Mes]" caption="Mes" attribute="1" defaultMemberUniqueName="[LocalDateTable_5bf10396-4aa2-4aba-9a59-6e28c1786d8e].[Mes].[All]" allUniqueName="[LocalDateTable_5bf10396-4aa2-4aba-9a59-6e28c1786d8e].[Mes].[All]" dimensionUniqueName="[LocalDateTable_5bf10396-4aa2-4aba-9a59-6e28c1786d8e]" displayFolder="" count="0" memberValueDatatype="130" unbalanced="0" hidden="1"/>
    <cacheHierarchy uniqueName="[LocalDateTable_5bf10396-4aa2-4aba-9a59-6e28c1786d8e].[NroMes]" caption="NroMes" attribute="1" defaultMemberUniqueName="[LocalDateTable_5bf10396-4aa2-4aba-9a59-6e28c1786d8e].[NroMes].[All]" allUniqueName="[LocalDateTable_5bf10396-4aa2-4aba-9a59-6e28c1786d8e].[NroMes].[All]" dimensionUniqueName="[LocalDateTable_5bf10396-4aa2-4aba-9a59-6e28c1786d8e]" displayFolder="" count="0" memberValueDatatype="20" unbalanced="0" hidden="1"/>
    <cacheHierarchy uniqueName="[LocalDateTable_5bf10396-4aa2-4aba-9a59-6e28c1786d8e].[NroTrimestre]" caption="NroTrimestre" attribute="1" defaultMemberUniqueName="[LocalDateTable_5bf10396-4aa2-4aba-9a59-6e28c1786d8e].[NroTrimestre].[All]" allUniqueName="[LocalDateTable_5bf10396-4aa2-4aba-9a59-6e28c1786d8e].[NroTrimestre].[All]" dimensionUniqueName="[LocalDateTable_5bf10396-4aa2-4aba-9a59-6e28c1786d8e]" displayFolder="" count="0" memberValueDatatype="20" unbalanced="0" hidden="1"/>
    <cacheHierarchy uniqueName="[LocalDateTable_5bf10396-4aa2-4aba-9a59-6e28c1786d8e].[Trimestre]" caption="Trimestre" attribute="1" defaultMemberUniqueName="[LocalDateTable_5bf10396-4aa2-4aba-9a59-6e28c1786d8e].[Trimestre].[All]" allUniqueName="[LocalDateTable_5bf10396-4aa2-4aba-9a59-6e28c1786d8e].[Trimestre].[All]" dimensionUniqueName="[LocalDateTable_5bf10396-4aa2-4aba-9a59-6e28c1786d8e]" displayFolder="" count="0" memberValueDatatype="130" unbalanced="0" hidden="1"/>
    <cacheHierarchy uniqueName="[LocalDateTable_db8de294-182a-4f1e-965c-2bb93fe4c43a].[Año]" caption="Año" attribute="1" defaultMemberUniqueName="[LocalDateTable_db8de294-182a-4f1e-965c-2bb93fe4c43a].[Año].[All]" allUniqueName="[LocalDateTable_db8de294-182a-4f1e-965c-2bb93fe4c43a].[Año].[All]" dimensionUniqueName="[LocalDateTable_db8de294-182a-4f1e-965c-2bb93fe4c43a]" displayFolder="" count="0" memberValueDatatype="20" unbalanced="0" hidden="1"/>
    <cacheHierarchy uniqueName="[LocalDateTable_db8de294-182a-4f1e-965c-2bb93fe4c43a].[Date]" caption="Date" attribute="1" time="1" defaultMemberUniqueName="[LocalDateTable_db8de294-182a-4f1e-965c-2bb93fe4c43a].[Date].[All]" allUniqueName="[LocalDateTable_db8de294-182a-4f1e-965c-2bb93fe4c43a].[Date].[All]" dimensionUniqueName="[LocalDateTable_db8de294-182a-4f1e-965c-2bb93fe4c43a]" displayFolder="" count="0" memberValueDatatype="7" unbalanced="0" hidden="1"/>
    <cacheHierarchy uniqueName="[LocalDateTable_db8de294-182a-4f1e-965c-2bb93fe4c43a].[Día]" caption="Día" attribute="1" defaultMemberUniqueName="[LocalDateTable_db8de294-182a-4f1e-965c-2bb93fe4c43a].[Día].[All]" allUniqueName="[LocalDateTable_db8de294-182a-4f1e-965c-2bb93fe4c43a].[Día].[All]" dimensionUniqueName="[LocalDateTable_db8de294-182a-4f1e-965c-2bb93fe4c43a]" displayFolder="" count="0" memberValueDatatype="20" unbalanced="0" hidden="1"/>
    <cacheHierarchy uniqueName="[LocalDateTable_db8de294-182a-4f1e-965c-2bb93fe4c43a].[Jerarquía de fechas]" caption="Jerarquía de fechas" defaultMemberUniqueName="[LocalDateTable_db8de294-182a-4f1e-965c-2bb93fe4c43a].[Jerarquía de fechas].[All]" allUniqueName="[LocalDateTable_db8de294-182a-4f1e-965c-2bb93fe4c43a].[Jerarquía de fechas].[All]" dimensionUniqueName="[LocalDateTable_db8de294-182a-4f1e-965c-2bb93fe4c43a]" displayFolder="" count="0" unbalanced="0" hidden="1"/>
    <cacheHierarchy uniqueName="[LocalDateTable_db8de294-182a-4f1e-965c-2bb93fe4c43a].[Mes]" caption="Mes" attribute="1" defaultMemberUniqueName="[LocalDateTable_db8de294-182a-4f1e-965c-2bb93fe4c43a].[Mes].[All]" allUniqueName="[LocalDateTable_db8de294-182a-4f1e-965c-2bb93fe4c43a].[Mes].[All]" dimensionUniqueName="[LocalDateTable_db8de294-182a-4f1e-965c-2bb93fe4c43a]" displayFolder="" count="0" memberValueDatatype="130" unbalanced="0" hidden="1"/>
    <cacheHierarchy uniqueName="[LocalDateTable_db8de294-182a-4f1e-965c-2bb93fe4c43a].[NroMes]" caption="NroMes" attribute="1" defaultMemberUniqueName="[LocalDateTable_db8de294-182a-4f1e-965c-2bb93fe4c43a].[NroMes].[All]" allUniqueName="[LocalDateTable_db8de294-182a-4f1e-965c-2bb93fe4c43a].[NroMes].[All]" dimensionUniqueName="[LocalDateTable_db8de294-182a-4f1e-965c-2bb93fe4c43a]" displayFolder="" count="0" memberValueDatatype="20" unbalanced="0" hidden="1"/>
    <cacheHierarchy uniqueName="[LocalDateTable_db8de294-182a-4f1e-965c-2bb93fe4c43a].[NroTrimestre]" caption="NroTrimestre" attribute="1" defaultMemberUniqueName="[LocalDateTable_db8de294-182a-4f1e-965c-2bb93fe4c43a].[NroTrimestre].[All]" allUniqueName="[LocalDateTable_db8de294-182a-4f1e-965c-2bb93fe4c43a].[NroTrimestre].[All]" dimensionUniqueName="[LocalDateTable_db8de294-182a-4f1e-965c-2bb93fe4c43a]" displayFolder="" count="0" memberValueDatatype="20" unbalanced="0" hidden="1"/>
    <cacheHierarchy uniqueName="[LocalDateTable_db8de294-182a-4f1e-965c-2bb93fe4c43a].[Trimestre]" caption="Trimestre" attribute="1" defaultMemberUniqueName="[LocalDateTable_db8de294-182a-4f1e-965c-2bb93fe4c43a].[Trimestre].[All]" allUniqueName="[LocalDateTable_db8de294-182a-4f1e-965c-2bb93fe4c43a].[Trimestre].[All]" dimensionUniqueName="[LocalDateTable_db8de294-182a-4f1e-965c-2bb93fe4c43a]" displayFolder="" count="0" memberValueDatatype="130" unbalanced="0" hidden="1"/>
    <cacheHierarchy uniqueName="[LocalDateTable_e890a8dc-46ae-44e0-9138-bb3c4335c3ce].[Año]" caption="Año" attribute="1" defaultMemberUniqueName="[LocalDateTable_e890a8dc-46ae-44e0-9138-bb3c4335c3ce].[Año].[All]" allUniqueName="[LocalDateTable_e890a8dc-46ae-44e0-9138-bb3c4335c3ce].[Año].[All]" dimensionUniqueName="[LocalDateTable_e890a8dc-46ae-44e0-9138-bb3c4335c3ce]" displayFolder="" count="0" memberValueDatatype="20" unbalanced="0" hidden="1"/>
    <cacheHierarchy uniqueName="[LocalDateTable_e890a8dc-46ae-44e0-9138-bb3c4335c3ce].[Date]" caption="Date" attribute="1" time="1" defaultMemberUniqueName="[LocalDateTable_e890a8dc-46ae-44e0-9138-bb3c4335c3ce].[Date].[All]" allUniqueName="[LocalDateTable_e890a8dc-46ae-44e0-9138-bb3c4335c3ce].[Date].[All]" dimensionUniqueName="[LocalDateTable_e890a8dc-46ae-44e0-9138-bb3c4335c3ce]" displayFolder="" count="0" memberValueDatatype="7" unbalanced="0" hidden="1"/>
    <cacheHierarchy uniqueName="[LocalDateTable_e890a8dc-46ae-44e0-9138-bb3c4335c3ce].[Día]" caption="Día" attribute="1" defaultMemberUniqueName="[LocalDateTable_e890a8dc-46ae-44e0-9138-bb3c4335c3ce].[Día].[All]" allUniqueName="[LocalDateTable_e890a8dc-46ae-44e0-9138-bb3c4335c3ce].[Día].[All]" dimensionUniqueName="[LocalDateTable_e890a8dc-46ae-44e0-9138-bb3c4335c3ce]" displayFolder="" count="0" memberValueDatatype="20" unbalanced="0" hidden="1"/>
    <cacheHierarchy uniqueName="[LocalDateTable_e890a8dc-46ae-44e0-9138-bb3c4335c3ce].[Jerarquía de fechas]" caption="Jerarquía de fechas" defaultMemberUniqueName="[LocalDateTable_e890a8dc-46ae-44e0-9138-bb3c4335c3ce].[Jerarquía de fechas].[All]" allUniqueName="[LocalDateTable_e890a8dc-46ae-44e0-9138-bb3c4335c3ce].[Jerarquía de fechas].[All]" dimensionUniqueName="[LocalDateTable_e890a8dc-46ae-44e0-9138-bb3c4335c3ce]" displayFolder="" count="0" unbalanced="0" hidden="1"/>
    <cacheHierarchy uniqueName="[LocalDateTable_e890a8dc-46ae-44e0-9138-bb3c4335c3ce].[Mes]" caption="Mes" attribute="1" defaultMemberUniqueName="[LocalDateTable_e890a8dc-46ae-44e0-9138-bb3c4335c3ce].[Mes].[All]" allUniqueName="[LocalDateTable_e890a8dc-46ae-44e0-9138-bb3c4335c3ce].[Mes].[All]" dimensionUniqueName="[LocalDateTable_e890a8dc-46ae-44e0-9138-bb3c4335c3ce]" displayFolder="" count="0" memberValueDatatype="130" unbalanced="0" hidden="1"/>
    <cacheHierarchy uniqueName="[LocalDateTable_e890a8dc-46ae-44e0-9138-bb3c4335c3ce].[NroMes]" caption="NroMes" attribute="1" defaultMemberUniqueName="[LocalDateTable_e890a8dc-46ae-44e0-9138-bb3c4335c3ce].[NroMes].[All]" allUniqueName="[LocalDateTable_e890a8dc-46ae-44e0-9138-bb3c4335c3ce].[NroMes].[All]" dimensionUniqueName="[LocalDateTable_e890a8dc-46ae-44e0-9138-bb3c4335c3ce]" displayFolder="" count="0" memberValueDatatype="20" unbalanced="0" hidden="1"/>
    <cacheHierarchy uniqueName="[LocalDateTable_e890a8dc-46ae-44e0-9138-bb3c4335c3ce].[NroTrimestre]" caption="NroTrimestre" attribute="1" defaultMemberUniqueName="[LocalDateTable_e890a8dc-46ae-44e0-9138-bb3c4335c3ce].[NroTrimestre].[All]" allUniqueName="[LocalDateTable_e890a8dc-46ae-44e0-9138-bb3c4335c3ce].[NroTrimestre].[All]" dimensionUniqueName="[LocalDateTable_e890a8dc-46ae-44e0-9138-bb3c4335c3ce]" displayFolder="" count="0" memberValueDatatype="20" unbalanced="0" hidden="1"/>
    <cacheHierarchy uniqueName="[LocalDateTable_e890a8dc-46ae-44e0-9138-bb3c4335c3ce].[Trimestre]" caption="Trimestre" attribute="1" defaultMemberUniqueName="[LocalDateTable_e890a8dc-46ae-44e0-9138-bb3c4335c3ce].[Trimestre].[All]" allUniqueName="[LocalDateTable_e890a8dc-46ae-44e0-9138-bb3c4335c3ce].[Trimestre].[All]" dimensionUniqueName="[LocalDateTable_e890a8dc-46ae-44e0-9138-bb3c4335c3ce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FECH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6">
    <dimension name="BASE_CONVE_PPTO" uniqueName="[BASE_CONVE_PPTO]" caption="BASE_CONVE_PPTO"/>
    <dimension name="BASE_HIPO_PPTO" uniqueName="[BASE_HIPO_PPTO]" caption="BASE_HIPO_PPTO"/>
    <dimension name="Base_PPE" uniqueName="[Base_PPE]" caption="Base_PPE"/>
    <dimension name="Base_TC_PPTO" uniqueName="[Base_TC_PPTO]" caption="Base_TC_PPTO"/>
    <dimension name="BASE_VEH_PPTO" uniqueName="[BASE_VEH_PPTO]" caption="BASE_VEH_PPTO"/>
    <dimension measure="1" name="Measures" uniqueName="[Measures]" caption="Measures"/>
  </dimensions>
  <measureGroups count="11">
    <measureGroup name="BASE_CONVE_PPTO" caption="BASE_CONVE_PPTO"/>
    <measureGroup name="BASE_HIPO_PPTO" caption="BASE_HIPO_PPTO"/>
    <measureGroup name="Base_PPE" caption="Base_PPE"/>
    <measureGroup name="Base_TC_PPTO" caption="Base_TC_PPTO"/>
    <measureGroup name="BASE_VEH_PPTO" caption="BASE_VEH_PPTO"/>
    <measureGroup name="DateTableTemplate_7a49a5e4-a98b-44e8-97e3-e7368ff3c7e3" caption="DateTableTemplate_7a49a5e4-a98b-44e8-97e3-e7368ff3c7e3"/>
    <measureGroup name="LocalDateTable_4d3d2595-d713-4fa0-af74-994f2248f3a7" caption="LocalDateTable_4d3d2595-d713-4fa0-af74-994f2248f3a7"/>
    <measureGroup name="LocalDateTable_5bc15ee3-9fa5-490a-99b1-9e3d00fdb792" caption="LocalDateTable_5bc15ee3-9fa5-490a-99b1-9e3d00fdb792"/>
    <measureGroup name="LocalDateTable_5bf10396-4aa2-4aba-9a59-6e28c1786d8e" caption="LocalDateTable_5bf10396-4aa2-4aba-9a59-6e28c1786d8e"/>
    <measureGroup name="LocalDateTable_db8de294-182a-4f1e-965c-2bb93fe4c43a" caption="LocalDateTable_db8de294-182a-4f1e-965c-2bb93fe4c43a"/>
    <measureGroup name="LocalDateTable_e890a8dc-46ae-44e0-9138-bb3c4335c3ce" caption="LocalDateTable_e890a8dc-46ae-44e0-9138-bb3c4335c3ce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68C22-D2B0-490D-A8C4-0EB85CF946A2}" name="BasesPerformance" cacheId="8" applyNumberFormats="0" applyBorderFormats="0" applyFontFormats="0" applyPatternFormats="0" applyAlignmentFormats="0" applyWidthHeightFormats="1" dataCaption="Valores" updatedVersion="8" minRefreshableVersion="3" subtotalHiddenItems="1" rowGrandTotals="0" colGrandTotals="0" itemPrintTitles="1" createdVersion="8" indent="0" outline="1" outlineData="1" multipleFieldFilters="0" fieldListSortAscending="1">
  <location ref="A5:AQ134" firstHeaderRow="1" firstDataRow="2" firstDataCol="1" rowPageCount="2" colPageCount="1"/>
  <pivotFields count="8">
    <pivotField axis="axisCol" allDrilled="1" showAll="0" dataSourceSort="1" defaultAttributeDrillState="1">
      <items count="4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t="default"/>
      </items>
    </pivotField>
    <pivotField axis="axisRow" allDrilled="1" showAll="0" defaultAttributeDrillState="1">
      <items count="11">
        <item s="1" x="8"/>
        <item s="1" x="9"/>
        <item s="1" x="4"/>
        <item s="1" x="1"/>
        <item s="1" x="2"/>
        <item s="1" x="6"/>
        <item s="1" x="5"/>
        <item s="1" x="3"/>
        <item s="1" x="0"/>
        <item s="1" x="7"/>
        <item t="default"/>
      </items>
    </pivotField>
    <pivotField axis="axisRow" allDrilled="1" showAll="0" defaultAttributeDrillState="1">
      <items count="5">
        <item x="3"/>
        <item x="1"/>
        <item x="0"/>
        <item x="2"/>
        <item t="default"/>
      </items>
    </pivotField>
    <pivotField axis="axisRow" allDrilled="1" showAll="0" defaultAttributeDrillState="1">
      <items count="15">
        <item x="3"/>
        <item x="1"/>
        <item x="2"/>
        <item x="8"/>
        <item x="4"/>
        <item x="12"/>
        <item x="5"/>
        <item x="6"/>
        <item x="7"/>
        <item x="0"/>
        <item x="9"/>
        <item x="11"/>
        <item x="10"/>
        <item x="13"/>
        <item t="default"/>
      </items>
    </pivotField>
    <pivotField allDrilled="1" showAll="0" dataSourceSort="1" defaultAttributeDrillState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1"/>
    <field x="2"/>
    <field x="3"/>
  </rowFields>
  <rowItems count="128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4"/>
    </i>
    <i r="1">
      <x/>
    </i>
    <i r="2">
      <x v="4"/>
    </i>
    <i r="1">
      <x v="1"/>
    </i>
    <i r="2">
      <x v="4"/>
    </i>
    <i r="1">
      <x v="2"/>
    </i>
    <i r="2">
      <x v="4"/>
    </i>
    <i>
      <x v="5"/>
    </i>
    <i r="1">
      <x/>
    </i>
    <i r="2">
      <x v="5"/>
    </i>
    <i r="1">
      <x v="1"/>
    </i>
    <i r="2">
      <x v="5"/>
    </i>
    <i r="1">
      <x v="2"/>
    </i>
    <i r="2">
      <x v="5"/>
    </i>
    <i>
      <x v="6"/>
    </i>
    <i r="1">
      <x/>
    </i>
    <i r="2">
      <x v="10"/>
    </i>
    <i r="2">
      <x v="11"/>
    </i>
    <i r="2">
      <x v="12"/>
    </i>
    <i r="1">
      <x v="1"/>
    </i>
    <i r="2">
      <x v="10"/>
    </i>
    <i r="2">
      <x v="11"/>
    </i>
    <i r="2">
      <x v="12"/>
    </i>
    <i r="1">
      <x v="2"/>
    </i>
    <i r="2">
      <x v="10"/>
    </i>
    <i r="2">
      <x v="11"/>
    </i>
    <i r="2">
      <x v="12"/>
    </i>
    <i r="1">
      <x v="3"/>
    </i>
    <i r="2">
      <x v="11"/>
    </i>
    <i r="2">
      <x v="12"/>
    </i>
    <i>
      <x v="7"/>
    </i>
    <i r="1">
      <x/>
    </i>
    <i r="2">
      <x v="6"/>
    </i>
    <i r="2">
      <x v="7"/>
    </i>
    <i r="2">
      <x v="8"/>
    </i>
    <i r="1">
      <x v="1"/>
    </i>
    <i r="2">
      <x v="6"/>
    </i>
    <i r="2">
      <x v="7"/>
    </i>
    <i r="2">
      <x v="8"/>
    </i>
    <i r="1">
      <x v="2"/>
    </i>
    <i r="2">
      <x v="6"/>
    </i>
    <i r="2">
      <x v="7"/>
    </i>
    <i r="2">
      <x v="8"/>
    </i>
    <i>
      <x v="8"/>
    </i>
    <i r="1">
      <x/>
    </i>
    <i r="2">
      <x v="9"/>
    </i>
    <i r="1">
      <x v="1"/>
    </i>
    <i r="2">
      <x v="9"/>
    </i>
    <i r="1">
      <x v="2"/>
    </i>
    <i r="2">
      <x v="9"/>
    </i>
    <i r="1">
      <x v="3"/>
    </i>
    <i r="2">
      <x v="9"/>
    </i>
    <i>
      <x v="9"/>
    </i>
    <i r="1">
      <x/>
    </i>
    <i r="2">
      <x v="13"/>
    </i>
    <i r="1">
      <x v="1"/>
    </i>
    <i r="2">
      <x v="13"/>
    </i>
    <i r="1">
      <x v="2"/>
    </i>
    <i r="2">
      <x v="13"/>
    </i>
    <i r="1">
      <x v="3"/>
    </i>
    <i r="2">
      <x v="13"/>
    </i>
  </rowItems>
  <colFields count="1">
    <field x="0"/>
  </colFields>
  <col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colItems>
  <pageFields count="2">
    <pageField fld="5" hier="19" name="[Base].[PRODUCTO].&amp;[Préstamos]" cap="Préstamos"/>
    <pageField fld="6" hier="24" name="[Base].[Tipo_Valor].&amp;[Solarizado]" cap="Solarizado"/>
  </pageFields>
  <dataFields count="1">
    <dataField name="Suma de Importe" fld="7" baseField="0" baseItem="0" numFmtId="164">
      <extLst>
        <ext xmlns:xxpim="http://schemas.microsoft.com/office/spreadsheetml/2020/pivotNov2020" uri="{122EB659-6506-43C2-A71E-23821C81ECCF}">
          <xxpim:dataFieldFutureData version="7" sourceField="4"/>
        </ext>
      </extLst>
    </dataField>
  </dataFields>
  <formats count="1">
    <format dxfId="2">
      <pivotArea outline="0" collapsedLevelsAreSubtotals="1" fieldPosition="0"/>
    </format>
  </formats>
  <pivotHierarchies count="1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16"/>
    <rowHierarchyUsage hierarchyUsage="20"/>
    <rowHierarchyUsage hierarchyUsage="21"/>
  </rowHierarchiesUsage>
  <colHierarchiesUsage count="1">
    <colHierarchyUsage hierarchyUsage="4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2A795-6FD8-4E92-94D3-0B4B5E85F325}" name="DataSetPPTO26PPECONVVEH" cacheId="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5:N134" firstHeaderRow="1" firstDataRow="2" firstDataCol="1" rowPageCount="3" colPageCount="1"/>
  <pivotFields count="9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10">
        <item x="8"/>
        <item x="9"/>
        <item x="4"/>
        <item x="1"/>
        <item x="2"/>
        <item x="6"/>
        <item x="5"/>
        <item x="3"/>
        <item x="0"/>
        <item x="7"/>
      </items>
    </pivotField>
    <pivotField axis="axisRow" allDrilled="1" subtotalTop="0" showAll="0" defaultSubtotal="0" defaultAttributeDrillState="1">
      <items count="20">
        <item x="0"/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defaultSubtotal="0" defaultAttributeDrillState="1">
      <items count="3">
        <item x="1"/>
        <item x="0"/>
        <item x="2"/>
      </items>
    </pivotField>
    <pivotField axis="axisCol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2"/>
    <field x="4"/>
    <field x="3"/>
  </rowFields>
  <rowItems count="128">
    <i>
      <x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1"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4"/>
    </i>
    <i r="1">
      <x/>
    </i>
    <i r="2">
      <x v="4"/>
    </i>
    <i r="1">
      <x v="1"/>
    </i>
    <i r="2">
      <x v="4"/>
    </i>
    <i r="1">
      <x v="2"/>
    </i>
    <i r="2">
      <x v="4"/>
    </i>
    <i>
      <x v="5"/>
    </i>
    <i r="1">
      <x/>
    </i>
    <i r="2">
      <x v="17"/>
    </i>
    <i r="1">
      <x v="1"/>
    </i>
    <i r="2">
      <x v="17"/>
    </i>
    <i r="1">
      <x v="2"/>
    </i>
    <i r="2">
      <x v="17"/>
    </i>
    <i>
      <x v="6"/>
    </i>
    <i r="1">
      <x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2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>
      <x v="7"/>
    </i>
    <i r="1">
      <x/>
    </i>
    <i r="2">
      <x v="5"/>
    </i>
    <i r="2">
      <x v="6"/>
    </i>
    <i r="2">
      <x v="7"/>
    </i>
    <i r="1">
      <x v="1"/>
    </i>
    <i r="2">
      <x v="5"/>
    </i>
    <i r="2">
      <x v="6"/>
    </i>
    <i r="2">
      <x v="7"/>
    </i>
    <i r="1">
      <x v="2"/>
    </i>
    <i r="2">
      <x v="5"/>
    </i>
    <i r="2">
      <x v="6"/>
    </i>
    <i r="2">
      <x v="7"/>
    </i>
    <i>
      <x v="8"/>
    </i>
    <i r="1">
      <x/>
    </i>
    <i r="2">
      <x/>
    </i>
    <i r="1">
      <x v="1"/>
    </i>
    <i r="2">
      <x/>
    </i>
    <i r="1">
      <x v="2"/>
    </i>
    <i r="2">
      <x/>
    </i>
    <i>
      <x v="9"/>
    </i>
    <i r="1">
      <x/>
    </i>
    <i r="2">
      <x v="18"/>
    </i>
    <i r="2">
      <x v="19"/>
    </i>
    <i r="1">
      <x v="1"/>
    </i>
    <i r="2">
      <x v="18"/>
    </i>
    <i r="2">
      <x v="19"/>
    </i>
    <i r="1">
      <x v="2"/>
    </i>
    <i r="2">
      <x v="18"/>
    </i>
    <i r="2">
      <x v="19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0" hier="26" name="[Base_PPE].[PRODUCTO].&amp;[Préstamos]" cap="Préstamos"/>
    <pageField fld="1" hier="31" name="[Base_PPE].[Tipo_Valor].&amp;[Solarizado]" cap="Solarizado"/>
    <pageField fld="7" hier="30" name="[Base_PPE].[Tipo].&amp;[P]" cap="P"/>
  </pageFields>
  <dataFields count="1">
    <dataField name="Suma de Importe" fld="8" baseField="0" baseItem="0">
      <extLst>
        <ext xmlns:xxpim="http://schemas.microsoft.com/office/spreadsheetml/2020/pivotNov2020" uri="{122EB659-6506-43C2-A71E-23821C81ECCF}">
          <xxpim:dataFieldFutureData version="7" sourceField="6"/>
        </ext>
      </extLst>
    </dataField>
  </dataFields>
  <formats count="2">
    <format dxfId="1">
      <pivotArea collapsedLevelsAreSubtotals="1" fieldPosition="0">
        <references count="3">
          <reference field="2" count="1" selected="0">
            <x v="0"/>
          </reference>
          <reference field="3" count="3">
            <x v="1"/>
            <x v="2"/>
            <x v="3"/>
          </reference>
          <reference field="4" count="1" selected="0">
            <x v="1048832"/>
          </reference>
        </references>
      </pivotArea>
    </format>
    <format dxfId="0">
      <pivotArea dataOnly="0" labelOnly="1" fieldPosition="0">
        <references count="3">
          <reference field="2" count="1" selected="0">
            <x v="0"/>
          </reference>
          <reference field="3" count="3">
            <x v="1"/>
            <x v="2"/>
            <x v="3"/>
          </reference>
          <reference field="4" count="1" selected="0">
            <x v="1048832"/>
          </reference>
        </references>
      </pivotArea>
    </format>
  </formats>
  <pivotHierarchies count="10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7"/>
    <rowHierarchyUsage hierarchyUsage="28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28BB5A-830E-4AC3-BCAE-FBCB47EFE111}">
  <we:reference id="wa200003696" version="1.2.0.0" store="es-ES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88CD-6088-4040-9C91-BA0F601FE0CF}">
  <sheetPr codeName="Hoja1"/>
  <dimension ref="B2:F17"/>
  <sheetViews>
    <sheetView workbookViewId="0">
      <selection activeCell="F8" sqref="F8"/>
    </sheetView>
  </sheetViews>
  <sheetFormatPr baseColWidth="10" defaultRowHeight="15" x14ac:dyDescent="0.25"/>
  <sheetData>
    <row r="2" spans="2:6" x14ac:dyDescent="0.25">
      <c r="B2" t="s">
        <v>3</v>
      </c>
      <c r="C2" t="s">
        <v>4</v>
      </c>
    </row>
    <row r="4" spans="2:6" x14ac:dyDescent="0.25">
      <c r="B4" t="s">
        <v>89</v>
      </c>
      <c r="C4">
        <v>2026</v>
      </c>
    </row>
    <row r="6" spans="2:6" x14ac:dyDescent="0.25">
      <c r="B6" t="s">
        <v>95</v>
      </c>
      <c r="C6" s="21">
        <f>EOMONTH(DATE($C$4,1,1),0)</f>
        <v>46053</v>
      </c>
      <c r="E6" t="s">
        <v>96</v>
      </c>
      <c r="F6" t="s">
        <v>97</v>
      </c>
    </row>
    <row r="7" spans="2:6" x14ac:dyDescent="0.25">
      <c r="C7" s="21">
        <f>EOMONTH(C6,1)</f>
        <v>46081</v>
      </c>
      <c r="F7" t="s">
        <v>47</v>
      </c>
    </row>
    <row r="8" spans="2:6" x14ac:dyDescent="0.25">
      <c r="C8" s="21">
        <f t="shared" ref="C8:C17" si="0">EOMONTH(C7,1)</f>
        <v>46112</v>
      </c>
      <c r="F8" t="s">
        <v>98</v>
      </c>
    </row>
    <row r="9" spans="2:6" x14ac:dyDescent="0.25">
      <c r="C9" s="21">
        <f t="shared" si="0"/>
        <v>46142</v>
      </c>
      <c r="F9" t="s">
        <v>99</v>
      </c>
    </row>
    <row r="10" spans="2:6" x14ac:dyDescent="0.25">
      <c r="C10" s="21">
        <f t="shared" si="0"/>
        <v>46173</v>
      </c>
    </row>
    <row r="11" spans="2:6" x14ac:dyDescent="0.25">
      <c r="C11" s="21">
        <f t="shared" si="0"/>
        <v>46203</v>
      </c>
    </row>
    <row r="12" spans="2:6" x14ac:dyDescent="0.25">
      <c r="C12" s="21">
        <f t="shared" si="0"/>
        <v>46234</v>
      </c>
    </row>
    <row r="13" spans="2:6" x14ac:dyDescent="0.25">
      <c r="C13" s="21">
        <f t="shared" si="0"/>
        <v>46265</v>
      </c>
    </row>
    <row r="14" spans="2:6" x14ac:dyDescent="0.25">
      <c r="C14" s="21">
        <f t="shared" si="0"/>
        <v>46295</v>
      </c>
    </row>
    <row r="15" spans="2:6" x14ac:dyDescent="0.25">
      <c r="C15" s="21">
        <f t="shared" si="0"/>
        <v>46326</v>
      </c>
    </row>
    <row r="16" spans="2:6" x14ac:dyDescent="0.25">
      <c r="C16" s="21">
        <f t="shared" si="0"/>
        <v>46356</v>
      </c>
    </row>
    <row r="17" spans="3:3" x14ac:dyDescent="0.25">
      <c r="C17" s="21">
        <f t="shared" si="0"/>
        <v>46387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FD74-678E-497C-B498-7258FBCABD4F}">
  <sheetPr codeName="Hoja2">
    <tabColor rgb="FFFF0000"/>
  </sheetPr>
  <dimension ref="A1:CC102"/>
  <sheetViews>
    <sheetView showGridLines="0" tabSelected="1" zoomScale="83" zoomScaleNormal="80" workbookViewId="0">
      <pane xSplit="3" ySplit="6" topLeftCell="AM7" activePane="bottomRight" state="frozen"/>
      <selection activeCell="AT11" sqref="AT11"/>
      <selection pane="topRight" activeCell="AT11" sqref="AT11"/>
      <selection pane="bottomLeft" activeCell="AT11" sqref="AT11"/>
      <selection pane="bottomRight" activeCell="H8" sqref="H8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customWidth="1" outlineLevel="1"/>
    <col min="27" max="27" width="11.28515625" bestFit="1" customWidth="1"/>
    <col min="28" max="38" width="11.28515625" customWidth="1" outlineLevel="1"/>
    <col min="39" max="40" width="11.28515625" bestFit="1" customWidth="1"/>
    <col min="41" max="63" width="10.5703125" customWidth="1"/>
  </cols>
  <sheetData>
    <row r="1" spans="1:81" ht="15.75" x14ac:dyDescent="0.25">
      <c r="D1" s="67" t="s">
        <v>92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8" t="s">
        <v>93</v>
      </c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O1" s="69" t="s">
        <v>90</v>
      </c>
      <c r="BP1" s="69"/>
      <c r="BQ1" s="69"/>
      <c r="BR1" s="69"/>
      <c r="BS1" s="69"/>
      <c r="BT1" s="69"/>
      <c r="BW1" s="69" t="s">
        <v>91</v>
      </c>
      <c r="BX1" s="69"/>
      <c r="BY1" s="69"/>
      <c r="BZ1" s="69"/>
      <c r="CA1" s="69"/>
      <c r="CB1" s="69"/>
    </row>
    <row r="2" spans="1:81" x14ac:dyDescent="0.25">
      <c r="C2" s="51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O2" s="53">
        <f t="shared" ref="BO2:BT2" si="0">DATE(YEAR(BO6),1,1)</f>
        <v>46023</v>
      </c>
      <c r="BP2" s="53">
        <f t="shared" si="0"/>
        <v>46023</v>
      </c>
      <c r="BQ2" s="53">
        <f t="shared" si="0"/>
        <v>46023</v>
      </c>
      <c r="BR2" s="53">
        <f t="shared" si="0"/>
        <v>45658</v>
      </c>
      <c r="BS2" s="53">
        <f t="shared" si="0"/>
        <v>45292</v>
      </c>
      <c r="BT2" s="53">
        <f t="shared" si="0"/>
        <v>44927</v>
      </c>
    </row>
    <row r="3" spans="1:81" x14ac:dyDescent="0.25">
      <c r="C3" s="51" t="s">
        <v>61</v>
      </c>
      <c r="D3" s="52">
        <f>DAY(D6)</f>
        <v>31</v>
      </c>
      <c r="E3" s="52">
        <f t="shared" ref="E3:BK3" si="1">DAY(E6)</f>
        <v>28</v>
      </c>
      <c r="F3" s="52">
        <f t="shared" si="1"/>
        <v>31</v>
      </c>
      <c r="G3" s="52">
        <f t="shared" si="1"/>
        <v>30</v>
      </c>
      <c r="H3" s="52">
        <f t="shared" si="1"/>
        <v>31</v>
      </c>
      <c r="I3" s="52">
        <f t="shared" si="1"/>
        <v>30</v>
      </c>
      <c r="J3" s="52">
        <f t="shared" si="1"/>
        <v>31</v>
      </c>
      <c r="K3" s="52">
        <f t="shared" si="1"/>
        <v>31</v>
      </c>
      <c r="L3" s="52">
        <f t="shared" si="1"/>
        <v>30</v>
      </c>
      <c r="M3" s="52">
        <f t="shared" si="1"/>
        <v>31</v>
      </c>
      <c r="N3" s="52">
        <f t="shared" si="1"/>
        <v>30</v>
      </c>
      <c r="O3" s="52">
        <f t="shared" si="1"/>
        <v>31</v>
      </c>
      <c r="P3" s="52">
        <f t="shared" si="1"/>
        <v>31</v>
      </c>
      <c r="Q3" s="52">
        <f t="shared" si="1"/>
        <v>29</v>
      </c>
      <c r="R3" s="52">
        <f t="shared" si="1"/>
        <v>31</v>
      </c>
      <c r="S3" s="52">
        <f t="shared" si="1"/>
        <v>30</v>
      </c>
      <c r="T3" s="52">
        <f t="shared" si="1"/>
        <v>31</v>
      </c>
      <c r="U3" s="52">
        <f t="shared" si="1"/>
        <v>30</v>
      </c>
      <c r="V3" s="52">
        <f t="shared" si="1"/>
        <v>31</v>
      </c>
      <c r="W3" s="52">
        <f t="shared" si="1"/>
        <v>31</v>
      </c>
      <c r="X3" s="52">
        <f t="shared" si="1"/>
        <v>30</v>
      </c>
      <c r="Y3" s="52">
        <f t="shared" si="1"/>
        <v>31</v>
      </c>
      <c r="Z3" s="52">
        <f t="shared" si="1"/>
        <v>30</v>
      </c>
      <c r="AA3" s="52">
        <f t="shared" si="1"/>
        <v>31</v>
      </c>
      <c r="AB3" s="52">
        <f t="shared" si="1"/>
        <v>31</v>
      </c>
      <c r="AC3" s="52">
        <f t="shared" si="1"/>
        <v>28</v>
      </c>
      <c r="AD3" s="52">
        <f t="shared" si="1"/>
        <v>31</v>
      </c>
      <c r="AE3" s="52">
        <f t="shared" si="1"/>
        <v>30</v>
      </c>
      <c r="AF3" s="52">
        <f t="shared" si="1"/>
        <v>31</v>
      </c>
      <c r="AG3" s="52">
        <f t="shared" si="1"/>
        <v>30</v>
      </c>
      <c r="AH3" s="52">
        <f t="shared" si="1"/>
        <v>31</v>
      </c>
      <c r="AI3" s="52">
        <f t="shared" si="1"/>
        <v>31</v>
      </c>
      <c r="AJ3" s="52">
        <f t="shared" si="1"/>
        <v>30</v>
      </c>
      <c r="AK3" s="52">
        <f t="shared" si="1"/>
        <v>31</v>
      </c>
      <c r="AL3" s="52">
        <f t="shared" si="1"/>
        <v>30</v>
      </c>
      <c r="AM3" s="52">
        <f t="shared" si="1"/>
        <v>31</v>
      </c>
      <c r="AN3" s="52">
        <f t="shared" si="1"/>
        <v>31</v>
      </c>
      <c r="AO3" s="52">
        <f t="shared" si="1"/>
        <v>28</v>
      </c>
      <c r="AP3" s="52">
        <f t="shared" si="1"/>
        <v>31</v>
      </c>
      <c r="AQ3" s="52">
        <f t="shared" si="1"/>
        <v>30</v>
      </c>
      <c r="AR3" s="52">
        <f t="shared" si="1"/>
        <v>31</v>
      </c>
      <c r="AS3" s="52">
        <f t="shared" si="1"/>
        <v>30</v>
      </c>
      <c r="AT3" s="52">
        <f t="shared" si="1"/>
        <v>31</v>
      </c>
      <c r="AU3" s="52">
        <f t="shared" si="1"/>
        <v>31</v>
      </c>
      <c r="AV3" s="52">
        <f t="shared" si="1"/>
        <v>30</v>
      </c>
      <c r="AW3" s="52">
        <f t="shared" si="1"/>
        <v>31</v>
      </c>
      <c r="AX3" s="52">
        <f t="shared" si="1"/>
        <v>30</v>
      </c>
      <c r="AY3" s="52">
        <f t="shared" si="1"/>
        <v>31</v>
      </c>
      <c r="AZ3" s="52">
        <f t="shared" si="1"/>
        <v>31</v>
      </c>
      <c r="BA3" s="52">
        <f t="shared" si="1"/>
        <v>28</v>
      </c>
      <c r="BB3" s="52">
        <f t="shared" si="1"/>
        <v>31</v>
      </c>
      <c r="BC3" s="52">
        <f t="shared" si="1"/>
        <v>30</v>
      </c>
      <c r="BD3" s="52">
        <f t="shared" si="1"/>
        <v>31</v>
      </c>
      <c r="BE3" s="52">
        <f t="shared" si="1"/>
        <v>30</v>
      </c>
      <c r="BF3" s="52">
        <f t="shared" si="1"/>
        <v>31</v>
      </c>
      <c r="BG3" s="52">
        <f t="shared" si="1"/>
        <v>31</v>
      </c>
      <c r="BH3" s="52">
        <f t="shared" si="1"/>
        <v>30</v>
      </c>
      <c r="BI3" s="52">
        <f t="shared" si="1"/>
        <v>31</v>
      </c>
      <c r="BJ3" s="52">
        <f t="shared" si="1"/>
        <v>30</v>
      </c>
      <c r="BK3" s="52">
        <f t="shared" si="1"/>
        <v>31</v>
      </c>
      <c r="BO3" s="52">
        <f t="shared" ref="BO3:BT4" si="2">AVERAGEIFS($D3:$BM3,$D$6:$BM$6,"&gt;="&amp;BO$2,$D$6:$BM$6,"&lt;="&amp;BO$6,$D$5:$BM$5,BO$5)</f>
        <v>30</v>
      </c>
      <c r="BP3" s="52">
        <f t="shared" si="2"/>
        <v>30</v>
      </c>
      <c r="BQ3" s="52">
        <f t="shared" si="2"/>
        <v>29.5</v>
      </c>
      <c r="BR3" s="52">
        <f t="shared" si="2"/>
        <v>30</v>
      </c>
      <c r="BS3" s="52">
        <f t="shared" si="2"/>
        <v>30.333333333333332</v>
      </c>
      <c r="BT3" s="52">
        <f t="shared" si="2"/>
        <v>30</v>
      </c>
    </row>
    <row r="4" spans="1:81" x14ac:dyDescent="0.25">
      <c r="C4" s="51" t="s">
        <v>62</v>
      </c>
      <c r="D4" s="52">
        <f t="shared" ref="D4:AI4" si="3">DAY(D6)</f>
        <v>31</v>
      </c>
      <c r="E4" s="52">
        <f t="shared" si="3"/>
        <v>28</v>
      </c>
      <c r="F4" s="52">
        <f t="shared" si="3"/>
        <v>31</v>
      </c>
      <c r="G4" s="52">
        <f t="shared" si="3"/>
        <v>30</v>
      </c>
      <c r="H4" s="52">
        <f t="shared" si="3"/>
        <v>31</v>
      </c>
      <c r="I4" s="52">
        <f t="shared" si="3"/>
        <v>30</v>
      </c>
      <c r="J4" s="52">
        <f t="shared" si="3"/>
        <v>31</v>
      </c>
      <c r="K4" s="52">
        <f t="shared" si="3"/>
        <v>31</v>
      </c>
      <c r="L4" s="52">
        <f t="shared" si="3"/>
        <v>30</v>
      </c>
      <c r="M4" s="52">
        <f t="shared" si="3"/>
        <v>31</v>
      </c>
      <c r="N4" s="52">
        <f t="shared" si="3"/>
        <v>30</v>
      </c>
      <c r="O4" s="52">
        <f t="shared" si="3"/>
        <v>31</v>
      </c>
      <c r="P4" s="52">
        <f t="shared" si="3"/>
        <v>31</v>
      </c>
      <c r="Q4" s="52">
        <f t="shared" si="3"/>
        <v>29</v>
      </c>
      <c r="R4" s="52">
        <f t="shared" si="3"/>
        <v>31</v>
      </c>
      <c r="S4" s="52">
        <f t="shared" si="3"/>
        <v>30</v>
      </c>
      <c r="T4" s="52">
        <f t="shared" si="3"/>
        <v>31</v>
      </c>
      <c r="U4" s="52">
        <f t="shared" si="3"/>
        <v>30</v>
      </c>
      <c r="V4" s="52">
        <f t="shared" si="3"/>
        <v>31</v>
      </c>
      <c r="W4" s="52">
        <f t="shared" si="3"/>
        <v>31</v>
      </c>
      <c r="X4" s="52">
        <f t="shared" si="3"/>
        <v>30</v>
      </c>
      <c r="Y4" s="52">
        <f t="shared" si="3"/>
        <v>31</v>
      </c>
      <c r="Z4" s="52">
        <f t="shared" si="3"/>
        <v>30</v>
      </c>
      <c r="AA4" s="52">
        <f t="shared" si="3"/>
        <v>31</v>
      </c>
      <c r="AB4" s="52">
        <f t="shared" si="3"/>
        <v>31</v>
      </c>
      <c r="AC4" s="52">
        <f t="shared" si="3"/>
        <v>28</v>
      </c>
      <c r="AD4" s="52">
        <f t="shared" si="3"/>
        <v>31</v>
      </c>
      <c r="AE4" s="52">
        <f t="shared" si="3"/>
        <v>30</v>
      </c>
      <c r="AF4" s="52">
        <f t="shared" si="3"/>
        <v>31</v>
      </c>
      <c r="AG4" s="52">
        <f t="shared" si="3"/>
        <v>30</v>
      </c>
      <c r="AH4" s="52">
        <f t="shared" si="3"/>
        <v>31</v>
      </c>
      <c r="AI4" s="52">
        <f t="shared" si="3"/>
        <v>31</v>
      </c>
      <c r="AJ4" s="52">
        <f t="shared" ref="AJ4:BK4" si="4">DAY(AJ6)</f>
        <v>30</v>
      </c>
      <c r="AK4" s="52">
        <f t="shared" si="4"/>
        <v>31</v>
      </c>
      <c r="AL4" s="52">
        <f t="shared" si="4"/>
        <v>30</v>
      </c>
      <c r="AM4" s="52">
        <f t="shared" si="4"/>
        <v>31</v>
      </c>
      <c r="AN4" s="52">
        <f t="shared" si="4"/>
        <v>31</v>
      </c>
      <c r="AO4" s="52">
        <f t="shared" si="4"/>
        <v>28</v>
      </c>
      <c r="AP4" s="52">
        <f t="shared" si="4"/>
        <v>31</v>
      </c>
      <c r="AQ4" s="52">
        <f t="shared" si="4"/>
        <v>30</v>
      </c>
      <c r="AR4" s="52">
        <f t="shared" si="4"/>
        <v>31</v>
      </c>
      <c r="AS4" s="52">
        <f t="shared" si="4"/>
        <v>30</v>
      </c>
      <c r="AT4" s="52">
        <f t="shared" si="4"/>
        <v>31</v>
      </c>
      <c r="AU4" s="52">
        <f t="shared" si="4"/>
        <v>31</v>
      </c>
      <c r="AV4" s="52">
        <f t="shared" si="4"/>
        <v>30</v>
      </c>
      <c r="AW4" s="52">
        <f t="shared" si="4"/>
        <v>31</v>
      </c>
      <c r="AX4" s="52">
        <f t="shared" si="4"/>
        <v>30</v>
      </c>
      <c r="AY4" s="52">
        <f t="shared" si="4"/>
        <v>31</v>
      </c>
      <c r="AZ4" s="52">
        <f t="shared" si="4"/>
        <v>31</v>
      </c>
      <c r="BA4" s="52">
        <f t="shared" si="4"/>
        <v>28</v>
      </c>
      <c r="BB4" s="52">
        <f t="shared" si="4"/>
        <v>31</v>
      </c>
      <c r="BC4" s="52">
        <f t="shared" si="4"/>
        <v>30</v>
      </c>
      <c r="BD4" s="52">
        <f t="shared" si="4"/>
        <v>31</v>
      </c>
      <c r="BE4" s="52">
        <f t="shared" si="4"/>
        <v>30</v>
      </c>
      <c r="BF4" s="52">
        <f t="shared" si="4"/>
        <v>31</v>
      </c>
      <c r="BG4" s="52">
        <f t="shared" si="4"/>
        <v>31</v>
      </c>
      <c r="BH4" s="52">
        <f t="shared" si="4"/>
        <v>30</v>
      </c>
      <c r="BI4" s="52">
        <f t="shared" si="4"/>
        <v>31</v>
      </c>
      <c r="BJ4" s="52">
        <f t="shared" si="4"/>
        <v>30</v>
      </c>
      <c r="BK4" s="52">
        <f t="shared" si="4"/>
        <v>31</v>
      </c>
      <c r="BO4" s="54">
        <f t="shared" si="2"/>
        <v>30</v>
      </c>
      <c r="BP4" s="54">
        <f t="shared" si="2"/>
        <v>30</v>
      </c>
      <c r="BQ4" s="54">
        <f t="shared" si="2"/>
        <v>29.5</v>
      </c>
      <c r="BR4" s="54">
        <f t="shared" si="2"/>
        <v>30</v>
      </c>
      <c r="BS4" s="54">
        <f t="shared" si="2"/>
        <v>30.333333333333332</v>
      </c>
      <c r="BT4" s="54">
        <f t="shared" si="2"/>
        <v>30</v>
      </c>
    </row>
    <row r="5" spans="1:81" ht="15.75" thickBot="1" x14ac:dyDescent="0.3">
      <c r="C5" s="51" t="s">
        <v>86</v>
      </c>
      <c r="D5" s="52" t="s">
        <v>87</v>
      </c>
      <c r="E5" s="52" t="s">
        <v>87</v>
      </c>
      <c r="F5" s="52" t="s">
        <v>87</v>
      </c>
      <c r="G5" s="52" t="s">
        <v>87</v>
      </c>
      <c r="H5" s="52" t="s">
        <v>87</v>
      </c>
      <c r="I5" s="52" t="s">
        <v>87</v>
      </c>
      <c r="J5" s="52" t="s">
        <v>87</v>
      </c>
      <c r="K5" s="52" t="s">
        <v>87</v>
      </c>
      <c r="L5" s="52" t="s">
        <v>87</v>
      </c>
      <c r="M5" s="52" t="s">
        <v>87</v>
      </c>
      <c r="N5" s="52" t="s">
        <v>87</v>
      </c>
      <c r="O5" s="52" t="s">
        <v>87</v>
      </c>
      <c r="P5" s="52" t="s">
        <v>87</v>
      </c>
      <c r="Q5" s="52" t="s">
        <v>87</v>
      </c>
      <c r="R5" s="52" t="s">
        <v>87</v>
      </c>
      <c r="S5" s="52" t="s">
        <v>87</v>
      </c>
      <c r="T5" s="52" t="s">
        <v>87</v>
      </c>
      <c r="U5" s="52" t="s">
        <v>87</v>
      </c>
      <c r="V5" s="52" t="s">
        <v>87</v>
      </c>
      <c r="W5" s="52" t="s">
        <v>87</v>
      </c>
      <c r="X5" s="52" t="s">
        <v>87</v>
      </c>
      <c r="Y5" s="52" t="s">
        <v>87</v>
      </c>
      <c r="Z5" s="52" t="s">
        <v>87</v>
      </c>
      <c r="AA5" s="52" t="s">
        <v>87</v>
      </c>
      <c r="AB5" s="52" t="s">
        <v>87</v>
      </c>
      <c r="AC5" s="52" t="s">
        <v>87</v>
      </c>
      <c r="AD5" s="52" t="s">
        <v>87</v>
      </c>
      <c r="AE5" s="52" t="s">
        <v>87</v>
      </c>
      <c r="AF5" s="52" t="s">
        <v>87</v>
      </c>
      <c r="AG5" s="52" t="s">
        <v>87</v>
      </c>
      <c r="AH5" s="52" t="s">
        <v>87</v>
      </c>
      <c r="AI5" s="52" t="s">
        <v>87</v>
      </c>
      <c r="AJ5" s="52" t="s">
        <v>87</v>
      </c>
      <c r="AK5" s="52" t="s">
        <v>87</v>
      </c>
      <c r="AL5" s="52" t="s">
        <v>87</v>
      </c>
      <c r="AM5" s="52" t="s">
        <v>87</v>
      </c>
      <c r="AN5" s="52" t="s">
        <v>87</v>
      </c>
      <c r="AO5" s="52" t="s">
        <v>87</v>
      </c>
      <c r="AP5" s="52" t="s">
        <v>87</v>
      </c>
      <c r="AQ5" s="52" t="s">
        <v>87</v>
      </c>
      <c r="AR5" s="52" t="s">
        <v>87</v>
      </c>
      <c r="AS5" s="52" t="s">
        <v>87</v>
      </c>
      <c r="AT5" s="52" t="s">
        <v>87</v>
      </c>
      <c r="AU5" s="52" t="s">
        <v>87</v>
      </c>
      <c r="AV5" s="52" t="s">
        <v>87</v>
      </c>
      <c r="AW5" s="52" t="s">
        <v>87</v>
      </c>
      <c r="AX5" s="52" t="s">
        <v>87</v>
      </c>
      <c r="AY5" s="52" t="s">
        <v>87</v>
      </c>
      <c r="AZ5" s="52" t="s">
        <v>88</v>
      </c>
      <c r="BA5" s="52" t="s">
        <v>88</v>
      </c>
      <c r="BB5" s="52" t="s">
        <v>88</v>
      </c>
      <c r="BC5" s="52" t="s">
        <v>88</v>
      </c>
      <c r="BD5" s="52" t="s">
        <v>88</v>
      </c>
      <c r="BE5" s="52" t="s">
        <v>88</v>
      </c>
      <c r="BF5" s="52" t="s">
        <v>88</v>
      </c>
      <c r="BG5" s="52" t="s">
        <v>88</v>
      </c>
      <c r="BH5" s="52" t="s">
        <v>88</v>
      </c>
      <c r="BI5" s="52" t="s">
        <v>88</v>
      </c>
      <c r="BJ5" s="52" t="s">
        <v>88</v>
      </c>
      <c r="BK5" s="52" t="s">
        <v>88</v>
      </c>
      <c r="BO5" s="52" t="s">
        <v>87</v>
      </c>
      <c r="BP5" s="52" t="s">
        <v>88</v>
      </c>
      <c r="BQ5" s="52" t="s">
        <v>87</v>
      </c>
      <c r="BR5" s="52" t="s">
        <v>87</v>
      </c>
      <c r="BS5" s="52" t="s">
        <v>87</v>
      </c>
      <c r="BT5" s="52" t="s">
        <v>87</v>
      </c>
    </row>
    <row r="6" spans="1:81" ht="16.5" thickTop="1" thickBot="1" x14ac:dyDescent="0.3">
      <c r="C6" s="55" t="s">
        <v>117</v>
      </c>
      <c r="D6" s="56">
        <v>44957</v>
      </c>
      <c r="E6" s="56">
        <v>44985</v>
      </c>
      <c r="F6" s="56">
        <v>45016</v>
      </c>
      <c r="G6" s="56">
        <v>45046</v>
      </c>
      <c r="H6" s="56">
        <v>45077</v>
      </c>
      <c r="I6" s="56">
        <v>45107</v>
      </c>
      <c r="J6" s="56">
        <v>45138</v>
      </c>
      <c r="K6" s="56">
        <v>45169</v>
      </c>
      <c r="L6" s="56">
        <v>45199</v>
      </c>
      <c r="M6" s="56">
        <v>45230</v>
      </c>
      <c r="N6" s="56">
        <v>45260</v>
      </c>
      <c r="O6" s="56">
        <v>45291</v>
      </c>
      <c r="P6" s="56">
        <v>45322</v>
      </c>
      <c r="Q6" s="56">
        <v>45351</v>
      </c>
      <c r="R6" s="56">
        <v>45382</v>
      </c>
      <c r="S6" s="56">
        <v>45412</v>
      </c>
      <c r="T6" s="56">
        <v>45443</v>
      </c>
      <c r="U6" s="56">
        <v>45473</v>
      </c>
      <c r="V6" s="56">
        <v>45504</v>
      </c>
      <c r="W6" s="56">
        <v>45535</v>
      </c>
      <c r="X6" s="56">
        <v>45565</v>
      </c>
      <c r="Y6" s="56">
        <v>45596</v>
      </c>
      <c r="Z6" s="56">
        <v>45626</v>
      </c>
      <c r="AA6" s="56">
        <v>45657</v>
      </c>
      <c r="AB6" s="56">
        <v>45688</v>
      </c>
      <c r="AC6" s="56">
        <v>45716</v>
      </c>
      <c r="AD6" s="56">
        <v>45747</v>
      </c>
      <c r="AE6" s="56">
        <v>45777</v>
      </c>
      <c r="AF6" s="56">
        <v>45808</v>
      </c>
      <c r="AG6" s="56">
        <v>45838</v>
      </c>
      <c r="AH6" s="56">
        <v>45869</v>
      </c>
      <c r="AI6" s="56">
        <v>45900</v>
      </c>
      <c r="AJ6" s="56">
        <v>45930</v>
      </c>
      <c r="AK6" s="56">
        <v>45961</v>
      </c>
      <c r="AL6" s="56">
        <v>45991</v>
      </c>
      <c r="AM6" s="56">
        <v>46022</v>
      </c>
      <c r="AN6" s="56">
        <v>46053</v>
      </c>
      <c r="AO6" s="56">
        <v>46081</v>
      </c>
      <c r="AP6" s="56">
        <v>46112</v>
      </c>
      <c r="AQ6" s="56">
        <v>46142</v>
      </c>
      <c r="AR6" s="56">
        <v>46173</v>
      </c>
      <c r="AS6" s="56">
        <v>46203</v>
      </c>
      <c r="AT6" s="56">
        <v>46234</v>
      </c>
      <c r="AU6" s="56">
        <v>46265</v>
      </c>
      <c r="AV6" s="56">
        <v>46295</v>
      </c>
      <c r="AW6" s="56">
        <v>46326</v>
      </c>
      <c r="AX6" s="56">
        <v>46356</v>
      </c>
      <c r="AY6" s="56">
        <v>46387</v>
      </c>
      <c r="AZ6" s="57">
        <v>46053</v>
      </c>
      <c r="BA6" s="57">
        <v>46081</v>
      </c>
      <c r="BB6" s="57">
        <v>46112</v>
      </c>
      <c r="BC6" s="57">
        <v>46142</v>
      </c>
      <c r="BD6" s="57">
        <v>46173</v>
      </c>
      <c r="BE6" s="57">
        <v>46203</v>
      </c>
      <c r="BF6" s="57">
        <v>46234</v>
      </c>
      <c r="BG6" s="57">
        <v>46265</v>
      </c>
      <c r="BH6" s="57">
        <v>46295</v>
      </c>
      <c r="BI6" s="57">
        <v>46326</v>
      </c>
      <c r="BJ6" s="57">
        <v>46356</v>
      </c>
      <c r="BK6" s="57">
        <v>46387</v>
      </c>
      <c r="BO6" s="56">
        <f>Desempeño_Financiero!$B$1</f>
        <v>46112</v>
      </c>
      <c r="BP6" s="58">
        <f>BO6</f>
        <v>46112</v>
      </c>
      <c r="BQ6" s="56">
        <f>EOMONTH(BO6,-1)</f>
        <v>46081</v>
      </c>
      <c r="BR6" s="56">
        <f>EOMONTH(BO6,-12)</f>
        <v>45747</v>
      </c>
      <c r="BS6" s="56">
        <f>EOMONTH(BO6,-24)</f>
        <v>45382</v>
      </c>
      <c r="BT6" s="56">
        <f>EOMONTH(BO6,-36)</f>
        <v>45016</v>
      </c>
      <c r="BW6" s="56">
        <f t="shared" ref="BW6:CB6" si="5">BO6</f>
        <v>46112</v>
      </c>
      <c r="BX6" s="58">
        <f t="shared" si="5"/>
        <v>46112</v>
      </c>
      <c r="BY6" s="56">
        <f t="shared" si="5"/>
        <v>46081</v>
      </c>
      <c r="BZ6" s="56">
        <f t="shared" si="5"/>
        <v>45747</v>
      </c>
      <c r="CA6" s="56">
        <f t="shared" si="5"/>
        <v>45382</v>
      </c>
      <c r="CB6" s="56">
        <f t="shared" si="5"/>
        <v>45016</v>
      </c>
      <c r="CC6" s="26"/>
    </row>
    <row r="7" spans="1:81" ht="15.75" thickTop="1" x14ac:dyDescent="0.25"/>
    <row r="8" spans="1:81" outlineLevel="1" x14ac:dyDescent="0.25">
      <c r="A8" s="59" t="s">
        <v>51</v>
      </c>
      <c r="C8" s="60" t="s">
        <v>0</v>
      </c>
      <c r="D8" s="8">
        <f>Renta_Alta!D8+Masivo!D8+Consumo_Inicial!D8</f>
        <v>3209375.3374992199</v>
      </c>
      <c r="E8" s="8">
        <f>Renta_Alta!E8+Masivo!E8+Consumo_Inicial!E8</f>
        <v>3300088.8436650797</v>
      </c>
      <c r="F8" s="8">
        <f>Renta_Alta!F8+Masivo!F8+Consumo_Inicial!F8</f>
        <v>3421266.20571924</v>
      </c>
      <c r="G8" s="8">
        <f>Renta_Alta!G8+Masivo!G8+Consumo_Inicial!G8</f>
        <v>3499038.9259306504</v>
      </c>
      <c r="H8" s="8">
        <f>Renta_Alta!H8+Masivo!H8+Consumo_Inicial!H8</f>
        <v>3573142.6292708493</v>
      </c>
      <c r="I8" s="8">
        <f>Renta_Alta!I8+Masivo!I8+Consumo_Inicial!I8</f>
        <v>3630227.8627440003</v>
      </c>
      <c r="J8" s="8">
        <f>Renta_Alta!J8+Masivo!J8+Consumo_Inicial!J8</f>
        <v>3660638.7556317393</v>
      </c>
      <c r="K8" s="8">
        <f>Renta_Alta!K8+Masivo!K8+Consumo_Inicial!K8</f>
        <v>3748310.5945360502</v>
      </c>
      <c r="L8" s="8">
        <f>Renta_Alta!L8+Masivo!L8+Consumo_Inicial!L8</f>
        <v>3776249.7306158999</v>
      </c>
      <c r="M8" s="8">
        <f>Renta_Alta!M8+Masivo!M8+Consumo_Inicial!M8</f>
        <v>3764572.8796250997</v>
      </c>
      <c r="N8" s="8">
        <f>Renta_Alta!N8+Masivo!N8+Consumo_Inicial!N8</f>
        <v>3752504.9674535803</v>
      </c>
      <c r="O8" s="8">
        <f>Renta_Alta!O8+Masivo!O8+Consumo_Inicial!O8</f>
        <v>3668417.3763668998</v>
      </c>
      <c r="P8" s="8">
        <f>Renta_Alta!P8+Masivo!P8+Consumo_Inicial!P8</f>
        <v>3589921.5221328996</v>
      </c>
      <c r="Q8" s="8">
        <f>Renta_Alta!Q8+Masivo!Q8+Consumo_Inicial!Q8</f>
        <v>3511768.7234874</v>
      </c>
      <c r="R8" s="8">
        <f>Renta_Alta!R8+Masivo!R8+Consumo_Inicial!R8</f>
        <v>3428790.18530316</v>
      </c>
      <c r="S8" s="8">
        <f>Renta_Alta!S8+Masivo!S8+Consumo_Inicial!S8</f>
        <v>3340056.20475815</v>
      </c>
      <c r="T8" s="8">
        <f>Renta_Alta!T8+Masivo!T8+Consumo_Inicial!T8</f>
        <v>3223659.72587582</v>
      </c>
      <c r="U8" s="8">
        <f>Renta_Alta!U8+Masivo!U8+Consumo_Inicial!U8</f>
        <v>3125496.5848378297</v>
      </c>
      <c r="V8" s="8">
        <f>Renta_Alta!V8+Masivo!V8+Consumo_Inicial!V8</f>
        <v>3032078.0581054697</v>
      </c>
      <c r="W8" s="8">
        <f>Renta_Alta!W8+Masivo!W8+Consumo_Inicial!W8</f>
        <v>2977796.1328254994</v>
      </c>
      <c r="X8" s="8">
        <f>Renta_Alta!X8+Masivo!X8+Consumo_Inicial!X8</f>
        <v>2954981.1176042901</v>
      </c>
      <c r="Y8" s="8">
        <f>Renta_Alta!Y8+Masivo!Y8+Consumo_Inicial!Y8</f>
        <v>2933408.2130877795</v>
      </c>
      <c r="Z8" s="8">
        <f>Renta_Alta!Z8+Masivo!Z8+Consumo_Inicial!Z8</f>
        <v>2904094.9228195399</v>
      </c>
      <c r="AA8" s="8">
        <f>Renta_Alta!AA8+Masivo!AA8+Consumo_Inicial!AA8</f>
        <v>2869149.1761822999</v>
      </c>
      <c r="AB8" s="8">
        <f>Renta_Alta!AB8+Masivo!AB8+Consumo_Inicial!AB8</f>
        <v>2844918.06015212</v>
      </c>
      <c r="AC8" s="8">
        <f>Renta_Alta!AC8+Masivo!AC8+Consumo_Inicial!AC8</f>
        <v>2844244.7889158404</v>
      </c>
      <c r="AD8" s="8">
        <f>Renta_Alta!AD8+Masivo!AD8+Consumo_Inicial!AD8</f>
        <v>2864120.4859285601</v>
      </c>
      <c r="AE8" s="8">
        <f>Renta_Alta!AE8+Masivo!AE8+Consumo_Inicial!AE8</f>
        <v>2860943.3982233</v>
      </c>
      <c r="AF8" s="8">
        <f>Renta_Alta!AF8+Masivo!AF8+Consumo_Inicial!AF8</f>
        <v>2875647.3260654998</v>
      </c>
      <c r="AG8" s="8">
        <f>Renta_Alta!AG8+Masivo!AG8+Consumo_Inicial!AG8</f>
        <v>2863053.5462154602</v>
      </c>
      <c r="AH8" s="8">
        <f>Renta_Alta!AH8+Masivo!AH8+Consumo_Inicial!AH8</f>
        <v>2880412.5548435193</v>
      </c>
      <c r="AI8" s="8">
        <f>Renta_Alta!AI8+Masivo!AI8+Consumo_Inicial!AI8</f>
        <v>2916958.7799850004</v>
      </c>
      <c r="AJ8" s="8">
        <f>Renta_Alta!AJ8+Masivo!AJ8+Consumo_Inicial!AJ8</f>
        <v>2948173.9414690002</v>
      </c>
      <c r="AK8" s="8">
        <f>Renta_Alta!AK8+Masivo!AK8+Consumo_Inicial!AK8</f>
        <v>3020501.1772686001</v>
      </c>
      <c r="AL8" s="8">
        <f>Renta_Alta!AL8+Masivo!AL8+Consumo_Inicial!AL8</f>
        <v>3053412.1089146198</v>
      </c>
      <c r="AM8" s="8">
        <f>Renta_Alta!AM8+Masivo!AM8+Consumo_Inicial!AM8</f>
        <v>3052210.5724361693</v>
      </c>
      <c r="AN8" s="8">
        <f>Renta_Alta!AN8+Masivo!AN8+Consumo_Inicial!AN8</f>
        <v>3088816.56</v>
      </c>
      <c r="AO8" s="8">
        <f>Renta_Alta!AO8+Masivo!AO8+Consumo_Inicial!AO8</f>
        <v>3154128.98</v>
      </c>
      <c r="AP8" s="8">
        <f>Renta_Alta!AP8+Masivo!AP8+Consumo_Inicial!AP8</f>
        <v>3199553.0500000003</v>
      </c>
      <c r="AQ8" s="8">
        <f>Renta_Alta!AQ8+Masivo!AQ8+Consumo_Inicial!AQ8</f>
        <v>3254493.9021156901</v>
      </c>
      <c r="AR8" s="8">
        <f>Renta_Alta!AR8+Masivo!AR8+Consumo_Inicial!AR8</f>
        <v>3318026.8371849009</v>
      </c>
      <c r="AS8" s="8">
        <f>Renta_Alta!AS8+Masivo!AS8+Consumo_Inicial!AS8</f>
        <v>3401691.9679835001</v>
      </c>
      <c r="AT8" s="8">
        <f>Renta_Alta!AT8+Masivo!AT8+Consumo_Inicial!AT8</f>
        <v>0</v>
      </c>
      <c r="AU8" s="8">
        <f>Renta_Alta!AU8+Masivo!AU8+Consumo_Inicial!AU8</f>
        <v>0</v>
      </c>
      <c r="AV8" s="8">
        <f>Renta_Alta!AV8+Masivo!AV8+Consumo_Inicial!AV8</f>
        <v>0</v>
      </c>
      <c r="AW8" s="8">
        <f>Renta_Alta!AW8+Masivo!AW8+Consumo_Inicial!AW8</f>
        <v>0</v>
      </c>
      <c r="AX8" s="8">
        <f>Renta_Alta!AX8+Masivo!AX8+Consumo_Inicial!AX8</f>
        <v>0</v>
      </c>
      <c r="AY8" s="8">
        <f>Renta_Alta!AY8+Masivo!AY8+Consumo_Inicial!AY8</f>
        <v>0</v>
      </c>
      <c r="AZ8" s="8">
        <f>Renta_Alta!AZ8+Masivo!AZ8+Consumo_Inicial!AZ8</f>
        <v>3072196.3722576778</v>
      </c>
      <c r="BA8" s="8">
        <f>Renta_Alta!BA8+Masivo!BA8+Consumo_Inicial!BA8</f>
        <v>3082060.8139149286</v>
      </c>
      <c r="BB8" s="8">
        <f>Renta_Alta!BB8+Masivo!BB8+Consumo_Inicial!BB8</f>
        <v>3121000.4869662733</v>
      </c>
      <c r="BC8" s="8">
        <f>Renta_Alta!BC8+Masivo!BC8+Consumo_Inicial!BC8</f>
        <v>3170808.0896526976</v>
      </c>
      <c r="BD8" s="8">
        <f>Renta_Alta!BD8+Masivo!BD8+Consumo_Inicial!BD8</f>
        <v>3233428.6374919801</v>
      </c>
      <c r="BE8" s="8">
        <f>Renta_Alta!BE8+Masivo!BE8+Consumo_Inicial!BE8</f>
        <v>3268261.6437430498</v>
      </c>
      <c r="BF8" s="8">
        <f>Renta_Alta!BF8+Masivo!BF8+Consumo_Inicial!BF8</f>
        <v>3287480.1493869964</v>
      </c>
      <c r="BG8" s="8">
        <f>Renta_Alta!BG8+Masivo!BG8+Consumo_Inicial!BG8</f>
        <v>3323982.1131695495</v>
      </c>
      <c r="BH8" s="8">
        <f>Renta_Alta!BH8+Masivo!BH8+Consumo_Inicial!BH8</f>
        <v>3382945.2208912838</v>
      </c>
      <c r="BI8" s="8">
        <f>Renta_Alta!BI8+Masivo!BI8+Consumo_Inicial!BI8</f>
        <v>3437672.5066353865</v>
      </c>
      <c r="BJ8" s="8">
        <f>Renta_Alta!BJ8+Masivo!BJ8+Consumo_Inicial!BJ8</f>
        <v>3467052.6889225319</v>
      </c>
      <c r="BK8" s="8">
        <f>Renta_Alta!BK8+Masivo!BK8+Consumo_Inicial!BK8</f>
        <v>3478386.4075406557</v>
      </c>
      <c r="BO8" s="24">
        <f>_xlfn.XLOOKUP(BO$6,$D$6:$BM$6,$D8:$BM8,,0,1)</f>
        <v>3199553.0500000003</v>
      </c>
      <c r="BP8" s="24">
        <f>_xlfn.XLOOKUP(BP$6,$D$6:$BM$6,$D8:$BM8,,0,-1)</f>
        <v>3121000.4869662733</v>
      </c>
      <c r="BQ8" s="24">
        <f t="shared" ref="BQ8:BT10" si="6">_xlfn.XLOOKUP(BQ$6,$D$6:$BM$6,$D8:$BM8,,0,1)</f>
        <v>3154128.98</v>
      </c>
      <c r="BR8" s="24">
        <f t="shared" si="6"/>
        <v>2864120.4859285601</v>
      </c>
      <c r="BS8" s="24">
        <f t="shared" si="6"/>
        <v>3428790.18530316</v>
      </c>
      <c r="BT8" s="24">
        <f t="shared" si="6"/>
        <v>3421266.20571924</v>
      </c>
    </row>
    <row r="9" spans="1:81" outlineLevel="1" x14ac:dyDescent="0.25">
      <c r="A9" s="59" t="s">
        <v>51</v>
      </c>
      <c r="C9" s="60" t="s">
        <v>1</v>
      </c>
      <c r="D9" s="8">
        <f>Renta_Alta!D9+Masivo!D9+Consumo_Inicial!D9</f>
        <v>12463.7981</v>
      </c>
      <c r="E9" s="8">
        <f>Renta_Alta!E9+Masivo!E9+Consumo_Inicial!E9</f>
        <v>12950.202869999999</v>
      </c>
      <c r="F9" s="8">
        <f>Renta_Alta!F9+Masivo!F9+Consumo_Inicial!F9</f>
        <v>12918.972462119998</v>
      </c>
      <c r="G9" s="8">
        <f>Renta_Alta!G9+Masivo!G9+Consumo_Inicial!G9</f>
        <v>11884.580944949999</v>
      </c>
      <c r="H9" s="8">
        <f>Renta_Alta!H9+Masivo!H9+Consumo_Inicial!H9</f>
        <v>11239.85727291</v>
      </c>
      <c r="I9" s="8">
        <f>Renta_Alta!I9+Masivo!I9+Consumo_Inicial!I9</f>
        <v>10375.033706119999</v>
      </c>
      <c r="J9" s="8">
        <f>Renta_Alta!J9+Masivo!J9+Consumo_Inicial!J9</f>
        <v>9473.5130337599985</v>
      </c>
      <c r="K9" s="8">
        <f>Renta_Alta!K9+Masivo!K9+Consumo_Inicial!K9</f>
        <v>8668.6100293500003</v>
      </c>
      <c r="L9" s="8">
        <f>Renta_Alta!L9+Masivo!L9+Consumo_Inicial!L9</f>
        <v>8637.3520266300002</v>
      </c>
      <c r="M9" s="8">
        <f>Renta_Alta!M9+Masivo!M9+Consumo_Inicial!M9</f>
        <v>7691.5346383999995</v>
      </c>
      <c r="N9" s="8">
        <f>Renta_Alta!N9+Masivo!N9+Consumo_Inicial!N9</f>
        <v>6949.5767231199989</v>
      </c>
      <c r="O9" s="8">
        <f>Renta_Alta!O9+Masivo!O9+Consumo_Inicial!O9</f>
        <v>6256.8080199999995</v>
      </c>
      <c r="P9" s="8">
        <f>Renta_Alta!P9+Masivo!P9+Consumo_Inicial!P9</f>
        <v>5601.0475100000003</v>
      </c>
      <c r="Q9" s="8">
        <f>Renta_Alta!Q9+Masivo!Q9+Consumo_Inicial!Q9</f>
        <v>6064.7830600000007</v>
      </c>
      <c r="R9" s="8">
        <f>Renta_Alta!R9+Masivo!R9+Consumo_Inicial!R9</f>
        <v>8619.8673400000007</v>
      </c>
      <c r="S9" s="8">
        <f>Renta_Alta!S9+Masivo!S9+Consumo_Inicial!S9</f>
        <v>15559.538039999998</v>
      </c>
      <c r="T9" s="8">
        <f>Renta_Alta!T9+Masivo!T9+Consumo_Inicial!T9</f>
        <v>28383.117559999995</v>
      </c>
      <c r="U9" s="8">
        <f>Renta_Alta!U9+Masivo!U9+Consumo_Inicial!U9</f>
        <v>36930.177819999997</v>
      </c>
      <c r="V9" s="8">
        <f>Renta_Alta!V9+Masivo!V9+Consumo_Inicial!V9</f>
        <v>42978.872589999999</v>
      </c>
      <c r="W9" s="8">
        <f>Renta_Alta!W9+Masivo!W9+Consumo_Inicial!W9</f>
        <v>45429.462070000001</v>
      </c>
      <c r="X9" s="8">
        <f>Renta_Alta!X9+Masivo!X9+Consumo_Inicial!X9</f>
        <v>46630.936330000004</v>
      </c>
      <c r="Y9" s="8">
        <f>Renta_Alta!Y9+Masivo!Y9+Consumo_Inicial!Y9</f>
        <v>45677.373420000004</v>
      </c>
      <c r="Z9" s="8">
        <f>Renta_Alta!Z9+Masivo!Z9+Consumo_Inicial!Z9</f>
        <v>46802.381440000005</v>
      </c>
      <c r="AA9" s="8">
        <f>Renta_Alta!AA9+Masivo!AA9+Consumo_Inicial!AA9</f>
        <v>46826.166449999997</v>
      </c>
      <c r="AB9" s="8">
        <f>Renta_Alta!AB9+Masivo!AB9+Consumo_Inicial!AB9</f>
        <v>46365.284089999994</v>
      </c>
      <c r="AC9" s="8">
        <f>Renta_Alta!AC9+Masivo!AC9+Consumo_Inicial!AC9</f>
        <v>45142.427829999993</v>
      </c>
      <c r="AD9" s="8">
        <f>Renta_Alta!AD9+Masivo!AD9+Consumo_Inicial!AD9</f>
        <v>47040.750680000005</v>
      </c>
      <c r="AE9" s="8">
        <f>Renta_Alta!AE9+Masivo!AE9+Consumo_Inicial!AE9</f>
        <v>46767.521999999997</v>
      </c>
      <c r="AF9" s="8">
        <f>Renta_Alta!AF9+Masivo!AF9+Consumo_Inicial!AF9</f>
        <v>45652.629929999996</v>
      </c>
      <c r="AG9" s="8">
        <f>Renta_Alta!AG9+Masivo!AG9+Consumo_Inicial!AG9</f>
        <v>44530.325920000003</v>
      </c>
      <c r="AH9" s="8">
        <f>Renta_Alta!AH9+Masivo!AH9+Consumo_Inicial!AH9</f>
        <v>43592.59225999999</v>
      </c>
      <c r="AI9" s="8">
        <f>Renta_Alta!AI9+Masivo!AI9+Consumo_Inicial!AI9</f>
        <v>42180.096219999999</v>
      </c>
      <c r="AJ9" s="8">
        <f>Renta_Alta!AJ9+Masivo!AJ9+Consumo_Inicial!AJ9</f>
        <v>41814.864710000002</v>
      </c>
      <c r="AK9" s="8">
        <f>Renta_Alta!AK9+Masivo!AK9+Consumo_Inicial!AK9</f>
        <v>40699.826639999999</v>
      </c>
      <c r="AL9" s="8">
        <f>Renta_Alta!AL9+Masivo!AL9+Consumo_Inicial!AL9</f>
        <v>39957.249620000002</v>
      </c>
      <c r="AM9" s="8">
        <f>Renta_Alta!AM9+Masivo!AM9+Consumo_Inicial!AM9</f>
        <v>39320.792129999994</v>
      </c>
      <c r="AN9" s="8">
        <f>Renta_Alta!AN9+Masivo!AN9+Consumo_Inicial!AN9</f>
        <v>38639.43</v>
      </c>
      <c r="AO9" s="8">
        <f>Renta_Alta!AO9+Masivo!AO9+Consumo_Inicial!AO9</f>
        <v>37846.729999999996</v>
      </c>
      <c r="AP9" s="8">
        <f>Renta_Alta!AP9+Masivo!AP9+Consumo_Inicial!AP9</f>
        <v>36825.599999999999</v>
      </c>
      <c r="AQ9" s="8">
        <f>Renta_Alta!AQ9+Masivo!AQ9+Consumo_Inicial!AQ9</f>
        <v>35788.416909999993</v>
      </c>
      <c r="AR9" s="8">
        <f>Renta_Alta!AR9+Masivo!AR9+Consumo_Inicial!AR9</f>
        <v>35737.380789999996</v>
      </c>
      <c r="AS9" s="8">
        <f>Renta_Alta!AS9+Masivo!AS9+Consumo_Inicial!AS9</f>
        <v>35099.775319999993</v>
      </c>
      <c r="AT9" s="8">
        <f>Renta_Alta!AT9+Masivo!AT9+Consumo_Inicial!AT9</f>
        <v>0</v>
      </c>
      <c r="AU9" s="8">
        <f>Renta_Alta!AU9+Masivo!AU9+Consumo_Inicial!AU9</f>
        <v>0</v>
      </c>
      <c r="AV9" s="8">
        <f>Renta_Alta!AV9+Masivo!AV9+Consumo_Inicial!AV9</f>
        <v>0</v>
      </c>
      <c r="AW9" s="8">
        <f>Renta_Alta!AW9+Masivo!AW9+Consumo_Inicial!AW9</f>
        <v>0</v>
      </c>
      <c r="AX9" s="8">
        <f>Renta_Alta!AX9+Masivo!AX9+Consumo_Inicial!AX9</f>
        <v>0</v>
      </c>
      <c r="AY9" s="8">
        <f>Renta_Alta!AY9+Masivo!AY9+Consumo_Inicial!AY9</f>
        <v>0</v>
      </c>
      <c r="AZ9" s="8">
        <f>Renta_Alta!AZ9+Masivo!AZ9+Consumo_Inicial!AZ9</f>
        <v>35630.309188579929</v>
      </c>
      <c r="BA9" s="8">
        <f>Renta_Alta!BA9+Masivo!BA9+Consumo_Inicial!BA9</f>
        <v>33788.257040137345</v>
      </c>
      <c r="BB9" s="8">
        <f>Renta_Alta!BB9+Masivo!BB9+Consumo_Inicial!BB9</f>
        <v>32170.330436663753</v>
      </c>
      <c r="BC9" s="8">
        <f>Renta_Alta!BC9+Masivo!BC9+Consumo_Inicial!BC9</f>
        <v>31322.463864221827</v>
      </c>
      <c r="BD9" s="8">
        <f>Renta_Alta!BD9+Masivo!BD9+Consumo_Inicial!BD9</f>
        <v>30188.961497653276</v>
      </c>
      <c r="BE9" s="8">
        <f>Renta_Alta!BE9+Masivo!BE9+Consumo_Inicial!BE9</f>
        <v>28923.226872714415</v>
      </c>
      <c r="BF9" s="8">
        <f>Renta_Alta!BF9+Masivo!BF9+Consumo_Inicial!BF9</f>
        <v>28233.644258112003</v>
      </c>
      <c r="BG9" s="8">
        <f>Renta_Alta!BG9+Masivo!BG9+Consumo_Inicial!BG9</f>
        <v>27280.609266878786</v>
      </c>
      <c r="BH9" s="8">
        <f>Renta_Alta!BH9+Masivo!BH9+Consumo_Inicial!BH9</f>
        <v>26159.305653061456</v>
      </c>
      <c r="BI9" s="8">
        <f>Renta_Alta!BI9+Masivo!BI9+Consumo_Inicial!BI9</f>
        <v>25527.373197221877</v>
      </c>
      <c r="BJ9" s="8">
        <f>Renta_Alta!BJ9+Masivo!BJ9+Consumo_Inicial!BJ9</f>
        <v>24776.303244979048</v>
      </c>
      <c r="BK9" s="8">
        <f>Renta_Alta!BK9+Masivo!BK9+Consumo_Inicial!BK9</f>
        <v>24436.883280202899</v>
      </c>
      <c r="BO9" s="24">
        <f>_xlfn.XLOOKUP(BO$6,$D$6:$BM$6,$D9:$BM9,,0,1)</f>
        <v>36825.599999999999</v>
      </c>
      <c r="BP9" s="24">
        <f>_xlfn.XLOOKUP(BP$6,$D$6:$BM$6,$D9:$BM9,,0,-1)</f>
        <v>32170.330436663753</v>
      </c>
      <c r="BQ9" s="24">
        <f t="shared" si="6"/>
        <v>37846.729999999996</v>
      </c>
      <c r="BR9" s="24">
        <f t="shared" si="6"/>
        <v>47040.750680000005</v>
      </c>
      <c r="BS9" s="24">
        <f t="shared" si="6"/>
        <v>8619.8673400000007</v>
      </c>
      <c r="BT9" s="24">
        <f t="shared" si="6"/>
        <v>12918.972462119998</v>
      </c>
    </row>
    <row r="10" spans="1:81" ht="14.45" customHeight="1" outlineLevel="1" x14ac:dyDescent="0.25">
      <c r="A10" s="59" t="s">
        <v>51</v>
      </c>
      <c r="C10" s="60" t="s">
        <v>45</v>
      </c>
      <c r="D10" s="8">
        <f>Renta_Alta!D10+Masivo!D10+Consumo_Inicial!D10</f>
        <v>75075.645230279988</v>
      </c>
      <c r="E10" s="8">
        <f>Renta_Alta!E10+Masivo!E10+Consumo_Inicial!E10</f>
        <v>72983.439049580003</v>
      </c>
      <c r="F10" s="8">
        <f>Renta_Alta!F10+Masivo!F10+Consumo_Inicial!F10</f>
        <v>66041.883249780003</v>
      </c>
      <c r="G10" s="8">
        <f>Renta_Alta!G10+Masivo!G10+Consumo_Inicial!G10</f>
        <v>60991.9248094</v>
      </c>
      <c r="H10" s="8">
        <f>Renta_Alta!H10+Masivo!H10+Consumo_Inicial!H10</f>
        <v>57791.376133089994</v>
      </c>
      <c r="I10" s="8">
        <f>Renta_Alta!I10+Masivo!I10+Consumo_Inicial!I10</f>
        <v>64002.308140200003</v>
      </c>
      <c r="J10" s="8">
        <f>Renta_Alta!J10+Masivo!J10+Consumo_Inicial!J10</f>
        <v>88094.936284880008</v>
      </c>
      <c r="K10" s="8">
        <f>Renta_Alta!K10+Masivo!K10+Consumo_Inicial!K10</f>
        <v>128190.78415199998</v>
      </c>
      <c r="L10" s="8">
        <f>Renta_Alta!L10+Masivo!L10+Consumo_Inicial!L10</f>
        <v>130512.01251013999</v>
      </c>
      <c r="M10" s="8">
        <f>Renta_Alta!M10+Masivo!M10+Consumo_Inicial!M10</f>
        <v>144390.83160294002</v>
      </c>
      <c r="N10" s="8">
        <f>Renta_Alta!N10+Masivo!N10+Consumo_Inicial!N10</f>
        <v>132896.45805938001</v>
      </c>
      <c r="O10" s="8">
        <f>Renta_Alta!O10+Masivo!O10+Consumo_Inicial!O10</f>
        <v>143356.33641310997</v>
      </c>
      <c r="P10" s="8">
        <f>Renta_Alta!P10+Masivo!P10+Consumo_Inicial!P10</f>
        <v>146768.68934966001</v>
      </c>
      <c r="Q10" s="8">
        <f>Renta_Alta!Q10+Masivo!Q10+Consumo_Inicial!Q10</f>
        <v>141657.99856100001</v>
      </c>
      <c r="R10" s="8">
        <f>Renta_Alta!R10+Masivo!R10+Consumo_Inicial!R10</f>
        <v>171673.77350189997</v>
      </c>
      <c r="S10" s="8">
        <f>Renta_Alta!S10+Masivo!S10+Consumo_Inicial!S10</f>
        <v>183338.19851420002</v>
      </c>
      <c r="T10" s="8">
        <f>Renta_Alta!T10+Masivo!T10+Consumo_Inicial!T10</f>
        <v>197413.06231470002</v>
      </c>
      <c r="U10" s="8">
        <f>Renta_Alta!U10+Masivo!U10+Consumo_Inicial!U10</f>
        <v>188859.68847671</v>
      </c>
      <c r="V10" s="8">
        <f>Renta_Alta!V10+Masivo!V10+Consumo_Inicial!V10</f>
        <v>168908.20446343996</v>
      </c>
      <c r="W10" s="8">
        <f>Renta_Alta!W10+Masivo!W10+Consumo_Inicial!W10</f>
        <v>156841.80060667999</v>
      </c>
      <c r="X10" s="8">
        <f>Renta_Alta!X10+Masivo!X10+Consumo_Inicial!X10</f>
        <v>136498.02776877</v>
      </c>
      <c r="Y10" s="8">
        <f>Renta_Alta!Y10+Masivo!Y10+Consumo_Inicial!Y10</f>
        <v>127826.18937312001</v>
      </c>
      <c r="Z10" s="8">
        <f>Renta_Alta!Z10+Masivo!Z10+Consumo_Inicial!Z10</f>
        <v>110227.00473952001</v>
      </c>
      <c r="AA10" s="8">
        <f>Renta_Alta!AA10+Masivo!AA10+Consumo_Inicial!AA10</f>
        <v>116235.57112524002</v>
      </c>
      <c r="AB10" s="8">
        <f>Renta_Alta!AB10+Masivo!AB10+Consumo_Inicial!AB10</f>
        <v>115951.75784286</v>
      </c>
      <c r="AC10" s="8">
        <f>Renta_Alta!AC10+Masivo!AC10+Consumo_Inicial!AC10</f>
        <v>103744.89456027999</v>
      </c>
      <c r="AD10" s="8">
        <f>Renta_Alta!AD10+Masivo!AD10+Consumo_Inicial!AD10</f>
        <v>109573.13714432</v>
      </c>
      <c r="AE10" s="8">
        <f>Renta_Alta!AE10+Masivo!AE10+Consumo_Inicial!AE10</f>
        <v>110898.47617250001</v>
      </c>
      <c r="AF10" s="8">
        <f>Renta_Alta!AF10+Masivo!AF10+Consumo_Inicial!AF10</f>
        <v>113995.31421624</v>
      </c>
      <c r="AG10" s="8">
        <f>Renta_Alta!AG10+Masivo!AG10+Consumo_Inicial!AG10</f>
        <v>107860.25499042</v>
      </c>
      <c r="AH10" s="8">
        <f>Renta_Alta!AH10+Masivo!AH10+Consumo_Inicial!AH10</f>
        <v>102179.80550028999</v>
      </c>
      <c r="AI10" s="8">
        <f>Renta_Alta!AI10+Masivo!AI10+Consumo_Inicial!AI10</f>
        <v>102701.95905395001</v>
      </c>
      <c r="AJ10" s="8">
        <f>Renta_Alta!AJ10+Masivo!AJ10+Consumo_Inicial!AJ10</f>
        <v>98648.834661799992</v>
      </c>
      <c r="AK10" s="8">
        <f>Renta_Alta!AK10+Masivo!AK10+Consumo_Inicial!AK10</f>
        <v>95506.091753750006</v>
      </c>
      <c r="AL10" s="8">
        <f>Renta_Alta!AL10+Masivo!AL10+Consumo_Inicial!AL10</f>
        <v>84071.718223360003</v>
      </c>
      <c r="AM10" s="8">
        <f>Renta_Alta!AM10+Masivo!AM10+Consumo_Inicial!AM10</f>
        <v>89478.592179850006</v>
      </c>
      <c r="AN10" s="8">
        <f>Renta_Alta!AN10+Masivo!AN10+Consumo_Inicial!AN10</f>
        <v>90448.7</v>
      </c>
      <c r="AO10" s="8">
        <f>Renta_Alta!AO10+Masivo!AO10+Consumo_Inicial!AO10</f>
        <v>88358.849999999991</v>
      </c>
      <c r="AP10" s="8">
        <f>Renta_Alta!AP10+Masivo!AP10+Consumo_Inicial!AP10</f>
        <v>84810.02</v>
      </c>
      <c r="AQ10" s="8">
        <f>Renta_Alta!AQ10+Masivo!AQ10+Consumo_Inicial!AQ10</f>
        <v>80285.389557260016</v>
      </c>
      <c r="AR10" s="8">
        <f>Renta_Alta!AR10+Masivo!AR10+Consumo_Inicial!AR10</f>
        <v>79263.646923460008</v>
      </c>
      <c r="AS10" s="8">
        <f>Renta_Alta!AS10+Masivo!AS10+Consumo_Inicial!AS10</f>
        <v>80519.008695199998</v>
      </c>
      <c r="AT10" s="8">
        <f>Renta_Alta!AT10+Masivo!AT10+Consumo_Inicial!AT10</f>
        <v>0</v>
      </c>
      <c r="AU10" s="8">
        <f>Renta_Alta!AU10+Masivo!AU10+Consumo_Inicial!AU10</f>
        <v>0</v>
      </c>
      <c r="AV10" s="8">
        <f>Renta_Alta!AV10+Masivo!AV10+Consumo_Inicial!AV10</f>
        <v>0</v>
      </c>
      <c r="AW10" s="8">
        <f>Renta_Alta!AW10+Masivo!AW10+Consumo_Inicial!AW10</f>
        <v>0</v>
      </c>
      <c r="AX10" s="8">
        <f>Renta_Alta!AX10+Masivo!AX10+Consumo_Inicial!AX10</f>
        <v>0</v>
      </c>
      <c r="AY10" s="8">
        <f>Renta_Alta!AY10+Masivo!AY10+Consumo_Inicial!AY10</f>
        <v>0</v>
      </c>
      <c r="AZ10" s="8">
        <f>Renta_Alta!AZ10+Masivo!AZ10+Consumo_Inicial!AZ10</f>
        <v>98552.025492077242</v>
      </c>
      <c r="BA10" s="8">
        <f>Renta_Alta!BA10+Masivo!BA10+Consumo_Inicial!BA10</f>
        <v>94093.84724983346</v>
      </c>
      <c r="BB10" s="8">
        <f>Renta_Alta!BB10+Masivo!BB10+Consumo_Inicial!BB10</f>
        <v>92303.295305696884</v>
      </c>
      <c r="BC10" s="8">
        <f>Renta_Alta!BC10+Masivo!BC10+Consumo_Inicial!BC10</f>
        <v>91052.304818114411</v>
      </c>
      <c r="BD10" s="8">
        <f>Renta_Alta!BD10+Masivo!BD10+Consumo_Inicial!BD10</f>
        <v>91816.65214343433</v>
      </c>
      <c r="BE10" s="8">
        <f>Renta_Alta!BE10+Masivo!BE10+Consumo_Inicial!BE10</f>
        <v>90609.390072127295</v>
      </c>
      <c r="BF10" s="8">
        <f>Renta_Alta!BF10+Masivo!BF10+Consumo_Inicial!BF10</f>
        <v>89576.634303930157</v>
      </c>
      <c r="BG10" s="8">
        <f>Renta_Alta!BG10+Masivo!BG10+Consumo_Inicial!BG10</f>
        <v>92912.762339555236</v>
      </c>
      <c r="BH10" s="8">
        <f>Renta_Alta!BH10+Masivo!BH10+Consumo_Inicial!BH10</f>
        <v>91151.093233830223</v>
      </c>
      <c r="BI10" s="8">
        <f>Renta_Alta!BI10+Masivo!BI10+Consumo_Inicial!BI10</f>
        <v>93491.691322151382</v>
      </c>
      <c r="BJ10" s="8">
        <f>Renta_Alta!BJ10+Masivo!BJ10+Consumo_Inicial!BJ10</f>
        <v>90916.809206655395</v>
      </c>
      <c r="BK10" s="8">
        <f>Renta_Alta!BK10+Masivo!BK10+Consumo_Inicial!BK10</f>
        <v>94244.001120609377</v>
      </c>
      <c r="BO10" s="24">
        <f>_xlfn.XLOOKUP(BO$6,$D$6:$BM$6,$D10:$BM10,,0,1)</f>
        <v>84810.02</v>
      </c>
      <c r="BP10" s="24">
        <f>_xlfn.XLOOKUP(BP$6,$D$6:$BM$6,$D10:$BM10,,0,-1)</f>
        <v>92303.295305696884</v>
      </c>
      <c r="BQ10" s="24">
        <f t="shared" si="6"/>
        <v>88358.849999999991</v>
      </c>
      <c r="BR10" s="24">
        <f t="shared" si="6"/>
        <v>109573.13714432</v>
      </c>
      <c r="BS10" s="24">
        <f t="shared" si="6"/>
        <v>171673.77350189997</v>
      </c>
      <c r="BT10" s="24">
        <f t="shared" si="6"/>
        <v>66041.883249780003</v>
      </c>
    </row>
    <row r="11" spans="1:81" x14ac:dyDescent="0.25">
      <c r="C11" s="61" t="s">
        <v>2</v>
      </c>
      <c r="D11" s="62">
        <f t="shared" ref="D11:AI11" si="7">SUM(D8:D10)</f>
        <v>3296914.7808294995</v>
      </c>
      <c r="E11" s="62">
        <f t="shared" si="7"/>
        <v>3386022.48558466</v>
      </c>
      <c r="F11" s="62">
        <f t="shared" si="7"/>
        <v>3500227.0614311402</v>
      </c>
      <c r="G11" s="62">
        <f t="shared" si="7"/>
        <v>3571915.4316850007</v>
      </c>
      <c r="H11" s="62">
        <f t="shared" si="7"/>
        <v>3642173.8626768491</v>
      </c>
      <c r="I11" s="62">
        <f t="shared" si="7"/>
        <v>3704605.2045903206</v>
      </c>
      <c r="J11" s="62">
        <f t="shared" si="7"/>
        <v>3758207.2049503792</v>
      </c>
      <c r="K11" s="62">
        <f t="shared" si="7"/>
        <v>3885169.9887174005</v>
      </c>
      <c r="L11" s="62">
        <f t="shared" si="7"/>
        <v>3915399.0951526701</v>
      </c>
      <c r="M11" s="62">
        <f t="shared" si="7"/>
        <v>3916655.2458664398</v>
      </c>
      <c r="N11" s="62">
        <f t="shared" si="7"/>
        <v>3892351.0022360804</v>
      </c>
      <c r="O11" s="62">
        <f t="shared" si="7"/>
        <v>3818030.5208000098</v>
      </c>
      <c r="P11" s="62">
        <f t="shared" si="7"/>
        <v>3742291.2589925597</v>
      </c>
      <c r="Q11" s="62">
        <f t="shared" si="7"/>
        <v>3659491.5051083998</v>
      </c>
      <c r="R11" s="62">
        <f t="shared" si="7"/>
        <v>3609083.8261450599</v>
      </c>
      <c r="S11" s="62">
        <f t="shared" si="7"/>
        <v>3538953.9413123499</v>
      </c>
      <c r="T11" s="62">
        <f t="shared" si="7"/>
        <v>3449455.9057505201</v>
      </c>
      <c r="U11" s="62">
        <f t="shared" si="7"/>
        <v>3351286.4511345397</v>
      </c>
      <c r="V11" s="62">
        <f t="shared" si="7"/>
        <v>3243965.1351589095</v>
      </c>
      <c r="W11" s="62">
        <f t="shared" si="7"/>
        <v>3180067.3955021794</v>
      </c>
      <c r="X11" s="62">
        <f t="shared" si="7"/>
        <v>3138110.0817030603</v>
      </c>
      <c r="Y11" s="62">
        <f t="shared" si="7"/>
        <v>3106911.7758808997</v>
      </c>
      <c r="Z11" s="62">
        <f t="shared" si="7"/>
        <v>3061124.3089990602</v>
      </c>
      <c r="AA11" s="62">
        <f t="shared" si="7"/>
        <v>3032210.9137575398</v>
      </c>
      <c r="AB11" s="62">
        <f t="shared" si="7"/>
        <v>3007235.1020849803</v>
      </c>
      <c r="AC11" s="62">
        <f t="shared" si="7"/>
        <v>2993132.1113061202</v>
      </c>
      <c r="AD11" s="62">
        <f t="shared" si="7"/>
        <v>3020734.3737528804</v>
      </c>
      <c r="AE11" s="62">
        <f t="shared" si="7"/>
        <v>3018609.3963957997</v>
      </c>
      <c r="AF11" s="62">
        <f t="shared" si="7"/>
        <v>3035295.2702117395</v>
      </c>
      <c r="AG11" s="62">
        <f t="shared" si="7"/>
        <v>3015444.1271258802</v>
      </c>
      <c r="AH11" s="62">
        <f t="shared" si="7"/>
        <v>3026184.9526038091</v>
      </c>
      <c r="AI11" s="62">
        <f t="shared" si="7"/>
        <v>3061840.8352589505</v>
      </c>
      <c r="AJ11" s="62">
        <f t="shared" ref="AJ11:BK11" si="8">SUM(AJ8:AJ10)</f>
        <v>3088637.6408408</v>
      </c>
      <c r="AK11" s="62">
        <f t="shared" si="8"/>
        <v>3156707.0956623503</v>
      </c>
      <c r="AL11" s="62">
        <f t="shared" si="8"/>
        <v>3177441.0767579796</v>
      </c>
      <c r="AM11" s="62">
        <f t="shared" si="8"/>
        <v>3181009.9567460194</v>
      </c>
      <c r="AN11" s="62">
        <f t="shared" si="8"/>
        <v>3217904.6900000004</v>
      </c>
      <c r="AO11" s="62">
        <f t="shared" si="8"/>
        <v>3280334.56</v>
      </c>
      <c r="AP11" s="62">
        <f t="shared" si="8"/>
        <v>3321188.6700000004</v>
      </c>
      <c r="AQ11" s="62">
        <f t="shared" si="8"/>
        <v>3370567.7085829503</v>
      </c>
      <c r="AR11" s="62">
        <f t="shared" si="8"/>
        <v>3433027.8648983608</v>
      </c>
      <c r="AS11" s="62">
        <f t="shared" si="8"/>
        <v>3517310.7519987002</v>
      </c>
      <c r="AT11" s="62">
        <f t="shared" si="8"/>
        <v>0</v>
      </c>
      <c r="AU11" s="62">
        <f t="shared" si="8"/>
        <v>0</v>
      </c>
      <c r="AV11" s="62">
        <f t="shared" si="8"/>
        <v>0</v>
      </c>
      <c r="AW11" s="62">
        <f t="shared" si="8"/>
        <v>0</v>
      </c>
      <c r="AX11" s="62">
        <f t="shared" si="8"/>
        <v>0</v>
      </c>
      <c r="AY11" s="62">
        <f t="shared" si="8"/>
        <v>0</v>
      </c>
      <c r="AZ11" s="62">
        <f t="shared" si="8"/>
        <v>3206378.7069383352</v>
      </c>
      <c r="BA11" s="62">
        <f t="shared" si="8"/>
        <v>3209942.9182048994</v>
      </c>
      <c r="BB11" s="62">
        <f t="shared" si="8"/>
        <v>3245474.1127086338</v>
      </c>
      <c r="BC11" s="62">
        <f t="shared" si="8"/>
        <v>3293182.8583350335</v>
      </c>
      <c r="BD11" s="62">
        <f t="shared" si="8"/>
        <v>3355434.2511330675</v>
      </c>
      <c r="BE11" s="62">
        <f t="shared" si="8"/>
        <v>3387794.2606878914</v>
      </c>
      <c r="BF11" s="62">
        <f t="shared" si="8"/>
        <v>3405290.4279490388</v>
      </c>
      <c r="BG11" s="62">
        <f t="shared" si="8"/>
        <v>3444175.4847759833</v>
      </c>
      <c r="BH11" s="62">
        <f t="shared" si="8"/>
        <v>3500255.6197781754</v>
      </c>
      <c r="BI11" s="62">
        <f t="shared" si="8"/>
        <v>3556691.5711547597</v>
      </c>
      <c r="BJ11" s="62">
        <f t="shared" si="8"/>
        <v>3582745.8013741663</v>
      </c>
      <c r="BK11" s="62">
        <f t="shared" si="8"/>
        <v>3597067.2919414677</v>
      </c>
      <c r="BO11" s="63">
        <f t="shared" ref="BO11:BT11" si="9">SUM(BO8:BO10)</f>
        <v>3321188.6700000004</v>
      </c>
      <c r="BP11" s="63">
        <f t="shared" si="9"/>
        <v>3245474.1127086338</v>
      </c>
      <c r="BQ11" s="63">
        <f t="shared" si="9"/>
        <v>3280334.56</v>
      </c>
      <c r="BR11" s="63">
        <f t="shared" si="9"/>
        <v>3020734.3737528804</v>
      </c>
      <c r="BS11" s="63">
        <f t="shared" si="9"/>
        <v>3609083.8261450599</v>
      </c>
      <c r="BT11" s="63">
        <f t="shared" si="9"/>
        <v>3500227.0614311402</v>
      </c>
    </row>
    <row r="12" spans="1:81" x14ac:dyDescent="0.25">
      <c r="D12" s="19">
        <f>[1]Desempeño_Financiero_Evol!BA50-D11</f>
        <v>-6.0379505157470703E-5</v>
      </c>
      <c r="E12" s="19">
        <f>[1]Desempeño_Financiero_Evol!BB50-E11</f>
        <v>4.407600499689579E-4</v>
      </c>
      <c r="F12" s="19">
        <f>[1]Desempeño_Financiero_Evol!BC50-F11</f>
        <v>1.5937956050038338E-4</v>
      </c>
      <c r="G12" s="19">
        <f>[1]Desempeño_Financiero_Evol!BD50-G11</f>
        <v>-4.4045085087418556E-4</v>
      </c>
      <c r="H12" s="19">
        <f>[1]Desempeño_Financiero_Evol!BE50-H11</f>
        <v>-8.0738216638565063E-5</v>
      </c>
      <c r="I12" s="19">
        <f>[1]Desempeño_Financiero_Evol!BF50-I11</f>
        <v>3.6987895146012306E-4</v>
      </c>
      <c r="J12" s="19">
        <f>[1]Desempeño_Financiero_Evol!BG50-J11</f>
        <v>2.2914167493581772E-4</v>
      </c>
      <c r="K12" s="19">
        <f>[1]Desempeño_Financiero_Evol!BH50-K11</f>
        <v>-4.0450599044561386E-5</v>
      </c>
      <c r="L12" s="19">
        <f>[1]Desempeño_Financiero_Evol!BI50-L11</f>
        <v>-1.199701800942421E-4</v>
      </c>
      <c r="M12" s="19">
        <f>[1]Desempeño_Financiero_Evol!BJ50-M11</f>
        <v>-3.9937952533364296E-4</v>
      </c>
      <c r="N12" s="19">
        <f>[1]Desempeño_Financiero_Evol!BK50-N11</f>
        <v>3.8999877870082855E-4</v>
      </c>
      <c r="O12" s="19">
        <f>[1]Desempeño_Financiero_Evol!BL50-O11</f>
        <v>7.20249954611063E-4</v>
      </c>
      <c r="P12" s="19">
        <f>[1]Desempeño_Financiero_Evol!BM50-P11</f>
        <v>3.0640512704849243E-5</v>
      </c>
      <c r="Q12" s="19">
        <f>[1]Desempeño_Financiero_Evol!BN50-Q11</f>
        <v>2.1900050342082977E-4</v>
      </c>
      <c r="R12" s="19">
        <f>[1]Desempeño_Financiero_Evol!BO50-R11</f>
        <v>-3.3999979496002197E-4</v>
      </c>
      <c r="S12" s="19">
        <f>[1]Desempeño_Financiero_Evol!BP50-S11</f>
        <v>-3.604404628276825E-4</v>
      </c>
      <c r="T12" s="19">
        <f>[1]Desempeño_Financiero_Evol!BQ50-T11</f>
        <v>2.1994020789861679E-4</v>
      </c>
      <c r="U12" s="19">
        <f>[1]Desempeño_Financiero_Evol!BR50-U11</f>
        <v>-1.9028922542929649E-4</v>
      </c>
      <c r="V12" s="19">
        <f>[1]Desempeño_Financiero_Evol!BS50-V11</f>
        <v>-4.6974979341030121E-4</v>
      </c>
      <c r="W12" s="19">
        <f>[1]Desempeño_Financiero_Evol!BT50-W11</f>
        <v>1.4054076746106148E-4</v>
      </c>
      <c r="X12" s="19">
        <f>[1]Desempeño_Financiero_Evol!BU50-X11</f>
        <v>-1.3999966904520988E-4</v>
      </c>
      <c r="Y12" s="19">
        <f>[1]Desempeño_Financiero_Evol!BV50-Y11</f>
        <v>-1.1985981836915016E-4</v>
      </c>
      <c r="Z12" s="19">
        <f>[1]Desempeño_Financiero_Evol!BW50-Z11</f>
        <v>-2.6114052161574364E-4</v>
      </c>
      <c r="AA12" s="19">
        <f>[1]Desempeño_Financiero_Evol!BX50-AA11</f>
        <v>-7.9900026321411133E-5</v>
      </c>
      <c r="AB12" s="19">
        <f>[1]Desempeño_Financiero_Evol!BY50-AB11</f>
        <v>-4.9400143325328827E-5</v>
      </c>
      <c r="AC12" s="19">
        <f>[1]Desempeño_Financiero_Evol!BZ50-AC11</f>
        <v>-2.8005009517073631E-4</v>
      </c>
      <c r="AD12" s="19">
        <f>[1]Desempeño_Financiero_Evol!CA50-AD11</f>
        <v>-1.8992042168974876E-4</v>
      </c>
      <c r="AE12" s="19">
        <f>[1]Desempeño_Financiero_Evol!CB50-AE11</f>
        <v>-1.7979927361011505E-4</v>
      </c>
      <c r="AF12" s="19">
        <f>[1]Desempeño_Financiero_Evol!CC50-AF11</f>
        <v>-3.7059932947158813E-4</v>
      </c>
      <c r="AG12" s="19">
        <f>[1]Desempeño_Financiero_Evol!CD50-AG11</f>
        <v>4.2969966307282448E-4</v>
      </c>
      <c r="AH12" s="19">
        <f>[1]Desempeño_Financiero_Evol!CE50-AH11</f>
        <v>3.2040057703852654E-4</v>
      </c>
      <c r="AI12" s="19">
        <f>[1]Desempeño_Financiero_Evol!CF50-AI11</f>
        <v>-1.5040114521980286E-4</v>
      </c>
      <c r="AJ12" s="19">
        <f>[1]Desempeño_Financiero_Evol!CG50-AJ11</f>
        <v>3.4980056807398796E-4</v>
      </c>
      <c r="AK12" s="19">
        <f>[1]Desempeño_Financiero_Evol!CH50-AK11</f>
        <v>-1.1110072955489159E-4</v>
      </c>
      <c r="AL12" s="19">
        <f>[1]Desempeño_Financiero_Evol!CI50-AL11</f>
        <v>-3.2005924731492996E-4</v>
      </c>
      <c r="AM12" s="19">
        <f>[1]Desempeño_Financiero_Evol!CJ50-AM11</f>
        <v>-4.2969966307282448E-4</v>
      </c>
      <c r="AN12" s="19">
        <f>[1]Desempeño_Financiero_Evol!CK50-AN11</f>
        <v>0</v>
      </c>
      <c r="AO12" s="19">
        <f>[1]Desempeño_Financiero_Evol!CL50-AO11</f>
        <v>0</v>
      </c>
      <c r="AP12" s="19">
        <f>[1]Desempeño_Financiero_Evol!CM50-AP11</f>
        <v>0</v>
      </c>
      <c r="AQ12" s="19">
        <f>[1]Desempeño_Financiero_Evol!CN50-AQ11</f>
        <v>0</v>
      </c>
      <c r="AR12" s="19">
        <f>[1]Desempeño_Financiero_Evol!CO50-AR11</f>
        <v>0</v>
      </c>
      <c r="AS12" s="19">
        <f>[1]Desempeño_Financiero_Evol!CP50-AS11</f>
        <v>0</v>
      </c>
      <c r="AT12" s="19">
        <f>[1]Desempeño_Financiero_Evol!CQ50-AT11</f>
        <v>0</v>
      </c>
      <c r="AU12" s="19">
        <f>[1]Desempeño_Financiero_Evol!CR50-AU11</f>
        <v>0</v>
      </c>
      <c r="AV12" s="19">
        <f>[1]Desempeño_Financiero_Evol!CS50-AV11</f>
        <v>0</v>
      </c>
      <c r="AW12" s="19">
        <f>[1]Desempeño_Financiero_Evol!CT50-AW11</f>
        <v>0</v>
      </c>
      <c r="AX12" s="19">
        <f>[1]Desempeño_Financiero_Evol!CU50-AX11</f>
        <v>0</v>
      </c>
      <c r="AY12" s="19">
        <f>[1]Desempeño_Financiero_Evol!CV50-AY11</f>
        <v>0</v>
      </c>
      <c r="AZ12" s="19">
        <f>[1]Desempeño_Financiero_Evol!CW50-AZ11</f>
        <v>0</v>
      </c>
    </row>
    <row r="14" spans="1:81" hidden="1" outlineLevel="1" x14ac:dyDescent="0.25">
      <c r="A14" s="59" t="s">
        <v>52</v>
      </c>
      <c r="C14" s="60" t="s">
        <v>0</v>
      </c>
      <c r="D14" s="8">
        <f>Renta_Alta!D14+Masivo!D14+Consumo_Inicial!D14</f>
        <v>3158143.8683607001</v>
      </c>
      <c r="E14" s="8">
        <f>Renta_Alta!E14+Masivo!E14+Consumo_Inicial!E14</f>
        <v>3223471.8796179695</v>
      </c>
      <c r="F14" s="8">
        <f>Renta_Alta!F14+Masivo!F14+Consumo_Inicial!F14</f>
        <v>3343878.5237366003</v>
      </c>
      <c r="G14" s="8">
        <f>Renta_Alta!G14+Masivo!G14+Consumo_Inicial!G14</f>
        <v>3446583.52165042</v>
      </c>
      <c r="H14" s="8">
        <f>Renta_Alta!H14+Masivo!H14+Consumo_Inicial!H14</f>
        <v>3525126.3628209797</v>
      </c>
      <c r="I14" s="8">
        <f>Renta_Alta!I14+Masivo!I14+Consumo_Inicial!I14</f>
        <v>3573798.2914805003</v>
      </c>
      <c r="J14" s="8">
        <f>Renta_Alta!J14+Masivo!J14+Consumo_Inicial!J14</f>
        <v>3616393.9705937798</v>
      </c>
      <c r="K14" s="8">
        <f>Renta_Alta!K14+Masivo!K14+Consumo_Inicial!K14</f>
        <v>3651568.87944574</v>
      </c>
      <c r="L14" s="8">
        <f>Renta_Alta!L14+Masivo!L14+Consumo_Inicial!L14</f>
        <v>3735693.2997437241</v>
      </c>
      <c r="M14" s="8">
        <f>Renta_Alta!M14+Masivo!M14+Consumo_Inicial!M14</f>
        <v>3736410.0076847002</v>
      </c>
      <c r="N14" s="8">
        <f>Renta_Alta!N14+Masivo!N14+Consumo_Inicial!N14</f>
        <v>3731897.5840473198</v>
      </c>
      <c r="O14" s="8">
        <f>Renta_Alta!O14+Masivo!O14+Consumo_Inicial!O14</f>
        <v>3687840.98503333</v>
      </c>
      <c r="P14" s="8">
        <f>Renta_Alta!P14+Masivo!P14+Consumo_Inicial!P14</f>
        <v>3602227.7735957</v>
      </c>
      <c r="Q14" s="8">
        <f>Renta_Alta!Q14+Masivo!Q14+Consumo_Inicial!Q14</f>
        <v>3519189.5747741004</v>
      </c>
      <c r="R14" s="8">
        <f>Renta_Alta!R14+Masivo!R14+Consumo_Inicial!R14</f>
        <v>3450850.8927352</v>
      </c>
      <c r="S14" s="8">
        <f>Renta_Alta!S14+Masivo!S14+Consumo_Inicial!S14</f>
        <v>3353142.2861168403</v>
      </c>
      <c r="T14" s="8">
        <f>Renta_Alta!T14+Masivo!T14+Consumo_Inicial!T14</f>
        <v>3253692.5450149998</v>
      </c>
      <c r="U14" s="8">
        <f>Renta_Alta!U14+Masivo!U14+Consumo_Inicial!U14</f>
        <v>3142510.9069264703</v>
      </c>
      <c r="V14" s="8">
        <f>Renta_Alta!V14+Masivo!V14+Consumo_Inicial!V14</f>
        <v>3048958.0858800602</v>
      </c>
      <c r="W14" s="8">
        <f>Renta_Alta!W14+Masivo!W14+Consumo_Inicial!W14</f>
        <v>2976898.3951222999</v>
      </c>
      <c r="X14" s="8">
        <f>Renta_Alta!X14+Masivo!X14+Consumo_Inicial!X14</f>
        <v>2938687.8816653597</v>
      </c>
      <c r="Y14" s="8">
        <f>Renta_Alta!Y14+Masivo!Y14+Consumo_Inicial!Y14</f>
        <v>2919493.58897798</v>
      </c>
      <c r="Z14" s="8">
        <f>Renta_Alta!Z14+Masivo!Z14+Consumo_Inicial!Z14</f>
        <v>2894634.15261772</v>
      </c>
      <c r="AA14" s="8">
        <f>Renta_Alta!AA14+Masivo!AA14+Consumo_Inicial!AA14</f>
        <v>2871581.5262779002</v>
      </c>
      <c r="AB14" s="8">
        <f>Renta_Alta!AB14+Masivo!AB14+Consumo_Inicial!AB14</f>
        <v>2826956.6588810501</v>
      </c>
      <c r="AC14" s="8">
        <f>Renta_Alta!AC14+Masivo!AC14+Consumo_Inicial!AC14</f>
        <v>2822733.9713770002</v>
      </c>
      <c r="AD14" s="8">
        <f>Renta_Alta!AD14+Masivo!AD14+Consumo_Inicial!AD14</f>
        <v>2841610.0432182099</v>
      </c>
      <c r="AE14" s="8">
        <f>Renta_Alta!AE14+Masivo!AE14+Consumo_Inicial!AE14</f>
        <v>2845777.1085610799</v>
      </c>
      <c r="AF14" s="8">
        <f>Renta_Alta!AF14+Masivo!AF14+Consumo_Inicial!AF14</f>
        <v>2846832.4502618001</v>
      </c>
      <c r="AG14" s="8">
        <f>Renta_Alta!AG14+Masivo!AG14+Consumo_Inicial!AG14</f>
        <v>2845245.9568238799</v>
      </c>
      <c r="AH14" s="8">
        <f>Renta_Alta!AH14+Masivo!AH14+Consumo_Inicial!AH14</f>
        <v>2850535.34840478</v>
      </c>
      <c r="AI14" s="8">
        <f>Renta_Alta!AI14+Masivo!AI14+Consumo_Inicial!AI14</f>
        <v>2878344.0311866496</v>
      </c>
      <c r="AJ14" s="8">
        <f>Renta_Alta!AJ14+Masivo!AJ14+Consumo_Inicial!AJ14</f>
        <v>2909885.9467009995</v>
      </c>
      <c r="AK14" s="8">
        <f>Renta_Alta!AK14+Masivo!AK14+Consumo_Inicial!AK14</f>
        <v>2964253.9687412805</v>
      </c>
      <c r="AL14" s="8">
        <f>Renta_Alta!AL14+Masivo!AL14+Consumo_Inicial!AL14</f>
        <v>3018335.3458154998</v>
      </c>
      <c r="AM14" s="8">
        <f>Renta_Alta!AM14+Masivo!AM14+Consumo_Inicial!AM14</f>
        <v>3034964.0066275001</v>
      </c>
      <c r="AN14" s="8">
        <f>Renta_Alta!AN14+Masivo!AN14+Consumo_Inicial!AN14</f>
        <v>3042451.9400000004</v>
      </c>
      <c r="AO14" s="8">
        <f>Renta_Alta!AO14+Masivo!AO14+Consumo_Inicial!AO14</f>
        <v>3096567.55</v>
      </c>
      <c r="AP14" s="8">
        <f>Renta_Alta!AP14+Masivo!AP14+Consumo_Inicial!AP14</f>
        <v>3165468.54</v>
      </c>
      <c r="AQ14" s="8">
        <f>Renta_Alta!AQ14+Masivo!AQ14+Consumo_Inicial!AQ14</f>
        <v>3202597.6851863391</v>
      </c>
      <c r="AR14" s="8">
        <f>Renta_Alta!AR14+Masivo!AR14+Consumo_Inicial!AR14</f>
        <v>3258957.4941333202</v>
      </c>
      <c r="AS14" s="8">
        <f>Renta_Alta!AS14+Masivo!AS14+Consumo_Inicial!AS14</f>
        <v>3342353.1980914506</v>
      </c>
      <c r="AT14" s="8">
        <f>Renta_Alta!AT14+Masivo!AT14+Consumo_Inicial!AT14</f>
        <v>0</v>
      </c>
      <c r="AU14" s="8">
        <f>Renta_Alta!AU14+Masivo!AU14+Consumo_Inicial!AU14</f>
        <v>0</v>
      </c>
      <c r="AV14" s="8">
        <f>Renta_Alta!AV14+Masivo!AV14+Consumo_Inicial!AV14</f>
        <v>0</v>
      </c>
      <c r="AW14" s="8">
        <f>Renta_Alta!AW14+Masivo!AW14+Consumo_Inicial!AW14</f>
        <v>0</v>
      </c>
      <c r="AX14" s="8">
        <f>Renta_Alta!AX14+Masivo!AX14+Consumo_Inicial!AX14</f>
        <v>0</v>
      </c>
      <c r="AY14" s="8">
        <f>Renta_Alta!AY14+Masivo!AY14+Consumo_Inicial!AY14</f>
        <v>0</v>
      </c>
      <c r="AZ14" s="8">
        <f>Renta_Alta!AZ14+Masivo!AZ14+Consumo_Inicial!AZ14</f>
        <v>3046086.2746656365</v>
      </c>
      <c r="BA14" s="8">
        <f>Renta_Alta!BA14+Masivo!BA14+Consumo_Inicial!BA14</f>
        <v>3054482.0777522125</v>
      </c>
      <c r="BB14" s="8">
        <f>Renta_Alta!BB14+Masivo!BB14+Consumo_Inicial!BB14</f>
        <v>3078694.5854300028</v>
      </c>
      <c r="BC14" s="8">
        <f>Renta_Alta!BC14+Masivo!BC14+Consumo_Inicial!BC14</f>
        <v>3122814.5902864099</v>
      </c>
      <c r="BD14" s="8">
        <f>Renta_Alta!BD14+Masivo!BD14+Consumo_Inicial!BD14</f>
        <v>3178630.8307432071</v>
      </c>
      <c r="BE14" s="8">
        <f>Renta_Alta!BE14+Masivo!BE14+Consumo_Inicial!BE14</f>
        <v>3227023.2196521643</v>
      </c>
      <c r="BF14" s="8">
        <f>Renta_Alta!BF14+Masivo!BF14+Consumo_Inicial!BF14</f>
        <v>3253882.8808673648</v>
      </c>
      <c r="BG14" s="8">
        <f>Renta_Alta!BG14+Masivo!BG14+Consumo_Inicial!BG14</f>
        <v>3281559.2604796584</v>
      </c>
      <c r="BH14" s="8">
        <f>Renta_Alta!BH14+Masivo!BH14+Consumo_Inicial!BH14</f>
        <v>3328965.7061126353</v>
      </c>
      <c r="BI14" s="8">
        <f>Renta_Alta!BI14+Masivo!BI14+Consumo_Inicial!BI14</f>
        <v>3385418.4478953797</v>
      </c>
      <c r="BJ14" s="8">
        <f>Renta_Alta!BJ14+Masivo!BJ14+Consumo_Inicial!BJ14</f>
        <v>3427183.7749567223</v>
      </c>
      <c r="BK14" s="8">
        <f>Renta_Alta!BK14+Masivo!BK14+Consumo_Inicial!BK14</f>
        <v>3447409.6282713725</v>
      </c>
      <c r="BO14" s="24">
        <f t="shared" ref="BO14:BT16" si="10">IFERROR(AVERAGEIFS($D14:$BM14,$D$6:$BM$6,"&gt;="&amp;BO$2,$D$6:$BM$6,"&lt;="&amp;BO$6,$D$5:$BM$5,BO$5,$D14:$BM14,"&lt;&gt;0"),0)</f>
        <v>3101496.0100000002</v>
      </c>
      <c r="BP14" s="24">
        <f t="shared" si="10"/>
        <v>3059754.3126159511</v>
      </c>
      <c r="BQ14" s="24">
        <f t="shared" si="10"/>
        <v>3069509.7450000001</v>
      </c>
      <c r="BR14" s="24">
        <f t="shared" si="10"/>
        <v>2830433.5578254201</v>
      </c>
      <c r="BS14" s="24">
        <f t="shared" si="10"/>
        <v>3524089.413701667</v>
      </c>
      <c r="BT14" s="24">
        <f t="shared" si="10"/>
        <v>3241831.42390509</v>
      </c>
      <c r="BW14" s="24">
        <f t="shared" ref="BW14:CB16" si="11">SUMIFS($D14:$BM14,$D$6:$BM$6,"&gt;="&amp;BO$2,$D$6:$BM$6,"&lt;="&amp;BO$6,$D$5:$BM$5,BO$5)</f>
        <v>9304488.0300000012</v>
      </c>
      <c r="BX14" s="24">
        <f t="shared" si="11"/>
        <v>9179262.9378478527</v>
      </c>
      <c r="BY14" s="24">
        <f t="shared" si="11"/>
        <v>6139019.4900000002</v>
      </c>
      <c r="BZ14" s="24">
        <f t="shared" si="11"/>
        <v>8491300.6734762602</v>
      </c>
      <c r="CA14" s="24">
        <f t="shared" si="11"/>
        <v>10572268.241105001</v>
      </c>
      <c r="CB14" s="24">
        <f t="shared" si="11"/>
        <v>9725494.2717152704</v>
      </c>
    </row>
    <row r="15" spans="1:81" hidden="1" outlineLevel="1" x14ac:dyDescent="0.25">
      <c r="A15" s="59" t="s">
        <v>52</v>
      </c>
      <c r="C15" s="60" t="s">
        <v>1</v>
      </c>
      <c r="D15" s="8">
        <f>Renta_Alta!D15+Masivo!D15+Consumo_Inicial!D15</f>
        <v>11558.804909999999</v>
      </c>
      <c r="E15" s="8">
        <f>Renta_Alta!E15+Masivo!E15+Consumo_Inicial!E15</f>
        <v>12005.689910000001</v>
      </c>
      <c r="F15" s="8">
        <f>Renta_Alta!F15+Masivo!F15+Consumo_Inicial!F15</f>
        <v>12441.220657799999</v>
      </c>
      <c r="G15" s="8">
        <f>Renta_Alta!G15+Masivo!G15+Consumo_Inicial!G15</f>
        <v>11919.02523148</v>
      </c>
      <c r="H15" s="8">
        <f>Renta_Alta!H15+Masivo!H15+Consumo_Inicial!H15</f>
        <v>10988.5379624</v>
      </c>
      <c r="I15" s="8">
        <f>Renta_Alta!I15+Masivo!I15+Consumo_Inicial!I15</f>
        <v>10143.9436045</v>
      </c>
      <c r="J15" s="8">
        <f>Renta_Alta!J15+Masivo!J15+Consumo_Inicial!J15</f>
        <v>9514.0315534800011</v>
      </c>
      <c r="K15" s="8">
        <f>Renta_Alta!K15+Masivo!K15+Consumo_Inicial!K15</f>
        <v>8636.6126597599996</v>
      </c>
      <c r="L15" s="8">
        <f>Renta_Alta!L15+Masivo!L15+Consumo_Inicial!L15</f>
        <v>8338.0419087499995</v>
      </c>
      <c r="M15" s="8">
        <f>Renta_Alta!M15+Masivo!M15+Consumo_Inicial!M15</f>
        <v>7738.7857933000014</v>
      </c>
      <c r="N15" s="8">
        <f>Renta_Alta!N15+Masivo!N15+Consumo_Inicial!N15</f>
        <v>6740.2812754200004</v>
      </c>
      <c r="O15" s="8">
        <f>Renta_Alta!O15+Masivo!O15+Consumo_Inicial!O15</f>
        <v>6307.733048789999</v>
      </c>
      <c r="P15" s="8">
        <f>Renta_Alta!P15+Masivo!P15+Consumo_Inicial!P15</f>
        <v>5648.7688500000004</v>
      </c>
      <c r="Q15" s="8">
        <f>Renta_Alta!Q15+Masivo!Q15+Consumo_Inicial!Q15</f>
        <v>5330.2061400000002</v>
      </c>
      <c r="R15" s="8">
        <f>Renta_Alta!R15+Masivo!R15+Consumo_Inicial!R15</f>
        <v>6162.1973199999993</v>
      </c>
      <c r="S15" s="8">
        <f>Renta_Alta!S15+Masivo!S15+Consumo_Inicial!S15</f>
        <v>10003.644019999998</v>
      </c>
      <c r="T15" s="8">
        <f>Renta_Alta!T15+Masivo!T15+Consumo_Inicial!T15</f>
        <v>19751.964469999999</v>
      </c>
      <c r="U15" s="8">
        <f>Renta_Alta!U15+Masivo!U15+Consumo_Inicial!U15</f>
        <v>32329.686660000003</v>
      </c>
      <c r="V15" s="8">
        <f>Renta_Alta!V15+Masivo!V15+Consumo_Inicial!V15</f>
        <v>39643.897229999995</v>
      </c>
      <c r="W15" s="8">
        <f>Renta_Alta!W15+Masivo!W15+Consumo_Inicial!W15</f>
        <v>43680.815280000003</v>
      </c>
      <c r="X15" s="8">
        <f>Renta_Alta!X15+Masivo!X15+Consumo_Inicial!X15</f>
        <v>45237.289149999997</v>
      </c>
      <c r="Y15" s="8">
        <f>Renta_Alta!Y15+Masivo!Y15+Consumo_Inicial!Y15</f>
        <v>44057.838409999997</v>
      </c>
      <c r="Z15" s="8">
        <f>Renta_Alta!Z15+Masivo!Z15+Consumo_Inicial!Z15</f>
        <v>44126.801819999993</v>
      </c>
      <c r="AA15" s="8">
        <f>Renta_Alta!AA15+Masivo!AA15+Consumo_Inicial!AA15</f>
        <v>44484.755370000006</v>
      </c>
      <c r="AB15" s="8">
        <f>Renta_Alta!AB15+Masivo!AB15+Consumo_Inicial!AB15</f>
        <v>44818.405169999998</v>
      </c>
      <c r="AC15" s="8">
        <f>Renta_Alta!AC15+Masivo!AC15+Consumo_Inicial!AC15</f>
        <v>44175.168039999997</v>
      </c>
      <c r="AD15" s="8">
        <f>Renta_Alta!AD15+Masivo!AD15+Consumo_Inicial!AD15</f>
        <v>44237.049360000005</v>
      </c>
      <c r="AE15" s="8">
        <f>Renta_Alta!AE15+Masivo!AE15+Consumo_Inicial!AE15</f>
        <v>46012.85974</v>
      </c>
      <c r="AF15" s="8">
        <f>Renta_Alta!AF15+Masivo!AF15+Consumo_Inicial!AF15</f>
        <v>44563.881820000002</v>
      </c>
      <c r="AG15" s="8">
        <f>Renta_Alta!AG15+Masivo!AG15+Consumo_Inicial!AG15</f>
        <v>43162.356079999998</v>
      </c>
      <c r="AH15" s="8">
        <f>Renta_Alta!AH15+Masivo!AH15+Consumo_Inicial!AH15</f>
        <v>42270.483269999997</v>
      </c>
      <c r="AI15" s="8">
        <f>Renta_Alta!AI15+Masivo!AI15+Consumo_Inicial!AI15</f>
        <v>40923.297489999997</v>
      </c>
      <c r="AJ15" s="8">
        <f>Renta_Alta!AJ15+Masivo!AJ15+Consumo_Inicial!AJ15</f>
        <v>40479.740379999996</v>
      </c>
      <c r="AK15" s="8">
        <f>Renta_Alta!AK15+Masivo!AK15+Consumo_Inicial!AK15</f>
        <v>39807.812590000001</v>
      </c>
      <c r="AL15" s="8">
        <f>Renta_Alta!AL15+Masivo!AL15+Consumo_Inicial!AL15</f>
        <v>38839.945269999997</v>
      </c>
      <c r="AM15" s="8">
        <f>Renta_Alta!AM15+Masivo!AM15+Consumo_Inicial!AM15</f>
        <v>38725.73014</v>
      </c>
      <c r="AN15" s="8">
        <f>Renta_Alta!AN15+Masivo!AN15+Consumo_Inicial!AN15</f>
        <v>37998.17</v>
      </c>
      <c r="AO15" s="8">
        <f>Renta_Alta!AO15+Masivo!AO15+Consumo_Inicial!AO15</f>
        <v>37148</v>
      </c>
      <c r="AP15" s="8">
        <f>Renta_Alta!AP15+Masivo!AP15+Consumo_Inicial!AP15</f>
        <v>36267.490000000005</v>
      </c>
      <c r="AQ15" s="8">
        <f>Renta_Alta!AQ15+Masivo!AQ15+Consumo_Inicial!AQ15</f>
        <v>35492.622779999998</v>
      </c>
      <c r="AR15" s="8">
        <f>Renta_Alta!AR15+Masivo!AR15+Consumo_Inicial!AR15</f>
        <v>34942.012969999996</v>
      </c>
      <c r="AS15" s="8">
        <f>Renta_Alta!AS15+Masivo!AS15+Consumo_Inicial!AS15</f>
        <v>34402.16719</v>
      </c>
      <c r="AT15" s="8">
        <f>Renta_Alta!AT15+Masivo!AT15+Consumo_Inicial!AT15</f>
        <v>0</v>
      </c>
      <c r="AU15" s="8">
        <f>Renta_Alta!AU15+Masivo!AU15+Consumo_Inicial!AU15</f>
        <v>0</v>
      </c>
      <c r="AV15" s="8">
        <f>Renta_Alta!AV15+Masivo!AV15+Consumo_Inicial!AV15</f>
        <v>0</v>
      </c>
      <c r="AW15" s="8">
        <f>Renta_Alta!AW15+Masivo!AW15+Consumo_Inicial!AW15</f>
        <v>0</v>
      </c>
      <c r="AX15" s="8">
        <f>Renta_Alta!AX15+Masivo!AX15+Consumo_Inicial!AX15</f>
        <v>0</v>
      </c>
      <c r="AY15" s="8">
        <f>Renta_Alta!AY15+Masivo!AY15+Consumo_Inicial!AY15</f>
        <v>0</v>
      </c>
      <c r="AZ15" s="8">
        <f>Renta_Alta!AZ15+Masivo!AZ15+Consumo_Inicial!AZ15</f>
        <v>35085.94875566478</v>
      </c>
      <c r="BA15" s="8">
        <f>Renta_Alta!BA15+Masivo!BA15+Consumo_Inicial!BA15</f>
        <v>33321.462755499415</v>
      </c>
      <c r="BB15" s="8">
        <f>Renta_Alta!BB15+Masivo!BB15+Consumo_Inicial!BB15</f>
        <v>31668.279046356842</v>
      </c>
      <c r="BC15" s="8">
        <f>Renta_Alta!BC15+Masivo!BC15+Consumo_Inicial!BC15</f>
        <v>30477.668017344775</v>
      </c>
      <c r="BD15" s="8">
        <f>Renta_Alta!BD15+Masivo!BD15+Consumo_Inicial!BD15</f>
        <v>29528.623597128357</v>
      </c>
      <c r="BE15" s="8">
        <f>Renta_Alta!BE15+Masivo!BE15+Consumo_Inicial!BE15</f>
        <v>28377.719309322842</v>
      </c>
      <c r="BF15" s="8">
        <f>Renta_Alta!BF15+Masivo!BF15+Consumo_Inicial!BF15</f>
        <v>27437.92898624107</v>
      </c>
      <c r="BG15" s="8">
        <f>Renta_Alta!BG15+Masivo!BG15+Consumo_Inicial!BG15</f>
        <v>26649.916728758253</v>
      </c>
      <c r="BH15" s="8">
        <f>Renta_Alta!BH15+Masivo!BH15+Consumo_Inicial!BH15</f>
        <v>25654.203384582826</v>
      </c>
      <c r="BI15" s="8">
        <f>Renta_Alta!BI15+Masivo!BI15+Consumo_Inicial!BI15</f>
        <v>24812.405985380305</v>
      </c>
      <c r="BJ15" s="8">
        <f>Renta_Alta!BJ15+Masivo!BJ15+Consumo_Inicial!BJ15</f>
        <v>24148.621916261916</v>
      </c>
      <c r="BK15" s="8">
        <f>Renta_Alta!BK15+Masivo!BK15+Consumo_Inicial!BK15</f>
        <v>23625.138205542571</v>
      </c>
      <c r="BO15" s="24">
        <f t="shared" si="10"/>
        <v>37137.886666666665</v>
      </c>
      <c r="BP15" s="24">
        <f t="shared" si="10"/>
        <v>33358.563519173673</v>
      </c>
      <c r="BQ15" s="24">
        <f t="shared" si="10"/>
        <v>37573.084999999999</v>
      </c>
      <c r="BR15" s="24">
        <f t="shared" si="10"/>
        <v>44410.207523333338</v>
      </c>
      <c r="BS15" s="24">
        <f t="shared" si="10"/>
        <v>5713.7241033333339</v>
      </c>
      <c r="BT15" s="24">
        <f t="shared" si="10"/>
        <v>12001.905159266666</v>
      </c>
      <c r="BW15" s="24">
        <f t="shared" si="11"/>
        <v>111413.66</v>
      </c>
      <c r="BX15" s="24">
        <f t="shared" si="11"/>
        <v>100075.69055752103</v>
      </c>
      <c r="BY15" s="24">
        <f t="shared" si="11"/>
        <v>75146.17</v>
      </c>
      <c r="BZ15" s="24">
        <f t="shared" si="11"/>
        <v>133230.62257000001</v>
      </c>
      <c r="CA15" s="24">
        <f t="shared" si="11"/>
        <v>17141.172310000002</v>
      </c>
      <c r="CB15" s="24">
        <f t="shared" si="11"/>
        <v>36005.715477799997</v>
      </c>
    </row>
    <row r="16" spans="1:81" hidden="1" outlineLevel="1" x14ac:dyDescent="0.25">
      <c r="A16" s="59" t="s">
        <v>52</v>
      </c>
      <c r="C16" s="60" t="s">
        <v>45</v>
      </c>
      <c r="D16" s="8">
        <f>Renta_Alta!D16+Masivo!D16+Consumo_Inicial!D16</f>
        <v>87323.449326579997</v>
      </c>
      <c r="E16" s="8">
        <f>Renta_Alta!E16+Masivo!E16+Consumo_Inicial!E16</f>
        <v>87859.363438359986</v>
      </c>
      <c r="F16" s="8">
        <f>Renta_Alta!F16+Masivo!F16+Consumo_Inicial!F16</f>
        <v>78613.722669199982</v>
      </c>
      <c r="G16" s="8">
        <f>Renta_Alta!G16+Masivo!G16+Consumo_Inicial!G16</f>
        <v>75931.778721419993</v>
      </c>
      <c r="H16" s="8">
        <f>Renta_Alta!H16+Masivo!H16+Consumo_Inicial!H16</f>
        <v>68785.834899639987</v>
      </c>
      <c r="I16" s="8">
        <f>Renta_Alta!I16+Masivo!I16+Consumo_Inicial!I16</f>
        <v>75827.006626500006</v>
      </c>
      <c r="J16" s="8">
        <f>Renta_Alta!J16+Masivo!J16+Consumo_Inicial!J16</f>
        <v>90692.774116929984</v>
      </c>
      <c r="K16" s="8">
        <f>Renta_Alta!K16+Masivo!K16+Consumo_Inicial!K16</f>
        <v>138012.13292818001</v>
      </c>
      <c r="L16" s="8">
        <f>Renta_Alta!L16+Masivo!L16+Consumo_Inicial!L16</f>
        <v>169016.83854540001</v>
      </c>
      <c r="M16" s="8">
        <f>Renta_Alta!M16+Masivo!M16+Consumo_Inicial!M16</f>
        <v>162311.91826704997</v>
      </c>
      <c r="N16" s="8">
        <f>Renta_Alta!N16+Masivo!N16+Consumo_Inicial!N16</f>
        <v>151978.99685187999</v>
      </c>
      <c r="O16" s="8">
        <f>Renta_Alta!O16+Masivo!O16+Consumo_Inicial!O16</f>
        <v>145979.31567167997</v>
      </c>
      <c r="P16" s="8">
        <f>Renta_Alta!P16+Masivo!P16+Consumo_Inicial!P16</f>
        <v>175744.38280961997</v>
      </c>
      <c r="Q16" s="8">
        <f>Renta_Alta!Q16+Masivo!Q16+Consumo_Inicial!Q16</f>
        <v>181250.14813356</v>
      </c>
      <c r="R16" s="8">
        <f>Renta_Alta!R16+Masivo!R16+Consumo_Inicial!R16</f>
        <v>178129.14890008001</v>
      </c>
      <c r="S16" s="8">
        <f>Renta_Alta!S16+Masivo!S16+Consumo_Inicial!S16</f>
        <v>219210.80945892003</v>
      </c>
      <c r="T16" s="8">
        <f>Renta_Alta!T16+Masivo!T16+Consumo_Inicial!T16</f>
        <v>222435.12334840003</v>
      </c>
      <c r="U16" s="8">
        <f>Renta_Alta!U16+Masivo!U16+Consumo_Inicial!U16</f>
        <v>218520.31261681</v>
      </c>
      <c r="V16" s="8">
        <f>Renta_Alta!V16+Masivo!V16+Consumo_Inicial!V16</f>
        <v>195673.91135359998</v>
      </c>
      <c r="W16" s="8">
        <f>Renta_Alta!W16+Masivo!W16+Consumo_Inicial!W16</f>
        <v>174491.63376071001</v>
      </c>
      <c r="X16" s="8">
        <f>Renta_Alta!X16+Masivo!X16+Consumo_Inicial!X16</f>
        <v>173460.22345168001</v>
      </c>
      <c r="Y16" s="8">
        <f>Renta_Alta!Y16+Masivo!Y16+Consumo_Inicial!Y16</f>
        <v>149284.71479951998</v>
      </c>
      <c r="Z16" s="8">
        <f>Renta_Alta!Z16+Masivo!Z16+Consumo_Inicial!Z16</f>
        <v>132617.09792484</v>
      </c>
      <c r="AA16" s="8">
        <f>Renta_Alta!AA16+Masivo!AA16+Consumo_Inicial!AA16</f>
        <v>119640.88806930001</v>
      </c>
      <c r="AB16" s="8">
        <f>Renta_Alta!AB16+Masivo!AB16+Consumo_Inicial!AB16</f>
        <v>139445.69333911999</v>
      </c>
      <c r="AC16" s="8">
        <f>Renta_Alta!AC16+Masivo!AC16+Consumo_Inicial!AC16</f>
        <v>139677.28103799999</v>
      </c>
      <c r="AD16" s="8">
        <f>Renta_Alta!AD16+Masivo!AD16+Consumo_Inicial!AD16</f>
        <v>122146.44726766</v>
      </c>
      <c r="AE16" s="8">
        <f>Renta_Alta!AE16+Masivo!AE16+Consumo_Inicial!AE16</f>
        <v>124003.60839026001</v>
      </c>
      <c r="AF16" s="8">
        <f>Renta_Alta!AF16+Masivo!AF16+Consumo_Inicial!AF16</f>
        <v>124092.29516379999</v>
      </c>
      <c r="AG16" s="8">
        <f>Renta_Alta!AG16+Masivo!AG16+Consumo_Inicial!AG16</f>
        <v>127884.59830403999</v>
      </c>
      <c r="AH16" s="8">
        <f>Renta_Alta!AH16+Masivo!AH16+Consumo_Inicial!AH16</f>
        <v>119433.69524145999</v>
      </c>
      <c r="AI16" s="8">
        <f>Renta_Alta!AI16+Masivo!AI16+Consumo_Inicial!AI16</f>
        <v>120206.81189595001</v>
      </c>
      <c r="AJ16" s="8">
        <f>Renta_Alta!AJ16+Masivo!AJ16+Consumo_Inicial!AJ16</f>
        <v>116655.50059681</v>
      </c>
      <c r="AK16" s="8">
        <f>Renta_Alta!AK16+Masivo!AK16+Consumo_Inicial!AK16</f>
        <v>114435.16009896</v>
      </c>
      <c r="AL16" s="8">
        <f>Renta_Alta!AL16+Masivo!AL16+Consumo_Inicial!AL16</f>
        <v>99981.320272619982</v>
      </c>
      <c r="AM16" s="8">
        <f>Renta_Alta!AM16+Masivo!AM16+Consumo_Inicial!AM16</f>
        <v>93258.37351927998</v>
      </c>
      <c r="AN16" s="8">
        <f>Renta_Alta!AN16+Masivo!AN16+Consumo_Inicial!AN16</f>
        <v>103087.53</v>
      </c>
      <c r="AO16" s="8">
        <f>Renta_Alta!AO16+Masivo!AO16+Consumo_Inicial!AO16</f>
        <v>101854.37</v>
      </c>
      <c r="AP16" s="8">
        <f>Renta_Alta!AP16+Masivo!AP16+Consumo_Inicial!AP16</f>
        <v>96644.160000000003</v>
      </c>
      <c r="AQ16" s="8">
        <f>Renta_Alta!AQ16+Masivo!AQ16+Consumo_Inicial!AQ16</f>
        <v>89947.819722479995</v>
      </c>
      <c r="AR16" s="8">
        <f>Renta_Alta!AR16+Masivo!AR16+Consumo_Inicial!AR16</f>
        <v>85258.690910380014</v>
      </c>
      <c r="AS16" s="8">
        <f>Renta_Alta!AS16+Masivo!AS16+Consumo_Inicial!AS16</f>
        <v>89362.962277350001</v>
      </c>
      <c r="AT16" s="8">
        <f>Renta_Alta!AT16+Masivo!AT16+Consumo_Inicial!AT16</f>
        <v>0</v>
      </c>
      <c r="AU16" s="8">
        <f>Renta_Alta!AU16+Masivo!AU16+Consumo_Inicial!AU16</f>
        <v>0</v>
      </c>
      <c r="AV16" s="8">
        <f>Renta_Alta!AV16+Masivo!AV16+Consumo_Inicial!AV16</f>
        <v>0</v>
      </c>
      <c r="AW16" s="8">
        <f>Renta_Alta!AW16+Masivo!AW16+Consumo_Inicial!AW16</f>
        <v>0</v>
      </c>
      <c r="AX16" s="8">
        <f>Renta_Alta!AX16+Masivo!AX16+Consumo_Inicial!AX16</f>
        <v>0</v>
      </c>
      <c r="AY16" s="8">
        <f>Renta_Alta!AY16+Masivo!AY16+Consumo_Inicial!AY16</f>
        <v>0</v>
      </c>
      <c r="AZ16" s="8">
        <f>Renta_Alta!AZ16+Masivo!AZ16+Consumo_Inicial!AZ16</f>
        <v>112313.93233026654</v>
      </c>
      <c r="BA16" s="8">
        <f>Renta_Alta!BA16+Masivo!BA16+Consumo_Inicial!BA16</f>
        <v>111717.63364191896</v>
      </c>
      <c r="BB16" s="8">
        <f>Renta_Alta!BB16+Masivo!BB16+Consumo_Inicial!BB16</f>
        <v>108022.07401630754</v>
      </c>
      <c r="BC16" s="8">
        <f>Renta_Alta!BC16+Masivo!BC16+Consumo_Inicial!BC16</f>
        <v>106278.40027905926</v>
      </c>
      <c r="BD16" s="8">
        <f>Renta_Alta!BD16+Masivo!BD16+Consumo_Inicial!BD16</f>
        <v>106004.55335432199</v>
      </c>
      <c r="BE16" s="8">
        <f>Renta_Alta!BE16+Masivo!BE16+Consumo_Inicial!BE16</f>
        <v>105730.4549874643</v>
      </c>
      <c r="BF16" s="8">
        <f>Renta_Alta!BF16+Masivo!BF16+Consumo_Inicial!BF16</f>
        <v>104440.81264601026</v>
      </c>
      <c r="BG16" s="8">
        <f>Renta_Alta!BG16+Masivo!BG16+Consumo_Inicial!BG16</f>
        <v>105768.43347715319</v>
      </c>
      <c r="BH16" s="8">
        <f>Renta_Alta!BH16+Masivo!BH16+Consumo_Inicial!BH16</f>
        <v>106660.04344730357</v>
      </c>
      <c r="BI16" s="8">
        <f>Renta_Alta!BI16+Masivo!BI16+Consumo_Inicial!BI16</f>
        <v>106984.27104172637</v>
      </c>
      <c r="BJ16" s="8">
        <f>Renta_Alta!BJ16+Masivo!BJ16+Consumo_Inicial!BJ16</f>
        <v>106847.57005145928</v>
      </c>
      <c r="BK16" s="8">
        <f>Renta_Alta!BK16+Masivo!BK16+Consumo_Inicial!BK16</f>
        <v>107280.77478725863</v>
      </c>
      <c r="BO16" s="24">
        <f t="shared" si="10"/>
        <v>100528.68666666666</v>
      </c>
      <c r="BP16" s="24">
        <f t="shared" si="10"/>
        <v>110684.54666283102</v>
      </c>
      <c r="BQ16" s="24">
        <f t="shared" si="10"/>
        <v>102470.95</v>
      </c>
      <c r="BR16" s="24">
        <f t="shared" si="10"/>
        <v>133756.47388159332</v>
      </c>
      <c r="BS16" s="24">
        <f t="shared" si="10"/>
        <v>178374.55994775333</v>
      </c>
      <c r="BT16" s="24">
        <f t="shared" si="10"/>
        <v>84598.845144713312</v>
      </c>
      <c r="BW16" s="24">
        <f t="shared" si="11"/>
        <v>301586.06</v>
      </c>
      <c r="BX16" s="24">
        <f t="shared" si="11"/>
        <v>332053.63998849306</v>
      </c>
      <c r="BY16" s="24">
        <f t="shared" si="11"/>
        <v>204941.9</v>
      </c>
      <c r="BZ16" s="24">
        <f t="shared" si="11"/>
        <v>401269.42164477997</v>
      </c>
      <c r="CA16" s="24">
        <f t="shared" si="11"/>
        <v>535123.67984325998</v>
      </c>
      <c r="CB16" s="24">
        <f t="shared" si="11"/>
        <v>253796.53543413995</v>
      </c>
    </row>
    <row r="17" spans="1:80" collapsed="1" x14ac:dyDescent="0.25">
      <c r="C17" s="61" t="s">
        <v>56</v>
      </c>
      <c r="D17" s="62">
        <f t="shared" ref="D17:AI17" si="12">SUM(D14:D16)</f>
        <v>3257026.12259728</v>
      </c>
      <c r="E17" s="62">
        <f t="shared" si="12"/>
        <v>3323336.9329663296</v>
      </c>
      <c r="F17" s="62">
        <f t="shared" si="12"/>
        <v>3434933.4670636002</v>
      </c>
      <c r="G17" s="62">
        <f t="shared" si="12"/>
        <v>3534434.3256033203</v>
      </c>
      <c r="H17" s="62">
        <f t="shared" si="12"/>
        <v>3604900.7356830197</v>
      </c>
      <c r="I17" s="62">
        <f t="shared" si="12"/>
        <v>3659769.2417115001</v>
      </c>
      <c r="J17" s="62">
        <f t="shared" si="12"/>
        <v>3716600.7762641897</v>
      </c>
      <c r="K17" s="62">
        <f t="shared" si="12"/>
        <v>3798217.6250336799</v>
      </c>
      <c r="L17" s="62">
        <f t="shared" si="12"/>
        <v>3913048.1801978741</v>
      </c>
      <c r="M17" s="62">
        <f t="shared" si="12"/>
        <v>3906460.7117450498</v>
      </c>
      <c r="N17" s="62">
        <f t="shared" si="12"/>
        <v>3890616.8621746199</v>
      </c>
      <c r="O17" s="62">
        <f t="shared" si="12"/>
        <v>3840128.0337538002</v>
      </c>
      <c r="P17" s="62">
        <f t="shared" si="12"/>
        <v>3783620.92525532</v>
      </c>
      <c r="Q17" s="62">
        <f t="shared" si="12"/>
        <v>3705769.9290476604</v>
      </c>
      <c r="R17" s="62">
        <f t="shared" si="12"/>
        <v>3635142.2389552798</v>
      </c>
      <c r="S17" s="62">
        <f t="shared" si="12"/>
        <v>3582356.7395957606</v>
      </c>
      <c r="T17" s="62">
        <f t="shared" si="12"/>
        <v>3495879.6328333998</v>
      </c>
      <c r="U17" s="62">
        <f t="shared" si="12"/>
        <v>3393360.9062032807</v>
      </c>
      <c r="V17" s="62">
        <f t="shared" si="12"/>
        <v>3284275.8944636602</v>
      </c>
      <c r="W17" s="62">
        <f t="shared" si="12"/>
        <v>3195070.8441630099</v>
      </c>
      <c r="X17" s="62">
        <f t="shared" si="12"/>
        <v>3157385.3942670398</v>
      </c>
      <c r="Y17" s="62">
        <f t="shared" si="12"/>
        <v>3112836.1421874999</v>
      </c>
      <c r="Z17" s="62">
        <f t="shared" si="12"/>
        <v>3071378.0523625603</v>
      </c>
      <c r="AA17" s="62">
        <f t="shared" si="12"/>
        <v>3035707.1697172001</v>
      </c>
      <c r="AB17" s="62">
        <f t="shared" si="12"/>
        <v>3011220.7573901704</v>
      </c>
      <c r="AC17" s="62">
        <f t="shared" si="12"/>
        <v>3006586.4204549999</v>
      </c>
      <c r="AD17" s="62">
        <f t="shared" si="12"/>
        <v>3007993.5398458699</v>
      </c>
      <c r="AE17" s="62">
        <f t="shared" si="12"/>
        <v>3015793.5766913402</v>
      </c>
      <c r="AF17" s="62">
        <f t="shared" si="12"/>
        <v>3015488.6272455999</v>
      </c>
      <c r="AG17" s="62">
        <f t="shared" si="12"/>
        <v>3016292.9112079195</v>
      </c>
      <c r="AH17" s="62">
        <f t="shared" si="12"/>
        <v>3012239.5269162403</v>
      </c>
      <c r="AI17" s="62">
        <f t="shared" si="12"/>
        <v>3039474.1405725996</v>
      </c>
      <c r="AJ17" s="62">
        <f t="shared" ref="AJ17:BK17" si="13">SUM(AJ14:AJ16)</f>
        <v>3067021.1876778095</v>
      </c>
      <c r="AK17" s="62">
        <f t="shared" si="13"/>
        <v>3118496.9414302409</v>
      </c>
      <c r="AL17" s="62">
        <f t="shared" si="13"/>
        <v>3157156.6113581196</v>
      </c>
      <c r="AM17" s="62">
        <f t="shared" si="13"/>
        <v>3166948.1102867802</v>
      </c>
      <c r="AN17" s="62">
        <f t="shared" si="13"/>
        <v>3183537.64</v>
      </c>
      <c r="AO17" s="62">
        <f t="shared" si="13"/>
        <v>3235569.92</v>
      </c>
      <c r="AP17" s="62">
        <f t="shared" si="13"/>
        <v>3298380.1900000004</v>
      </c>
      <c r="AQ17" s="62">
        <f t="shared" si="13"/>
        <v>3328038.1276888191</v>
      </c>
      <c r="AR17" s="62">
        <f t="shared" si="13"/>
        <v>3379158.1980137001</v>
      </c>
      <c r="AS17" s="62">
        <f t="shared" si="13"/>
        <v>3466118.3275588006</v>
      </c>
      <c r="AT17" s="62">
        <f t="shared" si="13"/>
        <v>0</v>
      </c>
      <c r="AU17" s="62">
        <f t="shared" si="13"/>
        <v>0</v>
      </c>
      <c r="AV17" s="62">
        <f t="shared" si="13"/>
        <v>0</v>
      </c>
      <c r="AW17" s="62">
        <f t="shared" si="13"/>
        <v>0</v>
      </c>
      <c r="AX17" s="62">
        <f t="shared" si="13"/>
        <v>0</v>
      </c>
      <c r="AY17" s="62">
        <f t="shared" si="13"/>
        <v>0</v>
      </c>
      <c r="AZ17" s="62">
        <f t="shared" si="13"/>
        <v>3193486.1557515678</v>
      </c>
      <c r="BA17" s="62">
        <f t="shared" si="13"/>
        <v>3199521.1741496311</v>
      </c>
      <c r="BB17" s="62">
        <f t="shared" si="13"/>
        <v>3218384.9384926669</v>
      </c>
      <c r="BC17" s="62">
        <f t="shared" si="13"/>
        <v>3259570.6585828136</v>
      </c>
      <c r="BD17" s="62">
        <f t="shared" si="13"/>
        <v>3314164.0076946574</v>
      </c>
      <c r="BE17" s="62">
        <f t="shared" si="13"/>
        <v>3361131.3939489517</v>
      </c>
      <c r="BF17" s="62">
        <f t="shared" si="13"/>
        <v>3385761.6224996164</v>
      </c>
      <c r="BG17" s="62">
        <f t="shared" si="13"/>
        <v>3413977.6106855697</v>
      </c>
      <c r="BH17" s="62">
        <f t="shared" si="13"/>
        <v>3461279.9529445218</v>
      </c>
      <c r="BI17" s="62">
        <f t="shared" si="13"/>
        <v>3517215.1249224865</v>
      </c>
      <c r="BJ17" s="62">
        <f t="shared" si="13"/>
        <v>3558179.9669244434</v>
      </c>
      <c r="BK17" s="62">
        <f t="shared" si="13"/>
        <v>3578315.541264174</v>
      </c>
      <c r="BO17" s="63">
        <f t="shared" ref="BO17:BT17" si="14">SUM(BO14:BO16)</f>
        <v>3239162.5833333335</v>
      </c>
      <c r="BP17" s="63">
        <f t="shared" si="14"/>
        <v>3203797.422797956</v>
      </c>
      <c r="BQ17" s="63">
        <f t="shared" si="14"/>
        <v>3209553.7800000003</v>
      </c>
      <c r="BR17" s="63">
        <f t="shared" si="14"/>
        <v>3008600.2392303469</v>
      </c>
      <c r="BS17" s="63">
        <f t="shared" si="14"/>
        <v>3708177.6977527537</v>
      </c>
      <c r="BT17" s="63">
        <f t="shared" si="14"/>
        <v>3338432.1742090699</v>
      </c>
      <c r="BW17" s="63">
        <f t="shared" ref="BW17:CB17" si="15">SUM(BW14:BW16)</f>
        <v>9717487.7500000019</v>
      </c>
      <c r="BX17" s="63">
        <f t="shared" si="15"/>
        <v>9611392.2683938667</v>
      </c>
      <c r="BY17" s="63">
        <f t="shared" si="15"/>
        <v>6419107.5600000005</v>
      </c>
      <c r="BZ17" s="63">
        <f t="shared" si="15"/>
        <v>9025800.7176910415</v>
      </c>
      <c r="CA17" s="63">
        <f t="shared" si="15"/>
        <v>11124533.093258262</v>
      </c>
      <c r="CB17" s="63">
        <f t="shared" si="15"/>
        <v>10015296.52262721</v>
      </c>
    </row>
    <row r="18" spans="1:80" x14ac:dyDescent="0.25">
      <c r="D18" s="19">
        <f>[1]Desempeño_Financiero_Evol!BA95-D17</f>
        <v>1.090196892619133E-4</v>
      </c>
      <c r="E18" s="19">
        <f>[1]Desempeño_Financiero_Evol!BB95-E17</f>
        <v>5.705198273062706E-4</v>
      </c>
      <c r="F18" s="19">
        <f>[1]Desempeño_Financiero_Evol!BC95-F17</f>
        <v>4.0940102189779282E-4</v>
      </c>
      <c r="G18" s="19">
        <f>[1]Desempeño_Financiero_Evol!BD95-G17</f>
        <v>-5.0120055675506592E-4</v>
      </c>
      <c r="H18" s="19">
        <f>[1]Desempeño_Financiero_Evol!BE95-H17</f>
        <v>1.1985935270786285E-4</v>
      </c>
      <c r="I18" s="19">
        <f>[1]Desempeño_Financiero_Evol!BF95-I17</f>
        <v>-4.710005596280098E-4</v>
      </c>
      <c r="J18" s="19">
        <f>[1]Desempeño_Financiero_Evol!BG95-J17</f>
        <v>4.302002489566803E-4</v>
      </c>
      <c r="K18" s="19">
        <f>[1]Desempeño_Financiero_Evol!BH95-K17</f>
        <v>2.7984008193016052E-4</v>
      </c>
      <c r="L18" s="19">
        <f>[1]Desempeño_Financiero_Evol!BI95-L17</f>
        <v>6.5661640837788582E-4</v>
      </c>
      <c r="M18" s="19">
        <f>[1]Desempeño_Financiero_Evol!BJ95-M17</f>
        <v>7.291007786989212E-4</v>
      </c>
      <c r="N18" s="19">
        <f>[1]Desempeño_Financiero_Evol!BK95-N17</f>
        <v>-1.3066036626696587E-4</v>
      </c>
      <c r="O18" s="19">
        <f>[1]Desempeño_Financiero_Evol!BL95-O17</f>
        <v>-5.2951090037822723E-4</v>
      </c>
      <c r="P18" s="19">
        <f>[1]Desempeño_Financiero_Evol!BM95-P17</f>
        <v>8.18680040538311E-4</v>
      </c>
      <c r="Q18" s="19">
        <f>[1]Desempeño_Financiero_Evol!BN95-Q17</f>
        <v>-4.3970160186290741E-4</v>
      </c>
      <c r="R18" s="19">
        <f>[1]Desempeño_Financiero_Evol!BO95-R17</f>
        <v>2.8870999813079834E-4</v>
      </c>
      <c r="S18" s="19">
        <f>[1]Desempeño_Financiero_Evol!BP95-S17</f>
        <v>-3.600800409913063E-4</v>
      </c>
      <c r="T18" s="19">
        <f>[1]Desempeño_Financiero_Evol!BQ95-T17</f>
        <v>-2.3020012304186821E-4</v>
      </c>
      <c r="U18" s="19">
        <f>[1]Desempeño_Financiero_Evol!BR95-U17</f>
        <v>-1.9981013610959053E-4</v>
      </c>
      <c r="V18" s="19">
        <f>[1]Desempeño_Financiero_Evol!BS95-V17</f>
        <v>1.2029986828565598E-4</v>
      </c>
      <c r="W18" s="19">
        <f>[1]Desempeño_Financiero_Evol!BT95-W17</f>
        <v>-4.5962072908878326E-4</v>
      </c>
      <c r="X18" s="19">
        <f>[1]Desempeño_Financiero_Evol!BU95-X17</f>
        <v>-3.3995881676673889E-4</v>
      </c>
      <c r="Y18" s="19">
        <f>[1]Desempeño_Financiero_Evol!BV95-Y17</f>
        <v>-4.2014056816697121E-4</v>
      </c>
      <c r="Z18" s="19">
        <f>[1]Desempeño_Financiero_Evol!BW95-Z17</f>
        <v>-2.9958039522171021E-4</v>
      </c>
      <c r="AA18" s="19">
        <f>[1]Desempeño_Financiero_Evol!BX95-AA17</f>
        <v>-4.3009966611862183E-4</v>
      </c>
      <c r="AB18" s="19">
        <f>[1]Desempeño_Financiero_Evol!BY95-AB17</f>
        <v>-1.7055030912160873E-4</v>
      </c>
      <c r="AC18" s="19">
        <f>[1]Desempeño_Financiero_Evol!BZ95-AC17</f>
        <v>2.7000019326806068E-4</v>
      </c>
      <c r="AD18" s="19">
        <f>[1]Desempeño_Financiero_Evol!CA95-AD17</f>
        <v>-4.506995901465416E-4</v>
      </c>
      <c r="AE18" s="19">
        <f>[1]Desempeño_Financiero_Evol!CB95-AE17</f>
        <v>-9.8096206784248352E-6</v>
      </c>
      <c r="AF18" s="19">
        <f>[1]Desempeño_Financiero_Evol!CC95-AF17</f>
        <v>8.9598819613456726E-5</v>
      </c>
      <c r="AG18" s="19">
        <f>[1]Desempeño_Financiero_Evol!CD95-AG17</f>
        <v>1.8060021102428436E-4</v>
      </c>
      <c r="AH18" s="19">
        <f>[1]Desempeño_Financiero_Evol!CE95-AH17</f>
        <v>-3.8065994158387184E-4</v>
      </c>
      <c r="AI18" s="19">
        <f>[1]Desempeño_Financiero_Evol!CF95-AI17</f>
        <v>2.8090039268136024E-4</v>
      </c>
      <c r="AJ18" s="19">
        <f>[1]Desempeño_Financiero_Evol!CG95-AJ17</f>
        <v>-3.3046025782823563E-4</v>
      </c>
      <c r="AK18" s="19">
        <f>[1]Desempeño_Financiero_Evol!CH95-AK17</f>
        <v>-3.6008097231388092E-4</v>
      </c>
      <c r="AL18" s="19">
        <f>[1]Desempeño_Financiero_Evol!CI95-AL17</f>
        <v>-2.1021952852606773E-4</v>
      </c>
      <c r="AM18" s="19">
        <f>[1]Desempeño_Financiero_Evol!CJ95-AM17</f>
        <v>3.0902167782187462E-4</v>
      </c>
      <c r="AN18" s="19">
        <f>[1]Desempeño_Financiero_Evol!CK95-AN17</f>
        <v>0</v>
      </c>
      <c r="AO18" s="19">
        <f>[1]Desempeño_Financiero_Evol!CL95-AO17</f>
        <v>0</v>
      </c>
      <c r="AP18" s="19">
        <f>[1]Desempeño_Financiero_Evol!CM95-AP17</f>
        <v>0</v>
      </c>
      <c r="AQ18" s="19">
        <f>[1]Desempeño_Financiero_Evol!CN95-AQ17</f>
        <v>0</v>
      </c>
      <c r="AR18" s="19">
        <f>[1]Desempeño_Financiero_Evol!CO95-AR17</f>
        <v>0</v>
      </c>
      <c r="AS18" s="19">
        <f>[1]Desempeño_Financiero_Evol!CP95-AS17</f>
        <v>0</v>
      </c>
      <c r="AT18" s="19">
        <f>[1]Desempeño_Financiero_Evol!CQ95-AT17</f>
        <v>0</v>
      </c>
      <c r="AU18" s="19">
        <f>[1]Desempeño_Financiero_Evol!CR95-AU17</f>
        <v>0</v>
      </c>
      <c r="AV18" s="19">
        <f>[1]Desempeño_Financiero_Evol!CS95-AV17</f>
        <v>0</v>
      </c>
      <c r="AW18" s="19">
        <f>[1]Desempeño_Financiero_Evol!CT95-AW17</f>
        <v>0</v>
      </c>
      <c r="AX18" s="19">
        <f>[1]Desempeño_Financiero_Evol!CU95-AX17</f>
        <v>0</v>
      </c>
      <c r="AY18" s="19">
        <f>[1]Desempeño_Financiero_Evol!CV95-AY17</f>
        <v>0</v>
      </c>
      <c r="AZ18" s="19">
        <f>[1]Desempeño_Financiero_Evol!CW95-AZ17</f>
        <v>0</v>
      </c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59"/>
      <c r="C20" s="60" t="s">
        <v>0</v>
      </c>
      <c r="D20" s="14">
        <f t="shared" ref="D20:AY20" si="16">IFERROR(((1+D38/D14)^(360/D$3))-1,0)</f>
        <v>0.18688844179189101</v>
      </c>
      <c r="E20" s="14">
        <f t="shared" si="16"/>
        <v>0.18929111353045203</v>
      </c>
      <c r="F20" s="14">
        <f t="shared" si="16"/>
        <v>0.18709846297257249</v>
      </c>
      <c r="G20" s="14">
        <f t="shared" si="16"/>
        <v>0.18094852548676288</v>
      </c>
      <c r="H20" s="14">
        <f t="shared" si="16"/>
        <v>0.19026482223876395</v>
      </c>
      <c r="I20" s="14">
        <f t="shared" si="16"/>
        <v>0.18959245754628062</v>
      </c>
      <c r="J20" s="14">
        <f t="shared" si="16"/>
        <v>0.18872508178497061</v>
      </c>
      <c r="K20" s="14">
        <f t="shared" si="16"/>
        <v>0.189410620891032</v>
      </c>
      <c r="L20" s="14">
        <f t="shared" si="16"/>
        <v>0.18695513560106813</v>
      </c>
      <c r="M20" s="14">
        <f t="shared" si="16"/>
        <v>0.18490152727599796</v>
      </c>
      <c r="N20" s="14">
        <f t="shared" si="16"/>
        <v>0.18137877836379657</v>
      </c>
      <c r="O20" s="14">
        <f t="shared" si="16"/>
        <v>0.17713161571549474</v>
      </c>
      <c r="P20" s="14">
        <f t="shared" si="16"/>
        <v>0.17602014785682019</v>
      </c>
      <c r="Q20" s="14">
        <f t="shared" si="16"/>
        <v>0.17202939249204885</v>
      </c>
      <c r="R20" s="14">
        <f t="shared" si="16"/>
        <v>0.17166177219065171</v>
      </c>
      <c r="S20" s="14">
        <f t="shared" si="16"/>
        <v>0.17470240424502159</v>
      </c>
      <c r="T20" s="14">
        <f t="shared" si="16"/>
        <v>0.17674190985216409</v>
      </c>
      <c r="U20" s="14">
        <f t="shared" si="16"/>
        <v>0.17687073680398679</v>
      </c>
      <c r="V20" s="14">
        <f t="shared" si="16"/>
        <v>0.18084109092751111</v>
      </c>
      <c r="W20" s="14">
        <f t="shared" si="16"/>
        <v>0.17935253501880122</v>
      </c>
      <c r="X20" s="14">
        <f t="shared" si="16"/>
        <v>0.17880763420855117</v>
      </c>
      <c r="Y20" s="14">
        <f t="shared" si="16"/>
        <v>0.17699048946718676</v>
      </c>
      <c r="Z20" s="14">
        <f t="shared" si="16"/>
        <v>0.17288655265536268</v>
      </c>
      <c r="AA20" s="14">
        <f t="shared" si="16"/>
        <v>0.17171681300838171</v>
      </c>
      <c r="AB20" s="14">
        <f t="shared" si="16"/>
        <v>0.17185119725083164</v>
      </c>
      <c r="AC20" s="14">
        <f t="shared" si="16"/>
        <v>0.16889155287044844</v>
      </c>
      <c r="AD20" s="14">
        <f t="shared" si="16"/>
        <v>0.16916884243095831</v>
      </c>
      <c r="AE20" s="14">
        <f t="shared" si="16"/>
        <v>0.16903626478611122</v>
      </c>
      <c r="AF20" s="14">
        <f t="shared" si="16"/>
        <v>0.16827699976039501</v>
      </c>
      <c r="AG20" s="14">
        <f t="shared" si="16"/>
        <v>0.16714256624352886</v>
      </c>
      <c r="AH20" s="14">
        <f t="shared" si="16"/>
        <v>0.16727671829493951</v>
      </c>
      <c r="AI20" s="14">
        <f t="shared" si="16"/>
        <v>0.1669300948092074</v>
      </c>
      <c r="AJ20" s="14">
        <f t="shared" si="16"/>
        <v>0.16710312547103379</v>
      </c>
      <c r="AK20" s="14">
        <f t="shared" si="16"/>
        <v>0.16665032904377819</v>
      </c>
      <c r="AL20" s="14">
        <f t="shared" si="16"/>
        <v>0.16531717313313665</v>
      </c>
      <c r="AM20" s="14">
        <f t="shared" si="16"/>
        <v>0.16766281630117441</v>
      </c>
      <c r="AN20" s="14">
        <f t="shared" si="16"/>
        <v>0.16803473323361295</v>
      </c>
      <c r="AO20" s="14">
        <f t="shared" si="16"/>
        <v>0.16819332775632989</v>
      </c>
      <c r="AP20" s="14">
        <f t="shared" si="16"/>
        <v>0.16676473692188543</v>
      </c>
      <c r="AQ20" s="14">
        <f t="shared" si="16"/>
        <v>0.16463100414936149</v>
      </c>
      <c r="AR20" s="14">
        <f t="shared" si="16"/>
        <v>0.16398826619725626</v>
      </c>
      <c r="AS20" s="14">
        <f t="shared" si="16"/>
        <v>0.16279521660207252</v>
      </c>
      <c r="AT20" s="14">
        <f t="shared" si="16"/>
        <v>0</v>
      </c>
      <c r="AU20" s="14">
        <f t="shared" si="16"/>
        <v>0</v>
      </c>
      <c r="AV20" s="14">
        <f t="shared" si="16"/>
        <v>0</v>
      </c>
      <c r="AW20" s="14">
        <f t="shared" si="16"/>
        <v>0</v>
      </c>
      <c r="AX20" s="14">
        <f t="shared" si="16"/>
        <v>0</v>
      </c>
      <c r="AY20" s="14">
        <f t="shared" si="16"/>
        <v>0</v>
      </c>
      <c r="AZ20" s="14">
        <f t="shared" ref="AZ20:BK20" si="17">IFERROR(((1+AZ38/AZ14)^(360/AZ$3))-1,0)</f>
        <v>0.16651396127070672</v>
      </c>
      <c r="BA20" s="14">
        <f t="shared" si="17"/>
        <v>0.16542499076052408</v>
      </c>
      <c r="BB20" s="14">
        <f t="shared" si="17"/>
        <v>0.16679744535593488</v>
      </c>
      <c r="BC20" s="14">
        <f t="shared" si="17"/>
        <v>0.16739099635881738</v>
      </c>
      <c r="BD20" s="14">
        <f t="shared" si="17"/>
        <v>0.16821272528106546</v>
      </c>
      <c r="BE20" s="14">
        <f t="shared" si="17"/>
        <v>0.1692812988717507</v>
      </c>
      <c r="BF20" s="14">
        <f t="shared" si="17"/>
        <v>0.17026622099718969</v>
      </c>
      <c r="BG20" s="14">
        <f t="shared" si="17"/>
        <v>0.17148014815027524</v>
      </c>
      <c r="BH20" s="14">
        <f t="shared" si="17"/>
        <v>0.17190144224463655</v>
      </c>
      <c r="BI20" s="14">
        <f t="shared" si="17"/>
        <v>0.17343046438792009</v>
      </c>
      <c r="BJ20" s="14">
        <f t="shared" si="17"/>
        <v>0.17409041088603727</v>
      </c>
      <c r="BK20" s="14">
        <f t="shared" si="17"/>
        <v>0.17626555347587214</v>
      </c>
      <c r="BO20" s="28">
        <f t="shared" ref="BO20:BT23" si="18">IFERROR(((1+BO38/BW14)^(360/BO$3))-1,0)</f>
        <v>0.16764934370492646</v>
      </c>
      <c r="BP20" s="28">
        <f t="shared" si="18"/>
        <v>0.16628707728179193</v>
      </c>
      <c r="BQ20" s="28">
        <f t="shared" si="18"/>
        <v>0.16803227572167745</v>
      </c>
      <c r="BR20" s="28">
        <f t="shared" si="18"/>
        <v>0.17002459302494799</v>
      </c>
      <c r="BS20" s="28">
        <f t="shared" si="18"/>
        <v>0.17330210869037943</v>
      </c>
      <c r="BT20" s="28">
        <f t="shared" si="18"/>
        <v>0.18774684407981601</v>
      </c>
    </row>
    <row r="21" spans="1:80" hidden="1" outlineLevel="1" x14ac:dyDescent="0.25">
      <c r="A21" s="59"/>
      <c r="C21" s="60" t="s">
        <v>1</v>
      </c>
      <c r="D21" s="14">
        <f t="shared" ref="D21:AY21" si="19">IFERROR(((1+D39/D15)^(360/D$3))-1,0)</f>
        <v>7.1532259583490632E-2</v>
      </c>
      <c r="E21" s="14">
        <f t="shared" si="19"/>
        <v>8.0577760539808141E-2</v>
      </c>
      <c r="F21" s="14">
        <f t="shared" si="19"/>
        <v>6.0315444633924686E-2</v>
      </c>
      <c r="G21" s="14">
        <f t="shared" si="19"/>
        <v>5.2107324622765905E-2</v>
      </c>
      <c r="H21" s="14">
        <f t="shared" si="19"/>
        <v>5.6915569885019002E-2</v>
      </c>
      <c r="I21" s="14">
        <f t="shared" si="19"/>
        <v>5.7134390916549593E-2</v>
      </c>
      <c r="J21" s="14">
        <f t="shared" si="19"/>
        <v>6.5817452912987573E-2</v>
      </c>
      <c r="K21" s="14">
        <f t="shared" si="19"/>
        <v>6.7622921144115944E-2</v>
      </c>
      <c r="L21" s="14">
        <f t="shared" si="19"/>
        <v>7.5492661102692038E-2</v>
      </c>
      <c r="M21" s="14">
        <f t="shared" si="19"/>
        <v>6.7606649506297689E-2</v>
      </c>
      <c r="N21" s="14">
        <f t="shared" si="19"/>
        <v>7.6014153057026412E-2</v>
      </c>
      <c r="O21" s="14">
        <f t="shared" si="19"/>
        <v>7.1084740425125359E-2</v>
      </c>
      <c r="P21" s="14">
        <f t="shared" si="19"/>
        <v>7.9567762205424275E-2</v>
      </c>
      <c r="Q21" s="14">
        <f t="shared" si="19"/>
        <v>7.9998893151095318E-2</v>
      </c>
      <c r="R21" s="14">
        <f t="shared" si="19"/>
        <v>6.4599698573128084E-2</v>
      </c>
      <c r="S21" s="14">
        <f t="shared" si="19"/>
        <v>7.8352529944949456E-2</v>
      </c>
      <c r="T21" s="14">
        <f t="shared" si="19"/>
        <v>6.0146721898471478E-2</v>
      </c>
      <c r="U21" s="14">
        <f t="shared" si="19"/>
        <v>6.7065097496252779E-2</v>
      </c>
      <c r="V21" s="14">
        <f t="shared" si="19"/>
        <v>7.0306478428852959E-2</v>
      </c>
      <c r="W21" s="14">
        <f t="shared" si="19"/>
        <v>6.2020801248066304E-2</v>
      </c>
      <c r="X21" s="14">
        <f t="shared" si="19"/>
        <v>6.5779878287254068E-2</v>
      </c>
      <c r="Y21" s="14">
        <f t="shared" si="19"/>
        <v>5.6586627492534847E-2</v>
      </c>
      <c r="Z21" s="14">
        <f t="shared" si="19"/>
        <v>5.790177594856627E-2</v>
      </c>
      <c r="AA21" s="14">
        <f t="shared" si="19"/>
        <v>6.0642431582888401E-2</v>
      </c>
      <c r="AB21" s="14">
        <f t="shared" si="19"/>
        <v>6.7635341752879441E-2</v>
      </c>
      <c r="AC21" s="14">
        <f t="shared" si="19"/>
        <v>7.0929909244848988E-2</v>
      </c>
      <c r="AD21" s="14">
        <f t="shared" si="19"/>
        <v>5.981386927112986E-2</v>
      </c>
      <c r="AE21" s="14">
        <f t="shared" si="19"/>
        <v>6.3703964641558919E-2</v>
      </c>
      <c r="AF21" s="14">
        <f t="shared" si="19"/>
        <v>6.5417153540201278E-2</v>
      </c>
      <c r="AG21" s="14">
        <f t="shared" si="19"/>
        <v>6.574417597427229E-2</v>
      </c>
      <c r="AH21" s="14">
        <f t="shared" si="19"/>
        <v>7.6056116358972359E-2</v>
      </c>
      <c r="AI21" s="14">
        <f t="shared" si="19"/>
        <v>6.5097880311836498E-2</v>
      </c>
      <c r="AJ21" s="14">
        <f t="shared" si="19"/>
        <v>7.4576648814230762E-2</v>
      </c>
      <c r="AK21" s="14">
        <f t="shared" si="19"/>
        <v>7.2655607750221174E-2</v>
      </c>
      <c r="AL21" s="14">
        <f t="shared" si="19"/>
        <v>6.8668180113387711E-2</v>
      </c>
      <c r="AM21" s="14">
        <f t="shared" si="19"/>
        <v>8.2128209587955858E-2</v>
      </c>
      <c r="AN21" s="14">
        <f t="shared" si="19"/>
        <v>7.5787225387578872E-2</v>
      </c>
      <c r="AO21" s="14">
        <f t="shared" si="19"/>
        <v>7.8432699605047729E-2</v>
      </c>
      <c r="AP21" s="14">
        <f t="shared" si="19"/>
        <v>7.8418696241422836E-2</v>
      </c>
      <c r="AQ21" s="14">
        <f t="shared" si="19"/>
        <v>8.0648365976139669E-2</v>
      </c>
      <c r="AR21" s="14">
        <f t="shared" si="19"/>
        <v>7.3100513842228265E-2</v>
      </c>
      <c r="AS21" s="14">
        <f t="shared" si="19"/>
        <v>8.3660228642777446E-2</v>
      </c>
      <c r="AT21" s="14">
        <f t="shared" si="19"/>
        <v>0</v>
      </c>
      <c r="AU21" s="14">
        <f t="shared" si="19"/>
        <v>0</v>
      </c>
      <c r="AV21" s="14">
        <f t="shared" si="19"/>
        <v>0</v>
      </c>
      <c r="AW21" s="14">
        <f t="shared" si="19"/>
        <v>0</v>
      </c>
      <c r="AX21" s="14">
        <f t="shared" si="19"/>
        <v>0</v>
      </c>
      <c r="AY21" s="14">
        <f t="shared" si="19"/>
        <v>0</v>
      </c>
      <c r="AZ21" s="14">
        <f t="shared" ref="AZ21:BK21" si="20">IFERROR(((1+AZ39/AZ15)^(360/AZ$3))-1,0)</f>
        <v>7.2338353399964861E-2</v>
      </c>
      <c r="BA21" s="14">
        <f t="shared" si="20"/>
        <v>7.2211171614390501E-2</v>
      </c>
      <c r="BB21" s="14">
        <f t="shared" si="20"/>
        <v>7.2561465102756406E-2</v>
      </c>
      <c r="BC21" s="14">
        <f t="shared" si="20"/>
        <v>7.2372190140138626E-2</v>
      </c>
      <c r="BD21" s="14">
        <f t="shared" si="20"/>
        <v>7.2383166876784255E-2</v>
      </c>
      <c r="BE21" s="14">
        <f t="shared" si="20"/>
        <v>7.2440532158060567E-2</v>
      </c>
      <c r="BF21" s="14">
        <f t="shared" si="20"/>
        <v>7.2400236383784344E-2</v>
      </c>
      <c r="BG21" s="14">
        <f t="shared" si="20"/>
        <v>7.2409487575106013E-2</v>
      </c>
      <c r="BH21" s="14">
        <f t="shared" si="20"/>
        <v>7.2418405501006422E-2</v>
      </c>
      <c r="BI21" s="14">
        <f t="shared" si="20"/>
        <v>7.2411089182711219E-2</v>
      </c>
      <c r="BJ21" s="14">
        <f t="shared" si="20"/>
        <v>7.2414582461160393E-2</v>
      </c>
      <c r="BK21" s="14">
        <f t="shared" si="20"/>
        <v>7.2416048393406873E-2</v>
      </c>
      <c r="BO21" s="28">
        <f t="shared" si="18"/>
        <v>7.7494623261812112E-2</v>
      </c>
      <c r="BP21" s="28">
        <f t="shared" si="18"/>
        <v>7.2375066852906844E-2</v>
      </c>
      <c r="BQ21" s="28">
        <f t="shared" si="18"/>
        <v>7.7073241036773821E-2</v>
      </c>
      <c r="BR21" s="28">
        <f t="shared" si="18"/>
        <v>6.5973937159895524E-2</v>
      </c>
      <c r="BS21" s="28">
        <f t="shared" si="18"/>
        <v>7.4294711296670313E-2</v>
      </c>
      <c r="BT21" s="28">
        <f t="shared" si="18"/>
        <v>7.0310612911428594E-2</v>
      </c>
    </row>
    <row r="22" spans="1:80" hidden="1" outlineLevel="1" x14ac:dyDescent="0.25">
      <c r="A22" s="59"/>
      <c r="C22" s="60" t="s">
        <v>45</v>
      </c>
      <c r="D22" s="14">
        <f t="shared" ref="D22:AY22" si="21">IFERROR(((1+D40/D16)^(360/D$3))-1,0)</f>
        <v>6.3222146751272357E-2</v>
      </c>
      <c r="E22" s="14">
        <f t="shared" si="21"/>
        <v>3.6767038422095499E-2</v>
      </c>
      <c r="F22" s="14">
        <f t="shared" si="21"/>
        <v>5.520267246584476E-2</v>
      </c>
      <c r="G22" s="14">
        <f t="shared" si="21"/>
        <v>5.9740187110545628E-2</v>
      </c>
      <c r="H22" s="14">
        <f t="shared" si="21"/>
        <v>9.773687369534545E-2</v>
      </c>
      <c r="I22" s="14">
        <f t="shared" si="21"/>
        <v>7.8366094833271616E-2</v>
      </c>
      <c r="J22" s="14">
        <f t="shared" si="21"/>
        <v>9.0724346689047941E-2</v>
      </c>
      <c r="K22" s="14">
        <f t="shared" si="21"/>
        <v>6.2407939307627114E-2</v>
      </c>
      <c r="L22" s="14">
        <f t="shared" si="21"/>
        <v>4.4236458600589668E-2</v>
      </c>
      <c r="M22" s="14">
        <f t="shared" si="21"/>
        <v>5.0375386826615687E-2</v>
      </c>
      <c r="N22" s="14">
        <f t="shared" si="21"/>
        <v>6.5306563261679607E-2</v>
      </c>
      <c r="O22" s="14">
        <f t="shared" si="21"/>
        <v>6.5708678058623349E-2</v>
      </c>
      <c r="P22" s="14">
        <f t="shared" si="21"/>
        <v>6.0790092997135892E-2</v>
      </c>
      <c r="Q22" s="14">
        <f t="shared" si="21"/>
        <v>6.1228554496040477E-2</v>
      </c>
      <c r="R22" s="14">
        <f t="shared" si="21"/>
        <v>6.4649013657577026E-2</v>
      </c>
      <c r="S22" s="14">
        <f t="shared" si="21"/>
        <v>8.5053406981480784E-2</v>
      </c>
      <c r="T22" s="14">
        <f t="shared" si="21"/>
        <v>7.8670418991162672E-2</v>
      </c>
      <c r="U22" s="14">
        <f t="shared" si="21"/>
        <v>9.6827736832159728E-2</v>
      </c>
      <c r="V22" s="14">
        <f t="shared" si="21"/>
        <v>0.1029200007947817</v>
      </c>
      <c r="W22" s="14">
        <f t="shared" si="21"/>
        <v>7.7470472128432055E-2</v>
      </c>
      <c r="X22" s="14">
        <f t="shared" si="21"/>
        <v>7.7545844677287867E-2</v>
      </c>
      <c r="Y22" s="14">
        <f t="shared" si="21"/>
        <v>7.5645084234390092E-2</v>
      </c>
      <c r="Z22" s="14">
        <f t="shared" si="21"/>
        <v>9.8965268298072173E-2</v>
      </c>
      <c r="AA22" s="14">
        <f t="shared" si="21"/>
        <v>0.10084947668963462</v>
      </c>
      <c r="AB22" s="14">
        <f t="shared" si="21"/>
        <v>8.6557517558830677E-2</v>
      </c>
      <c r="AC22" s="14">
        <f t="shared" si="21"/>
        <v>8.8440657624703656E-2</v>
      </c>
      <c r="AD22" s="14">
        <f t="shared" si="21"/>
        <v>0.1120822412936997</v>
      </c>
      <c r="AE22" s="14">
        <f t="shared" si="21"/>
        <v>9.4899527500860836E-2</v>
      </c>
      <c r="AF22" s="14">
        <f t="shared" si="21"/>
        <v>0.10289218534120037</v>
      </c>
      <c r="AG22" s="14">
        <f t="shared" si="21"/>
        <v>0.10078194053282985</v>
      </c>
      <c r="AH22" s="14">
        <f t="shared" si="21"/>
        <v>0.10403410216546627</v>
      </c>
      <c r="AI22" s="14">
        <f t="shared" si="21"/>
        <v>8.6603972462053758E-2</v>
      </c>
      <c r="AJ22" s="14">
        <f t="shared" si="21"/>
        <v>8.9749905495170923E-2</v>
      </c>
      <c r="AK22" s="14">
        <f t="shared" si="21"/>
        <v>8.7801101618483868E-2</v>
      </c>
      <c r="AL22" s="14">
        <f t="shared" si="21"/>
        <v>0.12631232156997241</v>
      </c>
      <c r="AM22" s="14">
        <f t="shared" si="21"/>
        <v>0.1316348569573107</v>
      </c>
      <c r="AN22" s="14">
        <f t="shared" si="21"/>
        <v>9.0987810061494701E-2</v>
      </c>
      <c r="AO22" s="14">
        <f t="shared" si="21"/>
        <v>9.7956684328677435E-2</v>
      </c>
      <c r="AP22" s="14">
        <f t="shared" si="21"/>
        <v>8.9721569683756108E-2</v>
      </c>
      <c r="AQ22" s="14">
        <f t="shared" si="21"/>
        <v>9.9981822434530132E-2</v>
      </c>
      <c r="AR22" s="14">
        <f t="shared" si="21"/>
        <v>0.11568660424593502</v>
      </c>
      <c r="AS22" s="14">
        <f t="shared" si="21"/>
        <v>0.10192341643988767</v>
      </c>
      <c r="AT22" s="14">
        <f t="shared" si="21"/>
        <v>0</v>
      </c>
      <c r="AU22" s="14">
        <f t="shared" si="21"/>
        <v>0</v>
      </c>
      <c r="AV22" s="14">
        <f t="shared" si="21"/>
        <v>0</v>
      </c>
      <c r="AW22" s="14">
        <f t="shared" si="21"/>
        <v>0</v>
      </c>
      <c r="AX22" s="14">
        <f t="shared" si="21"/>
        <v>0</v>
      </c>
      <c r="AY22" s="14">
        <f t="shared" si="21"/>
        <v>0</v>
      </c>
      <c r="AZ22" s="14">
        <f t="shared" ref="AZ22:BK22" si="22">IFERROR(((1+AZ40/AZ16)^(360/AZ$3))-1,0)</f>
        <v>8.7518984501825603E-2</v>
      </c>
      <c r="BA22" s="14">
        <f t="shared" si="22"/>
        <v>9.6763497706075619E-2</v>
      </c>
      <c r="BB22" s="14">
        <f t="shared" si="22"/>
        <v>8.7265585705735615E-2</v>
      </c>
      <c r="BC22" s="14">
        <f t="shared" si="22"/>
        <v>9.0485171299685696E-2</v>
      </c>
      <c r="BD22" s="14">
        <f t="shared" si="22"/>
        <v>8.7372239820133313E-2</v>
      </c>
      <c r="BE22" s="14">
        <f t="shared" si="22"/>
        <v>9.0466340066565731E-2</v>
      </c>
      <c r="BF22" s="14">
        <f t="shared" si="22"/>
        <v>8.7428623662329175E-2</v>
      </c>
      <c r="BG22" s="14">
        <f t="shared" si="22"/>
        <v>8.7525285190384272E-2</v>
      </c>
      <c r="BH22" s="14">
        <f t="shared" si="22"/>
        <v>9.077853810342229E-2</v>
      </c>
      <c r="BI22" s="14">
        <f t="shared" si="22"/>
        <v>8.7884271549533821E-2</v>
      </c>
      <c r="BJ22" s="14">
        <f t="shared" si="22"/>
        <v>9.1093164327377796E-2</v>
      </c>
      <c r="BK22" s="14">
        <f t="shared" si="22"/>
        <v>8.8150150530376115E-2</v>
      </c>
      <c r="BO22" s="28">
        <f t="shared" si="18"/>
        <v>9.2717636307968254E-2</v>
      </c>
      <c r="BP22" s="28">
        <f t="shared" si="18"/>
        <v>9.0299601923856665E-2</v>
      </c>
      <c r="BQ22" s="28">
        <f t="shared" si="18"/>
        <v>9.429888803929054E-2</v>
      </c>
      <c r="BR22" s="28">
        <f t="shared" si="18"/>
        <v>9.5011802942374102E-2</v>
      </c>
      <c r="BS22" s="28">
        <f t="shared" si="18"/>
        <v>6.2221606991115008E-2</v>
      </c>
      <c r="BT22" s="28">
        <f t="shared" si="18"/>
        <v>5.197313134114423E-2</v>
      </c>
    </row>
    <row r="23" spans="1:80" collapsed="1" x14ac:dyDescent="0.25">
      <c r="C23" s="61" t="s">
        <v>59</v>
      </c>
      <c r="D23" s="64">
        <f t="shared" ref="D23:AY23" si="23">IFERROR(((1+D41/D17)^(360/D$3))-1,0)</f>
        <v>0.18298074274740306</v>
      </c>
      <c r="E23" s="64">
        <f t="shared" si="23"/>
        <v>0.18459696819496196</v>
      </c>
      <c r="F23" s="64">
        <f t="shared" si="23"/>
        <v>0.18343664328476428</v>
      </c>
      <c r="G23" s="64">
        <f t="shared" si="23"/>
        <v>0.17775946876812476</v>
      </c>
      <c r="H23" s="64">
        <f t="shared" si="23"/>
        <v>0.1880063183010976</v>
      </c>
      <c r="I23" s="64">
        <f t="shared" si="23"/>
        <v>0.18679854429247067</v>
      </c>
      <c r="J23" s="64">
        <f t="shared" si="23"/>
        <v>0.1859110247432938</v>
      </c>
      <c r="K23" s="64">
        <f t="shared" si="23"/>
        <v>0.18427341262631725</v>
      </c>
      <c r="L23" s="64">
        <f t="shared" si="23"/>
        <v>0.18019166118183971</v>
      </c>
      <c r="M23" s="64">
        <f t="shared" si="23"/>
        <v>0.17877008859323795</v>
      </c>
      <c r="N23" s="64">
        <f t="shared" si="23"/>
        <v>0.17644567373869302</v>
      </c>
      <c r="O23" s="64">
        <f t="shared" si="23"/>
        <v>0.17252732073050625</v>
      </c>
      <c r="P23" s="64">
        <f t="shared" si="23"/>
        <v>0.1702752510891663</v>
      </c>
      <c r="Q23" s="64">
        <f t="shared" si="23"/>
        <v>0.16623506444939773</v>
      </c>
      <c r="R23" s="64">
        <f t="shared" si="23"/>
        <v>0.16600838315346422</v>
      </c>
      <c r="S23" s="64">
        <f t="shared" si="23"/>
        <v>0.16874896959940755</v>
      </c>
      <c r="T23" s="64">
        <f t="shared" si="23"/>
        <v>0.16958010858059414</v>
      </c>
      <c r="U23" s="64">
        <f t="shared" si="23"/>
        <v>0.17047047956890404</v>
      </c>
      <c r="V23" s="64">
        <f t="shared" si="23"/>
        <v>0.17467225795350005</v>
      </c>
      <c r="W23" s="64">
        <f t="shared" si="23"/>
        <v>0.17189555219389407</v>
      </c>
      <c r="X23" s="64">
        <f t="shared" si="23"/>
        <v>0.17133918289138816</v>
      </c>
      <c r="Y23" s="64">
        <f t="shared" si="23"/>
        <v>0.17015651781987473</v>
      </c>
      <c r="Z23" s="64">
        <f t="shared" si="23"/>
        <v>0.16787725597681891</v>
      </c>
      <c r="AA23" s="64">
        <f t="shared" si="23"/>
        <v>0.16714894558754589</v>
      </c>
      <c r="AB23" s="64">
        <f t="shared" si="23"/>
        <v>0.16615823842005195</v>
      </c>
      <c r="AC23" s="64">
        <f t="shared" si="23"/>
        <v>0.16354309449452464</v>
      </c>
      <c r="AD23" s="64">
        <f t="shared" si="23"/>
        <v>0.16512236779574008</v>
      </c>
      <c r="AE23" s="64">
        <f t="shared" si="23"/>
        <v>0.16422708419227616</v>
      </c>
      <c r="AF23" s="64">
        <f t="shared" si="23"/>
        <v>0.16393739440138733</v>
      </c>
      <c r="AG23" s="64">
        <f t="shared" si="23"/>
        <v>0.16274832882973289</v>
      </c>
      <c r="AH23" s="64">
        <f t="shared" si="23"/>
        <v>0.16338259874742778</v>
      </c>
      <c r="AI23" s="64">
        <f t="shared" si="23"/>
        <v>0.16222846223141807</v>
      </c>
      <c r="AJ23" s="64">
        <f t="shared" si="23"/>
        <v>0.16280691423422655</v>
      </c>
      <c r="AK23" s="64">
        <f t="shared" si="23"/>
        <v>0.16242407546235915</v>
      </c>
      <c r="AL23" s="64">
        <f t="shared" si="23"/>
        <v>0.16282829456274772</v>
      </c>
      <c r="AM23" s="64">
        <f t="shared" si="23"/>
        <v>0.16550578710423225</v>
      </c>
      <c r="AN23" s="64">
        <f t="shared" si="23"/>
        <v>0.16432380674289693</v>
      </c>
      <c r="AO23" s="64">
        <f t="shared" si="23"/>
        <v>0.16485397776930322</v>
      </c>
      <c r="AP23" s="64">
        <f t="shared" si="23"/>
        <v>0.16343381872056995</v>
      </c>
      <c r="AQ23" s="64">
        <f t="shared" si="23"/>
        <v>0.16191383016373684</v>
      </c>
      <c r="AR23" s="64">
        <f t="shared" si="23"/>
        <v>0.16177264513548639</v>
      </c>
      <c r="AS23" s="64">
        <f t="shared" si="23"/>
        <v>0.16037811296655113</v>
      </c>
      <c r="AT23" s="64">
        <f t="shared" si="23"/>
        <v>0</v>
      </c>
      <c r="AU23" s="64">
        <f t="shared" si="23"/>
        <v>0</v>
      </c>
      <c r="AV23" s="64">
        <f t="shared" si="23"/>
        <v>0</v>
      </c>
      <c r="AW23" s="64">
        <f t="shared" si="23"/>
        <v>0</v>
      </c>
      <c r="AX23" s="64">
        <f t="shared" si="23"/>
        <v>0</v>
      </c>
      <c r="AY23" s="64">
        <f t="shared" si="23"/>
        <v>0</v>
      </c>
      <c r="AZ23" s="64">
        <f t="shared" ref="AZ23:BK23" si="24">IFERROR(((1+AZ41/AZ17)^(360/AZ$3))-1,0)</f>
        <v>0.16257699993896924</v>
      </c>
      <c r="BA23" s="64">
        <f t="shared" si="24"/>
        <v>0.16195607936282697</v>
      </c>
      <c r="BB23" s="64">
        <f t="shared" si="24"/>
        <v>0.16308314067711582</v>
      </c>
      <c r="BC23" s="64">
        <f t="shared" si="24"/>
        <v>0.16388582928839845</v>
      </c>
      <c r="BD23" s="64">
        <f t="shared" si="24"/>
        <v>0.16465879297128216</v>
      </c>
      <c r="BE23" s="64">
        <f t="shared" si="24"/>
        <v>0.16587611983305539</v>
      </c>
      <c r="BF23" s="64">
        <f t="shared" si="24"/>
        <v>0.16680390000936662</v>
      </c>
      <c r="BG23" s="64">
        <f t="shared" si="24"/>
        <v>0.1679896575224622</v>
      </c>
      <c r="BH23" s="64">
        <f t="shared" si="24"/>
        <v>0.16855531001826418</v>
      </c>
      <c r="BI23" s="64">
        <f t="shared" si="24"/>
        <v>0.169999705081888</v>
      </c>
      <c r="BJ23" s="64">
        <f t="shared" si="24"/>
        <v>0.17079869161662864</v>
      </c>
      <c r="BK23" s="64">
        <f t="shared" si="24"/>
        <v>0.17281843436721722</v>
      </c>
      <c r="BO23" s="65">
        <f t="shared" si="18"/>
        <v>0.16418504566936254</v>
      </c>
      <c r="BP23" s="65">
        <f t="shared" si="18"/>
        <v>0.16256959853166819</v>
      </c>
      <c r="BQ23" s="65">
        <f t="shared" si="18"/>
        <v>0.16450709638744132</v>
      </c>
      <c r="BR23" s="65">
        <f t="shared" si="18"/>
        <v>0.16499509194385786</v>
      </c>
      <c r="BS23" s="65">
        <f t="shared" si="18"/>
        <v>0.16756622258955245</v>
      </c>
      <c r="BT23" s="65">
        <f t="shared" si="18"/>
        <v>0.18367536511313953</v>
      </c>
    </row>
    <row r="26" spans="1:80" hidden="1" outlineLevel="1" x14ac:dyDescent="0.25">
      <c r="A26" s="59"/>
      <c r="C26" s="60" t="s">
        <v>0</v>
      </c>
      <c r="D26" s="14">
        <f t="shared" ref="D26:AY26" si="25">-IFERROR(((1-D44/D14)^(360/D$4))-1,0)</f>
        <v>-6.945772755740065E-2</v>
      </c>
      <c r="E26" s="14">
        <f t="shared" si="25"/>
        <v>-7.200639919998042E-2</v>
      </c>
      <c r="F26" s="14">
        <f t="shared" si="25"/>
        <v>-7.3901929344797779E-2</v>
      </c>
      <c r="G26" s="14">
        <f t="shared" si="25"/>
        <v>-7.5135078053109483E-2</v>
      </c>
      <c r="H26" s="14">
        <f t="shared" si="25"/>
        <v>-7.5853357138254029E-2</v>
      </c>
      <c r="I26" s="14">
        <f t="shared" si="25"/>
        <v>-7.709429295431347E-2</v>
      </c>
      <c r="J26" s="14">
        <f t="shared" si="25"/>
        <v>-7.6954350360624257E-2</v>
      </c>
      <c r="K26" s="14">
        <f t="shared" si="25"/>
        <v>-7.6826416967634703E-2</v>
      </c>
      <c r="L26" s="14">
        <f t="shared" si="25"/>
        <v>-7.7403527534594119E-2</v>
      </c>
      <c r="M26" s="14">
        <f t="shared" si="25"/>
        <v>-7.7786358983035431E-2</v>
      </c>
      <c r="N26" s="14">
        <f t="shared" si="25"/>
        <v>-7.8062497967610112E-2</v>
      </c>
      <c r="O26" s="14">
        <f t="shared" si="25"/>
        <v>-7.8137531038854569E-2</v>
      </c>
      <c r="P26" s="14">
        <f t="shared" si="25"/>
        <v>-7.8005865969132948E-2</v>
      </c>
      <c r="Q26" s="14">
        <f t="shared" si="25"/>
        <v>-7.7677949196077734E-2</v>
      </c>
      <c r="R26" s="14">
        <f t="shared" si="25"/>
        <v>-7.7250828889851464E-2</v>
      </c>
      <c r="S26" s="14">
        <f t="shared" si="25"/>
        <v>-7.6887866759024703E-2</v>
      </c>
      <c r="T26" s="14">
        <f t="shared" si="25"/>
        <v>-7.6552517990350788E-2</v>
      </c>
      <c r="U26" s="14">
        <f t="shared" si="25"/>
        <v>-7.6116478049935044E-2</v>
      </c>
      <c r="V26" s="14">
        <f t="shared" si="25"/>
        <v>-7.5637781411424854E-2</v>
      </c>
      <c r="W26" s="14">
        <f t="shared" si="25"/>
        <v>-7.502499855750866E-2</v>
      </c>
      <c r="X26" s="14">
        <f t="shared" si="25"/>
        <v>-7.4290202835212371E-2</v>
      </c>
      <c r="Y26" s="14">
        <f t="shared" si="25"/>
        <v>-7.3431903732701143E-2</v>
      </c>
      <c r="Z26" s="14">
        <f t="shared" si="25"/>
        <v>-7.2709423271884788E-2</v>
      </c>
      <c r="AA26" s="14">
        <f t="shared" si="25"/>
        <v>-7.1927735741721177E-2</v>
      </c>
      <c r="AB26" s="14">
        <f t="shared" si="25"/>
        <v>-7.1292402714199232E-2</v>
      </c>
      <c r="AC26" s="14">
        <f t="shared" si="25"/>
        <v>-7.0436106494275341E-2</v>
      </c>
      <c r="AD26" s="14">
        <f t="shared" si="25"/>
        <v>-6.8847076705795374E-2</v>
      </c>
      <c r="AE26" s="14">
        <f t="shared" si="25"/>
        <v>-6.8300624249491682E-2</v>
      </c>
      <c r="AF26" s="14">
        <f t="shared" si="25"/>
        <v>-6.7496505159482023E-2</v>
      </c>
      <c r="AG26" s="14">
        <f t="shared" si="25"/>
        <v>-6.6600112290665203E-2</v>
      </c>
      <c r="AH26" s="14">
        <f t="shared" si="25"/>
        <v>-6.5703078530757963E-2</v>
      </c>
      <c r="AI26" s="14">
        <f t="shared" si="25"/>
        <v>-6.4834431924148284E-2</v>
      </c>
      <c r="AJ26" s="14">
        <f t="shared" si="25"/>
        <v>-6.4194870946139071E-2</v>
      </c>
      <c r="AK26" s="14">
        <f t="shared" si="25"/>
        <v>-6.3724716693281946E-2</v>
      </c>
      <c r="AL26" s="14">
        <f t="shared" si="25"/>
        <v>-6.347756110358338E-2</v>
      </c>
      <c r="AM26" s="14">
        <f t="shared" si="25"/>
        <v>-6.300848856349095E-2</v>
      </c>
      <c r="AN26" s="14">
        <f t="shared" si="25"/>
        <v>-6.2527944873564278E-2</v>
      </c>
      <c r="AO26" s="14">
        <f t="shared" si="25"/>
        <v>-6.1716171810352494E-2</v>
      </c>
      <c r="AP26" s="14">
        <f t="shared" si="25"/>
        <v>-6.097376688847933E-2</v>
      </c>
      <c r="AQ26" s="14">
        <f t="shared" si="25"/>
        <v>-6.0694861673372458E-2</v>
      </c>
      <c r="AR26" s="14">
        <f t="shared" si="25"/>
        <v>-6.058418760677986E-2</v>
      </c>
      <c r="AS26" s="14">
        <f t="shared" si="25"/>
        <v>-6.0132799338163068E-2</v>
      </c>
      <c r="AT26" s="14">
        <f t="shared" si="25"/>
        <v>0</v>
      </c>
      <c r="AU26" s="14">
        <f t="shared" si="25"/>
        <v>0</v>
      </c>
      <c r="AV26" s="14">
        <f t="shared" si="25"/>
        <v>0</v>
      </c>
      <c r="AW26" s="14">
        <f t="shared" si="25"/>
        <v>0</v>
      </c>
      <c r="AX26" s="14">
        <f t="shared" si="25"/>
        <v>0</v>
      </c>
      <c r="AY26" s="14">
        <f t="shared" si="25"/>
        <v>0</v>
      </c>
      <c r="AZ26" s="14">
        <f t="shared" ref="AZ26:BK26" si="26">-IFERROR(((1-AZ44/AZ14)^(360/AZ$4))-1,0)</f>
        <v>-6.4138319746408934E-2</v>
      </c>
      <c r="BA26" s="14">
        <f t="shared" si="26"/>
        <v>-6.3786727477187943E-2</v>
      </c>
      <c r="BB26" s="14">
        <f t="shared" si="26"/>
        <v>-6.3250996200431953E-2</v>
      </c>
      <c r="BC26" s="14">
        <f t="shared" si="26"/>
        <v>-6.2797549771925976E-2</v>
      </c>
      <c r="BD26" s="14">
        <f t="shared" si="26"/>
        <v>-6.2394069076327829E-2</v>
      </c>
      <c r="BE26" s="14">
        <f t="shared" si="26"/>
        <v>-6.2002769680457259E-2</v>
      </c>
      <c r="BF26" s="14">
        <f t="shared" si="26"/>
        <v>-6.1636708510327542E-2</v>
      </c>
      <c r="BG26" s="14">
        <f t="shared" si="26"/>
        <v>-6.1324039044528433E-2</v>
      </c>
      <c r="BH26" s="14">
        <f t="shared" si="26"/>
        <v>-6.0968134200070523E-2</v>
      </c>
      <c r="BI26" s="14">
        <f t="shared" si="26"/>
        <v>-6.0642759151829262E-2</v>
      </c>
      <c r="BJ26" s="14">
        <f t="shared" si="26"/>
        <v>-6.0366779991583241E-2</v>
      </c>
      <c r="BK26" s="14">
        <f t="shared" si="26"/>
        <v>-6.0135204281498877E-2</v>
      </c>
      <c r="BO26" s="28">
        <f t="shared" ref="BO26:BT29" si="27">-IFERROR(((1-BO44/BW14)^(360/BO$4))-1,0)</f>
        <v>-6.1733010985863368E-2</v>
      </c>
      <c r="BP26" s="28">
        <f t="shared" si="27"/>
        <v>-6.3725702431868037E-2</v>
      </c>
      <c r="BQ26" s="28">
        <f t="shared" si="27"/>
        <v>-6.2110866253112684E-2</v>
      </c>
      <c r="BR26" s="28">
        <f t="shared" si="27"/>
        <v>-7.0187759593030918E-2</v>
      </c>
      <c r="BS26" s="28">
        <f t="shared" si="27"/>
        <v>-7.7652318835438328E-2</v>
      </c>
      <c r="BT26" s="28">
        <f t="shared" si="27"/>
        <v>-7.1837695307832128E-2</v>
      </c>
    </row>
    <row r="27" spans="1:80" hidden="1" outlineLevel="1" x14ac:dyDescent="0.25">
      <c r="A27" s="59"/>
      <c r="C27" s="60" t="s">
        <v>1</v>
      </c>
      <c r="D27" s="14">
        <f t="shared" ref="D27:AY27" si="28">-IFERROR(((1-D45/D15)^(360/D$4))-1,0)</f>
        <v>-7.2502366151962372E-2</v>
      </c>
      <c r="E27" s="14">
        <f t="shared" si="28"/>
        <v>-7.5540719196234507E-2</v>
      </c>
      <c r="F27" s="14">
        <f t="shared" si="28"/>
        <v>-7.7408171969443496E-2</v>
      </c>
      <c r="G27" s="14">
        <f t="shared" si="28"/>
        <v>-7.8030668766115197E-2</v>
      </c>
      <c r="H27" s="14">
        <f t="shared" si="28"/>
        <v>-7.8639825536589658E-2</v>
      </c>
      <c r="I27" s="14">
        <f t="shared" si="28"/>
        <v>-7.8234922823718689E-2</v>
      </c>
      <c r="J27" s="14">
        <f t="shared" si="28"/>
        <v>-7.7147721824811999E-2</v>
      </c>
      <c r="K27" s="14">
        <f t="shared" si="28"/>
        <v>-7.5473063236401794E-2</v>
      </c>
      <c r="L27" s="14">
        <f t="shared" si="28"/>
        <v>-7.689680738080007E-2</v>
      </c>
      <c r="M27" s="14">
        <f t="shared" si="28"/>
        <v>-7.6723285593842006E-2</v>
      </c>
      <c r="N27" s="14">
        <f t="shared" si="28"/>
        <v>-7.6549443603580514E-2</v>
      </c>
      <c r="O27" s="14">
        <f t="shared" si="28"/>
        <v>-7.6560737984143978E-2</v>
      </c>
      <c r="P27" s="14">
        <f t="shared" si="28"/>
        <v>-7.6379049434701418E-2</v>
      </c>
      <c r="Q27" s="14">
        <f t="shared" si="28"/>
        <v>-7.6159487943215698E-2</v>
      </c>
      <c r="R27" s="14">
        <f t="shared" si="28"/>
        <v>-7.4922107119187675E-2</v>
      </c>
      <c r="S27" s="14">
        <f t="shared" si="28"/>
        <v>-7.359930099044143E-2</v>
      </c>
      <c r="T27" s="14">
        <f t="shared" si="28"/>
        <v>-7.2700724525167404E-2</v>
      </c>
      <c r="U27" s="14">
        <f t="shared" si="28"/>
        <v>-7.1554911952709022E-2</v>
      </c>
      <c r="V27" s="14">
        <f t="shared" si="28"/>
        <v>-7.0755079699246215E-2</v>
      </c>
      <c r="W27" s="14">
        <f t="shared" si="28"/>
        <v>-7.018095219321463E-2</v>
      </c>
      <c r="X27" s="14">
        <f t="shared" si="28"/>
        <v>-6.9592402621466709E-2</v>
      </c>
      <c r="Y27" s="14">
        <f t="shared" si="28"/>
        <v>-6.8789355482870684E-2</v>
      </c>
      <c r="Z27" s="14">
        <f t="shared" si="28"/>
        <v>-6.8095777852036132E-2</v>
      </c>
      <c r="AA27" s="14">
        <f t="shared" si="28"/>
        <v>-6.7387698940753582E-2</v>
      </c>
      <c r="AB27" s="14">
        <f t="shared" si="28"/>
        <v>-6.6965025401416689E-2</v>
      </c>
      <c r="AC27" s="14">
        <f t="shared" si="28"/>
        <v>-6.6553850522705682E-2</v>
      </c>
      <c r="AD27" s="14">
        <f t="shared" si="28"/>
        <v>-6.5807270002748108E-2</v>
      </c>
      <c r="AE27" s="14">
        <f t="shared" si="28"/>
        <v>-6.5018254723005153E-2</v>
      </c>
      <c r="AF27" s="14">
        <f t="shared" si="28"/>
        <v>-6.4512202880254055E-2</v>
      </c>
      <c r="AG27" s="14">
        <f t="shared" si="28"/>
        <v>-6.3992409365547287E-2</v>
      </c>
      <c r="AH27" s="14">
        <f t="shared" si="28"/>
        <v>-6.3523080914431151E-2</v>
      </c>
      <c r="AI27" s="14">
        <f t="shared" si="28"/>
        <v>-6.3305454453540078E-2</v>
      </c>
      <c r="AJ27" s="14">
        <f t="shared" si="28"/>
        <v>-6.3130964598512307E-2</v>
      </c>
      <c r="AK27" s="14">
        <f t="shared" si="28"/>
        <v>-6.2835943492892676E-2</v>
      </c>
      <c r="AL27" s="14">
        <f t="shared" si="28"/>
        <v>-6.286683077189581E-2</v>
      </c>
      <c r="AM27" s="14">
        <f t="shared" si="28"/>
        <v>-6.2742805243607647E-2</v>
      </c>
      <c r="AN27" s="14">
        <f t="shared" si="28"/>
        <v>-6.258147752304688E-2</v>
      </c>
      <c r="AO27" s="14">
        <f t="shared" si="28"/>
        <v>-6.2335947898884969E-2</v>
      </c>
      <c r="AP27" s="14">
        <f t="shared" si="28"/>
        <v>-6.2075308674422347E-2</v>
      </c>
      <c r="AQ27" s="14">
        <f t="shared" si="28"/>
        <v>-6.1942096859226359E-2</v>
      </c>
      <c r="AR27" s="14">
        <f t="shared" si="28"/>
        <v>-6.188974813618997E-2</v>
      </c>
      <c r="AS27" s="14">
        <f t="shared" si="28"/>
        <v>-6.169553771527192E-2</v>
      </c>
      <c r="AT27" s="14">
        <f t="shared" si="28"/>
        <v>0</v>
      </c>
      <c r="AU27" s="14">
        <f t="shared" si="28"/>
        <v>0</v>
      </c>
      <c r="AV27" s="14">
        <f t="shared" si="28"/>
        <v>0</v>
      </c>
      <c r="AW27" s="14">
        <f t="shared" si="28"/>
        <v>0</v>
      </c>
      <c r="AX27" s="14">
        <f t="shared" si="28"/>
        <v>0</v>
      </c>
      <c r="AY27" s="14">
        <f t="shared" si="28"/>
        <v>0</v>
      </c>
      <c r="AZ27" s="14">
        <f t="shared" ref="AZ27:BK27" si="29">-IFERROR(((1-AZ45/AZ15)^(360/AZ$4))-1,0)</f>
        <v>-9.429457863083357E-3</v>
      </c>
      <c r="BA27" s="14">
        <f t="shared" si="29"/>
        <v>-9.8297655918726523E-3</v>
      </c>
      <c r="BB27" s="14">
        <f t="shared" si="29"/>
        <v>-1.0266522128817623E-2</v>
      </c>
      <c r="BC27" s="14">
        <f t="shared" si="29"/>
        <v>-1.0666558750806798E-2</v>
      </c>
      <c r="BD27" s="14">
        <f t="shared" si="29"/>
        <v>-1.1055964265428875E-2</v>
      </c>
      <c r="BE27" s="14">
        <f t="shared" si="29"/>
        <v>-1.15335077646046E-2</v>
      </c>
      <c r="BF27" s="14">
        <f t="shared" si="29"/>
        <v>-1.1900820624444863E-2</v>
      </c>
      <c r="BG27" s="14">
        <f t="shared" si="29"/>
        <v>-1.225351420646037E-2</v>
      </c>
      <c r="BH27" s="14">
        <f t="shared" si="29"/>
        <v>-1.2795691562799361E-2</v>
      </c>
      <c r="BI27" s="14">
        <f t="shared" si="29"/>
        <v>-1.3344934963272381E-2</v>
      </c>
      <c r="BJ27" s="14">
        <f t="shared" si="29"/>
        <v>-1.3783711878961213E-2</v>
      </c>
      <c r="BK27" s="14">
        <f t="shared" si="29"/>
        <v>-1.4091959937150955E-2</v>
      </c>
      <c r="BO27" s="28">
        <f t="shared" si="27"/>
        <v>-6.2334564033221129E-2</v>
      </c>
      <c r="BP27" s="28">
        <f t="shared" si="27"/>
        <v>-9.8278780846166036E-3</v>
      </c>
      <c r="BQ27" s="28">
        <f t="shared" si="27"/>
        <v>-6.2503812147285176E-2</v>
      </c>
      <c r="BR27" s="28">
        <f t="shared" si="27"/>
        <v>-6.6453035616620637E-2</v>
      </c>
      <c r="BS27" s="28">
        <f t="shared" si="27"/>
        <v>-7.5895307483060392E-2</v>
      </c>
      <c r="BT27" s="28">
        <f t="shared" si="27"/>
        <v>-7.5197445311519839E-2</v>
      </c>
    </row>
    <row r="28" spans="1:80" hidden="1" outlineLevel="1" x14ac:dyDescent="0.25">
      <c r="A28" s="59"/>
      <c r="C28" s="60" t="s">
        <v>45</v>
      </c>
      <c r="D28" s="14">
        <f t="shared" ref="D28:AY28" si="30">-IFERROR(((1-D46/D16)^(360/D$4))-1,0)</f>
        <v>-4.3371126696395645E-2</v>
      </c>
      <c r="E28" s="14">
        <f t="shared" si="30"/>
        <v>-4.3510017855968419E-2</v>
      </c>
      <c r="F28" s="14">
        <f t="shared" si="30"/>
        <v>-4.4435646792925887E-2</v>
      </c>
      <c r="G28" s="14">
        <f t="shared" si="30"/>
        <v>-4.5703919307897634E-2</v>
      </c>
      <c r="H28" s="14">
        <f t="shared" si="30"/>
        <v>-4.8523676423290585E-2</v>
      </c>
      <c r="I28" s="14">
        <f t="shared" si="30"/>
        <v>-7.4620187950619865E-2</v>
      </c>
      <c r="J28" s="14">
        <f t="shared" si="30"/>
        <v>-5.8808875070055722E-2</v>
      </c>
      <c r="K28" s="14">
        <f t="shared" si="30"/>
        <v>-7.7288628730850517E-2</v>
      </c>
      <c r="L28" s="14">
        <f t="shared" si="30"/>
        <v>-5.7200905509318556E-2</v>
      </c>
      <c r="M28" s="14">
        <f t="shared" si="30"/>
        <v>-6.1147329462220901E-2</v>
      </c>
      <c r="N28" s="14">
        <f t="shared" si="30"/>
        <v>-6.4369895099820384E-2</v>
      </c>
      <c r="O28" s="14">
        <f t="shared" si="30"/>
        <v>-6.7829089922049945E-2</v>
      </c>
      <c r="P28" s="14">
        <f t="shared" si="30"/>
        <v>-7.108549438030054E-2</v>
      </c>
      <c r="Q28" s="14">
        <f t="shared" si="30"/>
        <v>-7.3546568224945652E-2</v>
      </c>
      <c r="R28" s="14">
        <f t="shared" si="30"/>
        <v>-7.4043533924106564E-2</v>
      </c>
      <c r="S28" s="14">
        <f t="shared" si="30"/>
        <v>-7.5916017074381337E-2</v>
      </c>
      <c r="T28" s="14">
        <f t="shared" si="30"/>
        <v>-7.6125143081706925E-2</v>
      </c>
      <c r="U28" s="14">
        <f t="shared" si="30"/>
        <v>-7.6209381093656825E-2</v>
      </c>
      <c r="V28" s="14">
        <f t="shared" si="30"/>
        <v>-7.6278315900851767E-2</v>
      </c>
      <c r="W28" s="14">
        <f t="shared" si="30"/>
        <v>-7.5740954007310846E-2</v>
      </c>
      <c r="X28" s="14">
        <f t="shared" si="30"/>
        <v>-7.5869928766600925E-2</v>
      </c>
      <c r="Y28" s="14">
        <f t="shared" si="30"/>
        <v>-7.5499847551454558E-2</v>
      </c>
      <c r="Z28" s="14">
        <f t="shared" si="30"/>
        <v>-7.4844716275195289E-2</v>
      </c>
      <c r="AA28" s="14">
        <f t="shared" si="30"/>
        <v>-7.4296158549014724E-2</v>
      </c>
      <c r="AB28" s="14">
        <f t="shared" si="30"/>
        <v>-7.4988500631464339E-2</v>
      </c>
      <c r="AC28" s="14">
        <f t="shared" si="30"/>
        <v>-7.4491614725491928E-2</v>
      </c>
      <c r="AD28" s="14">
        <f t="shared" si="30"/>
        <v>-8.0503367595661235E-2</v>
      </c>
      <c r="AE28" s="14">
        <f t="shared" si="30"/>
        <v>-7.4371971876761256E-2</v>
      </c>
      <c r="AF28" s="14">
        <f t="shared" si="30"/>
        <v>-7.4086431503411543E-2</v>
      </c>
      <c r="AG28" s="14">
        <f t="shared" si="30"/>
        <v>-7.3628756856488398E-2</v>
      </c>
      <c r="AH28" s="14">
        <f t="shared" si="30"/>
        <v>-7.3137604015302005E-2</v>
      </c>
      <c r="AI28" s="14">
        <f t="shared" si="30"/>
        <v>-7.2572242780155616E-2</v>
      </c>
      <c r="AJ28" s="14">
        <f t="shared" si="30"/>
        <v>-7.2016245193586848E-2</v>
      </c>
      <c r="AK28" s="14">
        <f t="shared" si="30"/>
        <v>-9.6978427326616101E-2</v>
      </c>
      <c r="AL28" s="14">
        <f t="shared" si="30"/>
        <v>-7.1247387996042466E-2</v>
      </c>
      <c r="AM28" s="14">
        <f t="shared" si="30"/>
        <v>-7.1204194341928373E-2</v>
      </c>
      <c r="AN28" s="14">
        <f t="shared" si="30"/>
        <v>-7.0152645417149939E-2</v>
      </c>
      <c r="AO28" s="14">
        <f t="shared" si="30"/>
        <v>-6.966888573215213E-2</v>
      </c>
      <c r="AP28" s="14">
        <f t="shared" si="30"/>
        <v>-6.8924424621724212E-2</v>
      </c>
      <c r="AQ28" s="14">
        <f t="shared" si="30"/>
        <v>-6.8496156692753329E-2</v>
      </c>
      <c r="AR28" s="14">
        <f t="shared" si="30"/>
        <v>-6.7728853604879236E-2</v>
      </c>
      <c r="AS28" s="14">
        <f t="shared" si="30"/>
        <v>-6.6667289874578373E-2</v>
      </c>
      <c r="AT28" s="14">
        <f t="shared" si="30"/>
        <v>0</v>
      </c>
      <c r="AU28" s="14">
        <f t="shared" si="30"/>
        <v>0</v>
      </c>
      <c r="AV28" s="14">
        <f t="shared" si="30"/>
        <v>0</v>
      </c>
      <c r="AW28" s="14">
        <f t="shared" si="30"/>
        <v>0</v>
      </c>
      <c r="AX28" s="14">
        <f t="shared" si="30"/>
        <v>0</v>
      </c>
      <c r="AY28" s="14">
        <f t="shared" si="30"/>
        <v>0</v>
      </c>
      <c r="AZ28" s="14">
        <f t="shared" ref="AZ28:BK28" si="31">-IFERROR(((1-AZ46/AZ16)^(360/AZ$4))-1,0)</f>
        <v>-4.9079957185652834E-2</v>
      </c>
      <c r="BA28" s="14">
        <f t="shared" si="31"/>
        <v>-4.8767146332506783E-2</v>
      </c>
      <c r="BB28" s="14">
        <f t="shared" si="31"/>
        <v>-4.9994587494456288E-2</v>
      </c>
      <c r="BC28" s="14">
        <f t="shared" si="31"/>
        <v>-5.0742710381883382E-2</v>
      </c>
      <c r="BD28" s="14">
        <f t="shared" si="31"/>
        <v>-5.1003691465152601E-2</v>
      </c>
      <c r="BE28" s="14">
        <f t="shared" si="31"/>
        <v>-5.1191209201302712E-2</v>
      </c>
      <c r="BF28" s="14">
        <f t="shared" si="31"/>
        <v>-5.1647497929419472E-2</v>
      </c>
      <c r="BG28" s="14">
        <f t="shared" si="31"/>
        <v>-5.0941159982786033E-2</v>
      </c>
      <c r="BH28" s="14">
        <f t="shared" si="31"/>
        <v>-5.0729854012134368E-2</v>
      </c>
      <c r="BI28" s="14">
        <f t="shared" si="31"/>
        <v>-5.0975053731247888E-2</v>
      </c>
      <c r="BJ28" s="14">
        <f t="shared" si="31"/>
        <v>-5.1278563363104768E-2</v>
      </c>
      <c r="BK28" s="14">
        <f t="shared" si="31"/>
        <v>-5.1043831789808536E-2</v>
      </c>
      <c r="BO28" s="28">
        <f t="shared" si="27"/>
        <v>-6.9561900398332099E-2</v>
      </c>
      <c r="BP28" s="28">
        <f t="shared" si="27"/>
        <v>-4.9273724139488939E-2</v>
      </c>
      <c r="BQ28" s="28">
        <f t="shared" si="27"/>
        <v>-6.9947201518835156E-2</v>
      </c>
      <c r="BR28" s="28">
        <f t="shared" si="27"/>
        <v>-7.6444819241828998E-2</v>
      </c>
      <c r="BS28" s="28">
        <f t="shared" si="27"/>
        <v>-7.2862044930364522E-2</v>
      </c>
      <c r="BT28" s="28">
        <f t="shared" si="27"/>
        <v>-4.3699913064573215E-2</v>
      </c>
    </row>
    <row r="29" spans="1:80" collapsed="1" x14ac:dyDescent="0.25">
      <c r="C29" s="61" t="s">
        <v>60</v>
      </c>
      <c r="D29" s="64">
        <f t="shared" ref="D29:AY29" si="32">-IFERROR(((1-D47/D17)^(360/D$4))-1,0)</f>
        <v>-6.8761404407289062E-2</v>
      </c>
      <c r="E29" s="64">
        <f t="shared" si="32"/>
        <v>-7.1256633523382629E-2</v>
      </c>
      <c r="F29" s="64">
        <f t="shared" si="32"/>
        <v>-7.3231813658673595E-2</v>
      </c>
      <c r="G29" s="64">
        <f t="shared" si="32"/>
        <v>-7.450464334598017E-2</v>
      </c>
      <c r="H29" s="64">
        <f t="shared" si="32"/>
        <v>-7.5334319055486265E-2</v>
      </c>
      <c r="I29" s="64">
        <f t="shared" si="32"/>
        <v>-7.7046138745545667E-2</v>
      </c>
      <c r="J29" s="64">
        <f t="shared" si="32"/>
        <v>-7.6508696232676865E-2</v>
      </c>
      <c r="K29" s="64">
        <f t="shared" si="32"/>
        <v>-7.6840129587967043E-2</v>
      </c>
      <c r="L29" s="64">
        <f t="shared" si="32"/>
        <v>-7.6522572596303018E-2</v>
      </c>
      <c r="M29" s="64">
        <f t="shared" si="32"/>
        <v>-7.7088188031162019E-2</v>
      </c>
      <c r="N29" s="64">
        <f t="shared" si="32"/>
        <v>-7.7521986506771112E-2</v>
      </c>
      <c r="O29" s="64">
        <f t="shared" si="32"/>
        <v>-7.7741416295349586E-2</v>
      </c>
      <c r="P29" s="64">
        <f t="shared" si="32"/>
        <v>-7.7681090986463142E-2</v>
      </c>
      <c r="Q29" s="64">
        <f t="shared" si="32"/>
        <v>-7.7473357665828857E-2</v>
      </c>
      <c r="R29" s="64">
        <f t="shared" si="32"/>
        <v>-7.7089510427544417E-2</v>
      </c>
      <c r="S29" s="64">
        <f t="shared" si="32"/>
        <v>-7.6819178817933098E-2</v>
      </c>
      <c r="T29" s="64">
        <f t="shared" si="32"/>
        <v>-7.6503522586753858E-2</v>
      </c>
      <c r="U29" s="64">
        <f t="shared" si="32"/>
        <v>-7.6078916804829921E-2</v>
      </c>
      <c r="V29" s="64">
        <f t="shared" si="32"/>
        <v>-7.5616872817090508E-2</v>
      </c>
      <c r="W29" s="64">
        <f t="shared" si="32"/>
        <v>-7.4997726057004499E-2</v>
      </c>
      <c r="X29" s="64">
        <f t="shared" si="32"/>
        <v>-7.4309488643184318E-2</v>
      </c>
      <c r="Y29" s="64">
        <f t="shared" si="32"/>
        <v>-7.3465152015962598E-2</v>
      </c>
      <c r="Z29" s="64">
        <f t="shared" si="32"/>
        <v>-7.2735122276938124E-2</v>
      </c>
      <c r="AA29" s="64">
        <f t="shared" si="32"/>
        <v>-7.1954326280150527E-2</v>
      </c>
      <c r="AB29" s="64">
        <f t="shared" si="32"/>
        <v>-7.1398772746787076E-2</v>
      </c>
      <c r="AC29" s="64">
        <f t="shared" si="32"/>
        <v>-7.0567055857100103E-2</v>
      </c>
      <c r="AD29" s="64">
        <f t="shared" si="32"/>
        <v>-6.9273379161589377E-2</v>
      </c>
      <c r="AE29" s="64">
        <f t="shared" si="32"/>
        <v>-6.8499484638308239E-2</v>
      </c>
      <c r="AF29" s="64">
        <f t="shared" si="32"/>
        <v>-6.7722791924524017E-2</v>
      </c>
      <c r="AG29" s="64">
        <f t="shared" si="32"/>
        <v>-6.6859887615457581E-2</v>
      </c>
      <c r="AH29" s="64">
        <f t="shared" si="32"/>
        <v>-6.5966327381327794E-2</v>
      </c>
      <c r="AI29" s="64">
        <f t="shared" si="32"/>
        <v>-6.5118874858291598E-2</v>
      </c>
      <c r="AJ29" s="64">
        <f t="shared" si="32"/>
        <v>-6.4477349000861661E-2</v>
      </c>
      <c r="AK29" s="64">
        <f t="shared" si="32"/>
        <v>-6.4917151478641077E-2</v>
      </c>
      <c r="AL29" s="64">
        <f t="shared" si="32"/>
        <v>-6.3715306111118863E-2</v>
      </c>
      <c r="AM29" s="64">
        <f t="shared" si="32"/>
        <v>-6.3245759688024705E-2</v>
      </c>
      <c r="AN29" s="64">
        <f t="shared" si="32"/>
        <v>-6.2774702870995291E-2</v>
      </c>
      <c r="AO29" s="64">
        <f t="shared" si="32"/>
        <v>-6.1972801733356508E-2</v>
      </c>
      <c r="AP29" s="64">
        <f t="shared" si="32"/>
        <v>-6.1218063169022008E-2</v>
      </c>
      <c r="AQ29" s="64">
        <f t="shared" si="32"/>
        <v>-6.0918317851993864E-2</v>
      </c>
      <c r="AR29" s="64">
        <f t="shared" si="32"/>
        <v>-6.0777408932297661E-2</v>
      </c>
      <c r="AS29" s="64">
        <f t="shared" si="32"/>
        <v>-6.0316311240298903E-2</v>
      </c>
      <c r="AT29" s="64">
        <f t="shared" si="32"/>
        <v>0</v>
      </c>
      <c r="AU29" s="64">
        <f t="shared" si="32"/>
        <v>0</v>
      </c>
      <c r="AV29" s="64">
        <f t="shared" si="32"/>
        <v>0</v>
      </c>
      <c r="AW29" s="64">
        <f t="shared" si="32"/>
        <v>0</v>
      </c>
      <c r="AX29" s="64">
        <f t="shared" si="32"/>
        <v>0</v>
      </c>
      <c r="AY29" s="64">
        <f t="shared" si="32"/>
        <v>0</v>
      </c>
      <c r="AZ29" s="64">
        <f t="shared" ref="AZ29:BK29" si="33">-IFERROR(((1-AZ47/AZ17)^(360/AZ$4))-1,0)</f>
        <v>-6.2990159727248196E-2</v>
      </c>
      <c r="BA29" s="64">
        <f t="shared" si="33"/>
        <v>-6.2683849105189315E-2</v>
      </c>
      <c r="BB29" s="64">
        <f t="shared" si="33"/>
        <v>-6.2270295433018541E-2</v>
      </c>
      <c r="BC29" s="64">
        <f t="shared" si="33"/>
        <v>-6.1904037398129219E-2</v>
      </c>
      <c r="BD29" s="64">
        <f t="shared" si="33"/>
        <v>-6.156040980555022E-2</v>
      </c>
      <c r="BE29" s="64">
        <f t="shared" si="33"/>
        <v>-6.1225655632429321E-2</v>
      </c>
      <c r="BF29" s="64">
        <f t="shared" si="33"/>
        <v>-6.091551106251103E-2</v>
      </c>
      <c r="BG29" s="64">
        <f t="shared" si="33"/>
        <v>-6.0609749758804288E-2</v>
      </c>
      <c r="BH29" s="64">
        <f t="shared" si="33"/>
        <v>-6.0286740058092425E-2</v>
      </c>
      <c r="BI29" s="64">
        <f t="shared" si="33"/>
        <v>-6.0006971369698459E-2</v>
      </c>
      <c r="BJ29" s="64">
        <f t="shared" si="33"/>
        <v>-5.9770248615728105E-2</v>
      </c>
      <c r="BK29" s="64">
        <f t="shared" si="33"/>
        <v>-5.9551513344012985E-2</v>
      </c>
      <c r="BO29" s="65">
        <f t="shared" si="27"/>
        <v>-6.1982088305645666E-2</v>
      </c>
      <c r="BP29" s="65">
        <f t="shared" si="27"/>
        <v>-6.2649114463934952E-2</v>
      </c>
      <c r="BQ29" s="65">
        <f t="shared" si="27"/>
        <v>-6.2364839588315402E-2</v>
      </c>
      <c r="BR29" s="65">
        <f t="shared" si="27"/>
        <v>-7.0409997735469965E-2</v>
      </c>
      <c r="BS29" s="65">
        <f t="shared" si="27"/>
        <v>-7.7418735738611577E-2</v>
      </c>
      <c r="BT29" s="65">
        <f t="shared" si="27"/>
        <v>-7.1128209358071626E-2</v>
      </c>
    </row>
    <row r="32" spans="1:80" hidden="1" outlineLevel="1" x14ac:dyDescent="0.25">
      <c r="A32" s="59"/>
      <c r="C32" s="60" t="s">
        <v>0</v>
      </c>
      <c r="D32" s="14">
        <f t="shared" ref="D32:AY32" si="34">D20+D26</f>
        <v>0.11743071423449036</v>
      </c>
      <c r="E32" s="14">
        <f t="shared" si="34"/>
        <v>0.11728471433047161</v>
      </c>
      <c r="F32" s="14">
        <f t="shared" si="34"/>
        <v>0.11319653362777471</v>
      </c>
      <c r="G32" s="14">
        <f t="shared" si="34"/>
        <v>0.1058134474336534</v>
      </c>
      <c r="H32" s="14">
        <f t="shared" si="34"/>
        <v>0.11441146510050992</v>
      </c>
      <c r="I32" s="14">
        <f t="shared" si="34"/>
        <v>0.11249816459196715</v>
      </c>
      <c r="J32" s="14">
        <f t="shared" si="34"/>
        <v>0.11177073142434635</v>
      </c>
      <c r="K32" s="14">
        <f t="shared" si="34"/>
        <v>0.1125842039233973</v>
      </c>
      <c r="L32" s="14">
        <f t="shared" si="34"/>
        <v>0.10955160806647402</v>
      </c>
      <c r="M32" s="14">
        <f t="shared" si="34"/>
        <v>0.10711516829296253</v>
      </c>
      <c r="N32" s="14">
        <f t="shared" si="34"/>
        <v>0.10331628039618646</v>
      </c>
      <c r="O32" s="14">
        <f t="shared" si="34"/>
        <v>9.8994084676640171E-2</v>
      </c>
      <c r="P32" s="14">
        <f t="shared" si="34"/>
        <v>9.8014281887687238E-2</v>
      </c>
      <c r="Q32" s="14">
        <f t="shared" si="34"/>
        <v>9.4351443295971116E-2</v>
      </c>
      <c r="R32" s="14">
        <f t="shared" si="34"/>
        <v>9.4410943300800243E-2</v>
      </c>
      <c r="S32" s="14">
        <f t="shared" si="34"/>
        <v>9.7814537485996889E-2</v>
      </c>
      <c r="T32" s="14">
        <f t="shared" si="34"/>
        <v>0.1001893918618133</v>
      </c>
      <c r="U32" s="14">
        <f t="shared" si="34"/>
        <v>0.10075425875405175</v>
      </c>
      <c r="V32" s="14">
        <f t="shared" si="34"/>
        <v>0.10520330951608625</v>
      </c>
      <c r="W32" s="14">
        <f t="shared" si="34"/>
        <v>0.10432753646129256</v>
      </c>
      <c r="X32" s="14">
        <f t="shared" si="34"/>
        <v>0.1045174313733388</v>
      </c>
      <c r="Y32" s="14">
        <f t="shared" si="34"/>
        <v>0.10355858573448562</v>
      </c>
      <c r="Z32" s="14">
        <f t="shared" si="34"/>
        <v>0.10017712938347789</v>
      </c>
      <c r="AA32" s="14">
        <f t="shared" si="34"/>
        <v>9.9789077266660531E-2</v>
      </c>
      <c r="AB32" s="14">
        <f t="shared" si="34"/>
        <v>0.10055879453663241</v>
      </c>
      <c r="AC32" s="14">
        <f t="shared" si="34"/>
        <v>9.8455446376173095E-2</v>
      </c>
      <c r="AD32" s="14">
        <f t="shared" si="34"/>
        <v>0.10032176572516294</v>
      </c>
      <c r="AE32" s="14">
        <f t="shared" si="34"/>
        <v>0.10073564053661954</v>
      </c>
      <c r="AF32" s="14">
        <f t="shared" si="34"/>
        <v>0.10078049460091298</v>
      </c>
      <c r="AG32" s="14">
        <f t="shared" si="34"/>
        <v>0.10054245395286365</v>
      </c>
      <c r="AH32" s="14">
        <f t="shared" si="34"/>
        <v>0.10157363976418154</v>
      </c>
      <c r="AI32" s="14">
        <f t="shared" si="34"/>
        <v>0.10209566288505911</v>
      </c>
      <c r="AJ32" s="14">
        <f t="shared" si="34"/>
        <v>0.10290825452489472</v>
      </c>
      <c r="AK32" s="14">
        <f t="shared" si="34"/>
        <v>0.10292561235049624</v>
      </c>
      <c r="AL32" s="14">
        <f t="shared" si="34"/>
        <v>0.10183961202955327</v>
      </c>
      <c r="AM32" s="14">
        <f t="shared" si="34"/>
        <v>0.10465432773768346</v>
      </c>
      <c r="AN32" s="14">
        <f t="shared" si="34"/>
        <v>0.10550678836004868</v>
      </c>
      <c r="AO32" s="14">
        <f t="shared" si="34"/>
        <v>0.1064771559459774</v>
      </c>
      <c r="AP32" s="14">
        <f t="shared" si="34"/>
        <v>0.1057909700334061</v>
      </c>
      <c r="AQ32" s="14">
        <f t="shared" si="34"/>
        <v>0.10393614247598904</v>
      </c>
      <c r="AR32" s="14">
        <f t="shared" si="34"/>
        <v>0.1034040785904764</v>
      </c>
      <c r="AS32" s="14">
        <f t="shared" si="34"/>
        <v>0.10266241726390946</v>
      </c>
      <c r="AT32" s="14">
        <f t="shared" si="34"/>
        <v>0</v>
      </c>
      <c r="AU32" s="14">
        <f t="shared" si="34"/>
        <v>0</v>
      </c>
      <c r="AV32" s="14">
        <f t="shared" si="34"/>
        <v>0</v>
      </c>
      <c r="AW32" s="14">
        <f t="shared" si="34"/>
        <v>0</v>
      </c>
      <c r="AX32" s="14">
        <f t="shared" si="34"/>
        <v>0</v>
      </c>
      <c r="AY32" s="14">
        <f t="shared" si="34"/>
        <v>0</v>
      </c>
      <c r="AZ32" s="14">
        <f t="shared" ref="AZ32:BK32" si="35">AZ20+AZ26</f>
        <v>0.10237564152429779</v>
      </c>
      <c r="BA32" s="14">
        <f t="shared" si="35"/>
        <v>0.10163826328333614</v>
      </c>
      <c r="BB32" s="14">
        <f t="shared" si="35"/>
        <v>0.10354644915550293</v>
      </c>
      <c r="BC32" s="14">
        <f t="shared" si="35"/>
        <v>0.1045934465868914</v>
      </c>
      <c r="BD32" s="14">
        <f t="shared" si="35"/>
        <v>0.10581865620473763</v>
      </c>
      <c r="BE32" s="14">
        <f t="shared" si="35"/>
        <v>0.10727852919129344</v>
      </c>
      <c r="BF32" s="14">
        <f t="shared" si="35"/>
        <v>0.10862951248686215</v>
      </c>
      <c r="BG32" s="14">
        <f t="shared" si="35"/>
        <v>0.1101561091057468</v>
      </c>
      <c r="BH32" s="14">
        <f t="shared" si="35"/>
        <v>0.11093330804456603</v>
      </c>
      <c r="BI32" s="14">
        <f t="shared" si="35"/>
        <v>0.11278770523609083</v>
      </c>
      <c r="BJ32" s="14">
        <f t="shared" si="35"/>
        <v>0.11372363089445403</v>
      </c>
      <c r="BK32" s="14">
        <f t="shared" si="35"/>
        <v>0.11613034919437326</v>
      </c>
      <c r="BO32" s="28">
        <f t="shared" ref="BO32:BT35" si="36">BO20+BO26</f>
        <v>0.10591633271906309</v>
      </c>
      <c r="BP32" s="28">
        <f t="shared" si="36"/>
        <v>0.10256137484992389</v>
      </c>
      <c r="BQ32" s="28">
        <f t="shared" si="36"/>
        <v>0.10592140946856476</v>
      </c>
      <c r="BR32" s="28">
        <f t="shared" si="36"/>
        <v>9.9836833431917071E-2</v>
      </c>
      <c r="BS32" s="28">
        <f t="shared" si="36"/>
        <v>9.5649789854941103E-2</v>
      </c>
      <c r="BT32" s="28">
        <f t="shared" si="36"/>
        <v>0.11590914877198388</v>
      </c>
    </row>
    <row r="33" spans="1:72" hidden="1" outlineLevel="1" x14ac:dyDescent="0.25">
      <c r="A33" s="59"/>
      <c r="C33" s="60" t="s">
        <v>1</v>
      </c>
      <c r="D33" s="14">
        <f t="shared" ref="D33:AY33" si="37">D21+D27</f>
        <v>-9.7010656847174026E-4</v>
      </c>
      <c r="E33" s="14">
        <f t="shared" si="37"/>
        <v>5.0370413435736339E-3</v>
      </c>
      <c r="F33" s="14">
        <f t="shared" si="37"/>
        <v>-1.7092727335518809E-2</v>
      </c>
      <c r="G33" s="14">
        <f t="shared" si="37"/>
        <v>-2.5923344143349292E-2</v>
      </c>
      <c r="H33" s="14">
        <f t="shared" si="37"/>
        <v>-2.1724255651570656E-2</v>
      </c>
      <c r="I33" s="14">
        <f t="shared" si="37"/>
        <v>-2.1100531907169096E-2</v>
      </c>
      <c r="J33" s="14">
        <f t="shared" si="37"/>
        <v>-1.1330268911824426E-2</v>
      </c>
      <c r="K33" s="14">
        <f t="shared" si="37"/>
        <v>-7.85014209228585E-3</v>
      </c>
      <c r="L33" s="14">
        <f t="shared" si="37"/>
        <v>-1.4041462781080316E-3</v>
      </c>
      <c r="M33" s="14">
        <f t="shared" si="37"/>
        <v>-9.1166360875443164E-3</v>
      </c>
      <c r="N33" s="14">
        <f t="shared" si="37"/>
        <v>-5.3529054655410135E-4</v>
      </c>
      <c r="O33" s="14">
        <f t="shared" si="37"/>
        <v>-5.4759975590186194E-3</v>
      </c>
      <c r="P33" s="14">
        <f t="shared" si="37"/>
        <v>3.1887127707228569E-3</v>
      </c>
      <c r="Q33" s="14">
        <f t="shared" si="37"/>
        <v>3.8394052078796204E-3</v>
      </c>
      <c r="R33" s="14">
        <f t="shared" si="37"/>
        <v>-1.0322408546059592E-2</v>
      </c>
      <c r="S33" s="14">
        <f t="shared" si="37"/>
        <v>4.7532289545080264E-3</v>
      </c>
      <c r="T33" s="14">
        <f t="shared" si="37"/>
        <v>-1.2554002626695926E-2</v>
      </c>
      <c r="U33" s="14">
        <f t="shared" si="37"/>
        <v>-4.4898144564562426E-3</v>
      </c>
      <c r="V33" s="14">
        <f t="shared" si="37"/>
        <v>-4.4860127039325626E-4</v>
      </c>
      <c r="W33" s="14">
        <f t="shared" si="37"/>
        <v>-8.1601509451483256E-3</v>
      </c>
      <c r="X33" s="14">
        <f t="shared" si="37"/>
        <v>-3.8125243342126414E-3</v>
      </c>
      <c r="Y33" s="14">
        <f t="shared" si="37"/>
        <v>-1.2202727990335838E-2</v>
      </c>
      <c r="Z33" s="14">
        <f t="shared" si="37"/>
        <v>-1.0194001903469863E-2</v>
      </c>
      <c r="AA33" s="14">
        <f t="shared" si="37"/>
        <v>-6.7452673578651812E-3</v>
      </c>
      <c r="AB33" s="14">
        <f t="shared" si="37"/>
        <v>6.7031635146275192E-4</v>
      </c>
      <c r="AC33" s="14">
        <f t="shared" si="37"/>
        <v>4.3760587221433056E-3</v>
      </c>
      <c r="AD33" s="14">
        <f t="shared" si="37"/>
        <v>-5.993400731618248E-3</v>
      </c>
      <c r="AE33" s="14">
        <f t="shared" si="37"/>
        <v>-1.3142900814462344E-3</v>
      </c>
      <c r="AF33" s="14">
        <f t="shared" si="37"/>
        <v>9.0495065994722346E-4</v>
      </c>
      <c r="AG33" s="14">
        <f t="shared" si="37"/>
        <v>1.7517666087250028E-3</v>
      </c>
      <c r="AH33" s="14">
        <f t="shared" si="37"/>
        <v>1.2533035444541207E-2</v>
      </c>
      <c r="AI33" s="14">
        <f t="shared" si="37"/>
        <v>1.7924258582964203E-3</v>
      </c>
      <c r="AJ33" s="14">
        <f t="shared" si="37"/>
        <v>1.1445684215718455E-2</v>
      </c>
      <c r="AK33" s="14">
        <f t="shared" si="37"/>
        <v>9.8196642573284976E-3</v>
      </c>
      <c r="AL33" s="14">
        <f t="shared" si="37"/>
        <v>5.8013493414919015E-3</v>
      </c>
      <c r="AM33" s="14">
        <f t="shared" si="37"/>
        <v>1.9385404344348212E-2</v>
      </c>
      <c r="AN33" s="14">
        <f t="shared" si="37"/>
        <v>1.3205747864531991E-2</v>
      </c>
      <c r="AO33" s="14">
        <f t="shared" si="37"/>
        <v>1.609675170616276E-2</v>
      </c>
      <c r="AP33" s="14">
        <f t="shared" si="37"/>
        <v>1.6343387567000489E-2</v>
      </c>
      <c r="AQ33" s="14">
        <f t="shared" si="37"/>
        <v>1.870626911691331E-2</v>
      </c>
      <c r="AR33" s="14">
        <f t="shared" si="37"/>
        <v>1.1210765706038295E-2</v>
      </c>
      <c r="AS33" s="14">
        <f t="shared" si="37"/>
        <v>2.1964690927505526E-2</v>
      </c>
      <c r="AT33" s="14">
        <f t="shared" si="37"/>
        <v>0</v>
      </c>
      <c r="AU33" s="14">
        <f t="shared" si="37"/>
        <v>0</v>
      </c>
      <c r="AV33" s="14">
        <f t="shared" si="37"/>
        <v>0</v>
      </c>
      <c r="AW33" s="14">
        <f t="shared" si="37"/>
        <v>0</v>
      </c>
      <c r="AX33" s="14">
        <f t="shared" si="37"/>
        <v>0</v>
      </c>
      <c r="AY33" s="14">
        <f t="shared" si="37"/>
        <v>0</v>
      </c>
      <c r="AZ33" s="14">
        <f t="shared" ref="AZ33:BK33" si="38">AZ21+AZ27</f>
        <v>6.2908895536881504E-2</v>
      </c>
      <c r="BA33" s="14">
        <f t="shared" si="38"/>
        <v>6.2381406022517849E-2</v>
      </c>
      <c r="BB33" s="14">
        <f t="shared" si="38"/>
        <v>6.2294942973938783E-2</v>
      </c>
      <c r="BC33" s="14">
        <f t="shared" si="38"/>
        <v>6.1705631389331828E-2</v>
      </c>
      <c r="BD33" s="14">
        <f t="shared" si="38"/>
        <v>6.132720261135538E-2</v>
      </c>
      <c r="BE33" s="14">
        <f t="shared" si="38"/>
        <v>6.0907024393455966E-2</v>
      </c>
      <c r="BF33" s="14">
        <f t="shared" si="38"/>
        <v>6.0499415759339481E-2</v>
      </c>
      <c r="BG33" s="14">
        <f t="shared" si="38"/>
        <v>6.0155973368645643E-2</v>
      </c>
      <c r="BH33" s="14">
        <f t="shared" si="38"/>
        <v>5.9622713938207061E-2</v>
      </c>
      <c r="BI33" s="14">
        <f t="shared" si="38"/>
        <v>5.9066154219438838E-2</v>
      </c>
      <c r="BJ33" s="14">
        <f t="shared" si="38"/>
        <v>5.8630870582199179E-2</v>
      </c>
      <c r="BK33" s="14">
        <f t="shared" si="38"/>
        <v>5.8324088456255918E-2</v>
      </c>
      <c r="BO33" s="28">
        <f t="shared" si="36"/>
        <v>1.5160059228590983E-2</v>
      </c>
      <c r="BP33" s="28">
        <f t="shared" si="36"/>
        <v>6.2547188768290241E-2</v>
      </c>
      <c r="BQ33" s="28">
        <f t="shared" si="36"/>
        <v>1.4569428889488645E-2</v>
      </c>
      <c r="BR33" s="28">
        <f t="shared" si="36"/>
        <v>-4.7909845672511331E-4</v>
      </c>
      <c r="BS33" s="28">
        <f t="shared" si="36"/>
        <v>-1.6005961863900797E-3</v>
      </c>
      <c r="BT33" s="28">
        <f t="shared" si="36"/>
        <v>-4.8868324000912455E-3</v>
      </c>
    </row>
    <row r="34" spans="1:72" hidden="1" outlineLevel="1" x14ac:dyDescent="0.25">
      <c r="A34" s="59"/>
      <c r="C34" s="60" t="s">
        <v>45</v>
      </c>
      <c r="D34" s="14">
        <f t="shared" ref="D34:AY34" si="39">D22+D28</f>
        <v>1.9851020054876711E-2</v>
      </c>
      <c r="E34" s="14">
        <f t="shared" si="39"/>
        <v>-6.7429794338729199E-3</v>
      </c>
      <c r="F34" s="14">
        <f t="shared" si="39"/>
        <v>1.0767025672918873E-2</v>
      </c>
      <c r="G34" s="14">
        <f t="shared" si="39"/>
        <v>1.4036267802647995E-2</v>
      </c>
      <c r="H34" s="14">
        <f t="shared" si="39"/>
        <v>4.9213197272054865E-2</v>
      </c>
      <c r="I34" s="14">
        <f t="shared" si="39"/>
        <v>3.7459068826517505E-3</v>
      </c>
      <c r="J34" s="14">
        <f t="shared" si="39"/>
        <v>3.1915471618992219E-2</v>
      </c>
      <c r="K34" s="14">
        <f t="shared" si="39"/>
        <v>-1.4880689423223403E-2</v>
      </c>
      <c r="L34" s="14">
        <f t="shared" si="39"/>
        <v>-1.2964446908728888E-2</v>
      </c>
      <c r="M34" s="14">
        <f t="shared" si="39"/>
        <v>-1.0771942635605214E-2</v>
      </c>
      <c r="N34" s="14">
        <f t="shared" si="39"/>
        <v>9.3666816185922208E-4</v>
      </c>
      <c r="O34" s="14">
        <f t="shared" si="39"/>
        <v>-2.1204118634265967E-3</v>
      </c>
      <c r="P34" s="14">
        <f t="shared" si="39"/>
        <v>-1.0295401383164648E-2</v>
      </c>
      <c r="Q34" s="14">
        <f t="shared" si="39"/>
        <v>-1.2318013728905175E-2</v>
      </c>
      <c r="R34" s="14">
        <f t="shared" si="39"/>
        <v>-9.394520266529538E-3</v>
      </c>
      <c r="S34" s="14">
        <f t="shared" si="39"/>
        <v>9.1373899070994469E-3</v>
      </c>
      <c r="T34" s="14">
        <f t="shared" si="39"/>
        <v>2.5452759094557464E-3</v>
      </c>
      <c r="U34" s="14">
        <f t="shared" si="39"/>
        <v>2.0618355738502903E-2</v>
      </c>
      <c r="V34" s="14">
        <f t="shared" si="39"/>
        <v>2.6641684893929929E-2</v>
      </c>
      <c r="W34" s="14">
        <f t="shared" si="39"/>
        <v>1.7295181211212096E-3</v>
      </c>
      <c r="X34" s="14">
        <f t="shared" si="39"/>
        <v>1.6759159106869426E-3</v>
      </c>
      <c r="Y34" s="14">
        <f t="shared" si="39"/>
        <v>1.4523668293553449E-4</v>
      </c>
      <c r="Z34" s="14">
        <f t="shared" si="39"/>
        <v>2.4120552022876884E-2</v>
      </c>
      <c r="AA34" s="14">
        <f t="shared" si="39"/>
        <v>2.6553318140619897E-2</v>
      </c>
      <c r="AB34" s="14">
        <f t="shared" si="39"/>
        <v>1.1569016927366338E-2</v>
      </c>
      <c r="AC34" s="14">
        <f t="shared" si="39"/>
        <v>1.3949042899211728E-2</v>
      </c>
      <c r="AD34" s="14">
        <f t="shared" si="39"/>
        <v>3.1578873698038468E-2</v>
      </c>
      <c r="AE34" s="14">
        <f t="shared" si="39"/>
        <v>2.052755562409958E-2</v>
      </c>
      <c r="AF34" s="14">
        <f t="shared" si="39"/>
        <v>2.8805753837788828E-2</v>
      </c>
      <c r="AG34" s="14">
        <f t="shared" si="39"/>
        <v>2.7153183676341452E-2</v>
      </c>
      <c r="AH34" s="14">
        <f t="shared" si="39"/>
        <v>3.0896498150164264E-2</v>
      </c>
      <c r="AI34" s="14">
        <f t="shared" si="39"/>
        <v>1.4031729681898142E-2</v>
      </c>
      <c r="AJ34" s="14">
        <f t="shared" si="39"/>
        <v>1.7733660301584075E-2</v>
      </c>
      <c r="AK34" s="14">
        <f t="shared" si="39"/>
        <v>-9.1773257081322335E-3</v>
      </c>
      <c r="AL34" s="14">
        <f t="shared" si="39"/>
        <v>5.5064933573929942E-2</v>
      </c>
      <c r="AM34" s="14">
        <f t="shared" si="39"/>
        <v>6.0430662615382325E-2</v>
      </c>
      <c r="AN34" s="14">
        <f t="shared" si="39"/>
        <v>2.0835164644344761E-2</v>
      </c>
      <c r="AO34" s="14">
        <f t="shared" si="39"/>
        <v>2.8287798596525304E-2</v>
      </c>
      <c r="AP34" s="14">
        <f t="shared" si="39"/>
        <v>2.0797145062031897E-2</v>
      </c>
      <c r="AQ34" s="14">
        <f t="shared" si="39"/>
        <v>3.1485665741776803E-2</v>
      </c>
      <c r="AR34" s="14">
        <f t="shared" si="39"/>
        <v>4.7957750641055785E-2</v>
      </c>
      <c r="AS34" s="14">
        <f t="shared" si="39"/>
        <v>3.5256126565309298E-2</v>
      </c>
      <c r="AT34" s="14">
        <f t="shared" si="39"/>
        <v>0</v>
      </c>
      <c r="AU34" s="14">
        <f t="shared" si="39"/>
        <v>0</v>
      </c>
      <c r="AV34" s="14">
        <f t="shared" si="39"/>
        <v>0</v>
      </c>
      <c r="AW34" s="14">
        <f t="shared" si="39"/>
        <v>0</v>
      </c>
      <c r="AX34" s="14">
        <f t="shared" si="39"/>
        <v>0</v>
      </c>
      <c r="AY34" s="14">
        <f t="shared" si="39"/>
        <v>0</v>
      </c>
      <c r="AZ34" s="14">
        <f t="shared" ref="AZ34:BK34" si="40">AZ22+AZ28</f>
        <v>3.8439027316172769E-2</v>
      </c>
      <c r="BA34" s="14">
        <f t="shared" si="40"/>
        <v>4.7996351373568835E-2</v>
      </c>
      <c r="BB34" s="14">
        <f t="shared" si="40"/>
        <v>3.7270998211279327E-2</v>
      </c>
      <c r="BC34" s="14">
        <f t="shared" si="40"/>
        <v>3.9742460917802314E-2</v>
      </c>
      <c r="BD34" s="14">
        <f t="shared" si="40"/>
        <v>3.6368548354980712E-2</v>
      </c>
      <c r="BE34" s="14">
        <f t="shared" si="40"/>
        <v>3.9275130865263019E-2</v>
      </c>
      <c r="BF34" s="14">
        <f t="shared" si="40"/>
        <v>3.5781125732909702E-2</v>
      </c>
      <c r="BG34" s="14">
        <f t="shared" si="40"/>
        <v>3.6584125207598239E-2</v>
      </c>
      <c r="BH34" s="14">
        <f t="shared" si="40"/>
        <v>4.0048684091287923E-2</v>
      </c>
      <c r="BI34" s="14">
        <f t="shared" si="40"/>
        <v>3.6909217818285933E-2</v>
      </c>
      <c r="BJ34" s="14">
        <f t="shared" si="40"/>
        <v>3.9814600964273028E-2</v>
      </c>
      <c r="BK34" s="14">
        <f t="shared" si="40"/>
        <v>3.7106318740567579E-2</v>
      </c>
      <c r="BO34" s="28">
        <f t="shared" si="36"/>
        <v>2.3155735909636155E-2</v>
      </c>
      <c r="BP34" s="28">
        <f t="shared" si="36"/>
        <v>4.1025877784367726E-2</v>
      </c>
      <c r="BQ34" s="28">
        <f t="shared" si="36"/>
        <v>2.4351686520455385E-2</v>
      </c>
      <c r="BR34" s="28">
        <f t="shared" si="36"/>
        <v>1.8566983700545103E-2</v>
      </c>
      <c r="BS34" s="28">
        <f t="shared" si="36"/>
        <v>-1.0640437939249514E-2</v>
      </c>
      <c r="BT34" s="28">
        <f t="shared" si="36"/>
        <v>8.2732182765710149E-3</v>
      </c>
    </row>
    <row r="35" spans="1:72" collapsed="1" x14ac:dyDescent="0.25">
      <c r="C35" s="61" t="s">
        <v>63</v>
      </c>
      <c r="D35" s="64">
        <f t="shared" ref="D35:AY35" si="41">D23+D29</f>
        <v>0.114219338340114</v>
      </c>
      <c r="E35" s="64">
        <f t="shared" si="41"/>
        <v>0.11334033467157933</v>
      </c>
      <c r="F35" s="64">
        <f t="shared" si="41"/>
        <v>0.11020482962609068</v>
      </c>
      <c r="G35" s="64">
        <f t="shared" si="41"/>
        <v>0.10325482542214459</v>
      </c>
      <c r="H35" s="64">
        <f t="shared" si="41"/>
        <v>0.11267199924561133</v>
      </c>
      <c r="I35" s="64">
        <f t="shared" si="41"/>
        <v>0.109752405546925</v>
      </c>
      <c r="J35" s="64">
        <f t="shared" si="41"/>
        <v>0.10940232851061693</v>
      </c>
      <c r="K35" s="64">
        <f t="shared" si="41"/>
        <v>0.1074332830383502</v>
      </c>
      <c r="L35" s="64">
        <f t="shared" si="41"/>
        <v>0.1036690885855367</v>
      </c>
      <c r="M35" s="64">
        <f t="shared" si="41"/>
        <v>0.10168190056207593</v>
      </c>
      <c r="N35" s="64">
        <f t="shared" si="41"/>
        <v>9.8923687231921908E-2</v>
      </c>
      <c r="O35" s="64">
        <f t="shared" si="41"/>
        <v>9.4785904435156665E-2</v>
      </c>
      <c r="P35" s="64">
        <f t="shared" si="41"/>
        <v>9.259416010270316E-2</v>
      </c>
      <c r="Q35" s="64">
        <f t="shared" si="41"/>
        <v>8.8761706783568872E-2</v>
      </c>
      <c r="R35" s="64">
        <f t="shared" si="41"/>
        <v>8.8918872725919806E-2</v>
      </c>
      <c r="S35" s="64">
        <f t="shared" si="41"/>
        <v>9.1929790781474452E-2</v>
      </c>
      <c r="T35" s="64">
        <f t="shared" si="41"/>
        <v>9.3076585993840277E-2</v>
      </c>
      <c r="U35" s="64">
        <f t="shared" si="41"/>
        <v>9.4391562764074122E-2</v>
      </c>
      <c r="V35" s="64">
        <f t="shared" si="41"/>
        <v>9.9055385136409546E-2</v>
      </c>
      <c r="W35" s="64">
        <f t="shared" si="41"/>
        <v>9.6897826136889575E-2</v>
      </c>
      <c r="X35" s="64">
        <f t="shared" si="41"/>
        <v>9.7029694248203846E-2</v>
      </c>
      <c r="Y35" s="64">
        <f t="shared" si="41"/>
        <v>9.6691365803912133E-2</v>
      </c>
      <c r="Z35" s="64">
        <f t="shared" si="41"/>
        <v>9.5142133699880782E-2</v>
      </c>
      <c r="AA35" s="64">
        <f t="shared" si="41"/>
        <v>9.5194619307395367E-2</v>
      </c>
      <c r="AB35" s="64">
        <f t="shared" si="41"/>
        <v>9.4759465673264875E-2</v>
      </c>
      <c r="AC35" s="64">
        <f t="shared" si="41"/>
        <v>9.2976038637424541E-2</v>
      </c>
      <c r="AD35" s="64">
        <f t="shared" si="41"/>
        <v>9.58489886341507E-2</v>
      </c>
      <c r="AE35" s="64">
        <f t="shared" si="41"/>
        <v>9.5727599553967924E-2</v>
      </c>
      <c r="AF35" s="64">
        <f t="shared" si="41"/>
        <v>9.6214602476863309E-2</v>
      </c>
      <c r="AG35" s="64">
        <f t="shared" si="41"/>
        <v>9.5888441214275311E-2</v>
      </c>
      <c r="AH35" s="64">
        <f t="shared" si="41"/>
        <v>9.7416271366099982E-2</v>
      </c>
      <c r="AI35" s="64">
        <f t="shared" si="41"/>
        <v>9.7109587373126471E-2</v>
      </c>
      <c r="AJ35" s="64">
        <f t="shared" si="41"/>
        <v>9.8329565233364891E-2</v>
      </c>
      <c r="AK35" s="64">
        <f t="shared" si="41"/>
        <v>9.7506923983718075E-2</v>
      </c>
      <c r="AL35" s="64">
        <f t="shared" si="41"/>
        <v>9.9112988451628858E-2</v>
      </c>
      <c r="AM35" s="64">
        <f t="shared" si="41"/>
        <v>0.10226002741620754</v>
      </c>
      <c r="AN35" s="64">
        <f t="shared" si="41"/>
        <v>0.10154910387190164</v>
      </c>
      <c r="AO35" s="64">
        <f t="shared" si="41"/>
        <v>0.10288117603594671</v>
      </c>
      <c r="AP35" s="64">
        <f t="shared" si="41"/>
        <v>0.10221575555154794</v>
      </c>
      <c r="AQ35" s="64">
        <f t="shared" si="41"/>
        <v>0.10099551231174297</v>
      </c>
      <c r="AR35" s="64">
        <f t="shared" si="41"/>
        <v>0.10099523620318873</v>
      </c>
      <c r="AS35" s="64">
        <f t="shared" si="41"/>
        <v>0.10006180172625223</v>
      </c>
      <c r="AT35" s="64">
        <f t="shared" si="41"/>
        <v>0</v>
      </c>
      <c r="AU35" s="64">
        <f t="shared" si="41"/>
        <v>0</v>
      </c>
      <c r="AV35" s="64">
        <f t="shared" si="41"/>
        <v>0</v>
      </c>
      <c r="AW35" s="64">
        <f t="shared" si="41"/>
        <v>0</v>
      </c>
      <c r="AX35" s="64">
        <f t="shared" si="41"/>
        <v>0</v>
      </c>
      <c r="AY35" s="64">
        <f t="shared" si="41"/>
        <v>0</v>
      </c>
      <c r="AZ35" s="64">
        <f t="shared" ref="AZ35:BK35" si="42">AZ23+AZ29</f>
        <v>9.9586840211721039E-2</v>
      </c>
      <c r="BA35" s="64">
        <f t="shared" si="42"/>
        <v>9.927223025763765E-2</v>
      </c>
      <c r="BB35" s="64">
        <f t="shared" si="42"/>
        <v>0.10081284524409728</v>
      </c>
      <c r="BC35" s="64">
        <f t="shared" si="42"/>
        <v>0.10198179189026924</v>
      </c>
      <c r="BD35" s="64">
        <f t="shared" si="42"/>
        <v>0.10309838316573194</v>
      </c>
      <c r="BE35" s="64">
        <f t="shared" si="42"/>
        <v>0.10465046420062607</v>
      </c>
      <c r="BF35" s="64">
        <f t="shared" si="42"/>
        <v>0.10588838894685559</v>
      </c>
      <c r="BG35" s="64">
        <f t="shared" si="42"/>
        <v>0.10737990776365791</v>
      </c>
      <c r="BH35" s="64">
        <f t="shared" si="42"/>
        <v>0.10826856996017176</v>
      </c>
      <c r="BI35" s="64">
        <f t="shared" si="42"/>
        <v>0.10999273371218954</v>
      </c>
      <c r="BJ35" s="64">
        <f t="shared" si="42"/>
        <v>0.11102844300090053</v>
      </c>
      <c r="BK35" s="64">
        <f t="shared" si="42"/>
        <v>0.11326692102320424</v>
      </c>
      <c r="BO35" s="65">
        <f t="shared" si="36"/>
        <v>0.10220295736371687</v>
      </c>
      <c r="BP35" s="65">
        <f t="shared" si="36"/>
        <v>9.992048406773324E-2</v>
      </c>
      <c r="BQ35" s="65">
        <f t="shared" si="36"/>
        <v>0.10214225679912592</v>
      </c>
      <c r="BR35" s="65">
        <f t="shared" si="36"/>
        <v>9.4585094208387899E-2</v>
      </c>
      <c r="BS35" s="65">
        <f t="shared" si="36"/>
        <v>9.0147486850940872E-2</v>
      </c>
      <c r="BT35" s="65">
        <f t="shared" si="36"/>
        <v>0.11254715575506791</v>
      </c>
    </row>
    <row r="38" spans="1:72" hidden="1" outlineLevel="1" x14ac:dyDescent="0.25">
      <c r="A38" s="59" t="s">
        <v>55</v>
      </c>
      <c r="C38" s="60" t="s">
        <v>0</v>
      </c>
      <c r="D38" s="8">
        <f>Renta_Alta!D38+Masivo!D38+Consumo_Inicial!D38</f>
        <v>46940.230190520007</v>
      </c>
      <c r="E38" s="8">
        <f>Renta_Alta!E38+Masivo!E38+Consumo_Inicial!E38</f>
        <v>43757.553402730009</v>
      </c>
      <c r="F38" s="8">
        <f>Renta_Alta!F38+Masivo!F38+Consumo_Inicial!F38</f>
        <v>49752.553095449992</v>
      </c>
      <c r="G38" s="8">
        <f>Renta_Alta!G38+Masivo!G38+Consumo_Inicial!G38</f>
        <v>48101.629208700004</v>
      </c>
      <c r="H38" s="8">
        <f>Renta_Alta!H38+Masivo!H38+Consumo_Inicial!H38</f>
        <v>53270.00031132999</v>
      </c>
      <c r="I38" s="8">
        <f>Renta_Alta!I38+Masivo!I38+Consumo_Inicial!I38</f>
        <v>52079.984701890004</v>
      </c>
      <c r="J38" s="8">
        <f>Renta_Alta!J38+Masivo!J38+Consumo_Inicial!J38</f>
        <v>54240.01680089</v>
      </c>
      <c r="K38" s="8">
        <f>Renta_Alta!K38+Masivo!K38+Consumo_Inicial!K38</f>
        <v>54951.59269356</v>
      </c>
      <c r="L38" s="8">
        <f>Renta_Alta!L38+Masivo!L38+Consumo_Inicial!L38</f>
        <v>53738.298054849998</v>
      </c>
      <c r="M38" s="8">
        <f>Renta_Alta!M38+Masivo!M38+Consumo_Inicial!M38</f>
        <v>54988.090040850009</v>
      </c>
      <c r="N38" s="8">
        <f>Renta_Alta!N38+Masivo!N38+Consumo_Inicial!N38</f>
        <v>52198.429197580001</v>
      </c>
      <c r="O38" s="8">
        <f>Renta_Alta!O38+Masivo!O38+Consumo_Inicial!O38</f>
        <v>52153.898758899988</v>
      </c>
      <c r="P38" s="8">
        <f>Renta_Alta!P38+Masivo!P38+Consumo_Inicial!P38</f>
        <v>50645.987492009997</v>
      </c>
      <c r="Q38" s="8">
        <f>Renta_Alta!Q38+Masivo!Q38+Consumo_Inicial!Q38</f>
        <v>45289.272698219997</v>
      </c>
      <c r="R38" s="8">
        <f>Renta_Alta!R38+Masivo!R38+Consumo_Inicial!R38</f>
        <v>47399.031740440005</v>
      </c>
      <c r="S38" s="8">
        <f>Renta_Alta!S38+Masivo!S38+Consumo_Inicial!S38</f>
        <v>45295.344468059993</v>
      </c>
      <c r="T38" s="8">
        <f>Renta_Alta!T38+Masivo!T38+Consumo_Inicial!T38</f>
        <v>45920.035146709997</v>
      </c>
      <c r="U38" s="8">
        <f>Renta_Alta!U38+Masivo!U38+Consumo_Inicial!U38</f>
        <v>42939.567994830009</v>
      </c>
      <c r="V38" s="8">
        <f>Renta_Alta!V38+Masivo!V38+Consumo_Inicial!V38</f>
        <v>43956.600306259999</v>
      </c>
      <c r="W38" s="8">
        <f>Renta_Alta!W38+Masivo!W38+Consumo_Inicial!W38</f>
        <v>42589.728821740006</v>
      </c>
      <c r="X38" s="8">
        <f>Renta_Alta!X38+Masivo!X38+Consumo_Inicial!X38</f>
        <v>40562.751913419997</v>
      </c>
      <c r="Y38" s="8">
        <f>Renta_Alta!Y38+Masivo!Y38+Consumo_Inicial!Y38</f>
        <v>41257.267447849998</v>
      </c>
      <c r="Z38" s="8">
        <f>Renta_Alta!Z38+Masivo!Z38+Consumo_Inicial!Z38</f>
        <v>38723.485019610001</v>
      </c>
      <c r="AA38" s="8">
        <f>Renta_Alta!AA38+Masivo!AA38+Consumo_Inicial!AA38</f>
        <v>39454.274767319999</v>
      </c>
      <c r="AB38" s="8">
        <f>Renta_Alta!AB38+Masivo!AB38+Consumo_Inicial!AB38</f>
        <v>38869.449981949998</v>
      </c>
      <c r="AC38" s="8">
        <f>Renta_Alta!AC38+Masivo!AC38+Consumo_Inicial!AC38</f>
        <v>34470.217871730005</v>
      </c>
      <c r="AD38" s="8">
        <f>Renta_Alta!AD38+Masivo!AD38+Consumo_Inicial!AD38</f>
        <v>38502.529453529998</v>
      </c>
      <c r="AE38" s="8">
        <f>Renta_Alta!AE38+Masivo!AE38+Consumo_Inicial!AE38</f>
        <v>37279.790432009991</v>
      </c>
      <c r="AF38" s="8">
        <f>Renta_Alta!AF38+Masivo!AF38+Consumo_Inicial!AF38</f>
        <v>38383.694987130002</v>
      </c>
      <c r="AG38" s="8">
        <f>Renta_Alta!AG38+Masivo!AG38+Consumo_Inicial!AG38</f>
        <v>36883.431903259996</v>
      </c>
      <c r="AH38" s="8">
        <f>Renta_Alta!AH38+Masivo!AH38+Consumo_Inicial!AH38</f>
        <v>38220.538151150002</v>
      </c>
      <c r="AI38" s="8">
        <f>Renta_Alta!AI38+Masivo!AI38+Consumo_Inicial!AI38</f>
        <v>38518.804053419997</v>
      </c>
      <c r="AJ38" s="8">
        <f>Renta_Alta!AJ38+Masivo!AJ38+Consumo_Inicial!AJ38</f>
        <v>37713.070909740003</v>
      </c>
      <c r="AK38" s="8">
        <f>Renta_Alta!AK38+Masivo!AK38+Consumo_Inicial!AK38</f>
        <v>39606.452919709998</v>
      </c>
      <c r="AL38" s="8">
        <f>Renta_Alta!AL38+Masivo!AL38+Consumo_Inicial!AL38</f>
        <v>38728.449272280006</v>
      </c>
      <c r="AM38" s="8">
        <f>Renta_Alta!AM38+Masivo!AM38+Consumo_Inicial!AM38</f>
        <v>40780.983992190006</v>
      </c>
      <c r="AN38" s="8">
        <f>Renta_Alta!AN38+Masivo!AN38+Consumo_Inicial!AN38</f>
        <v>40966.155889890004</v>
      </c>
      <c r="AO38" s="8">
        <f>Renta_Alta!AO38+Masivo!AO38+Consumo_Inicial!AO38</f>
        <v>37668.512927210002</v>
      </c>
      <c r="AP38" s="8">
        <f>Renta_Alta!AP38+Masivo!AP38+Consumo_Inicial!AP38</f>
        <v>42322.03923848999</v>
      </c>
      <c r="AQ38" s="8">
        <f>Renta_Alta!AQ38+Masivo!AQ38+Consumo_Inicial!AQ38</f>
        <v>40933.52379295</v>
      </c>
      <c r="AR38" s="8">
        <f>Renta_Alta!AR38+Masivo!AR38+Consumo_Inicial!AR38</f>
        <v>42894.511041400001</v>
      </c>
      <c r="AS38" s="8">
        <f>Renta_Alta!AS38+Masivo!AS38+Consumo_Inicial!AS38</f>
        <v>42274.813802880009</v>
      </c>
      <c r="AT38" s="8">
        <f>Renta_Alta!AT38+Masivo!AT38+Consumo_Inicial!AT38</f>
        <v>0</v>
      </c>
      <c r="AU38" s="8">
        <f>Renta_Alta!AU38+Masivo!AU38+Consumo_Inicial!AU38</f>
        <v>0</v>
      </c>
      <c r="AV38" s="8">
        <f>Renta_Alta!AV38+Masivo!AV38+Consumo_Inicial!AV38</f>
        <v>0</v>
      </c>
      <c r="AW38" s="8">
        <f>Renta_Alta!AW38+Masivo!AW38+Consumo_Inicial!AW38</f>
        <v>0</v>
      </c>
      <c r="AX38" s="8">
        <f>Renta_Alta!AX38+Masivo!AX38+Consumo_Inicial!AX38</f>
        <v>0</v>
      </c>
      <c r="AY38" s="8">
        <f>Renta_Alta!AY38+Masivo!AY38+Consumo_Inicial!AY38</f>
        <v>0</v>
      </c>
      <c r="AZ38" s="8">
        <f>Renta_Alta!AZ38+Masivo!AZ38+Consumo_Inicial!AZ38</f>
        <v>40668.772162639063</v>
      </c>
      <c r="BA38" s="8">
        <f>Renta_Alta!BA38+Masivo!BA38+Consumo_Inicial!BA38</f>
        <v>36586.102099317533</v>
      </c>
      <c r="BB38" s="8">
        <f>Renta_Alta!BB38+Masivo!BB38+Consumo_Inicial!BB38</f>
        <v>41169.410217267803</v>
      </c>
      <c r="BC38" s="8">
        <f>Renta_Alta!BC38+Masivo!BC38+Consumo_Inicial!BC38</f>
        <v>40537.708067834144</v>
      </c>
      <c r="BD38" s="8">
        <f>Renta_Alta!BD38+Masivo!BD38+Consumo_Inicial!BD38</f>
        <v>42842.053146291932</v>
      </c>
      <c r="BE38" s="8">
        <f>Renta_Alta!BE38+Masivo!BE38+Consumo_Inicial!BE38</f>
        <v>42331.228459120182</v>
      </c>
      <c r="BF38" s="8">
        <f>Renta_Alta!BF38+Masivo!BF38+Consumo_Inicial!BF38</f>
        <v>44355.079560443657</v>
      </c>
      <c r="BG38" s="8">
        <f>Renta_Alta!BG38+Masivo!BG38+Consumo_Inicial!BG38</f>
        <v>45029.324456122369</v>
      </c>
      <c r="BH38" s="8">
        <f>Renta_Alta!BH38+Masivo!BH38+Consumo_Inicial!BH38</f>
        <v>44297.624380627916</v>
      </c>
      <c r="BI38" s="8">
        <f>Renta_Alta!BI38+Masivo!BI38+Consumo_Inicial!BI38</f>
        <v>46946.093790471059</v>
      </c>
      <c r="BJ38" s="8">
        <f>Renta_Alta!BJ38+Masivo!BJ38+Consumo_Inicial!BJ38</f>
        <v>46144.684794642199</v>
      </c>
      <c r="BK38" s="8">
        <f>Renta_Alta!BK38+Masivo!BK38+Consumo_Inicial!BK38</f>
        <v>48532.113931370353</v>
      </c>
      <c r="BO38" s="24">
        <f t="shared" ref="BO38:BT40" si="43">SUMIFS($D38:$BM38,$D$6:$BM$6,"&gt;="&amp;BO$2,$D$6:$BM$6,"&lt;="&amp;BO$6,$D$5:$BM$5,BO$5)</f>
        <v>120956.70805558999</v>
      </c>
      <c r="BP38" s="24">
        <f t="shared" si="43"/>
        <v>118424.28447922441</v>
      </c>
      <c r="BQ38" s="24">
        <f t="shared" si="43"/>
        <v>78634.668817099999</v>
      </c>
      <c r="BR38" s="24">
        <f t="shared" si="43"/>
        <v>111842.19730721001</v>
      </c>
      <c r="BS38" s="24">
        <f t="shared" si="43"/>
        <v>143334.29193067001</v>
      </c>
      <c r="BT38" s="24">
        <f t="shared" si="43"/>
        <v>140450.33668870002</v>
      </c>
    </row>
    <row r="39" spans="1:72" hidden="1" outlineLevel="1" x14ac:dyDescent="0.25">
      <c r="A39" s="59" t="s">
        <v>55</v>
      </c>
      <c r="C39" s="60" t="s">
        <v>1</v>
      </c>
      <c r="D39" s="8">
        <f>Renta_Alta!D39+Masivo!D39+Consumo_Inicial!D39</f>
        <v>68.972759999999994</v>
      </c>
      <c r="E39" s="8">
        <f>Renta_Alta!E39+Masivo!E39+Consumo_Inicial!E39</f>
        <v>72.58229</v>
      </c>
      <c r="F39" s="8">
        <f>Renta_Alta!F39+Masivo!F39+Consumo_Inicial!F39</f>
        <v>62.902324</v>
      </c>
      <c r="G39" s="8">
        <f>Renta_Alta!G39+Masivo!G39+Consumo_Inicial!G39</f>
        <v>50.559299829999993</v>
      </c>
      <c r="H39" s="8">
        <f>Renta_Alta!H39+Masivo!H39+Consumo_Inicial!H39</f>
        <v>52.503720569999999</v>
      </c>
      <c r="I39" s="8">
        <f>Renta_Alta!I39+Masivo!I39+Consumo_Inicial!I39</f>
        <v>47.07691900999999</v>
      </c>
      <c r="J39" s="8">
        <f>Renta_Alta!J39+Masivo!J39+Consumo_Inicial!J39</f>
        <v>52.365151209999993</v>
      </c>
      <c r="K39" s="8">
        <f>Renta_Alta!K39+Masivo!K39+Consumo_Inicial!K39</f>
        <v>48.801622799999997</v>
      </c>
      <c r="L39" s="8">
        <f>Renta_Alta!L39+Masivo!L39+Consumo_Inicial!L39</f>
        <v>50.723082159999997</v>
      </c>
      <c r="M39" s="8">
        <f>Renta_Alta!M39+Masivo!M39+Consumo_Inicial!M39</f>
        <v>43.718192050000006</v>
      </c>
      <c r="N39" s="8">
        <f>Renta_Alta!N39+Masivo!N39+Consumo_Inicial!N39</f>
        <v>41.277324759999999</v>
      </c>
      <c r="O39" s="8">
        <f>Renta_Alta!O39+Masivo!O39+Consumo_Inicial!O39</f>
        <v>37.41074407</v>
      </c>
      <c r="P39" s="8">
        <f>Renta_Alta!P39+Masivo!P39+Consumo_Inicial!P39</f>
        <v>37.363839999999996</v>
      </c>
      <c r="Q39" s="8">
        <f>Renta_Alta!Q39+Masivo!Q39+Consumo_Inicial!Q39</f>
        <v>33.147560000000006</v>
      </c>
      <c r="R39" s="8">
        <f>Renta_Alta!R39+Masivo!R39+Consumo_Inicial!R39</f>
        <v>33.306750000000001</v>
      </c>
      <c r="S39" s="8">
        <f>Renta_Alta!S39+Masivo!S39+Consumo_Inicial!S39</f>
        <v>63.083010000000002</v>
      </c>
      <c r="T39" s="8">
        <f>Renta_Alta!T39+Masivo!T39+Consumo_Inicial!T39</f>
        <v>99.593119999999999</v>
      </c>
      <c r="U39" s="8">
        <f>Renta_Alta!U39+Masivo!U39+Consumo_Inicial!U39</f>
        <v>175.35585001000001</v>
      </c>
      <c r="V39" s="8">
        <f>Renta_Alta!V39+Masivo!V39+Consumo_Inicial!V39</f>
        <v>232.62928002000001</v>
      </c>
      <c r="W39" s="8">
        <f>Renta_Alta!W39+Masivo!W39+Consumo_Inicial!W39</f>
        <v>226.92426001999999</v>
      </c>
      <c r="X39" s="8">
        <f>Renta_Alta!X39+Masivo!X39+Consumo_Inicial!X39</f>
        <v>240.79891001999999</v>
      </c>
      <c r="Y39" s="8">
        <f>Renta_Alta!Y39+Masivo!Y39+Consumo_Inicial!Y39</f>
        <v>209.32372996000004</v>
      </c>
      <c r="Z39" s="8">
        <f>Renta_Alta!Z39+Masivo!Z39+Consumo_Inicial!Z39</f>
        <v>207.46843997000002</v>
      </c>
      <c r="AA39" s="8">
        <f>Renta_Alta!AA39+Masivo!AA39+Consumo_Inicial!AA39</f>
        <v>226.10029997000001</v>
      </c>
      <c r="AB39" s="8">
        <f>Renta_Alta!AB39+Masivo!AB39+Consumo_Inicial!AB39</f>
        <v>253.29384999000001</v>
      </c>
      <c r="AC39" s="8">
        <f>Renta_Alta!AC39+Masivo!AC39+Consumo_Inicial!AC39</f>
        <v>236.07800997000001</v>
      </c>
      <c r="AD39" s="8">
        <f>Renta_Alta!AD39+Masivo!AD39+Consumo_Inicial!AD39</f>
        <v>221.84931996999998</v>
      </c>
      <c r="AE39" s="8">
        <f>Renta_Alta!AE39+Masivo!AE39+Consumo_Inicial!AE39</f>
        <v>237.41221003999999</v>
      </c>
      <c r="AF39" s="8">
        <f>Renta_Alta!AF39+Masivo!AF39+Consumo_Inicial!AF39</f>
        <v>243.82979004999999</v>
      </c>
      <c r="AG39" s="8">
        <f>Renta_Alta!AG39+Masivo!AG39+Consumo_Inicial!AG39</f>
        <v>229.63286997000003</v>
      </c>
      <c r="AH39" s="8">
        <f>Renta_Alta!AH39+Masivo!AH39+Consumo_Inicial!AH39</f>
        <v>267.66233</v>
      </c>
      <c r="AI39" s="8">
        <f>Renta_Alta!AI39+Masivo!AI39+Consumo_Inicial!AI39</f>
        <v>222.84850996</v>
      </c>
      <c r="AJ39" s="8">
        <f>Renta_Alta!AJ39+Masivo!AJ39+Consumo_Inicial!AJ39</f>
        <v>243.36002004999997</v>
      </c>
      <c r="AK39" s="8">
        <f>Renta_Alta!AK39+Masivo!AK39+Consumo_Inicial!AK39</f>
        <v>241.15130998999999</v>
      </c>
      <c r="AL39" s="8">
        <f>Renta_Alta!AL39+Masivo!AL39+Consumo_Inicial!AL39</f>
        <v>215.55295998</v>
      </c>
      <c r="AM39" s="8">
        <f>Renta_Alta!AM39+Masivo!AM39+Consumo_Inicial!AM39</f>
        <v>264.10450001999999</v>
      </c>
      <c r="AN39" s="8">
        <f>Renta_Alta!AN39+Masivo!AN39+Consumo_Inicial!AN39</f>
        <v>239.78656000000001</v>
      </c>
      <c r="AO39" s="8">
        <f>Renta_Alta!AO39+Masivo!AO39+Consumo_Inicial!AO39</f>
        <v>218.80858000999999</v>
      </c>
      <c r="AP39" s="8">
        <f>Renta_Alta!AP39+Masivo!AP39+Consumo_Inicial!AP39</f>
        <v>236.54399000999999</v>
      </c>
      <c r="AQ39" s="8">
        <f>Renta_Alta!AQ39+Masivo!AQ39+Consumo_Inicial!AQ39</f>
        <v>230.14717001</v>
      </c>
      <c r="AR39" s="8">
        <f>Renta_Alta!AR39+Masivo!AR39+Consumo_Inicial!AR39</f>
        <v>212.93016</v>
      </c>
      <c r="AS39" s="8">
        <f>Renta_Alta!AS39+Masivo!AS39+Consumo_Inicial!AS39</f>
        <v>231.10796999999997</v>
      </c>
      <c r="AT39" s="8">
        <f>Renta_Alta!AT39+Masivo!AT39+Consumo_Inicial!AT39</f>
        <v>0</v>
      </c>
      <c r="AU39" s="8">
        <f>Renta_Alta!AU39+Masivo!AU39+Consumo_Inicial!AU39</f>
        <v>0</v>
      </c>
      <c r="AV39" s="8">
        <f>Renta_Alta!AV39+Masivo!AV39+Consumo_Inicial!AV39</f>
        <v>0</v>
      </c>
      <c r="AW39" s="8">
        <f>Renta_Alta!AW39+Masivo!AW39+Consumo_Inicial!AW39</f>
        <v>0</v>
      </c>
      <c r="AX39" s="8">
        <f>Renta_Alta!AX39+Masivo!AX39+Consumo_Inicial!AX39</f>
        <v>0</v>
      </c>
      <c r="AY39" s="8">
        <f>Renta_Alta!AY39+Masivo!AY39+Consumo_Inicial!AY39</f>
        <v>0</v>
      </c>
      <c r="AZ39" s="8">
        <f>Renta_Alta!AZ39+Masivo!AZ39+Consumo_Inicial!AZ39</f>
        <v>211.64765532877755</v>
      </c>
      <c r="BA39" s="8">
        <f>Renta_Alta!BA39+Masivo!BA39+Consumo_Inicial!BA39</f>
        <v>181.18988602620939</v>
      </c>
      <c r="BB39" s="8">
        <f>Renta_Alta!BB39+Masivo!BB39+Consumo_Inicial!BB39</f>
        <v>191.60212278771667</v>
      </c>
      <c r="BC39" s="8">
        <f>Renta_Alta!BC39+Masivo!BC39+Consumo_Inicial!BC39</f>
        <v>177.98200685493219</v>
      </c>
      <c r="BD39" s="8">
        <f>Renta_Alta!BD39+Masivo!BD39+Consumo_Inicial!BD39</f>
        <v>178.23131205592168</v>
      </c>
      <c r="BE39" s="8">
        <f>Renta_Alta!BE39+Masivo!BE39+Consumo_Inicial!BE39</f>
        <v>165.87041271767072</v>
      </c>
      <c r="BF39" s="8">
        <f>Renta_Alta!BF39+Masivo!BF39+Consumo_Inicial!BF39</f>
        <v>165.64995919205148</v>
      </c>
      <c r="BG39" s="8">
        <f>Renta_Alta!BG39+Masivo!BG39+Consumo_Inicial!BG39</f>
        <v>160.91243920807528</v>
      </c>
      <c r="BH39" s="8">
        <f>Renta_Alta!BH39+Masivo!BH39+Consumo_Inicial!BH39</f>
        <v>149.90684195393729</v>
      </c>
      <c r="BI39" s="8">
        <f>Renta_Alta!BI39+Masivo!BI39+Consumo_Inicial!BI39</f>
        <v>149.8207428946979</v>
      </c>
      <c r="BJ39" s="8">
        <f>Renta_Alta!BJ39+Masivo!BJ39+Consumo_Inicial!BJ39</f>
        <v>141.10196595005272</v>
      </c>
      <c r="BK39" s="8">
        <f>Renta_Alta!BK39+Masivo!BK39+Consumo_Inicial!BK39</f>
        <v>142.66132016406218</v>
      </c>
      <c r="BO39" s="24">
        <f t="shared" si="43"/>
        <v>695.13913002000004</v>
      </c>
      <c r="BP39" s="24">
        <f t="shared" si="43"/>
        <v>584.43966414270358</v>
      </c>
      <c r="BQ39" s="24">
        <f t="shared" si="43"/>
        <v>458.59514001000002</v>
      </c>
      <c r="BR39" s="24">
        <f t="shared" si="43"/>
        <v>711.22117993000006</v>
      </c>
      <c r="BS39" s="24">
        <f t="shared" si="43"/>
        <v>103.81815</v>
      </c>
      <c r="BT39" s="24">
        <f t="shared" si="43"/>
        <v>204.45737399999999</v>
      </c>
    </row>
    <row r="40" spans="1:72" hidden="1" outlineLevel="1" x14ac:dyDescent="0.25">
      <c r="A40" s="59" t="s">
        <v>55</v>
      </c>
      <c r="C40" s="60" t="s">
        <v>45</v>
      </c>
      <c r="D40" s="8">
        <f>Renta_Alta!D40+Masivo!D40+Consumo_Inicial!D40</f>
        <v>462.19593138000005</v>
      </c>
      <c r="E40" s="8">
        <f>Renta_Alta!E40+Masivo!E40+Consumo_Inicial!E40</f>
        <v>247.08593017000001</v>
      </c>
      <c r="F40" s="8">
        <f>Renta_Alta!F40+Masivo!F40+Consumo_Inicial!F40</f>
        <v>364.58819244</v>
      </c>
      <c r="G40" s="8">
        <f>Renta_Alta!G40+Masivo!G40+Consumo_Inicial!G40</f>
        <v>368.04310031000011</v>
      </c>
      <c r="H40" s="8">
        <f>Renta_Alta!H40+Masivo!H40+Consumo_Inicial!H40</f>
        <v>554.56827587000009</v>
      </c>
      <c r="I40" s="8">
        <f>Renta_Alta!I40+Masivo!I40+Consumo_Inicial!I40</f>
        <v>478.24532547999996</v>
      </c>
      <c r="J40" s="8">
        <f>Renta_Alta!J40+Masivo!J40+Consumo_Inicial!J40</f>
        <v>680.74838184000009</v>
      </c>
      <c r="K40" s="8">
        <f>Renta_Alta!K40+Masivo!K40+Consumo_Inicial!K40</f>
        <v>721.33468028999982</v>
      </c>
      <c r="L40" s="8">
        <f>Renta_Alta!L40+Masivo!L40+Consumo_Inicial!L40</f>
        <v>610.77221184000007</v>
      </c>
      <c r="M40" s="8">
        <f>Renta_Alta!M40+Masivo!M40+Consumo_Inicial!M40</f>
        <v>688.38491609000005</v>
      </c>
      <c r="N40" s="8">
        <f>Renta_Alta!N40+Masivo!N40+Consumo_Inicial!N40</f>
        <v>803.33134872000016</v>
      </c>
      <c r="O40" s="8">
        <f>Renta_Alta!O40+Masivo!O40+Consumo_Inicial!O40</f>
        <v>802.17891828000006</v>
      </c>
      <c r="P40" s="8">
        <f>Renta_Alta!P40+Masivo!P40+Consumo_Inicial!P40</f>
        <v>895.36407496999993</v>
      </c>
      <c r="Q40" s="8">
        <f>Renta_Alta!Q40+Masivo!Q40+Consumo_Inicial!Q40</f>
        <v>869.76003220999985</v>
      </c>
      <c r="R40" s="8">
        <f>Renta_Alta!R40+Masivo!R40+Consumo_Inicial!R40</f>
        <v>963.50453789999983</v>
      </c>
      <c r="S40" s="8">
        <f>Renta_Alta!S40+Masivo!S40+Consumo_Inicial!S40</f>
        <v>1496.2503807500002</v>
      </c>
      <c r="T40" s="8">
        <f>Renta_Alta!T40+Masivo!T40+Consumo_Inicial!T40</f>
        <v>1455.2669918900001</v>
      </c>
      <c r="U40" s="8">
        <f>Renta_Alta!U40+Masivo!U40+Consumo_Inicial!U40</f>
        <v>1689.50734749</v>
      </c>
      <c r="V40" s="8">
        <f>Renta_Alta!V40+Masivo!V40+Consumo_Inicial!V40</f>
        <v>1657.5983242200004</v>
      </c>
      <c r="W40" s="8">
        <f>Renta_Alta!W40+Masivo!W40+Consumo_Inicial!W40</f>
        <v>1124.7669609699997</v>
      </c>
      <c r="X40" s="8">
        <f>Renta_Alta!X40+Masivo!X40+Consumo_Inicial!X40</f>
        <v>1082.9553875100003</v>
      </c>
      <c r="Y40" s="8">
        <f>Renta_Alta!Y40+Masivo!Y40+Consumo_Inicial!Y40</f>
        <v>940.34835802000009</v>
      </c>
      <c r="Z40" s="8">
        <f>Renta_Alta!Z40+Masivo!Z40+Consumo_Inicial!Z40</f>
        <v>1047.0242544299999</v>
      </c>
      <c r="AA40" s="8">
        <f>Renta_Alta!AA40+Masivo!AA40+Consumo_Inicial!AA40</f>
        <v>993.98382362000007</v>
      </c>
      <c r="AB40" s="8">
        <f>Renta_Alta!AB40+Masivo!AB40+Consumo_Inicial!AB40</f>
        <v>1000.39434678</v>
      </c>
      <c r="AC40" s="8">
        <f>Renta_Alta!AC40+Masivo!AC40+Consumo_Inicial!AC40</f>
        <v>923.70441089000008</v>
      </c>
      <c r="AD40" s="8">
        <f>Renta_Alta!AD40+Masivo!AD40+Consumo_Inicial!AD40</f>
        <v>1122.5149893400001</v>
      </c>
      <c r="AE40" s="8">
        <f>Renta_Alta!AE40+Masivo!AE40+Consumo_Inicial!AE40</f>
        <v>940.42223711000008</v>
      </c>
      <c r="AF40" s="8">
        <f>Renta_Alta!AF40+Masivo!AF40+Consumo_Inicial!AF40</f>
        <v>1050.9423518999999</v>
      </c>
      <c r="AG40" s="8">
        <f>Renta_Alta!AG40+Masivo!AG40+Consumo_Inicial!AG40</f>
        <v>1027.40328535</v>
      </c>
      <c r="AH40" s="8">
        <f>Renta_Alta!AH40+Masivo!AH40+Consumo_Inicial!AH40</f>
        <v>1022.2220741100002</v>
      </c>
      <c r="AI40" s="8">
        <f>Renta_Alta!AI40+Masivo!AI40+Consumo_Inicial!AI40</f>
        <v>862.81882263999989</v>
      </c>
      <c r="AJ40" s="8">
        <f>Renta_Alta!AJ40+Masivo!AJ40+Consumo_Inicial!AJ40</f>
        <v>838.52710029000002</v>
      </c>
      <c r="AK40" s="8">
        <f>Renta_Alta!AK40+Masivo!AK40+Consumo_Inicial!AK40</f>
        <v>832.3200272900001</v>
      </c>
      <c r="AL40" s="8">
        <f>Renta_Alta!AL40+Masivo!AL40+Consumo_Inicial!AL40</f>
        <v>995.98351232999994</v>
      </c>
      <c r="AM40" s="8">
        <f>Renta_Alta!AM40+Masivo!AM40+Consumo_Inicial!AM40</f>
        <v>998.39521479000018</v>
      </c>
      <c r="AN40" s="8">
        <f>Renta_Alta!AN40+Masivo!AN40+Consumo_Inicial!AN40</f>
        <v>775.94465253999988</v>
      </c>
      <c r="AO40" s="8">
        <f>Renta_Alta!AO40+Masivo!AO40+Consumo_Inicial!AO40</f>
        <v>743.01558174000002</v>
      </c>
      <c r="AP40" s="8">
        <f>Renta_Alta!AP40+Masivo!AP40+Consumo_Inicial!AP40</f>
        <v>717.70826150000016</v>
      </c>
      <c r="AQ40" s="8">
        <f>Renta_Alta!AQ40+Masivo!AQ40+Consumo_Inicial!AQ40</f>
        <v>717.13169097999992</v>
      </c>
      <c r="AR40" s="8">
        <f>Renta_Alta!AR40+Masivo!AR40+Consumo_Inicial!AR40</f>
        <v>807.49817881000001</v>
      </c>
      <c r="AS40" s="8">
        <f>Renta_Alta!AS40+Masivo!AS40+Consumo_Inicial!AS40</f>
        <v>725.7075156100002</v>
      </c>
      <c r="AT40" s="8">
        <f>Renta_Alta!AT40+Masivo!AT40+Consumo_Inicial!AT40</f>
        <v>0</v>
      </c>
      <c r="AU40" s="8">
        <f>Renta_Alta!AU40+Masivo!AU40+Consumo_Inicial!AU40</f>
        <v>0</v>
      </c>
      <c r="AV40" s="8">
        <f>Renta_Alta!AV40+Masivo!AV40+Consumo_Inicial!AV40</f>
        <v>0</v>
      </c>
      <c r="AW40" s="8">
        <f>Renta_Alta!AW40+Masivo!AW40+Consumo_Inicial!AW40</f>
        <v>0</v>
      </c>
      <c r="AX40" s="8">
        <f>Renta_Alta!AX40+Masivo!AX40+Consumo_Inicial!AX40</f>
        <v>0</v>
      </c>
      <c r="AY40" s="8">
        <f>Renta_Alta!AY40+Masivo!AY40+Consumo_Inicial!AY40</f>
        <v>0</v>
      </c>
      <c r="AZ40" s="8">
        <f>Renta_Alta!AZ40+Masivo!AZ40+Consumo_Inicial!AZ40</f>
        <v>814.3649200092342</v>
      </c>
      <c r="BA40" s="8">
        <f>Renta_Alta!BA40+Masivo!BA40+Consumo_Inicial!BA40</f>
        <v>805.45047756885242</v>
      </c>
      <c r="BB40" s="8">
        <f>Renta_Alta!BB40+Masivo!BB40+Consumo_Inicial!BB40</f>
        <v>781.06220016091413</v>
      </c>
      <c r="BC40" s="8">
        <f>Renta_Alta!BC40+Masivo!BC40+Consumo_Inicial!BC40</f>
        <v>769.95253776676168</v>
      </c>
      <c r="BD40" s="8">
        <f>Renta_Alta!BD40+Masivo!BD40+Consumo_Inicial!BD40</f>
        <v>767.37620819267147</v>
      </c>
      <c r="BE40" s="8">
        <f>Renta_Alta!BE40+Masivo!BE40+Consumo_Inicial!BE40</f>
        <v>765.82959628945184</v>
      </c>
      <c r="BF40" s="8">
        <f>Renta_Alta!BF40+Masivo!BF40+Consumo_Inicial!BF40</f>
        <v>756.52586100446297</v>
      </c>
      <c r="BG40" s="8">
        <f>Renta_Alta!BG40+Masivo!BG40+Consumo_Inicial!BG40</f>
        <v>766.95802169263857</v>
      </c>
      <c r="BH40" s="8">
        <f>Renta_Alta!BH40+Masivo!BH40+Consumo_Inicial!BH40</f>
        <v>775.12562205649033</v>
      </c>
      <c r="BI40" s="8">
        <f>Renta_Alta!BI40+Masivo!BI40+Consumo_Inicial!BI40</f>
        <v>778.83701584875143</v>
      </c>
      <c r="BJ40" s="8">
        <f>Renta_Alta!BJ40+Masivo!BJ40+Consumo_Inicial!BJ40</f>
        <v>779.07502415093404</v>
      </c>
      <c r="BK40" s="8">
        <f>Renta_Alta!BK40+Masivo!BK40+Consumo_Inicial!BK40</f>
        <v>783.26950622821118</v>
      </c>
      <c r="BO40" s="24">
        <f t="shared" si="43"/>
        <v>2236.6684957799998</v>
      </c>
      <c r="BP40" s="24">
        <f t="shared" si="43"/>
        <v>2400.8775977390005</v>
      </c>
      <c r="BQ40" s="24">
        <f t="shared" si="43"/>
        <v>1518.9602342799999</v>
      </c>
      <c r="BR40" s="24">
        <f t="shared" si="43"/>
        <v>3046.6137470100002</v>
      </c>
      <c r="BS40" s="24">
        <f t="shared" si="43"/>
        <v>2728.6286450799998</v>
      </c>
      <c r="BT40" s="24">
        <f t="shared" si="43"/>
        <v>1073.8700539900001</v>
      </c>
    </row>
    <row r="41" spans="1:72" collapsed="1" x14ac:dyDescent="0.25">
      <c r="C41" s="61" t="s">
        <v>57</v>
      </c>
      <c r="D41" s="62">
        <f t="shared" ref="D41:AI41" si="44">SUM(D38:D40)</f>
        <v>47471.398881900008</v>
      </c>
      <c r="E41" s="62">
        <f t="shared" si="44"/>
        <v>44077.221622900004</v>
      </c>
      <c r="F41" s="62">
        <f t="shared" si="44"/>
        <v>50180.043611889996</v>
      </c>
      <c r="G41" s="62">
        <f t="shared" si="44"/>
        <v>48520.231608840004</v>
      </c>
      <c r="H41" s="62">
        <f t="shared" si="44"/>
        <v>53877.072307769988</v>
      </c>
      <c r="I41" s="62">
        <f t="shared" si="44"/>
        <v>52605.306946380006</v>
      </c>
      <c r="J41" s="62">
        <f t="shared" si="44"/>
        <v>54973.130333939996</v>
      </c>
      <c r="K41" s="62">
        <f t="shared" si="44"/>
        <v>55721.728996649996</v>
      </c>
      <c r="L41" s="62">
        <f t="shared" si="44"/>
        <v>54399.793348849998</v>
      </c>
      <c r="M41" s="62">
        <f t="shared" si="44"/>
        <v>55720.193148990009</v>
      </c>
      <c r="N41" s="62">
        <f t="shared" si="44"/>
        <v>53043.037871059998</v>
      </c>
      <c r="O41" s="62">
        <f t="shared" si="44"/>
        <v>52993.488421249989</v>
      </c>
      <c r="P41" s="62">
        <f t="shared" si="44"/>
        <v>51578.715406979994</v>
      </c>
      <c r="Q41" s="62">
        <f t="shared" si="44"/>
        <v>46192.180290429991</v>
      </c>
      <c r="R41" s="62">
        <f t="shared" si="44"/>
        <v>48395.843028340008</v>
      </c>
      <c r="S41" s="62">
        <f t="shared" si="44"/>
        <v>46854.677858809999</v>
      </c>
      <c r="T41" s="62">
        <f t="shared" si="44"/>
        <v>47474.895258599994</v>
      </c>
      <c r="U41" s="62">
        <f t="shared" si="44"/>
        <v>44804.431192330005</v>
      </c>
      <c r="V41" s="62">
        <f t="shared" si="44"/>
        <v>45846.827910500004</v>
      </c>
      <c r="W41" s="62">
        <f t="shared" si="44"/>
        <v>43941.420042730009</v>
      </c>
      <c r="X41" s="62">
        <f t="shared" si="44"/>
        <v>41886.50621095</v>
      </c>
      <c r="Y41" s="62">
        <f t="shared" si="44"/>
        <v>42406.939535829995</v>
      </c>
      <c r="Z41" s="62">
        <f t="shared" si="44"/>
        <v>39977.977714009998</v>
      </c>
      <c r="AA41" s="62">
        <f t="shared" si="44"/>
        <v>40674.35889091</v>
      </c>
      <c r="AB41" s="62">
        <f t="shared" si="44"/>
        <v>40123.138178719993</v>
      </c>
      <c r="AC41" s="62">
        <f t="shared" si="44"/>
        <v>35630.000292590004</v>
      </c>
      <c r="AD41" s="62">
        <f t="shared" si="44"/>
        <v>39846.893762840002</v>
      </c>
      <c r="AE41" s="62">
        <f t="shared" si="44"/>
        <v>38457.624879159986</v>
      </c>
      <c r="AF41" s="62">
        <f t="shared" si="44"/>
        <v>39678.467129079996</v>
      </c>
      <c r="AG41" s="62">
        <f t="shared" si="44"/>
        <v>38140.468058580002</v>
      </c>
      <c r="AH41" s="62">
        <f t="shared" si="44"/>
        <v>39510.422555260004</v>
      </c>
      <c r="AI41" s="62">
        <f t="shared" si="44"/>
        <v>39604.471386019999</v>
      </c>
      <c r="AJ41" s="62">
        <f t="shared" ref="AJ41:AY41" si="45">SUM(AJ38:AJ40)</f>
        <v>38794.958030080001</v>
      </c>
      <c r="AK41" s="62">
        <f t="shared" si="45"/>
        <v>40679.924256989994</v>
      </c>
      <c r="AL41" s="62">
        <f t="shared" si="45"/>
        <v>39939.985744590005</v>
      </c>
      <c r="AM41" s="62">
        <f t="shared" si="45"/>
        <v>42043.483707000007</v>
      </c>
      <c r="AN41" s="62">
        <f t="shared" si="45"/>
        <v>41981.887102430002</v>
      </c>
      <c r="AO41" s="62">
        <f t="shared" si="45"/>
        <v>38630.337088960005</v>
      </c>
      <c r="AP41" s="62">
        <f t="shared" si="45"/>
        <v>43276.291489999996</v>
      </c>
      <c r="AQ41" s="62">
        <f t="shared" si="45"/>
        <v>41880.802653940002</v>
      </c>
      <c r="AR41" s="62">
        <f t="shared" si="45"/>
        <v>43914.939380210002</v>
      </c>
      <c r="AS41" s="62">
        <f t="shared" si="45"/>
        <v>43231.62928849001</v>
      </c>
      <c r="AT41" s="62">
        <f t="shared" si="45"/>
        <v>0</v>
      </c>
      <c r="AU41" s="62">
        <f t="shared" si="45"/>
        <v>0</v>
      </c>
      <c r="AV41" s="62">
        <f t="shared" si="45"/>
        <v>0</v>
      </c>
      <c r="AW41" s="62">
        <f t="shared" si="45"/>
        <v>0</v>
      </c>
      <c r="AX41" s="62">
        <f t="shared" si="45"/>
        <v>0</v>
      </c>
      <c r="AY41" s="62">
        <f t="shared" si="45"/>
        <v>0</v>
      </c>
      <c r="AZ41" s="62">
        <f t="shared" ref="AZ41:BK41" si="46">SUM(AZ38:AZ40)</f>
        <v>41694.784737977076</v>
      </c>
      <c r="BA41" s="62">
        <f t="shared" si="46"/>
        <v>37572.742462912596</v>
      </c>
      <c r="BB41" s="62">
        <f t="shared" si="46"/>
        <v>42142.074540216432</v>
      </c>
      <c r="BC41" s="62">
        <f t="shared" si="46"/>
        <v>41485.642612455835</v>
      </c>
      <c r="BD41" s="62">
        <f t="shared" si="46"/>
        <v>43787.66066654052</v>
      </c>
      <c r="BE41" s="62">
        <f t="shared" si="46"/>
        <v>43262.928468127306</v>
      </c>
      <c r="BF41" s="62">
        <f t="shared" si="46"/>
        <v>45277.25538064017</v>
      </c>
      <c r="BG41" s="62">
        <f t="shared" si="46"/>
        <v>45957.194917023087</v>
      </c>
      <c r="BH41" s="62">
        <f t="shared" si="46"/>
        <v>45222.656844638346</v>
      </c>
      <c r="BI41" s="62">
        <f t="shared" si="46"/>
        <v>47874.75154921451</v>
      </c>
      <c r="BJ41" s="62">
        <f t="shared" si="46"/>
        <v>47064.861784743189</v>
      </c>
      <c r="BK41" s="62">
        <f t="shared" si="46"/>
        <v>49458.044757762633</v>
      </c>
      <c r="BO41" s="63">
        <f t="shared" ref="BO41:BT41" si="47">SUM(BO38:BO40)</f>
        <v>123888.51568139</v>
      </c>
      <c r="BP41" s="63">
        <f t="shared" si="47"/>
        <v>121409.60174110612</v>
      </c>
      <c r="BQ41" s="63">
        <f t="shared" si="47"/>
        <v>80612.224191390007</v>
      </c>
      <c r="BR41" s="63">
        <f t="shared" si="47"/>
        <v>115600.03223415001</v>
      </c>
      <c r="BS41" s="63">
        <f t="shared" si="47"/>
        <v>146166.73872575001</v>
      </c>
      <c r="BT41" s="63">
        <f t="shared" si="47"/>
        <v>141728.66411668999</v>
      </c>
    </row>
    <row r="44" spans="1:72" hidden="1" outlineLevel="1" x14ac:dyDescent="0.25">
      <c r="A44" s="59" t="s">
        <v>50</v>
      </c>
      <c r="C44" s="60" t="s">
        <v>0</v>
      </c>
      <c r="D44" s="8">
        <f>Renta_Alta!D44+Masivo!D44+Consumo_Inicial!D44</f>
        <v>-18314.89895563</v>
      </c>
      <c r="E44" s="8">
        <f>Renta_Alta!E44+Masivo!E44+Consumo_Inicial!E44</f>
        <v>-17479.910707640003</v>
      </c>
      <c r="F44" s="8">
        <f>Renta_Alta!F44+Masivo!F44+Consumo_Inicial!F44</f>
        <v>-20593.257328999996</v>
      </c>
      <c r="G44" s="8">
        <f>Renta_Alta!G44+Masivo!G44+Consumo_Inicial!G44</f>
        <v>-20870.624118920005</v>
      </c>
      <c r="H44" s="8">
        <f>Renta_Alta!H44+Masivo!H44+Consumo_Inicial!H44</f>
        <v>-22264.004661119998</v>
      </c>
      <c r="I44" s="8">
        <f>Renta_Alta!I44+Masivo!I44+Consumo_Inicial!I44</f>
        <v>-22186.508034999999</v>
      </c>
      <c r="J44" s="8">
        <f>Renta_Alta!J44+Masivo!J44+Consumo_Inicial!J44</f>
        <v>-23160.984399269997</v>
      </c>
      <c r="K44" s="8">
        <f>Renta_Alta!K44+Masivo!K44+Consumo_Inicial!K44</f>
        <v>-23348.665802080006</v>
      </c>
      <c r="L44" s="8">
        <f>Renta_Alta!L44+Masivo!L44+Consumo_Inicial!L44</f>
        <v>-23281.488651799198</v>
      </c>
      <c r="M44" s="8">
        <f>Renta_Alta!M44+Masivo!M44+Consumo_Inicial!M44</f>
        <v>-24179.691229649998</v>
      </c>
      <c r="N44" s="8">
        <f>Renta_Alta!N44+Masivo!N44+Consumo_Inicial!N44</f>
        <v>-23449.176054359992</v>
      </c>
      <c r="O44" s="8">
        <f>Renta_Alta!O44+Masivo!O44+Consumo_Inicial!O44</f>
        <v>-23969.508216290003</v>
      </c>
      <c r="P44" s="8">
        <f>Renta_Alta!P44+Masivo!P44+Consumo_Inicial!P44</f>
        <v>-23374.926385840001</v>
      </c>
      <c r="Q44" s="8">
        <f>Renta_Alta!Q44+Masivo!Q44+Consumo_Inicial!Q44</f>
        <v>-21271.56237852</v>
      </c>
      <c r="R44" s="8">
        <f>Renta_Alta!R44+Masivo!R44+Consumo_Inicial!R44</f>
        <v>-22183.092249299996</v>
      </c>
      <c r="S44" s="8">
        <f>Renta_Alta!S44+Masivo!S44+Consumo_Inicial!S44</f>
        <v>-20762.762867360001</v>
      </c>
      <c r="T44" s="8">
        <f>Renta_Alta!T44+Masivo!T44+Consumo_Inicial!T44</f>
        <v>-20732.8565953</v>
      </c>
      <c r="U44" s="8">
        <f>Renta_Alta!U44+Masivo!U44+Consumo_Inicial!U44</f>
        <v>-19269.718089750004</v>
      </c>
      <c r="V44" s="8">
        <f>Renta_Alta!V44+Masivo!V44+Consumo_Inicial!V44</f>
        <v>-19203.673696899998</v>
      </c>
      <c r="W44" s="8">
        <f>Renta_Alta!W44+Masivo!W44+Consumo_Inicial!W44</f>
        <v>-18602.81483186</v>
      </c>
      <c r="X44" s="8">
        <f>Renta_Alta!X44+Masivo!X44+Consumo_Inicial!X44</f>
        <v>-17601.408066799999</v>
      </c>
      <c r="Y44" s="8">
        <f>Renta_Alta!Y44+Masivo!Y44+Consumo_Inicial!Y44</f>
        <v>-17868.95210848</v>
      </c>
      <c r="Z44" s="8">
        <f>Renta_Alta!Z44+Masivo!Z44+Consumo_Inicial!Z44</f>
        <v>-16980.233319700001</v>
      </c>
      <c r="AA44" s="8">
        <f>Renta_Alta!AA44+Masivo!AA44+Consumo_Inicial!AA44</f>
        <v>-17226.859830499998</v>
      </c>
      <c r="AB44" s="8">
        <f>Renta_Alta!AB44+Masivo!AB44+Consumo_Inicial!AB44</f>
        <v>-16813.96389436</v>
      </c>
      <c r="AC44" s="8">
        <f>Renta_Alta!AC44+Masivo!AC44+Consumo_Inicial!AC44</f>
        <v>-14983.273439000004</v>
      </c>
      <c r="AD44" s="8">
        <f>Renta_Alta!AD44+Masivo!AD44+Consumo_Inicial!AD44</f>
        <v>-16338.671697749998</v>
      </c>
      <c r="AE44" s="8">
        <f>Renta_Alta!AE44+Masivo!AE44+Consumo_Inicial!AE44</f>
        <v>-15711.392956590002</v>
      </c>
      <c r="AF44" s="8">
        <f>Renta_Alta!AF44+Masivo!AF44+Consumo_Inicial!AF44</f>
        <v>-16056.979969200002</v>
      </c>
      <c r="AG44" s="8">
        <f>Renta_Alta!AG44+Masivo!AG44+Consumo_Inicial!AG44</f>
        <v>-15328.679737120001</v>
      </c>
      <c r="AH44" s="8">
        <f>Renta_Alta!AH44+Masivo!AH44+Consumo_Inicial!AH44</f>
        <v>-15662.835813060003</v>
      </c>
      <c r="AI44" s="8">
        <f>Renta_Alta!AI44+Masivo!AI44+Consumo_Inicial!AI44</f>
        <v>-15612.423686000002</v>
      </c>
      <c r="AJ44" s="8">
        <f>Renta_Alta!AJ44+Masivo!AJ44+Consumo_Inicial!AJ44</f>
        <v>-15126.581449530002</v>
      </c>
      <c r="AK44" s="8">
        <f>Renta_Alta!AK44+Masivo!AK44+Consumo_Inicial!AK44</f>
        <v>-15810.823643039997</v>
      </c>
      <c r="AL44" s="8">
        <f>Renta_Alta!AL44+Masivo!AL44+Consumo_Inicial!AL44</f>
        <v>-15519.864604709999</v>
      </c>
      <c r="AM44" s="8">
        <f>Renta_Alta!AM44+Masivo!AM44+Consumo_Inicial!AM44</f>
        <v>-16011.017380920001</v>
      </c>
      <c r="AN44" s="8">
        <f>Renta_Alta!AN44+Masivo!AN44+Consumo_Inicial!AN44</f>
        <v>-15931.43599976</v>
      </c>
      <c r="AO44" s="8">
        <f>Renta_Alta!AO44+Masivo!AO44+Consumo_Inicial!AO44</f>
        <v>-14456.98689819</v>
      </c>
      <c r="AP44" s="8">
        <f>Renta_Alta!AP44+Masivo!AP44+Consumo_Inicial!AP44</f>
        <v>-16174.531368500002</v>
      </c>
      <c r="AQ44" s="8">
        <f>Renta_Alta!AQ44+Masivo!AQ44+Consumo_Inicial!AQ44</f>
        <v>-15764.554825969997</v>
      </c>
      <c r="AR44" s="8">
        <f>Renta_Alta!AR44+Masivo!AR44+Consumo_Inicial!AR44</f>
        <v>-16548.640583010001</v>
      </c>
      <c r="AS44" s="8">
        <f>Renta_Alta!AS44+Masivo!AS44+Consumo_Inicial!AS44</f>
        <v>-16304.13587235</v>
      </c>
      <c r="AT44" s="8">
        <f>Renta_Alta!AT44+Masivo!AT44+Consumo_Inicial!AT44</f>
        <v>0</v>
      </c>
      <c r="AU44" s="8">
        <f>Renta_Alta!AU44+Masivo!AU44+Consumo_Inicial!AU44</f>
        <v>0</v>
      </c>
      <c r="AV44" s="8">
        <f>Renta_Alta!AV44+Masivo!AV44+Consumo_Inicial!AV44</f>
        <v>0</v>
      </c>
      <c r="AW44" s="8">
        <f>Renta_Alta!AW44+Masivo!AW44+Consumo_Inicial!AW44</f>
        <v>0</v>
      </c>
      <c r="AX44" s="8">
        <f>Renta_Alta!AX44+Masivo!AX44+Consumo_Inicial!AX44</f>
        <v>0</v>
      </c>
      <c r="AY44" s="8">
        <f>Renta_Alta!AY44+Masivo!AY44+Consumo_Inicial!AY44</f>
        <v>0</v>
      </c>
      <c r="AZ44" s="8">
        <f>Renta_Alta!AZ44+Masivo!AZ44+Consumo_Inicial!AZ44</f>
        <v>-16349.818545541208</v>
      </c>
      <c r="BA44" s="8">
        <f>Renta_Alta!BA44+Masivo!BA44+Consumo_Inicial!BA44</f>
        <v>-14725.556797591946</v>
      </c>
      <c r="BB44" s="8">
        <f>Renta_Alta!BB44+Masivo!BB44+Consumo_Inicial!BB44</f>
        <v>-16302.51208781294</v>
      </c>
      <c r="BC44" s="8">
        <f>Renta_Alta!BC44+Masivo!BC44+Consumo_Inicial!BC44</f>
        <v>-15889.778057214993</v>
      </c>
      <c r="BD44" s="8">
        <f>Renta_Alta!BD44+Masivo!BD44+Consumo_Inicial!BD44</f>
        <v>-16609.850458923207</v>
      </c>
      <c r="BE44" s="8">
        <f>Renta_Alta!BE44+Masivo!BE44+Consumo_Inicial!BE44</f>
        <v>-16217.826519782035</v>
      </c>
      <c r="BF44" s="8">
        <f>Renta_Alta!BF44+Masivo!BF44+Consumo_Inicial!BF44</f>
        <v>-16802.222799541767</v>
      </c>
      <c r="BG44" s="8">
        <f>Renta_Alta!BG44+Masivo!BG44+Consumo_Inicial!BG44</f>
        <v>-16861.47149242197</v>
      </c>
      <c r="BH44" s="8">
        <f>Renta_Alta!BH44+Masivo!BH44+Consumo_Inicial!BH44</f>
        <v>-16458.40719064388</v>
      </c>
      <c r="BI44" s="8">
        <f>Renta_Alta!BI44+Masivo!BI44+Consumo_Inicial!BI44</f>
        <v>-17206.976765665942</v>
      </c>
      <c r="BJ44" s="8">
        <f>Renta_Alta!BJ44+Masivo!BJ44+Consumo_Inicial!BJ44</f>
        <v>-16781.278118230766</v>
      </c>
      <c r="BK44" s="8">
        <f>Renta_Alta!BK44+Masivo!BK44+Consumo_Inicial!BK44</f>
        <v>-17379.246349083191</v>
      </c>
      <c r="BO44" s="24">
        <f t="shared" ref="BO44:BT46" si="48">SUMIFS($D44:$BM44,$D$6:$BM$6,"&gt;="&amp;BO$2,$D$6:$BM$6,"&lt;="&amp;BO$6,$D$5:$BM$5,BO$5)</f>
        <v>-46562.954266450004</v>
      </c>
      <c r="BP44" s="24">
        <f t="shared" si="48"/>
        <v>-47377.887430946095</v>
      </c>
      <c r="BQ44" s="24">
        <f t="shared" si="48"/>
        <v>-30388.42289795</v>
      </c>
      <c r="BR44" s="24">
        <f t="shared" si="48"/>
        <v>-48135.909031110001</v>
      </c>
      <c r="BS44" s="24">
        <f t="shared" si="48"/>
        <v>-66829.581013660005</v>
      </c>
      <c r="BT44" s="24">
        <f t="shared" si="48"/>
        <v>-56388.066992270004</v>
      </c>
    </row>
    <row r="45" spans="1:72" hidden="1" outlineLevel="1" x14ac:dyDescent="0.25">
      <c r="A45" s="59" t="s">
        <v>50</v>
      </c>
      <c r="C45" s="60" t="s">
        <v>1</v>
      </c>
      <c r="D45" s="8">
        <f>Renta_Alta!D45+Masivo!D45+Consumo_Inicial!D45</f>
        <v>-69.878889999999984</v>
      </c>
      <c r="E45" s="8">
        <f>Renta_Alta!E45+Masivo!E45+Consumo_Inicial!E45</f>
        <v>-68.193799999999982</v>
      </c>
      <c r="F45" s="8">
        <f>Renta_Alta!F45+Masivo!F45+Consumo_Inicial!F45</f>
        <v>-80.133326800000006</v>
      </c>
      <c r="G45" s="8">
        <f>Renta_Alta!G45+Masivo!G45+Consumo_Inicial!G45</f>
        <v>-74.863038680000003</v>
      </c>
      <c r="H45" s="8">
        <f>Renta_Alta!H45+Masivo!H45+Consumo_Inicial!H45</f>
        <v>-71.86476512000003</v>
      </c>
      <c r="I45" s="8">
        <f>Renta_Alta!I45+Masivo!I45+Consumo_Inicial!I45</f>
        <v>-63.874960500000007</v>
      </c>
      <c r="J45" s="8">
        <f>Renta_Alta!J45+Masivo!J45+Consumo_Inicial!J45</f>
        <v>-61.080092610000008</v>
      </c>
      <c r="K45" s="8">
        <f>Renta_Alta!K45+Masivo!K45+Consumo_Inicial!K45</f>
        <v>-54.282556639999996</v>
      </c>
      <c r="L45" s="8">
        <f>Renta_Alta!L45+Masivo!L45+Consumo_Inicial!L45</f>
        <v>-51.635223090000004</v>
      </c>
      <c r="M45" s="8">
        <f>Renta_Alta!M45+Masivo!M45+Consumo_Inicial!M45</f>
        <v>-49.418695</v>
      </c>
      <c r="N45" s="8">
        <f>Renta_Alta!N45+Masivo!N45+Consumo_Inicial!N45</f>
        <v>-41.558398880000006</v>
      </c>
      <c r="O45" s="8">
        <f>Renta_Alta!O45+Masivo!O45+Consumo_Inicial!O45</f>
        <v>-40.197684019999997</v>
      </c>
      <c r="P45" s="8">
        <f>Renta_Alta!P45+Masivo!P45+Consumo_Inicial!P45</f>
        <v>-35.915639999999996</v>
      </c>
      <c r="Q45" s="8">
        <f>Renta_Alta!Q45+Masivo!Q45+Consumo_Inicial!Q45</f>
        <v>-31.609110000000001</v>
      </c>
      <c r="R45" s="8">
        <f>Renta_Alta!R45+Masivo!R45+Consumo_Inicial!R45</f>
        <v>-38.456829999999997</v>
      </c>
      <c r="S45" s="8">
        <f>Renta_Alta!S45+Masivo!S45+Consumo_Inicial!S45</f>
        <v>-59.377790000000005</v>
      </c>
      <c r="T45" s="8">
        <f>Renta_Alta!T45+Masivo!T45+Consumo_Inicial!T45</f>
        <v>-119.72718</v>
      </c>
      <c r="U45" s="8">
        <f>Renta_Alta!U45+Masivo!U45+Consumo_Inicial!U45</f>
        <v>-186.73136</v>
      </c>
      <c r="V45" s="8">
        <f>Renta_Alta!V45+Masivo!V45+Consumo_Inicial!V45</f>
        <v>-234.06823000000003</v>
      </c>
      <c r="W45" s="8">
        <f>Renta_Alta!W45+Masivo!W45+Consumo_Inicial!W45</f>
        <v>-255.87404999999998</v>
      </c>
      <c r="X45" s="8">
        <f>Renta_Alta!X45+Masivo!X45+Consumo_Inicial!X45</f>
        <v>-254.33381</v>
      </c>
      <c r="Y45" s="8">
        <f>Renta_Alta!Y45+Masivo!Y45+Consumo_Inicial!Y45</f>
        <v>-253.11741999999998</v>
      </c>
      <c r="Z45" s="8">
        <f>Renta_Alta!Z45+Masivo!Z45+Consumo_Inicial!Z45</f>
        <v>-242.91279999999998</v>
      </c>
      <c r="AA45" s="8">
        <f>Renta_Alta!AA45+Masivo!AA45+Consumo_Inicial!AA45</f>
        <v>-250.51456000000002</v>
      </c>
      <c r="AB45" s="8">
        <f>Renta_Alta!AB45+Masivo!AB45+Consumo_Inicial!AB45</f>
        <v>-250.85635000000002</v>
      </c>
      <c r="AC45" s="8">
        <f>Renta_Alta!AC45+Masivo!AC45+Consumo_Inicial!AC45</f>
        <v>-221.93668000000002</v>
      </c>
      <c r="AD45" s="8">
        <f>Renta_Alta!AD45+Masivo!AD45+Consumo_Inicial!AD45</f>
        <v>-243.44376</v>
      </c>
      <c r="AE45" s="8">
        <f>Renta_Alta!AE45+Masivo!AE45+Consumo_Inicial!AE45</f>
        <v>-242.17167000000001</v>
      </c>
      <c r="AF45" s="8">
        <f>Renta_Alta!AF45+Masivo!AF45+Consumo_Inicial!AF45</f>
        <v>-240.55121000000003</v>
      </c>
      <c r="AG45" s="8">
        <f>Renta_Alta!AG45+Masivo!AG45+Consumo_Inicial!AG45</f>
        <v>-223.68476000000001</v>
      </c>
      <c r="AH45" s="8">
        <f>Renta_Alta!AH45+Masivo!AH45+Consumo_Inicial!AH45</f>
        <v>-224.76981000000001</v>
      </c>
      <c r="AI45" s="8">
        <f>Renta_Alta!AI45+Masivo!AI45+Consumo_Inicial!AI45</f>
        <v>-216.88126</v>
      </c>
      <c r="AJ45" s="8">
        <f>Renta_Alta!AJ45+Masivo!AJ45+Consumo_Inicial!AJ45</f>
        <v>-207.03604000000001</v>
      </c>
      <c r="AK45" s="8">
        <f>Renta_Alta!AK45+Masivo!AK45+Consumo_Inicial!AK45</f>
        <v>-209.44758000000002</v>
      </c>
      <c r="AL45" s="8">
        <f>Renta_Alta!AL45+Masivo!AL45+Consumo_Inicial!AL45</f>
        <v>-197.84086000000002</v>
      </c>
      <c r="AM45" s="8">
        <f>Renta_Alta!AM45+Masivo!AM45+Consumo_Inicial!AM45</f>
        <v>-203.46046000000001</v>
      </c>
      <c r="AN45" s="8">
        <f>Renta_Alta!AN45+Masivo!AN45+Consumo_Inicial!AN45</f>
        <v>-199.13858999999999</v>
      </c>
      <c r="AO45" s="8">
        <f>Renta_Alta!AO45+Masivo!AO45+Consumo_Inicial!AO45</f>
        <v>-175.12741000000003</v>
      </c>
      <c r="AP45" s="8">
        <f>Renta_Alta!AP45+Masivo!AP45+Consumo_Inicial!AP45</f>
        <v>-188.57274000000001</v>
      </c>
      <c r="AQ45" s="8">
        <f>Renta_Alta!AQ45+Masivo!AQ45+Consumo_Inicial!AQ45</f>
        <v>-178.20298</v>
      </c>
      <c r="AR45" s="8">
        <f>Renta_Alta!AR45+Masivo!AR45+Consumo_Inicial!AR45</f>
        <v>-181.15244999999999</v>
      </c>
      <c r="AS45" s="8">
        <f>Renta_Alta!AS45+Masivo!AS45+Consumo_Inicial!AS45</f>
        <v>-172.05894000000001</v>
      </c>
      <c r="AT45" s="8">
        <f>Renta_Alta!AT45+Masivo!AT45+Consumo_Inicial!AT45</f>
        <v>0</v>
      </c>
      <c r="AU45" s="8">
        <f>Renta_Alta!AU45+Masivo!AU45+Consumo_Inicial!AU45</f>
        <v>0</v>
      </c>
      <c r="AV45" s="8">
        <f>Renta_Alta!AV45+Masivo!AV45+Consumo_Inicial!AV45</f>
        <v>0</v>
      </c>
      <c r="AW45" s="8">
        <f>Renta_Alta!AW45+Masivo!AW45+Consumo_Inicial!AW45</f>
        <v>0</v>
      </c>
      <c r="AX45" s="8">
        <f>Renta_Alta!AX45+Masivo!AX45+Consumo_Inicial!AX45</f>
        <v>0</v>
      </c>
      <c r="AY45" s="8">
        <f>Renta_Alta!AY45+Masivo!AY45+Consumo_Inicial!AY45</f>
        <v>0</v>
      </c>
      <c r="AZ45" s="8">
        <f>Renta_Alta!AZ45+Masivo!AZ45+Consumo_Inicial!AZ45</f>
        <v>-28.367108249571576</v>
      </c>
      <c r="BA45" s="8">
        <f>Renta_Alta!BA45+Masivo!BA45+Consumo_Inicial!BA45</f>
        <v>-25.360753429830424</v>
      </c>
      <c r="BB45" s="8">
        <f>Renta_Alta!BB45+Masivo!BB45+Consumo_Inicial!BB45</f>
        <v>-27.866225151430516</v>
      </c>
      <c r="BC45" s="8">
        <f>Renta_Alta!BC45+Masivo!BC45+Consumo_Inicial!BC45</f>
        <v>-26.959438499147144</v>
      </c>
      <c r="BD45" s="8">
        <f>Renta_Alta!BD45+Masivo!BD45+Consumo_Inicial!BD45</f>
        <v>-27.971441795625626</v>
      </c>
      <c r="BE45" s="8">
        <f>Renta_Alta!BE45+Masivo!BE45+Consumo_Inicial!BE45</f>
        <v>-27.131428873771224</v>
      </c>
      <c r="BF45" s="8">
        <f>Renta_Alta!BF45+Masivo!BF45+Consumo_Inicial!BF45</f>
        <v>-27.966438273129544</v>
      </c>
      <c r="BG45" s="8">
        <f>Renta_Alta!BG45+Masivo!BG45+Consumo_Inicial!BG45</f>
        <v>-27.963796353658562</v>
      </c>
      <c r="BH45" s="8">
        <f>Renta_Alta!BH45+Masivo!BH45+Consumo_Inicial!BH45</f>
        <v>-27.196141973772065</v>
      </c>
      <c r="BI45" s="8">
        <f>Renta_Alta!BI45+Masivo!BI45+Consumo_Inicial!BI45</f>
        <v>-28.340702418441538</v>
      </c>
      <c r="BJ45" s="8">
        <f>Renta_Alta!BJ45+Masivo!BJ45+Consumo_Inicial!BJ45</f>
        <v>-27.564428423813951</v>
      </c>
      <c r="BK45" s="8">
        <f>Renta_Alta!BK45+Masivo!BK45+Consumo_Inicial!BK45</f>
        <v>-28.48553804307998</v>
      </c>
      <c r="BO45" s="24">
        <f t="shared" si="48"/>
        <v>-562.83874000000003</v>
      </c>
      <c r="BP45" s="24">
        <f t="shared" si="48"/>
        <v>-81.594086830832509</v>
      </c>
      <c r="BQ45" s="24">
        <f t="shared" si="48"/>
        <v>-374.26600000000002</v>
      </c>
      <c r="BR45" s="24">
        <f t="shared" si="48"/>
        <v>-716.23679000000004</v>
      </c>
      <c r="BS45" s="24">
        <f t="shared" si="48"/>
        <v>-105.98157999999999</v>
      </c>
      <c r="BT45" s="24">
        <f t="shared" si="48"/>
        <v>-218.20601679999999</v>
      </c>
    </row>
    <row r="46" spans="1:72" hidden="1" outlineLevel="1" x14ac:dyDescent="0.25">
      <c r="A46" s="59" t="s">
        <v>50</v>
      </c>
      <c r="C46" s="60" t="s">
        <v>45</v>
      </c>
      <c r="D46" s="8">
        <f>Renta_Alta!D46+Masivo!D46+Consumo_Inicial!D46</f>
        <v>-319.84008291999999</v>
      </c>
      <c r="E46" s="8">
        <f>Renta_Alta!E46+Masivo!E46+Consumo_Inicial!E46</f>
        <v>-291.52192391</v>
      </c>
      <c r="F46" s="8">
        <f>Renta_Alta!F46+Masivo!F46+Consumo_Inicial!F46</f>
        <v>-294.86771840000006</v>
      </c>
      <c r="G46" s="8">
        <f>Renta_Alta!G46+Masivo!G46+Consumo_Inicial!G46</f>
        <v>-283.31150544000002</v>
      </c>
      <c r="H46" s="8">
        <f>Renta_Alta!H46+Masivo!H46+Consumo_Inicial!H46</f>
        <v>-281.23441536000001</v>
      </c>
      <c r="I46" s="8">
        <f>Renta_Alta!I46+Masivo!I46+Consumo_Inicial!I46</f>
        <v>-456.12169649999998</v>
      </c>
      <c r="J46" s="8">
        <f>Renta_Alta!J46+Masivo!J46+Consumo_Inicial!J46</f>
        <v>-447.37926111000002</v>
      </c>
      <c r="K46" s="8">
        <f>Renta_Alta!K46+Masivo!K46+Consumo_Inicial!K46</f>
        <v>-887.60257936000016</v>
      </c>
      <c r="L46" s="8">
        <f>Renta_Alta!L46+Masivo!L46+Consumo_Inicial!L46</f>
        <v>-785.2787268300001</v>
      </c>
      <c r="M46" s="8">
        <f>Renta_Alta!M46+Masivo!M46+Consumo_Inicial!M46</f>
        <v>-831.65992430000006</v>
      </c>
      <c r="N46" s="8">
        <f>Renta_Alta!N46+Masivo!N46+Consumo_Inicial!N46</f>
        <v>-792.13237791999995</v>
      </c>
      <c r="O46" s="8">
        <f>Renta_Alta!O46+Masivo!O46+Consumo_Inicial!O46</f>
        <v>-827.30459082999982</v>
      </c>
      <c r="P46" s="8">
        <f>Renta_Alta!P46+Masivo!P46+Consumo_Inicial!P46</f>
        <v>-1042.3389305599999</v>
      </c>
      <c r="Q46" s="8">
        <f>Renta_Alta!Q46+Masivo!Q46+Consumo_Inicial!Q46</f>
        <v>-1039.1462896</v>
      </c>
      <c r="R46" s="8">
        <f>Renta_Alta!R46+Masivo!R46+Consumo_Inicial!R46</f>
        <v>-1099.0422936800001</v>
      </c>
      <c r="S46" s="8">
        <f>Renta_Alta!S46+Masivo!S46+Consumo_Inicial!S46</f>
        <v>-1340.7655316</v>
      </c>
      <c r="T46" s="8">
        <f>Renta_Alta!T46+Masivo!T46+Consumo_Inicial!T46</f>
        <v>-1409.7252681</v>
      </c>
      <c r="U46" s="8">
        <f>Renta_Alta!U46+Masivo!U46+Consumo_Inicial!U46</f>
        <v>-1341.5371964200001</v>
      </c>
      <c r="V46" s="8">
        <f>Renta_Alta!V46+Masivo!V46+Consumo_Inicial!V46</f>
        <v>-1242.5343375999998</v>
      </c>
      <c r="W46" s="8">
        <f>Renta_Alta!W46+Masivo!W46+Consumo_Inicial!W46</f>
        <v>-1100.47498982</v>
      </c>
      <c r="X46" s="8">
        <f>Renta_Alta!X46+Masivo!X46+Consumo_Inicial!X46</f>
        <v>-1060.3168750399998</v>
      </c>
      <c r="Y46" s="8">
        <f>Renta_Alta!Y46+Masivo!Y46+Consumo_Inicial!Y46</f>
        <v>-938.60158808000006</v>
      </c>
      <c r="Z46" s="8">
        <f>Renta_Alta!Z46+Masivo!Z46+Consumo_Inicial!Z46</f>
        <v>-800.05348381999988</v>
      </c>
      <c r="AA46" s="8">
        <f>Renta_Alta!AA46+Masivo!AA46+Consumo_Inicial!AA46</f>
        <v>-740.61241124999992</v>
      </c>
      <c r="AB46" s="8">
        <f>Renta_Alta!AB46+Masivo!AB46+Consumo_Inicial!AB46</f>
        <v>-870.99418880999986</v>
      </c>
      <c r="AC46" s="8">
        <f>Renta_Alta!AC46+Masivo!AC46+Consumo_Inicial!AC46</f>
        <v>-782.722441</v>
      </c>
      <c r="AD46" s="8">
        <f>Renta_Alta!AD46+Masivo!AD46+Consumo_Inicial!AD46</f>
        <v>-817.11115156999995</v>
      </c>
      <c r="AE46" s="8">
        <f>Renta_Alta!AE46+Masivo!AE46+Consumo_Inicial!AE46</f>
        <v>-743.5166160199999</v>
      </c>
      <c r="AF46" s="8">
        <f>Renta_Alta!AF46+Masivo!AF46+Consumo_Inicial!AF46</f>
        <v>-766.06873759999996</v>
      </c>
      <c r="AG46" s="8">
        <f>Renta_Alta!AG46+Masivo!AG46+Consumo_Inicial!AG46</f>
        <v>-759.36799876000009</v>
      </c>
      <c r="AH46" s="8">
        <f>Renta_Alta!AH46+Masivo!AH46+Consumo_Inicial!AH46</f>
        <v>-728.16446591999988</v>
      </c>
      <c r="AI46" s="8">
        <f>Renta_Alta!AI46+Masivo!AI46+Consumo_Inicial!AI46</f>
        <v>-727.39014814999996</v>
      </c>
      <c r="AJ46" s="8">
        <f>Renta_Alta!AJ46+Masivo!AJ46+Consumo_Inicial!AJ46</f>
        <v>-677.99307507000003</v>
      </c>
      <c r="AK46" s="8">
        <f>Renta_Alta!AK46+Masivo!AK46+Consumo_Inicial!AK46</f>
        <v>-915.73887207999996</v>
      </c>
      <c r="AL46" s="8">
        <f>Renta_Alta!AL46+Masivo!AL46+Consumo_Inicial!AL46</f>
        <v>-575.07166958000005</v>
      </c>
      <c r="AM46" s="8">
        <f>Renta_Alta!AM46+Masivo!AM46+Consumo_Inicial!AM46</f>
        <v>-554.01007979999997</v>
      </c>
      <c r="AN46" s="8">
        <f>Renta_Alta!AN46+Masivo!AN46+Consumo_Inicial!AN46</f>
        <v>-603.63130053999998</v>
      </c>
      <c r="AO46" s="8">
        <f>Renta_Alta!AO46+Masivo!AO46+Consumo_Inicial!AO46</f>
        <v>-534.94024867999997</v>
      </c>
      <c r="AP46" s="8">
        <f>Renta_Alta!AP46+Masivo!AP46+Consumo_Inicial!AP46</f>
        <v>-556.28966849999995</v>
      </c>
      <c r="AQ46" s="8">
        <f>Renta_Alta!AQ46+Masivo!AQ46+Consumo_Inicial!AQ46</f>
        <v>-497.97680738999998</v>
      </c>
      <c r="AR46" s="8">
        <f>Renta_Alta!AR46+Masivo!AR46+Consumo_Inicial!AR46</f>
        <v>-482.49115442999999</v>
      </c>
      <c r="AS46" s="8">
        <f>Renta_Alta!AS46+Masivo!AS46+Consumo_Inicial!AS46</f>
        <v>-481.91189854999993</v>
      </c>
      <c r="AT46" s="8">
        <f>Renta_Alta!AT46+Masivo!AT46+Consumo_Inicial!AT46</f>
        <v>0</v>
      </c>
      <c r="AU46" s="8">
        <f>Renta_Alta!AU46+Masivo!AU46+Consumo_Inicial!AU46</f>
        <v>0</v>
      </c>
      <c r="AV46" s="8">
        <f>Renta_Alta!AV46+Masivo!AV46+Consumo_Inicial!AV46</f>
        <v>0</v>
      </c>
      <c r="AW46" s="8">
        <f>Renta_Alta!AW46+Masivo!AW46+Consumo_Inicial!AW46</f>
        <v>0</v>
      </c>
      <c r="AX46" s="8">
        <f>Renta_Alta!AX46+Masivo!AX46+Consumo_Inicial!AX46</f>
        <v>0</v>
      </c>
      <c r="AY46" s="8">
        <f>Renta_Alta!AY46+Masivo!AY46+Consumo_Inicial!AY46</f>
        <v>0</v>
      </c>
      <c r="AZ46" s="8">
        <f>Renta_Alta!AZ46+Masivo!AZ46+Consumo_Inicial!AZ46</f>
        <v>-464.35208332659101</v>
      </c>
      <c r="BA46" s="8">
        <f>Renta_Alta!BA46+Masivo!BA46+Consumo_Inicial!BA46</f>
        <v>-414.50375874024462</v>
      </c>
      <c r="BB46" s="8">
        <f>Renta_Alta!BB46+Masivo!BB46+Consumo_Inicial!BB46</f>
        <v>-454.74783218463165</v>
      </c>
      <c r="BC46" s="8">
        <f>Renta_Alta!BC46+Masivo!BC46+Consumo_Inicial!BC46</f>
        <v>-439.27945155364358</v>
      </c>
      <c r="BD46" s="8">
        <f>Renta_Alta!BD46+Masivo!BD46+Consumo_Inicial!BD46</f>
        <v>-455.06028924123211</v>
      </c>
      <c r="BE46" s="8">
        <f>Renta_Alta!BE46+Masivo!BE46+Consumo_Inicial!BE46</f>
        <v>-440.79027137541686</v>
      </c>
      <c r="BF46" s="8">
        <f>Renta_Alta!BF46+Masivo!BF46+Consumo_Inicial!BF46</f>
        <v>-453.87860494668155</v>
      </c>
      <c r="BG46" s="8">
        <f>Renta_Alta!BG46+Masivo!BG46+Consumo_Inicial!BG46</f>
        <v>-453.50243574922365</v>
      </c>
      <c r="BH46" s="8">
        <f>Renta_Alta!BH46+Masivo!BH46+Consumo_Inicial!BH46</f>
        <v>-440.74769002329919</v>
      </c>
      <c r="BI46" s="8">
        <f>Renta_Alta!BI46+Masivo!BI46+Consumo_Inicial!BI46</f>
        <v>-459.01395401825823</v>
      </c>
      <c r="BJ46" s="8">
        <f>Renta_Alta!BJ46+Masivo!BJ46+Consumo_Inicial!BJ46</f>
        <v>-446.19050143968832</v>
      </c>
      <c r="BK46" s="8">
        <f>Renta_Alta!BK46+Masivo!BK46+Consumo_Inicial!BK46</f>
        <v>-460.89323219247063</v>
      </c>
      <c r="BO46" s="24">
        <f t="shared" si="48"/>
        <v>-1694.8612177199998</v>
      </c>
      <c r="BP46" s="24">
        <f t="shared" si="48"/>
        <v>-1333.6036742514673</v>
      </c>
      <c r="BQ46" s="24">
        <f t="shared" si="48"/>
        <v>-1138.57154922</v>
      </c>
      <c r="BR46" s="24">
        <f t="shared" si="48"/>
        <v>-2470.8277813799996</v>
      </c>
      <c r="BS46" s="24">
        <f t="shared" si="48"/>
        <v>-3180.5275138399998</v>
      </c>
      <c r="BT46" s="24">
        <f t="shared" si="48"/>
        <v>-906.22972522999999</v>
      </c>
    </row>
    <row r="47" spans="1:72" collapsed="1" x14ac:dyDescent="0.25">
      <c r="C47" s="61" t="s">
        <v>58</v>
      </c>
      <c r="D47" s="62">
        <f t="shared" ref="D47:AI47" si="49">SUM(D44:D46)</f>
        <v>-18704.61792855</v>
      </c>
      <c r="E47" s="62">
        <f t="shared" si="49"/>
        <v>-17839.626431550005</v>
      </c>
      <c r="F47" s="62">
        <f t="shared" si="49"/>
        <v>-20968.258374199999</v>
      </c>
      <c r="G47" s="62">
        <f t="shared" si="49"/>
        <v>-21228.798663040005</v>
      </c>
      <c r="H47" s="62">
        <f t="shared" si="49"/>
        <v>-22617.103841599997</v>
      </c>
      <c r="I47" s="62">
        <f t="shared" si="49"/>
        <v>-22706.504691999999</v>
      </c>
      <c r="J47" s="62">
        <f t="shared" si="49"/>
        <v>-23669.443752989995</v>
      </c>
      <c r="K47" s="62">
        <f t="shared" si="49"/>
        <v>-24290.550938080007</v>
      </c>
      <c r="L47" s="62">
        <f t="shared" si="49"/>
        <v>-24118.402601719201</v>
      </c>
      <c r="M47" s="62">
        <f t="shared" si="49"/>
        <v>-25060.769848949996</v>
      </c>
      <c r="N47" s="62">
        <f t="shared" si="49"/>
        <v>-24282.86683115999</v>
      </c>
      <c r="O47" s="62">
        <f t="shared" si="49"/>
        <v>-24837.010491140005</v>
      </c>
      <c r="P47" s="62">
        <f t="shared" si="49"/>
        <v>-24453.1809564</v>
      </c>
      <c r="Q47" s="62">
        <f t="shared" si="49"/>
        <v>-22342.317778120003</v>
      </c>
      <c r="R47" s="62">
        <f t="shared" si="49"/>
        <v>-23320.591372979994</v>
      </c>
      <c r="S47" s="62">
        <f t="shared" si="49"/>
        <v>-22162.906188959998</v>
      </c>
      <c r="T47" s="62">
        <f t="shared" si="49"/>
        <v>-22262.309043400001</v>
      </c>
      <c r="U47" s="62">
        <f t="shared" si="49"/>
        <v>-20797.986646170004</v>
      </c>
      <c r="V47" s="62">
        <f t="shared" si="49"/>
        <v>-20680.276264499997</v>
      </c>
      <c r="W47" s="62">
        <f t="shared" si="49"/>
        <v>-19959.163871679997</v>
      </c>
      <c r="X47" s="62">
        <f t="shared" si="49"/>
        <v>-18916.058751839999</v>
      </c>
      <c r="Y47" s="62">
        <f t="shared" si="49"/>
        <v>-19060.671116559999</v>
      </c>
      <c r="Z47" s="62">
        <f t="shared" si="49"/>
        <v>-18023.199603519999</v>
      </c>
      <c r="AA47" s="62">
        <f t="shared" si="49"/>
        <v>-18217.986801749998</v>
      </c>
      <c r="AB47" s="62">
        <f t="shared" si="49"/>
        <v>-17935.814433170002</v>
      </c>
      <c r="AC47" s="62">
        <f t="shared" si="49"/>
        <v>-15987.932560000005</v>
      </c>
      <c r="AD47" s="62">
        <f t="shared" si="49"/>
        <v>-17399.226609319998</v>
      </c>
      <c r="AE47" s="62">
        <f t="shared" si="49"/>
        <v>-16697.081242610002</v>
      </c>
      <c r="AF47" s="62">
        <f t="shared" si="49"/>
        <v>-17063.599916800002</v>
      </c>
      <c r="AG47" s="62">
        <f t="shared" si="49"/>
        <v>-16311.732495880002</v>
      </c>
      <c r="AH47" s="62">
        <f t="shared" si="49"/>
        <v>-16615.770088980003</v>
      </c>
      <c r="AI47" s="62">
        <f t="shared" si="49"/>
        <v>-16556.695094150004</v>
      </c>
      <c r="AJ47" s="62">
        <f t="shared" ref="AJ47:AY47" si="50">SUM(AJ44:AJ46)</f>
        <v>-16011.610564600003</v>
      </c>
      <c r="AK47" s="62">
        <f t="shared" si="50"/>
        <v>-16936.010095119997</v>
      </c>
      <c r="AL47" s="62">
        <f t="shared" si="50"/>
        <v>-16292.77713429</v>
      </c>
      <c r="AM47" s="62">
        <f t="shared" si="50"/>
        <v>-16768.487920719999</v>
      </c>
      <c r="AN47" s="62">
        <f t="shared" si="50"/>
        <v>-16734.2058903</v>
      </c>
      <c r="AO47" s="62">
        <f t="shared" si="50"/>
        <v>-15167.05455687</v>
      </c>
      <c r="AP47" s="62">
        <f t="shared" si="50"/>
        <v>-16919.393777000001</v>
      </c>
      <c r="AQ47" s="62">
        <f t="shared" si="50"/>
        <v>-16440.734613359997</v>
      </c>
      <c r="AR47" s="62">
        <f t="shared" si="50"/>
        <v>-17212.284187440004</v>
      </c>
      <c r="AS47" s="62">
        <f t="shared" si="50"/>
        <v>-16958.1067109</v>
      </c>
      <c r="AT47" s="62">
        <f t="shared" si="50"/>
        <v>0</v>
      </c>
      <c r="AU47" s="62">
        <f t="shared" si="50"/>
        <v>0</v>
      </c>
      <c r="AV47" s="62">
        <f t="shared" si="50"/>
        <v>0</v>
      </c>
      <c r="AW47" s="62">
        <f t="shared" si="50"/>
        <v>0</v>
      </c>
      <c r="AX47" s="62">
        <f t="shared" si="50"/>
        <v>0</v>
      </c>
      <c r="AY47" s="62">
        <f t="shared" si="50"/>
        <v>0</v>
      </c>
      <c r="AZ47" s="62">
        <f t="shared" ref="AZ47:BK47" si="51">SUM(AZ44:AZ46)</f>
        <v>-16842.537737117371</v>
      </c>
      <c r="BA47" s="62">
        <f t="shared" si="51"/>
        <v>-15165.42130976202</v>
      </c>
      <c r="BB47" s="62">
        <f t="shared" si="51"/>
        <v>-16785.126145149003</v>
      </c>
      <c r="BC47" s="62">
        <f t="shared" si="51"/>
        <v>-16356.016947267784</v>
      </c>
      <c r="BD47" s="62">
        <f t="shared" si="51"/>
        <v>-17092.882189960063</v>
      </c>
      <c r="BE47" s="62">
        <f t="shared" si="51"/>
        <v>-16685.748220031222</v>
      </c>
      <c r="BF47" s="62">
        <f t="shared" si="51"/>
        <v>-17284.067842761575</v>
      </c>
      <c r="BG47" s="62">
        <f t="shared" si="51"/>
        <v>-17342.937724524851</v>
      </c>
      <c r="BH47" s="62">
        <f t="shared" si="51"/>
        <v>-16926.351022640949</v>
      </c>
      <c r="BI47" s="62">
        <f t="shared" si="51"/>
        <v>-17694.331422102641</v>
      </c>
      <c r="BJ47" s="62">
        <f t="shared" si="51"/>
        <v>-17255.033048094268</v>
      </c>
      <c r="BK47" s="62">
        <f t="shared" si="51"/>
        <v>-17868.625119318742</v>
      </c>
      <c r="BO47" s="63">
        <f t="shared" ref="BO47:BT47" si="52">SUM(BO44:BO46)</f>
        <v>-48820.654224170001</v>
      </c>
      <c r="BP47" s="63">
        <f t="shared" si="52"/>
        <v>-48793.085192028397</v>
      </c>
      <c r="BQ47" s="63">
        <f t="shared" si="52"/>
        <v>-31901.26044717</v>
      </c>
      <c r="BR47" s="63">
        <f t="shared" si="52"/>
        <v>-51322.973602490005</v>
      </c>
      <c r="BS47" s="63">
        <f t="shared" si="52"/>
        <v>-70116.090107500015</v>
      </c>
      <c r="BT47" s="63">
        <f t="shared" si="52"/>
        <v>-57512.502734300004</v>
      </c>
    </row>
    <row r="50" spans="1:72" hidden="1" outlineLevel="1" x14ac:dyDescent="0.25">
      <c r="A50" s="59"/>
      <c r="C50" s="60" t="s">
        <v>0</v>
      </c>
      <c r="D50" s="8">
        <f t="shared" ref="D50:AY50" si="53">D38+D44</f>
        <v>28625.331234890007</v>
      </c>
      <c r="E50" s="8">
        <f t="shared" si="53"/>
        <v>26277.642695090006</v>
      </c>
      <c r="F50" s="8">
        <f t="shared" si="53"/>
        <v>29159.295766449995</v>
      </c>
      <c r="G50" s="8">
        <f t="shared" si="53"/>
        <v>27231.005089779999</v>
      </c>
      <c r="H50" s="8">
        <f t="shared" si="53"/>
        <v>31005.995650209992</v>
      </c>
      <c r="I50" s="8">
        <f t="shared" si="53"/>
        <v>29893.476666890005</v>
      </c>
      <c r="J50" s="8">
        <f t="shared" si="53"/>
        <v>31079.032401620003</v>
      </c>
      <c r="K50" s="8">
        <f t="shared" si="53"/>
        <v>31602.926891479994</v>
      </c>
      <c r="L50" s="8">
        <f t="shared" si="53"/>
        <v>30456.8094030508</v>
      </c>
      <c r="M50" s="8">
        <f t="shared" si="53"/>
        <v>30808.398811200012</v>
      </c>
      <c r="N50" s="8">
        <f t="shared" si="53"/>
        <v>28749.253143220008</v>
      </c>
      <c r="O50" s="8">
        <f t="shared" si="53"/>
        <v>28184.390542609985</v>
      </c>
      <c r="P50" s="8">
        <f t="shared" si="53"/>
        <v>27271.061106169996</v>
      </c>
      <c r="Q50" s="8">
        <f t="shared" si="53"/>
        <v>24017.710319699996</v>
      </c>
      <c r="R50" s="8">
        <f t="shared" si="53"/>
        <v>25215.939491140009</v>
      </c>
      <c r="S50" s="8">
        <f t="shared" si="53"/>
        <v>24532.581600699992</v>
      </c>
      <c r="T50" s="8">
        <f t="shared" si="53"/>
        <v>25187.178551409997</v>
      </c>
      <c r="U50" s="8">
        <f t="shared" si="53"/>
        <v>23669.849905080006</v>
      </c>
      <c r="V50" s="8">
        <f t="shared" si="53"/>
        <v>24752.926609360002</v>
      </c>
      <c r="W50" s="8">
        <f t="shared" si="53"/>
        <v>23986.913989880006</v>
      </c>
      <c r="X50" s="8">
        <f t="shared" si="53"/>
        <v>22961.343846619999</v>
      </c>
      <c r="Y50" s="8">
        <f t="shared" si="53"/>
        <v>23388.315339369998</v>
      </c>
      <c r="Z50" s="8">
        <f t="shared" si="53"/>
        <v>21743.251699910001</v>
      </c>
      <c r="AA50" s="8">
        <f t="shared" si="53"/>
        <v>22227.414936820001</v>
      </c>
      <c r="AB50" s="8">
        <f t="shared" si="53"/>
        <v>22055.486087589998</v>
      </c>
      <c r="AC50" s="8">
        <f t="shared" si="53"/>
        <v>19486.944432730001</v>
      </c>
      <c r="AD50" s="8">
        <f t="shared" si="53"/>
        <v>22163.857755780002</v>
      </c>
      <c r="AE50" s="8">
        <f t="shared" si="53"/>
        <v>21568.397475419988</v>
      </c>
      <c r="AF50" s="8">
        <f t="shared" si="53"/>
        <v>22326.715017930001</v>
      </c>
      <c r="AG50" s="8">
        <f t="shared" si="53"/>
        <v>21554.752166139995</v>
      </c>
      <c r="AH50" s="8">
        <f t="shared" si="53"/>
        <v>22557.702338089999</v>
      </c>
      <c r="AI50" s="8">
        <f t="shared" si="53"/>
        <v>22906.380367419995</v>
      </c>
      <c r="AJ50" s="8">
        <f t="shared" si="53"/>
        <v>22586.489460210003</v>
      </c>
      <c r="AK50" s="8">
        <f t="shared" si="53"/>
        <v>23795.629276669999</v>
      </c>
      <c r="AL50" s="8">
        <f t="shared" si="53"/>
        <v>23208.584667570009</v>
      </c>
      <c r="AM50" s="8">
        <f t="shared" si="53"/>
        <v>24769.966611270007</v>
      </c>
      <c r="AN50" s="8">
        <f t="shared" si="53"/>
        <v>25034.719890130003</v>
      </c>
      <c r="AO50" s="8">
        <f t="shared" si="53"/>
        <v>23211.526029020002</v>
      </c>
      <c r="AP50" s="8">
        <f t="shared" si="53"/>
        <v>26147.50786998999</v>
      </c>
      <c r="AQ50" s="8">
        <f t="shared" si="53"/>
        <v>25168.968966980003</v>
      </c>
      <c r="AR50" s="8">
        <f t="shared" si="53"/>
        <v>26345.87045839</v>
      </c>
      <c r="AS50" s="8">
        <f t="shared" si="53"/>
        <v>25970.677930530008</v>
      </c>
      <c r="AT50" s="8">
        <f t="shared" si="53"/>
        <v>0</v>
      </c>
      <c r="AU50" s="8">
        <f t="shared" si="53"/>
        <v>0</v>
      </c>
      <c r="AV50" s="8">
        <f t="shared" si="53"/>
        <v>0</v>
      </c>
      <c r="AW50" s="8">
        <f t="shared" si="53"/>
        <v>0</v>
      </c>
      <c r="AX50" s="8">
        <f t="shared" si="53"/>
        <v>0</v>
      </c>
      <c r="AY50" s="8">
        <f t="shared" si="53"/>
        <v>0</v>
      </c>
      <c r="AZ50" s="8">
        <f t="shared" ref="AZ50:BK50" si="54">AZ38+AZ44</f>
        <v>24318.953617097854</v>
      </c>
      <c r="BA50" s="8">
        <f t="shared" si="54"/>
        <v>21860.545301725586</v>
      </c>
      <c r="BB50" s="8">
        <f t="shared" si="54"/>
        <v>24866.898129454865</v>
      </c>
      <c r="BC50" s="8">
        <f t="shared" si="54"/>
        <v>24647.930010619151</v>
      </c>
      <c r="BD50" s="8">
        <f t="shared" si="54"/>
        <v>26232.202687368725</v>
      </c>
      <c r="BE50" s="8">
        <f t="shared" si="54"/>
        <v>26113.401939338146</v>
      </c>
      <c r="BF50" s="8">
        <f t="shared" si="54"/>
        <v>27552.85676090189</v>
      </c>
      <c r="BG50" s="8">
        <f t="shared" si="54"/>
        <v>28167.852963700399</v>
      </c>
      <c r="BH50" s="8">
        <f t="shared" si="54"/>
        <v>27839.217189984036</v>
      </c>
      <c r="BI50" s="8">
        <f t="shared" si="54"/>
        <v>29739.117024805117</v>
      </c>
      <c r="BJ50" s="8">
        <f t="shared" si="54"/>
        <v>29363.406676411432</v>
      </c>
      <c r="BK50" s="8">
        <f t="shared" si="54"/>
        <v>31152.867582287163</v>
      </c>
      <c r="BO50" s="24">
        <f t="shared" ref="BO50:BT52" si="55">BO38+BO44</f>
        <v>74393.753789139984</v>
      </c>
      <c r="BP50" s="24">
        <f t="shared" si="55"/>
        <v>71046.397048278319</v>
      </c>
      <c r="BQ50" s="24">
        <f t="shared" si="55"/>
        <v>48246.245919149995</v>
      </c>
      <c r="BR50" s="24">
        <f t="shared" si="55"/>
        <v>63706.288276100007</v>
      </c>
      <c r="BS50" s="24">
        <f t="shared" si="55"/>
        <v>76504.710917010001</v>
      </c>
      <c r="BT50" s="24">
        <f t="shared" si="55"/>
        <v>84062.269696430012</v>
      </c>
    </row>
    <row r="51" spans="1:72" hidden="1" outlineLevel="1" x14ac:dyDescent="0.25">
      <c r="A51" s="59"/>
      <c r="C51" s="60" t="s">
        <v>1</v>
      </c>
      <c r="D51" s="8">
        <f t="shared" ref="D51:AY51" si="56">D39+D45</f>
        <v>-0.90612999999999033</v>
      </c>
      <c r="E51" s="8">
        <f t="shared" si="56"/>
        <v>4.3884900000000187</v>
      </c>
      <c r="F51" s="8">
        <f t="shared" si="56"/>
        <v>-17.231002800000006</v>
      </c>
      <c r="G51" s="8">
        <f t="shared" si="56"/>
        <v>-24.303738850000009</v>
      </c>
      <c r="H51" s="8">
        <f t="shared" si="56"/>
        <v>-19.361044550000031</v>
      </c>
      <c r="I51" s="8">
        <f t="shared" si="56"/>
        <v>-16.798041490000017</v>
      </c>
      <c r="J51" s="8">
        <f t="shared" si="56"/>
        <v>-8.7149414000000149</v>
      </c>
      <c r="K51" s="8">
        <f t="shared" si="56"/>
        <v>-5.4809338399999987</v>
      </c>
      <c r="L51" s="8">
        <f t="shared" si="56"/>
        <v>-0.91214093000000673</v>
      </c>
      <c r="M51" s="8">
        <f t="shared" si="56"/>
        <v>-5.7005029499999935</v>
      </c>
      <c r="N51" s="8">
        <f t="shared" si="56"/>
        <v>-0.28107412000000664</v>
      </c>
      <c r="O51" s="8">
        <f t="shared" si="56"/>
        <v>-2.7869399499999972</v>
      </c>
      <c r="P51" s="8">
        <f t="shared" si="56"/>
        <v>1.4481999999999999</v>
      </c>
      <c r="Q51" s="8">
        <f t="shared" si="56"/>
        <v>1.5384500000000045</v>
      </c>
      <c r="R51" s="8">
        <f t="shared" si="56"/>
        <v>-5.1500799999999956</v>
      </c>
      <c r="S51" s="8">
        <f t="shared" si="56"/>
        <v>3.7052199999999971</v>
      </c>
      <c r="T51" s="8">
        <f t="shared" si="56"/>
        <v>-20.134060000000005</v>
      </c>
      <c r="U51" s="8">
        <f t="shared" si="56"/>
        <v>-11.375509989999983</v>
      </c>
      <c r="V51" s="8">
        <f t="shared" si="56"/>
        <v>-1.4389499800000181</v>
      </c>
      <c r="W51" s="8">
        <f t="shared" si="56"/>
        <v>-28.949789979999991</v>
      </c>
      <c r="X51" s="8">
        <f t="shared" si="56"/>
        <v>-13.534899980000006</v>
      </c>
      <c r="Y51" s="8">
        <f t="shared" si="56"/>
        <v>-43.793690039999944</v>
      </c>
      <c r="Z51" s="8">
        <f t="shared" si="56"/>
        <v>-35.444360029999956</v>
      </c>
      <c r="AA51" s="8">
        <f t="shared" si="56"/>
        <v>-24.414260030000008</v>
      </c>
      <c r="AB51" s="8">
        <f t="shared" si="56"/>
        <v>2.4374999899999921</v>
      </c>
      <c r="AC51" s="8">
        <f t="shared" si="56"/>
        <v>14.141329969999987</v>
      </c>
      <c r="AD51" s="8">
        <f t="shared" si="56"/>
        <v>-21.594440030000015</v>
      </c>
      <c r="AE51" s="8">
        <f t="shared" si="56"/>
        <v>-4.7594599600000151</v>
      </c>
      <c r="AF51" s="8">
        <f t="shared" si="56"/>
        <v>3.2785800499999596</v>
      </c>
      <c r="AG51" s="8">
        <f t="shared" si="56"/>
        <v>5.9481099700000186</v>
      </c>
      <c r="AH51" s="8">
        <f t="shared" si="56"/>
        <v>42.89251999999999</v>
      </c>
      <c r="AI51" s="8">
        <f t="shared" si="56"/>
        <v>5.9672499600000037</v>
      </c>
      <c r="AJ51" s="8">
        <f t="shared" si="56"/>
        <v>36.32398004999996</v>
      </c>
      <c r="AK51" s="8">
        <f t="shared" si="56"/>
        <v>31.703729989999971</v>
      </c>
      <c r="AL51" s="8">
        <f t="shared" si="56"/>
        <v>17.712099979999977</v>
      </c>
      <c r="AM51" s="8">
        <f t="shared" si="56"/>
        <v>60.644040019999977</v>
      </c>
      <c r="AN51" s="8">
        <f t="shared" si="56"/>
        <v>40.647970000000015</v>
      </c>
      <c r="AO51" s="8">
        <f t="shared" si="56"/>
        <v>43.68117000999996</v>
      </c>
      <c r="AP51" s="8">
        <f t="shared" si="56"/>
        <v>47.971250009999977</v>
      </c>
      <c r="AQ51" s="8">
        <f t="shared" si="56"/>
        <v>51.94419001</v>
      </c>
      <c r="AR51" s="8">
        <f t="shared" si="56"/>
        <v>31.777710000000013</v>
      </c>
      <c r="AS51" s="8">
        <f t="shared" si="56"/>
        <v>59.049029999999959</v>
      </c>
      <c r="AT51" s="8">
        <f t="shared" si="56"/>
        <v>0</v>
      </c>
      <c r="AU51" s="8">
        <f t="shared" si="56"/>
        <v>0</v>
      </c>
      <c r="AV51" s="8">
        <f t="shared" si="56"/>
        <v>0</v>
      </c>
      <c r="AW51" s="8">
        <f t="shared" si="56"/>
        <v>0</v>
      </c>
      <c r="AX51" s="8">
        <f t="shared" si="56"/>
        <v>0</v>
      </c>
      <c r="AY51" s="8">
        <f t="shared" si="56"/>
        <v>0</v>
      </c>
      <c r="AZ51" s="8">
        <f t="shared" ref="AZ51:BK51" si="57">AZ39+AZ45</f>
        <v>183.28054707920597</v>
      </c>
      <c r="BA51" s="8">
        <f t="shared" si="57"/>
        <v>155.82913259637897</v>
      </c>
      <c r="BB51" s="8">
        <f t="shared" si="57"/>
        <v>163.73589763628615</v>
      </c>
      <c r="BC51" s="8">
        <f t="shared" si="57"/>
        <v>151.02256835578504</v>
      </c>
      <c r="BD51" s="8">
        <f t="shared" si="57"/>
        <v>150.25987026029605</v>
      </c>
      <c r="BE51" s="8">
        <f t="shared" si="57"/>
        <v>138.73898384389949</v>
      </c>
      <c r="BF51" s="8">
        <f t="shared" si="57"/>
        <v>137.68352091892194</v>
      </c>
      <c r="BG51" s="8">
        <f t="shared" si="57"/>
        <v>132.94864285441673</v>
      </c>
      <c r="BH51" s="8">
        <f t="shared" si="57"/>
        <v>122.71069998016523</v>
      </c>
      <c r="BI51" s="8">
        <f t="shared" si="57"/>
        <v>121.48004047625636</v>
      </c>
      <c r="BJ51" s="8">
        <f t="shared" si="57"/>
        <v>113.53753752623876</v>
      </c>
      <c r="BK51" s="8">
        <f t="shared" si="57"/>
        <v>114.17578212098219</v>
      </c>
      <c r="BO51" s="24">
        <f t="shared" si="55"/>
        <v>132.30039002000001</v>
      </c>
      <c r="BP51" s="24">
        <f t="shared" si="55"/>
        <v>502.84557731187107</v>
      </c>
      <c r="BQ51" s="24">
        <f t="shared" si="55"/>
        <v>84.329140010000003</v>
      </c>
      <c r="BR51" s="24">
        <f t="shared" si="55"/>
        <v>-5.0156100699999797</v>
      </c>
      <c r="BS51" s="24">
        <f t="shared" si="55"/>
        <v>-2.1634299999999911</v>
      </c>
      <c r="BT51" s="24">
        <f t="shared" si="55"/>
        <v>-13.748642799999999</v>
      </c>
    </row>
    <row r="52" spans="1:72" hidden="1" outlineLevel="1" x14ac:dyDescent="0.25">
      <c r="A52" s="59"/>
      <c r="C52" s="60" t="s">
        <v>45</v>
      </c>
      <c r="D52" s="8">
        <f t="shared" ref="D52:AY52" si="58">D40+D46</f>
        <v>142.35584846000006</v>
      </c>
      <c r="E52" s="8">
        <f t="shared" si="58"/>
        <v>-44.435993739999986</v>
      </c>
      <c r="F52" s="8">
        <f t="shared" si="58"/>
        <v>69.720474039999942</v>
      </c>
      <c r="G52" s="8">
        <f t="shared" si="58"/>
        <v>84.731594870000094</v>
      </c>
      <c r="H52" s="8">
        <f t="shared" si="58"/>
        <v>273.33386051000008</v>
      </c>
      <c r="I52" s="8">
        <f t="shared" si="58"/>
        <v>22.123628979999978</v>
      </c>
      <c r="J52" s="8">
        <f t="shared" si="58"/>
        <v>233.36912073000008</v>
      </c>
      <c r="K52" s="8">
        <f t="shared" si="58"/>
        <v>-166.26789907000034</v>
      </c>
      <c r="L52" s="8">
        <f t="shared" si="58"/>
        <v>-174.50651499000003</v>
      </c>
      <c r="M52" s="8">
        <f t="shared" si="58"/>
        <v>-143.27500821000001</v>
      </c>
      <c r="N52" s="8">
        <f t="shared" si="58"/>
        <v>11.198970800000211</v>
      </c>
      <c r="O52" s="8">
        <f t="shared" si="58"/>
        <v>-25.125672549999763</v>
      </c>
      <c r="P52" s="8">
        <f t="shared" si="58"/>
        <v>-146.97485558999995</v>
      </c>
      <c r="Q52" s="8">
        <f t="shared" si="58"/>
        <v>-169.3862573900002</v>
      </c>
      <c r="R52" s="8">
        <f t="shared" si="58"/>
        <v>-135.53775578000023</v>
      </c>
      <c r="S52" s="8">
        <f t="shared" si="58"/>
        <v>155.48484915000017</v>
      </c>
      <c r="T52" s="8">
        <f t="shared" si="58"/>
        <v>45.541723790000106</v>
      </c>
      <c r="U52" s="8">
        <f t="shared" si="58"/>
        <v>347.97015106999993</v>
      </c>
      <c r="V52" s="8">
        <f t="shared" si="58"/>
        <v>415.06398662000061</v>
      </c>
      <c r="W52" s="8">
        <f t="shared" si="58"/>
        <v>24.291971149999654</v>
      </c>
      <c r="X52" s="8">
        <f t="shared" si="58"/>
        <v>22.638512470000478</v>
      </c>
      <c r="Y52" s="8">
        <f t="shared" si="58"/>
        <v>1.7467699400000356</v>
      </c>
      <c r="Z52" s="8">
        <f t="shared" si="58"/>
        <v>246.97077061000005</v>
      </c>
      <c r="AA52" s="8">
        <f t="shared" si="58"/>
        <v>253.37141237000014</v>
      </c>
      <c r="AB52" s="8">
        <f t="shared" si="58"/>
        <v>129.40015797000012</v>
      </c>
      <c r="AC52" s="8">
        <f t="shared" si="58"/>
        <v>140.98196989000007</v>
      </c>
      <c r="AD52" s="8">
        <f t="shared" si="58"/>
        <v>305.40383777000011</v>
      </c>
      <c r="AE52" s="8">
        <f t="shared" si="58"/>
        <v>196.90562109000018</v>
      </c>
      <c r="AF52" s="8">
        <f t="shared" si="58"/>
        <v>284.87361429999999</v>
      </c>
      <c r="AG52" s="8">
        <f t="shared" si="58"/>
        <v>268.03528658999994</v>
      </c>
      <c r="AH52" s="8">
        <f t="shared" si="58"/>
        <v>294.05760819000034</v>
      </c>
      <c r="AI52" s="8">
        <f t="shared" si="58"/>
        <v>135.42867448999993</v>
      </c>
      <c r="AJ52" s="8">
        <f t="shared" si="58"/>
        <v>160.53402521999999</v>
      </c>
      <c r="AK52" s="8">
        <f t="shared" si="58"/>
        <v>-83.418844789999866</v>
      </c>
      <c r="AL52" s="8">
        <f t="shared" si="58"/>
        <v>420.91184274999989</v>
      </c>
      <c r="AM52" s="8">
        <f t="shared" si="58"/>
        <v>444.38513499000021</v>
      </c>
      <c r="AN52" s="8">
        <f t="shared" si="58"/>
        <v>172.3133519999999</v>
      </c>
      <c r="AO52" s="8">
        <f t="shared" si="58"/>
        <v>208.07533306000005</v>
      </c>
      <c r="AP52" s="8">
        <f t="shared" si="58"/>
        <v>161.41859300000021</v>
      </c>
      <c r="AQ52" s="8">
        <f t="shared" si="58"/>
        <v>219.15488358999994</v>
      </c>
      <c r="AR52" s="8">
        <f t="shared" si="58"/>
        <v>325.00702438000002</v>
      </c>
      <c r="AS52" s="8">
        <f t="shared" si="58"/>
        <v>243.79561706000027</v>
      </c>
      <c r="AT52" s="8">
        <f t="shared" si="58"/>
        <v>0</v>
      </c>
      <c r="AU52" s="8">
        <f t="shared" si="58"/>
        <v>0</v>
      </c>
      <c r="AV52" s="8">
        <f t="shared" si="58"/>
        <v>0</v>
      </c>
      <c r="AW52" s="8">
        <f t="shared" si="58"/>
        <v>0</v>
      </c>
      <c r="AX52" s="8">
        <f t="shared" si="58"/>
        <v>0</v>
      </c>
      <c r="AY52" s="8">
        <f t="shared" si="58"/>
        <v>0</v>
      </c>
      <c r="AZ52" s="8">
        <f t="shared" ref="AZ52:BK52" si="59">AZ40+AZ46</f>
        <v>350.01283668264318</v>
      </c>
      <c r="BA52" s="8">
        <f t="shared" si="59"/>
        <v>390.9467188286078</v>
      </c>
      <c r="BB52" s="8">
        <f t="shared" si="59"/>
        <v>326.31436797628248</v>
      </c>
      <c r="BC52" s="8">
        <f t="shared" si="59"/>
        <v>330.6730862131181</v>
      </c>
      <c r="BD52" s="8">
        <f t="shared" si="59"/>
        <v>312.31591895143936</v>
      </c>
      <c r="BE52" s="8">
        <f t="shared" si="59"/>
        <v>325.03932491403498</v>
      </c>
      <c r="BF52" s="8">
        <f t="shared" si="59"/>
        <v>302.64725605778142</v>
      </c>
      <c r="BG52" s="8">
        <f t="shared" si="59"/>
        <v>313.45558594341492</v>
      </c>
      <c r="BH52" s="8">
        <f t="shared" si="59"/>
        <v>334.37793203319114</v>
      </c>
      <c r="BI52" s="8">
        <f t="shared" si="59"/>
        <v>319.8230618304932</v>
      </c>
      <c r="BJ52" s="8">
        <f t="shared" si="59"/>
        <v>332.88452271124572</v>
      </c>
      <c r="BK52" s="8">
        <f t="shared" si="59"/>
        <v>322.37627403574055</v>
      </c>
      <c r="BO52" s="24">
        <f t="shared" si="55"/>
        <v>541.80727806000004</v>
      </c>
      <c r="BP52" s="24">
        <f t="shared" si="55"/>
        <v>1067.2739234875332</v>
      </c>
      <c r="BQ52" s="24">
        <f t="shared" si="55"/>
        <v>380.38868505999994</v>
      </c>
      <c r="BR52" s="24">
        <f t="shared" si="55"/>
        <v>575.78596563000065</v>
      </c>
      <c r="BS52" s="24">
        <f t="shared" si="55"/>
        <v>-451.89886875999991</v>
      </c>
      <c r="BT52" s="24">
        <f t="shared" si="55"/>
        <v>167.6403287600001</v>
      </c>
    </row>
    <row r="53" spans="1:72" collapsed="1" x14ac:dyDescent="0.25">
      <c r="C53" s="61" t="s">
        <v>66</v>
      </c>
      <c r="D53" s="62">
        <f t="shared" ref="D53:AY53" si="60">D41+D47</f>
        <v>28766.780953350008</v>
      </c>
      <c r="E53" s="62">
        <f t="shared" si="60"/>
        <v>26237.595191349999</v>
      </c>
      <c r="F53" s="62">
        <f t="shared" si="60"/>
        <v>29211.785237689997</v>
      </c>
      <c r="G53" s="62">
        <f t="shared" si="60"/>
        <v>27291.432945799999</v>
      </c>
      <c r="H53" s="62">
        <f t="shared" si="60"/>
        <v>31259.96846616999</v>
      </c>
      <c r="I53" s="62">
        <f t="shared" si="60"/>
        <v>29898.802254380007</v>
      </c>
      <c r="J53" s="62">
        <f t="shared" si="60"/>
        <v>31303.686580950001</v>
      </c>
      <c r="K53" s="62">
        <f t="shared" si="60"/>
        <v>31431.178058569989</v>
      </c>
      <c r="L53" s="62">
        <f t="shared" si="60"/>
        <v>30281.390747130798</v>
      </c>
      <c r="M53" s="62">
        <f t="shared" si="60"/>
        <v>30659.423300040013</v>
      </c>
      <c r="N53" s="62">
        <f t="shared" si="60"/>
        <v>28760.171039900008</v>
      </c>
      <c r="O53" s="62">
        <f t="shared" si="60"/>
        <v>28156.477930109984</v>
      </c>
      <c r="P53" s="62">
        <f t="shared" si="60"/>
        <v>27125.534450579995</v>
      </c>
      <c r="Q53" s="62">
        <f t="shared" si="60"/>
        <v>23849.862512309988</v>
      </c>
      <c r="R53" s="62">
        <f t="shared" si="60"/>
        <v>25075.251655360014</v>
      </c>
      <c r="S53" s="62">
        <f t="shared" si="60"/>
        <v>24691.771669850001</v>
      </c>
      <c r="T53" s="62">
        <f t="shared" si="60"/>
        <v>25212.586215199994</v>
      </c>
      <c r="U53" s="62">
        <f t="shared" si="60"/>
        <v>24006.444546160001</v>
      </c>
      <c r="V53" s="62">
        <f t="shared" si="60"/>
        <v>25166.551646000007</v>
      </c>
      <c r="W53" s="62">
        <f t="shared" si="60"/>
        <v>23982.256171050012</v>
      </c>
      <c r="X53" s="62">
        <f t="shared" si="60"/>
        <v>22970.447459110001</v>
      </c>
      <c r="Y53" s="62">
        <f t="shared" si="60"/>
        <v>23346.268419269996</v>
      </c>
      <c r="Z53" s="62">
        <f t="shared" si="60"/>
        <v>21954.778110489999</v>
      </c>
      <c r="AA53" s="62">
        <f t="shared" si="60"/>
        <v>22456.372089160002</v>
      </c>
      <c r="AB53" s="62">
        <f t="shared" si="60"/>
        <v>22187.323745549991</v>
      </c>
      <c r="AC53" s="62">
        <f t="shared" si="60"/>
        <v>19642.06773259</v>
      </c>
      <c r="AD53" s="62">
        <f t="shared" si="60"/>
        <v>22447.667153520004</v>
      </c>
      <c r="AE53" s="62">
        <f t="shared" si="60"/>
        <v>21760.543636549985</v>
      </c>
      <c r="AF53" s="62">
        <f t="shared" si="60"/>
        <v>22614.867212279994</v>
      </c>
      <c r="AG53" s="62">
        <f t="shared" si="60"/>
        <v>21828.7355627</v>
      </c>
      <c r="AH53" s="62">
        <f t="shared" si="60"/>
        <v>22894.65246628</v>
      </c>
      <c r="AI53" s="62">
        <f t="shared" si="60"/>
        <v>23047.776291869995</v>
      </c>
      <c r="AJ53" s="62">
        <f t="shared" si="60"/>
        <v>22783.347465479997</v>
      </c>
      <c r="AK53" s="62">
        <f t="shared" si="60"/>
        <v>23743.914161869998</v>
      </c>
      <c r="AL53" s="62">
        <f t="shared" si="60"/>
        <v>23647.208610300004</v>
      </c>
      <c r="AM53" s="62">
        <f t="shared" si="60"/>
        <v>25274.995786280007</v>
      </c>
      <c r="AN53" s="62">
        <f t="shared" si="60"/>
        <v>25247.681212130003</v>
      </c>
      <c r="AO53" s="62">
        <f t="shared" si="60"/>
        <v>23463.282532090005</v>
      </c>
      <c r="AP53" s="62">
        <f t="shared" si="60"/>
        <v>26356.897712999995</v>
      </c>
      <c r="AQ53" s="62">
        <f t="shared" si="60"/>
        <v>25440.068040580005</v>
      </c>
      <c r="AR53" s="62">
        <f t="shared" si="60"/>
        <v>26702.655192769998</v>
      </c>
      <c r="AS53" s="62">
        <f t="shared" si="60"/>
        <v>26273.522577590011</v>
      </c>
      <c r="AT53" s="62">
        <f t="shared" si="60"/>
        <v>0</v>
      </c>
      <c r="AU53" s="62">
        <f t="shared" si="60"/>
        <v>0</v>
      </c>
      <c r="AV53" s="62">
        <f t="shared" si="60"/>
        <v>0</v>
      </c>
      <c r="AW53" s="62">
        <f t="shared" si="60"/>
        <v>0</v>
      </c>
      <c r="AX53" s="62">
        <f t="shared" si="60"/>
        <v>0</v>
      </c>
      <c r="AY53" s="62">
        <f t="shared" si="60"/>
        <v>0</v>
      </c>
      <c r="AZ53" s="62">
        <f t="shared" ref="AZ53:BK53" si="61">AZ41+AZ47</f>
        <v>24852.247000859705</v>
      </c>
      <c r="BA53" s="62">
        <f t="shared" si="61"/>
        <v>22407.321153150577</v>
      </c>
      <c r="BB53" s="62">
        <f t="shared" si="61"/>
        <v>25356.948395067429</v>
      </c>
      <c r="BC53" s="62">
        <f t="shared" si="61"/>
        <v>25129.62566518805</v>
      </c>
      <c r="BD53" s="62">
        <f t="shared" si="61"/>
        <v>26694.778476580457</v>
      </c>
      <c r="BE53" s="62">
        <f t="shared" si="61"/>
        <v>26577.180248096083</v>
      </c>
      <c r="BF53" s="62">
        <f t="shared" si="61"/>
        <v>27993.187537878595</v>
      </c>
      <c r="BG53" s="62">
        <f t="shared" si="61"/>
        <v>28614.257192498237</v>
      </c>
      <c r="BH53" s="62">
        <f t="shared" si="61"/>
        <v>28296.305821997397</v>
      </c>
      <c r="BI53" s="62">
        <f t="shared" si="61"/>
        <v>30180.420127111869</v>
      </c>
      <c r="BJ53" s="62">
        <f t="shared" si="61"/>
        <v>29809.82873664892</v>
      </c>
      <c r="BK53" s="62">
        <f t="shared" si="61"/>
        <v>31589.419638443891</v>
      </c>
      <c r="BO53" s="63">
        <f t="shared" ref="BO53:BT53" si="62">SUM(BO50:BO52)</f>
        <v>75067.861457219988</v>
      </c>
      <c r="BP53" s="63">
        <f t="shared" si="62"/>
        <v>72616.516549077729</v>
      </c>
      <c r="BQ53" s="63">
        <f t="shared" si="62"/>
        <v>48710.963744219996</v>
      </c>
      <c r="BR53" s="63">
        <f t="shared" si="62"/>
        <v>64277.058631660009</v>
      </c>
      <c r="BS53" s="63">
        <f t="shared" si="62"/>
        <v>76050.648618249994</v>
      </c>
      <c r="BT53" s="63">
        <f t="shared" si="62"/>
        <v>84216.161382390012</v>
      </c>
    </row>
    <row r="54" spans="1:72" x14ac:dyDescent="0.25">
      <c r="D54" s="19">
        <f>[1]Desempeño_Financiero_Evol!BA361-D53</f>
        <v>4.3200052459724247E-6</v>
      </c>
      <c r="E54" s="19">
        <f>[1]Desempeño_Financiero_Evol!BB361-E53</f>
        <v>3.1399977160617709E-6</v>
      </c>
      <c r="F54" s="19">
        <f>[1]Desempeño_Financiero_Evol!BC361-F53</f>
        <v>3.0899900593794882E-6</v>
      </c>
      <c r="G54" s="19">
        <f>[1]Desempeño_Financiero_Evol!BD361-G53</f>
        <v>-2.900014806073159E-7</v>
      </c>
      <c r="H54" s="19">
        <f>[1]Desempeño_Financiero_Evol!BE361-H53</f>
        <v>-2.559991116868332E-6</v>
      </c>
      <c r="I54" s="19">
        <f>[1]Desempeño_Financiero_Evol!BF361-I53</f>
        <v>-2.3500069801229984E-6</v>
      </c>
      <c r="J54" s="19">
        <f>[1]Desempeño_Financiero_Evol!BG361-J53</f>
        <v>-5.4299925977829844E-6</v>
      </c>
      <c r="K54" s="19">
        <f>[1]Desempeño_Financiero_Evol!BH361-K53</f>
        <v>8.4001294453628361E-7</v>
      </c>
      <c r="L54" s="19">
        <f>[1]Desempeño_Financiero_Evol!BI361-L53</f>
        <v>-6.900791049702093E-6</v>
      </c>
      <c r="M54" s="19">
        <f>[1]Desempeño_Financiero_Evol!BJ361-M53</f>
        <v>2.1699743228964508E-6</v>
      </c>
      <c r="N54" s="19">
        <f>[1]Desempeño_Financiero_Evol!BK361-N53</f>
        <v>8.3001214079558849E-7</v>
      </c>
      <c r="O54" s="19">
        <f>[1]Desempeño_Financiero_Evol!BL361-O53</f>
        <v>7.8001903602853417E-7</v>
      </c>
      <c r="P54" s="19">
        <f>[1]Desempeño_Financiero_Evol!BM361-P53</f>
        <v>-4.3499967432580888E-6</v>
      </c>
      <c r="Q54" s="19">
        <f>[1]Desempeño_Financiero_Evol!BN361-Q53</f>
        <v>-2.979984856210649E-6</v>
      </c>
      <c r="R54" s="19">
        <f>[1]Desempeño_Financiero_Evol!BO361-R53</f>
        <v>-7.4001218308694661E-7</v>
      </c>
      <c r="S54" s="19">
        <f>[1]Desempeño_Financiero_Evol!BP361-S53</f>
        <v>2.1099986042827368E-6</v>
      </c>
      <c r="T54" s="19">
        <f>[1]Desempeño_Financiero_Evol!BQ361-T53</f>
        <v>-5.6998760555870831E-7</v>
      </c>
      <c r="U54" s="19">
        <f>[1]Desempeño_Financiero_Evol!BR361-U53</f>
        <v>-3.3000833354890347E-7</v>
      </c>
      <c r="V54" s="19">
        <f>[1]Desempeño_Financiero_Evol!BS361-V53</f>
        <v>-3.8099969970062375E-6</v>
      </c>
      <c r="W54" s="19">
        <f>[1]Desempeño_Financiero_Evol!BT361-W53</f>
        <v>1.7999846022576094E-6</v>
      </c>
      <c r="X54" s="19">
        <f>[1]Desempeño_Financiero_Evol!BU361-X53</f>
        <v>-2.7599890017881989E-6</v>
      </c>
      <c r="Y54" s="19">
        <f>[1]Desempeño_Financiero_Evol!BV361-Y53</f>
        <v>4.4799999159295112E-6</v>
      </c>
      <c r="Z54" s="19">
        <f>[1]Desempeño_Financiero_Evol!BW361-Z53</f>
        <v>6.5000131144188344E-7</v>
      </c>
      <c r="AA54" s="19">
        <f>[1]Desempeño_Financiero_Evol!BX361-AA53</f>
        <v>3.3400101528968662E-6</v>
      </c>
      <c r="AB54" s="19">
        <f>[1]Desempeño_Financiero_Evol!BY361-AB53</f>
        <v>-4.8500005505047739E-6</v>
      </c>
      <c r="AC54" s="19">
        <f>[1]Desempeño_Financiero_Evol!BZ361-AC53</f>
        <v>4.1999737732112408E-7</v>
      </c>
      <c r="AD54" s="19">
        <f>[1]Desempeño_Financiero_Evol!CA361-AD53</f>
        <v>4.4999251258559525E-7</v>
      </c>
      <c r="AE54" s="19">
        <f>[1]Desempeño_Financiero_Evol!CB361-AE53</f>
        <v>3.1000236049294472E-6</v>
      </c>
      <c r="AF54" s="19">
        <f>[1]Desempeño_Financiero_Evol!CC361-AF53</f>
        <v>-3.0699957278557122E-6</v>
      </c>
      <c r="AG54" s="19">
        <f>[1]Desempeño_Financiero_Evol!CD361-AG53</f>
        <v>-5.7000579545274377E-7</v>
      </c>
      <c r="AH54" s="19">
        <f>[1]Desempeño_Financiero_Evol!CE361-AH53</f>
        <v>-3.9799997466616333E-6</v>
      </c>
      <c r="AI54" s="19">
        <f>[1]Desempeño_Financiero_Evol!CF361-AI53</f>
        <v>3.5300145100336522E-6</v>
      </c>
      <c r="AJ54" s="19">
        <f>[1]Desempeño_Financiero_Evol!CG361-AJ53</f>
        <v>-1.6800004232209176E-6</v>
      </c>
      <c r="AK54" s="19">
        <f>[1]Desempeño_Financiero_Evol!CH361-AK53</f>
        <v>4.5500091800931841E-6</v>
      </c>
      <c r="AL54" s="19">
        <f>[1]Desempeño_Financiero_Evol!CI361-AL53</f>
        <v>-4.7500034270342439E-6</v>
      </c>
      <c r="AM54" s="19">
        <f>[1]Desempeño_Financiero_Evol!CJ361-AM53</f>
        <v>4.9982190830633044E-8</v>
      </c>
      <c r="AN54" s="19">
        <f>[1]Desempeño_Financiero_Evol!CK361-AN53</f>
        <v>0</v>
      </c>
      <c r="AO54" s="19">
        <f>[1]Desempeño_Financiero_Evol!CL361-AO53</f>
        <v>0</v>
      </c>
      <c r="AP54" s="19">
        <f>[1]Desempeño_Financiero_Evol!CM361-AP53</f>
        <v>0</v>
      </c>
      <c r="AQ54" s="19">
        <f>[1]Desempeño_Financiero_Evol!CN361-AQ53</f>
        <v>0</v>
      </c>
      <c r="AR54" s="19">
        <f>[1]Desempeño_Financiero_Evol!CO361-AR53</f>
        <v>0</v>
      </c>
      <c r="AS54" s="19">
        <f>[1]Desempeño_Financiero_Evol!CP361-AS53</f>
        <v>0</v>
      </c>
      <c r="AT54" s="19">
        <f>[1]Desempeño_Financiero_Evol!CQ361-AT53</f>
        <v>0</v>
      </c>
      <c r="AU54" s="19">
        <f>[1]Desempeño_Financiero_Evol!CR361-AU53</f>
        <v>0</v>
      </c>
      <c r="AV54" s="19">
        <f>[1]Desempeño_Financiero_Evol!CS361-AV53</f>
        <v>0</v>
      </c>
      <c r="AW54" s="19">
        <f>[1]Desempeño_Financiero_Evol!CT361-AW53</f>
        <v>0</v>
      </c>
      <c r="AX54" s="19">
        <f>[1]Desempeño_Financiero_Evol!CU361-AX53</f>
        <v>0</v>
      </c>
      <c r="AY54" s="19">
        <f>[1]Desempeño_Financiero_Evol!CV361-AY53</f>
        <v>0</v>
      </c>
      <c r="AZ54" s="19">
        <f>[1]Desempeño_Financiero_Evol!CW361-AZ53</f>
        <v>0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59" t="s">
        <v>64</v>
      </c>
      <c r="C56" s="60" t="s">
        <v>67</v>
      </c>
      <c r="D56" s="8">
        <f>Renta_Alta!D56+Masivo!D56+Consumo_Inicial!D56</f>
        <v>-25142.898519884639</v>
      </c>
      <c r="E56" s="8">
        <f>Renta_Alta!E56+Masivo!E56+Consumo_Inicial!E56</f>
        <v>-14922.556907031823</v>
      </c>
      <c r="F56" s="8">
        <f>Renta_Alta!F56+Masivo!F56+Consumo_Inicial!F56</f>
        <v>-25857.675469787704</v>
      </c>
      <c r="G56" s="8">
        <f>Renta_Alta!G56+Masivo!G56+Consumo_Inicial!G56</f>
        <v>-23798.516990977707</v>
      </c>
      <c r="H56" s="8">
        <f>Renta_Alta!H56+Masivo!H56+Consumo_Inicial!H56</f>
        <v>-38254.202375318891</v>
      </c>
      <c r="I56" s="8">
        <f>Renta_Alta!I56+Masivo!I56+Consumo_Inicial!I56</f>
        <v>-45300.067060509449</v>
      </c>
      <c r="J56" s="8">
        <f>Renta_Alta!J56+Masivo!J56+Consumo_Inicial!J56</f>
        <v>-49076.281588658276</v>
      </c>
      <c r="K56" s="8">
        <f>Renta_Alta!K56+Masivo!K56+Consumo_Inicial!K56</f>
        <v>-66625.355822088968</v>
      </c>
      <c r="L56" s="8">
        <f>Renta_Alta!L56+Masivo!L56+Consumo_Inicial!L56</f>
        <v>-46297.141545274098</v>
      </c>
      <c r="M56" s="8">
        <f>Renta_Alta!M56+Masivo!M56+Consumo_Inicial!M56</f>
        <v>-72498.723273563985</v>
      </c>
      <c r="N56" s="8">
        <f>Renta_Alta!N56+Masivo!N56+Consumo_Inicial!N56</f>
        <v>-51321.99700215926</v>
      </c>
      <c r="O56" s="8">
        <f>Renta_Alta!O56+Masivo!O56+Consumo_Inicial!O56</f>
        <v>-63435.949531503335</v>
      </c>
      <c r="P56" s="8">
        <f>Renta_Alta!P56+Masivo!P56+Consumo_Inicial!P56</f>
        <v>-86293.223095918904</v>
      </c>
      <c r="Q56" s="8">
        <f>Renta_Alta!Q56+Masivo!Q56+Consumo_Inicial!Q56</f>
        <v>-59001.68741098357</v>
      </c>
      <c r="R56" s="8">
        <f>Renta_Alta!R56+Masivo!R56+Consumo_Inicial!R56</f>
        <v>-78548.727619655954</v>
      </c>
      <c r="S56" s="8">
        <f>Renta_Alta!S56+Masivo!S56+Consumo_Inicial!S56</f>
        <v>-73136.620547917322</v>
      </c>
      <c r="T56" s="8">
        <f>Renta_Alta!T56+Masivo!T56+Consumo_Inicial!T56</f>
        <v>-67915.054262812773</v>
      </c>
      <c r="U56" s="8">
        <f>Renta_Alta!U56+Masivo!U56+Consumo_Inicial!U56</f>
        <v>-59207.574513577776</v>
      </c>
      <c r="V56" s="8">
        <f>Renta_Alta!V56+Masivo!V56+Consumo_Inicial!V56</f>
        <v>-49921.788833391714</v>
      </c>
      <c r="W56" s="8">
        <f>Renta_Alta!W56+Masivo!W56+Consumo_Inicial!W56</f>
        <v>-40589.359766942056</v>
      </c>
      <c r="X56" s="8">
        <f>Renta_Alta!X56+Masivo!X56+Consumo_Inicial!X56</f>
        <v>-37778.190868325895</v>
      </c>
      <c r="Y56" s="8">
        <f>Renta_Alta!Y56+Masivo!Y56+Consumo_Inicial!Y56</f>
        <v>-42966.877887508213</v>
      </c>
      <c r="Z56" s="8">
        <f>Renta_Alta!Z56+Masivo!Z56+Consumo_Inicial!Z56</f>
        <v>-22188.751133581962</v>
      </c>
      <c r="AA56" s="8">
        <f>Renta_Alta!AA56+Masivo!AA56+Consumo_Inicial!AA56</f>
        <v>-29611.010710203773</v>
      </c>
      <c r="AB56" s="8">
        <f>Renta_Alta!AB56+Masivo!AB56+Consumo_Inicial!AB56</f>
        <v>-40048.010234564244</v>
      </c>
      <c r="AC56" s="8">
        <f>Renta_Alta!AC56+Masivo!AC56+Consumo_Inicial!AC56</f>
        <v>-21613.963381596026</v>
      </c>
      <c r="AD56" s="8">
        <f>Renta_Alta!AD56+Masivo!AD56+Consumo_Inicial!AD56</f>
        <v>-28069.949833832139</v>
      </c>
      <c r="AE56" s="8">
        <f>Renta_Alta!AE56+Masivo!AE56+Consumo_Inicial!AE56</f>
        <v>-27817.695547022537</v>
      </c>
      <c r="AF56" s="8">
        <f>Renta_Alta!AF56+Masivo!AF56+Consumo_Inicial!AF56</f>
        <v>-23428.336461611583</v>
      </c>
      <c r="AG56" s="8">
        <f>Renta_Alta!AG56+Masivo!AG56+Consumo_Inicial!AG56</f>
        <v>-25606.07619303805</v>
      </c>
      <c r="AH56" s="8">
        <f>Renta_Alta!AH56+Masivo!AH56+Consumo_Inicial!AH56</f>
        <v>-22957.849723110678</v>
      </c>
      <c r="AI56" s="8">
        <f>Renta_Alta!AI56+Masivo!AI56+Consumo_Inicial!AI56</f>
        <v>-21622.600780163822</v>
      </c>
      <c r="AJ56" s="8">
        <f>Renta_Alta!AJ56+Masivo!AJ56+Consumo_Inicial!AJ56</f>
        <v>-20882.383224488578</v>
      </c>
      <c r="AK56" s="8">
        <f>Renta_Alta!AK56+Masivo!AK56+Consumo_Inicial!AK56</f>
        <v>-27111.8568384481</v>
      </c>
      <c r="AL56" s="8">
        <f>Renta_Alta!AL56+Masivo!AL56+Consumo_Inicial!AL56</f>
        <v>-14010.681088482219</v>
      </c>
      <c r="AM56" s="8">
        <f>Renta_Alta!AM56+Masivo!AM56+Consumo_Inicial!AM56</f>
        <v>-15028.99853244254</v>
      </c>
      <c r="AN56" s="8">
        <f>Renta_Alta!AN56+Masivo!AN56+Consumo_Inicial!AN56</f>
        <v>-14981.549996015316</v>
      </c>
      <c r="AO56" s="8">
        <f>Renta_Alta!AO56+Masivo!AO56+Consumo_Inicial!AO56</f>
        <v>-15838.700527198838</v>
      </c>
      <c r="AP56" s="8">
        <f>Renta_Alta!AP56+Masivo!AP56+Consumo_Inicial!AP56</f>
        <v>-14835.834723160198</v>
      </c>
      <c r="AQ56" s="8">
        <f>Renta_Alta!AQ56+Masivo!AQ56+Consumo_Inicial!AQ56</f>
        <v>-16913.675157608875</v>
      </c>
      <c r="AR56" s="8">
        <f>Renta_Alta!AR56+Masivo!AR56+Consumo_Inicial!AR56</f>
        <v>-16176.697049999799</v>
      </c>
      <c r="AS56" s="8">
        <f>Renta_Alta!AS56+Masivo!AS56+Consumo_Inicial!AS56</f>
        <v>-18392.51736999971</v>
      </c>
      <c r="AT56" s="8">
        <f>Renta_Alta!AT56+Masivo!AT56+Consumo_Inicial!AT56</f>
        <v>0</v>
      </c>
      <c r="AU56" s="8">
        <f>Renta_Alta!AU56+Masivo!AU56+Consumo_Inicial!AU56</f>
        <v>0</v>
      </c>
      <c r="AV56" s="8">
        <f>Renta_Alta!AV56+Masivo!AV56+Consumo_Inicial!AV56</f>
        <v>0</v>
      </c>
      <c r="AW56" s="8">
        <f>Renta_Alta!AW56+Masivo!AW56+Consumo_Inicial!AW56</f>
        <v>0</v>
      </c>
      <c r="AX56" s="8">
        <f>Renta_Alta!AX56+Masivo!AX56+Consumo_Inicial!AX56</f>
        <v>0</v>
      </c>
      <c r="AY56" s="8">
        <f>Renta_Alta!AY56+Masivo!AY56+Consumo_Inicial!AY56</f>
        <v>0</v>
      </c>
      <c r="AZ56" s="8">
        <f>Renta_Alta!AZ56+Masivo!AZ56+Consumo_Inicial!AZ56</f>
        <v>-17858.627202354288</v>
      </c>
      <c r="BA56" s="8">
        <f>Renta_Alta!BA56+Masivo!BA56+Consumo_Inicial!BA56</f>
        <v>-21530.670076902119</v>
      </c>
      <c r="BB56" s="8">
        <f>Renta_Alta!BB56+Masivo!BB56+Consumo_Inicial!BB56</f>
        <v>-21748.988205913018</v>
      </c>
      <c r="BC56" s="8">
        <f>Renta_Alta!BC56+Masivo!BC56+Consumo_Inicial!BC56</f>
        <v>-21697.338836549039</v>
      </c>
      <c r="BD56" s="8">
        <f>Renta_Alta!BD56+Masivo!BD56+Consumo_Inicial!BD56</f>
        <v>-21481.722239487914</v>
      </c>
      <c r="BE56" s="8">
        <f>Renta_Alta!BE56+Masivo!BE56+Consumo_Inicial!BE56</f>
        <v>-22114.954939628518</v>
      </c>
      <c r="BF56" s="8">
        <f>Renta_Alta!BF56+Masivo!BF56+Consumo_Inicial!BF56</f>
        <v>-19006.156138615333</v>
      </c>
      <c r="BG56" s="8">
        <f>Renta_Alta!BG56+Masivo!BG56+Consumo_Inicial!BG56</f>
        <v>-26721.164920292256</v>
      </c>
      <c r="BH56" s="8">
        <f>Renta_Alta!BH56+Masivo!BH56+Consumo_Inicial!BH56</f>
        <v>-15531.177365057058</v>
      </c>
      <c r="BI56" s="8">
        <f>Renta_Alta!BI56+Masivo!BI56+Consumo_Inicial!BI56</f>
        <v>-21468.104953173257</v>
      </c>
      <c r="BJ56" s="8">
        <f>Renta_Alta!BJ56+Masivo!BJ56+Consumo_Inicial!BJ56</f>
        <v>-20469.455713029234</v>
      </c>
      <c r="BK56" s="8">
        <f>Renta_Alta!BK56+Masivo!BK56+Consumo_Inicial!BK56</f>
        <v>-18836.39912924431</v>
      </c>
      <c r="BO56" s="24">
        <f t="shared" ref="BO56:BT57" si="63">SUMIFS($D56:$BM56,$D$6:$BM$6,"&gt;="&amp;BO$2,$D$6:$BM$6,"&lt;="&amp;BO$6,$D$5:$BM$5,BO$5)</f>
        <v>-45656.08524637435</v>
      </c>
      <c r="BP56" s="24">
        <f t="shared" si="63"/>
        <v>-61138.285485169428</v>
      </c>
      <c r="BQ56" s="24">
        <f t="shared" si="63"/>
        <v>-30820.250523214156</v>
      </c>
      <c r="BR56" s="24">
        <f t="shared" si="63"/>
        <v>-89731.923449992406</v>
      </c>
      <c r="BS56" s="24">
        <f t="shared" si="63"/>
        <v>-223843.63812655842</v>
      </c>
      <c r="BT56" s="24">
        <f t="shared" si="63"/>
        <v>-65923.13089670417</v>
      </c>
    </row>
    <row r="57" spans="1:72" hidden="1" outlineLevel="1" x14ac:dyDescent="0.25">
      <c r="A57" s="59" t="s">
        <v>65</v>
      </c>
      <c r="C57" s="60" t="s">
        <v>69</v>
      </c>
      <c r="D57" s="8">
        <f>Renta_Alta!D57+Masivo!D57+Consumo_Inicial!D57</f>
        <v>1096.4763199999986</v>
      </c>
      <c r="E57" s="8">
        <f>Renta_Alta!E57+Masivo!E57+Consumo_Inicial!E57</f>
        <v>1139.1331800000007</v>
      </c>
      <c r="F57" s="8">
        <f>Renta_Alta!F57+Masivo!F57+Consumo_Inicial!F57</f>
        <v>1415.9338099999993</v>
      </c>
      <c r="G57" s="8">
        <f>Renta_Alta!G57+Masivo!G57+Consumo_Inicial!G57</f>
        <v>913.59794000000068</v>
      </c>
      <c r="H57" s="8">
        <f>Renta_Alta!H57+Masivo!H57+Consumo_Inicial!H57</f>
        <v>1021.4969599999999</v>
      </c>
      <c r="I57" s="8">
        <f>Renta_Alta!I57+Masivo!I57+Consumo_Inicial!I57</f>
        <v>1229.377200000001</v>
      </c>
      <c r="J57" s="8">
        <f>Renta_Alta!J57+Masivo!J57+Consumo_Inicial!J57</f>
        <v>1097.8173900000004</v>
      </c>
      <c r="K57" s="8">
        <f>Renta_Alta!K57+Masivo!K57+Consumo_Inicial!K57</f>
        <v>1275.8260500000006</v>
      </c>
      <c r="L57" s="8">
        <f>Renta_Alta!L57+Masivo!L57+Consumo_Inicial!L57</f>
        <v>975.52995999999985</v>
      </c>
      <c r="M57" s="8">
        <f>Renta_Alta!M57+Masivo!M57+Consumo_Inicial!M57</f>
        <v>1067.9443099999999</v>
      </c>
      <c r="N57" s="8">
        <f>Renta_Alta!N57+Masivo!N57+Consumo_Inicial!N57</f>
        <v>1280.6325400000007</v>
      </c>
      <c r="O57" s="8">
        <f>Renta_Alta!O57+Masivo!O57+Consumo_Inicial!O57</f>
        <v>1127.8131399999997</v>
      </c>
      <c r="P57" s="8">
        <f>Renta_Alta!P57+Masivo!P57+Consumo_Inicial!P57</f>
        <v>1246.6557</v>
      </c>
      <c r="Q57" s="8">
        <f>Renta_Alta!Q57+Masivo!Q57+Consumo_Inicial!Q57</f>
        <v>1483.4850300000001</v>
      </c>
      <c r="R57" s="8">
        <f>Renta_Alta!R57+Masivo!R57+Consumo_Inicial!R57</f>
        <v>1476.24785</v>
      </c>
      <c r="S57" s="8">
        <f>Renta_Alta!S57+Masivo!S57+Consumo_Inicial!S57</f>
        <v>1640.0113300000003</v>
      </c>
      <c r="T57" s="8">
        <f>Renta_Alta!T57+Masivo!T57+Consumo_Inicial!T57</f>
        <v>2047.3040999999998</v>
      </c>
      <c r="U57" s="8">
        <f>Renta_Alta!U57+Masivo!U57+Consumo_Inicial!U57</f>
        <v>2279.2579400000004</v>
      </c>
      <c r="V57" s="8">
        <f>Renta_Alta!V57+Masivo!V57+Consumo_Inicial!V57</f>
        <v>3321.9897700000006</v>
      </c>
      <c r="W57" s="8">
        <f>Renta_Alta!W57+Masivo!W57+Consumo_Inicial!W57</f>
        <v>2969.548180000003</v>
      </c>
      <c r="X57" s="8">
        <f>Renta_Alta!X57+Masivo!X57+Consumo_Inicial!X57</f>
        <v>3775.8619000000003</v>
      </c>
      <c r="Y57" s="8">
        <f>Renta_Alta!Y57+Masivo!Y57+Consumo_Inicial!Y57</f>
        <v>3115.9880810189406</v>
      </c>
      <c r="Z57" s="8">
        <f>Renta_Alta!Z57+Masivo!Z57+Consumo_Inicial!Z57</f>
        <v>2565.1368699999998</v>
      </c>
      <c r="AA57" s="8">
        <f>Renta_Alta!AA57+Masivo!AA57+Consumo_Inicial!AA57</f>
        <v>3112.138999999996</v>
      </c>
      <c r="AB57" s="8">
        <f>Renta_Alta!AB57+Masivo!AB57+Consumo_Inicial!AB57</f>
        <v>3194.4722500000007</v>
      </c>
      <c r="AC57" s="8">
        <f>Renta_Alta!AC57+Masivo!AC57+Consumo_Inicial!AC57</f>
        <v>2709.4475700000007</v>
      </c>
      <c r="AD57" s="8">
        <f>Renta_Alta!AD57+Masivo!AD57+Consumo_Inicial!AD57</f>
        <v>3529.5581900000002</v>
      </c>
      <c r="AE57" s="8">
        <f>Renta_Alta!AE57+Masivo!AE57+Consumo_Inicial!AE57</f>
        <v>2578.1886499999964</v>
      </c>
      <c r="AF57" s="8">
        <f>Renta_Alta!AF57+Masivo!AF57+Consumo_Inicial!AF57</f>
        <v>2902.5644899999952</v>
      </c>
      <c r="AG57" s="8">
        <f>Renta_Alta!AG57+Masivo!AG57+Consumo_Inicial!AG57</f>
        <v>2790.4568199999994</v>
      </c>
      <c r="AH57" s="8">
        <f>Renta_Alta!AH57+Masivo!AH57+Consumo_Inicial!AH57</f>
        <v>2353.7067400000028</v>
      </c>
      <c r="AI57" s="8">
        <f>Renta_Alta!AI57+Masivo!AI57+Consumo_Inicial!AI57</f>
        <v>2391.60104</v>
      </c>
      <c r="AJ57" s="8">
        <f>Renta_Alta!AJ57+Masivo!AJ57+Consumo_Inicial!AJ57</f>
        <v>2536.0025800000003</v>
      </c>
      <c r="AK57" s="8">
        <f>Renta_Alta!AK57+Masivo!AK57+Consumo_Inicial!AK57</f>
        <v>1897.12995</v>
      </c>
      <c r="AL57" s="8">
        <f>Renta_Alta!AL57+Masivo!AL57+Consumo_Inicial!AL57</f>
        <v>2025.7514000000001</v>
      </c>
      <c r="AM57" s="8">
        <f>Renta_Alta!AM57+Masivo!AM57+Consumo_Inicial!AM57</f>
        <v>1567.3780400000003</v>
      </c>
      <c r="AN57" s="8">
        <f>Renta_Alta!AN57+Masivo!AN57+Consumo_Inicial!AN57</f>
        <v>1841.1785799999998</v>
      </c>
      <c r="AO57" s="8">
        <f>Renta_Alta!AO57+Masivo!AO57+Consumo_Inicial!AO57</f>
        <v>1726.7254399999997</v>
      </c>
      <c r="AP57" s="8">
        <f>Renta_Alta!AP57+Masivo!AP57+Consumo_Inicial!AP57</f>
        <v>1988.2336</v>
      </c>
      <c r="AQ57" s="8">
        <f>Renta_Alta!AQ57+Masivo!AQ57+Consumo_Inicial!AQ57</f>
        <v>1978.42011</v>
      </c>
      <c r="AR57" s="8">
        <f>Renta_Alta!AR57+Masivo!AR57+Consumo_Inicial!AR57</f>
        <v>2028.0813599999997</v>
      </c>
      <c r="AS57" s="8">
        <f>Renta_Alta!AS57+Masivo!AS57+Consumo_Inicial!AS57</f>
        <v>1798.4559799999899</v>
      </c>
      <c r="AT57" s="8">
        <f>Renta_Alta!AT57+Masivo!AT57+Consumo_Inicial!AT57</f>
        <v>0</v>
      </c>
      <c r="AU57" s="8">
        <f>Renta_Alta!AU57+Masivo!AU57+Consumo_Inicial!AU57</f>
        <v>0</v>
      </c>
      <c r="AV57" s="8">
        <f>Renta_Alta!AV57+Masivo!AV57+Consumo_Inicial!AV57</f>
        <v>0</v>
      </c>
      <c r="AW57" s="8">
        <f>Renta_Alta!AW57+Masivo!AW57+Consumo_Inicial!AW57</f>
        <v>0</v>
      </c>
      <c r="AX57" s="8">
        <f>Renta_Alta!AX57+Masivo!AX57+Consumo_Inicial!AX57</f>
        <v>0</v>
      </c>
      <c r="AY57" s="8">
        <f>Renta_Alta!AY57+Masivo!AY57+Consumo_Inicial!AY57</f>
        <v>0</v>
      </c>
      <c r="AZ57" s="8">
        <f>Renta_Alta!AZ57+Masivo!AZ57+Consumo_Inicial!AZ57</f>
        <v>1201.5711231720472</v>
      </c>
      <c r="BA57" s="8">
        <f>Renta_Alta!BA57+Masivo!BA57+Consumo_Inicial!BA57</f>
        <v>1096.1362415305045</v>
      </c>
      <c r="BB57" s="8">
        <f>Renta_Alta!BB57+Masivo!BB57+Consumo_Inicial!BB57</f>
        <v>1182.7462798407269</v>
      </c>
      <c r="BC57" s="8">
        <f>Renta_Alta!BC57+Masivo!BC57+Consumo_Inicial!BC57</f>
        <v>1227.9763531551282</v>
      </c>
      <c r="BD57" s="8">
        <f>Renta_Alta!BD57+Masivo!BD57+Consumo_Inicial!BD57</f>
        <v>1494.5215384145843</v>
      </c>
      <c r="BE57" s="8">
        <f>Renta_Alta!BE57+Masivo!BE57+Consumo_Inicial!BE57</f>
        <v>1555.577662949074</v>
      </c>
      <c r="BF57" s="8">
        <f>Renta_Alta!BF57+Masivo!BF57+Consumo_Inicial!BF57</f>
        <v>1323.342402710934</v>
      </c>
      <c r="BG57" s="8">
        <f>Renta_Alta!BG57+Masivo!BG57+Consumo_Inicial!BG57</f>
        <v>1418.1535843990989</v>
      </c>
      <c r="BH57" s="8">
        <f>Renta_Alta!BH57+Masivo!BH57+Consumo_Inicial!BH57</f>
        <v>1405.7074866248872</v>
      </c>
      <c r="BI57" s="8">
        <f>Renta_Alta!BI57+Masivo!BI57+Consumo_Inicial!BI57</f>
        <v>955.70228335057357</v>
      </c>
      <c r="BJ57" s="8">
        <f>Renta_Alta!BJ57+Masivo!BJ57+Consumo_Inicial!BJ57</f>
        <v>893.16122874958285</v>
      </c>
      <c r="BK57" s="8">
        <f>Renta_Alta!BK57+Masivo!BK57+Consumo_Inicial!BK57</f>
        <v>1067.2730864012028</v>
      </c>
      <c r="BO57" s="24">
        <f t="shared" si="63"/>
        <v>5556.1376199999995</v>
      </c>
      <c r="BP57" s="24">
        <f t="shared" si="63"/>
        <v>3480.4536445432786</v>
      </c>
      <c r="BQ57" s="24">
        <f t="shared" si="63"/>
        <v>3567.9040199999995</v>
      </c>
      <c r="BR57" s="24">
        <f t="shared" si="63"/>
        <v>9433.4780100000007</v>
      </c>
      <c r="BS57" s="24">
        <f t="shared" si="63"/>
        <v>4206.3885799999998</v>
      </c>
      <c r="BT57" s="24">
        <f t="shared" si="63"/>
        <v>3651.5433099999991</v>
      </c>
    </row>
    <row r="58" spans="1:72" collapsed="1" x14ac:dyDescent="0.25">
      <c r="C58" s="61" t="s">
        <v>68</v>
      </c>
      <c r="D58" s="62">
        <f t="shared" ref="D58:AY58" si="64">SUM(D56:D57)</f>
        <v>-24046.422199884641</v>
      </c>
      <c r="E58" s="62">
        <f t="shared" si="64"/>
        <v>-13783.423727031823</v>
      </c>
      <c r="F58" s="62">
        <f t="shared" si="64"/>
        <v>-24441.741659787705</v>
      </c>
      <c r="G58" s="62">
        <f t="shared" si="64"/>
        <v>-22884.919050977707</v>
      </c>
      <c r="H58" s="62">
        <f t="shared" si="64"/>
        <v>-37232.705415318895</v>
      </c>
      <c r="I58" s="62">
        <f t="shared" si="64"/>
        <v>-44070.689860509447</v>
      </c>
      <c r="J58" s="62">
        <f t="shared" si="64"/>
        <v>-47978.464198658272</v>
      </c>
      <c r="K58" s="62">
        <f t="shared" si="64"/>
        <v>-65349.529772088965</v>
      </c>
      <c r="L58" s="62">
        <f t="shared" si="64"/>
        <v>-45321.611585274099</v>
      </c>
      <c r="M58" s="62">
        <f t="shared" si="64"/>
        <v>-71430.778963563978</v>
      </c>
      <c r="N58" s="62">
        <f t="shared" si="64"/>
        <v>-50041.364462159261</v>
      </c>
      <c r="O58" s="62">
        <f t="shared" si="64"/>
        <v>-62308.136391503336</v>
      </c>
      <c r="P58" s="62">
        <f t="shared" si="64"/>
        <v>-85046.567395918901</v>
      </c>
      <c r="Q58" s="62">
        <f t="shared" si="64"/>
        <v>-57518.202380983566</v>
      </c>
      <c r="R58" s="62">
        <f t="shared" si="64"/>
        <v>-77072.479769655954</v>
      </c>
      <c r="S58" s="62">
        <f t="shared" si="64"/>
        <v>-71496.609217917328</v>
      </c>
      <c r="T58" s="62">
        <f t="shared" si="64"/>
        <v>-65867.750162812779</v>
      </c>
      <c r="U58" s="62">
        <f t="shared" si="64"/>
        <v>-56928.316573577773</v>
      </c>
      <c r="V58" s="62">
        <f t="shared" si="64"/>
        <v>-46599.799063391714</v>
      </c>
      <c r="W58" s="62">
        <f t="shared" si="64"/>
        <v>-37619.811586942051</v>
      </c>
      <c r="X58" s="62">
        <f t="shared" si="64"/>
        <v>-34002.328968325892</v>
      </c>
      <c r="Y58" s="62">
        <f t="shared" si="64"/>
        <v>-39850.889806489271</v>
      </c>
      <c r="Z58" s="62">
        <f t="shared" si="64"/>
        <v>-19623.614263581963</v>
      </c>
      <c r="AA58" s="62">
        <f t="shared" si="64"/>
        <v>-26498.871710203777</v>
      </c>
      <c r="AB58" s="62">
        <f t="shared" si="64"/>
        <v>-36853.537984564246</v>
      </c>
      <c r="AC58" s="62">
        <f t="shared" si="64"/>
        <v>-18904.515811596026</v>
      </c>
      <c r="AD58" s="62">
        <f t="shared" si="64"/>
        <v>-24540.391643832139</v>
      </c>
      <c r="AE58" s="62">
        <f t="shared" si="64"/>
        <v>-25239.50689702254</v>
      </c>
      <c r="AF58" s="62">
        <f t="shared" si="64"/>
        <v>-20525.77197161159</v>
      </c>
      <c r="AG58" s="62">
        <f t="shared" si="64"/>
        <v>-22815.619373038051</v>
      </c>
      <c r="AH58" s="62">
        <f t="shared" si="64"/>
        <v>-20604.142983110676</v>
      </c>
      <c r="AI58" s="62">
        <f t="shared" si="64"/>
        <v>-19230.999740163821</v>
      </c>
      <c r="AJ58" s="62">
        <f t="shared" si="64"/>
        <v>-18346.380644488578</v>
      </c>
      <c r="AK58" s="62">
        <f t="shared" si="64"/>
        <v>-25214.726888448102</v>
      </c>
      <c r="AL58" s="62">
        <f t="shared" si="64"/>
        <v>-11984.929688482218</v>
      </c>
      <c r="AM58" s="62">
        <f t="shared" si="64"/>
        <v>-13461.62049244254</v>
      </c>
      <c r="AN58" s="62">
        <f t="shared" si="64"/>
        <v>-13140.371416015316</v>
      </c>
      <c r="AO58" s="62">
        <f t="shared" si="64"/>
        <v>-14111.975087198838</v>
      </c>
      <c r="AP58" s="62">
        <f t="shared" si="64"/>
        <v>-12847.601123160199</v>
      </c>
      <c r="AQ58" s="62">
        <f t="shared" si="64"/>
        <v>-14935.255047608876</v>
      </c>
      <c r="AR58" s="62">
        <f t="shared" si="64"/>
        <v>-14148.615689999799</v>
      </c>
      <c r="AS58" s="62">
        <f t="shared" si="64"/>
        <v>-16594.061389999719</v>
      </c>
      <c r="AT58" s="62">
        <f t="shared" si="64"/>
        <v>0</v>
      </c>
      <c r="AU58" s="62">
        <f t="shared" si="64"/>
        <v>0</v>
      </c>
      <c r="AV58" s="62">
        <f t="shared" si="64"/>
        <v>0</v>
      </c>
      <c r="AW58" s="62">
        <f t="shared" si="64"/>
        <v>0</v>
      </c>
      <c r="AX58" s="62">
        <f t="shared" si="64"/>
        <v>0</v>
      </c>
      <c r="AY58" s="62">
        <f t="shared" si="64"/>
        <v>0</v>
      </c>
      <c r="AZ58" s="62">
        <f t="shared" ref="AZ58:BK58" si="65">SUM(AZ56:AZ57)</f>
        <v>-16657.056079182239</v>
      </c>
      <c r="BA58" s="62">
        <f t="shared" si="65"/>
        <v>-20434.533835371614</v>
      </c>
      <c r="BB58" s="62">
        <f t="shared" si="65"/>
        <v>-20566.241926072289</v>
      </c>
      <c r="BC58" s="62">
        <f t="shared" si="65"/>
        <v>-20469.36248339391</v>
      </c>
      <c r="BD58" s="62">
        <f t="shared" si="65"/>
        <v>-19987.200701073329</v>
      </c>
      <c r="BE58" s="62">
        <f t="shared" si="65"/>
        <v>-20559.377276679443</v>
      </c>
      <c r="BF58" s="62">
        <f t="shared" si="65"/>
        <v>-17682.813735904398</v>
      </c>
      <c r="BG58" s="62">
        <f t="shared" si="65"/>
        <v>-25303.011335893156</v>
      </c>
      <c r="BH58" s="62">
        <f t="shared" si="65"/>
        <v>-14125.46987843217</v>
      </c>
      <c r="BI58" s="62">
        <f t="shared" si="65"/>
        <v>-20512.402669822684</v>
      </c>
      <c r="BJ58" s="62">
        <f t="shared" si="65"/>
        <v>-19576.29448427965</v>
      </c>
      <c r="BK58" s="62">
        <f t="shared" si="65"/>
        <v>-17769.126042843105</v>
      </c>
      <c r="BO58" s="63">
        <f t="shared" ref="BO58:BT58" si="66">SUM(BO56:BO57)</f>
        <v>-40099.947626374349</v>
      </c>
      <c r="BP58" s="63">
        <f t="shared" si="66"/>
        <v>-57657.831840626153</v>
      </c>
      <c r="BQ58" s="63">
        <f t="shared" si="66"/>
        <v>-27252.346503214158</v>
      </c>
      <c r="BR58" s="63">
        <f t="shared" si="66"/>
        <v>-80298.4454399924</v>
      </c>
      <c r="BS58" s="63">
        <f t="shared" si="66"/>
        <v>-219637.24954655842</v>
      </c>
      <c r="BT58" s="63">
        <f t="shared" si="66"/>
        <v>-62271.587586704169</v>
      </c>
    </row>
    <row r="60" spans="1:72" x14ac:dyDescent="0.25">
      <c r="C60" s="61" t="s">
        <v>70</v>
      </c>
      <c r="D60" s="62">
        <f t="shared" ref="D60:AY60" si="67">D53+D58</f>
        <v>4720.358753465367</v>
      </c>
      <c r="E60" s="62">
        <f t="shared" si="67"/>
        <v>12454.171464318177</v>
      </c>
      <c r="F60" s="62">
        <f t="shared" si="67"/>
        <v>4770.0435779022919</v>
      </c>
      <c r="G60" s="62">
        <f t="shared" si="67"/>
        <v>4406.5138948222921</v>
      </c>
      <c r="H60" s="62">
        <f t="shared" si="67"/>
        <v>-5972.7369491489044</v>
      </c>
      <c r="I60" s="62">
        <f t="shared" si="67"/>
        <v>-14171.88760612944</v>
      </c>
      <c r="J60" s="62">
        <f t="shared" si="67"/>
        <v>-16674.777617708271</v>
      </c>
      <c r="K60" s="62">
        <f t="shared" si="67"/>
        <v>-33918.351713518976</v>
      </c>
      <c r="L60" s="62">
        <f t="shared" si="67"/>
        <v>-15040.220838143301</v>
      </c>
      <c r="M60" s="62">
        <f t="shared" si="67"/>
        <v>-40771.355663523966</v>
      </c>
      <c r="N60" s="62">
        <f t="shared" si="67"/>
        <v>-21281.193422259254</v>
      </c>
      <c r="O60" s="62">
        <f t="shared" si="67"/>
        <v>-34151.658461393352</v>
      </c>
      <c r="P60" s="62">
        <f t="shared" si="67"/>
        <v>-57921.032945338906</v>
      </c>
      <c r="Q60" s="62">
        <f t="shared" si="67"/>
        <v>-33668.339868673575</v>
      </c>
      <c r="R60" s="62">
        <f t="shared" si="67"/>
        <v>-51997.22811429594</v>
      </c>
      <c r="S60" s="62">
        <f t="shared" si="67"/>
        <v>-46804.837548067328</v>
      </c>
      <c r="T60" s="62">
        <f t="shared" si="67"/>
        <v>-40655.163947612789</v>
      </c>
      <c r="U60" s="62">
        <f t="shared" si="67"/>
        <v>-32921.872027417776</v>
      </c>
      <c r="V60" s="62">
        <f t="shared" si="67"/>
        <v>-21433.247417391707</v>
      </c>
      <c r="W60" s="62">
        <f t="shared" si="67"/>
        <v>-13637.555415892039</v>
      </c>
      <c r="X60" s="62">
        <f t="shared" si="67"/>
        <v>-11031.881509215891</v>
      </c>
      <c r="Y60" s="62">
        <f t="shared" si="67"/>
        <v>-16504.621387219275</v>
      </c>
      <c r="Z60" s="62">
        <f t="shared" si="67"/>
        <v>2331.1638469080353</v>
      </c>
      <c r="AA60" s="62">
        <f t="shared" si="67"/>
        <v>-4042.4996210437748</v>
      </c>
      <c r="AB60" s="62">
        <f t="shared" si="67"/>
        <v>-14666.214239014254</v>
      </c>
      <c r="AC60" s="62">
        <f t="shared" si="67"/>
        <v>737.55192099397391</v>
      </c>
      <c r="AD60" s="62">
        <f t="shared" si="67"/>
        <v>-2092.7244903121355</v>
      </c>
      <c r="AE60" s="62">
        <f t="shared" si="67"/>
        <v>-3478.9632604725557</v>
      </c>
      <c r="AF60" s="62">
        <f t="shared" si="67"/>
        <v>2089.0952406684046</v>
      </c>
      <c r="AG60" s="62">
        <f t="shared" si="67"/>
        <v>-986.88381033805126</v>
      </c>
      <c r="AH60" s="62">
        <f t="shared" si="67"/>
        <v>2290.5094831693241</v>
      </c>
      <c r="AI60" s="62">
        <f t="shared" si="67"/>
        <v>3816.7765517061744</v>
      </c>
      <c r="AJ60" s="62">
        <f t="shared" si="67"/>
        <v>4436.9668209914198</v>
      </c>
      <c r="AK60" s="62">
        <f t="shared" si="67"/>
        <v>-1470.812726578104</v>
      </c>
      <c r="AL60" s="62">
        <f t="shared" si="67"/>
        <v>11662.278921817786</v>
      </c>
      <c r="AM60" s="62">
        <f t="shared" si="67"/>
        <v>11813.375293837467</v>
      </c>
      <c r="AN60" s="62">
        <f t="shared" si="67"/>
        <v>12107.309796114687</v>
      </c>
      <c r="AO60" s="62">
        <f t="shared" si="67"/>
        <v>9351.3074448911666</v>
      </c>
      <c r="AP60" s="62">
        <f t="shared" si="67"/>
        <v>13509.296589839796</v>
      </c>
      <c r="AQ60" s="62">
        <f t="shared" si="67"/>
        <v>10504.812992971129</v>
      </c>
      <c r="AR60" s="62">
        <f t="shared" si="67"/>
        <v>12554.0395027702</v>
      </c>
      <c r="AS60" s="62">
        <f t="shared" si="67"/>
        <v>9679.461187590292</v>
      </c>
      <c r="AT60" s="62">
        <f t="shared" si="67"/>
        <v>0</v>
      </c>
      <c r="AU60" s="62">
        <f t="shared" si="67"/>
        <v>0</v>
      </c>
      <c r="AV60" s="62">
        <f t="shared" si="67"/>
        <v>0</v>
      </c>
      <c r="AW60" s="62">
        <f t="shared" si="67"/>
        <v>0</v>
      </c>
      <c r="AX60" s="62">
        <f t="shared" si="67"/>
        <v>0</v>
      </c>
      <c r="AY60" s="62">
        <f t="shared" si="67"/>
        <v>0</v>
      </c>
      <c r="AZ60" s="62">
        <f t="shared" ref="AZ60:BK60" si="68">AZ53+AZ58</f>
        <v>8195.1909216774657</v>
      </c>
      <c r="BA60" s="62">
        <f t="shared" si="68"/>
        <v>1972.7873177789625</v>
      </c>
      <c r="BB60" s="62">
        <f t="shared" si="68"/>
        <v>4790.7064689951403</v>
      </c>
      <c r="BC60" s="62">
        <f t="shared" si="68"/>
        <v>4660.2631817941401</v>
      </c>
      <c r="BD60" s="62">
        <f t="shared" si="68"/>
        <v>6707.5777755071285</v>
      </c>
      <c r="BE60" s="62">
        <f t="shared" si="68"/>
        <v>6017.8029714166405</v>
      </c>
      <c r="BF60" s="62">
        <f t="shared" si="68"/>
        <v>10310.373801974198</v>
      </c>
      <c r="BG60" s="62">
        <f t="shared" si="68"/>
        <v>3311.2458566050809</v>
      </c>
      <c r="BH60" s="62">
        <f t="shared" si="68"/>
        <v>14170.835943565227</v>
      </c>
      <c r="BI60" s="62">
        <f t="shared" si="68"/>
        <v>9668.0174572891847</v>
      </c>
      <c r="BJ60" s="62">
        <f t="shared" si="68"/>
        <v>10233.534252369271</v>
      </c>
      <c r="BK60" s="62">
        <f t="shared" si="68"/>
        <v>13820.293595600786</v>
      </c>
      <c r="BO60" s="63">
        <f t="shared" ref="BO60:BT60" si="69">BO53+BO58</f>
        <v>34967.913830845639</v>
      </c>
      <c r="BP60" s="63">
        <f t="shared" si="69"/>
        <v>14958.684708451576</v>
      </c>
      <c r="BQ60" s="63">
        <f t="shared" si="69"/>
        <v>21458.617241005839</v>
      </c>
      <c r="BR60" s="63">
        <f t="shared" si="69"/>
        <v>-16021.386808332391</v>
      </c>
      <c r="BS60" s="63">
        <f t="shared" si="69"/>
        <v>-143586.60092830844</v>
      </c>
      <c r="BT60" s="63">
        <f t="shared" si="69"/>
        <v>21944.573795685843</v>
      </c>
    </row>
    <row r="61" spans="1:72" x14ac:dyDescent="0.25">
      <c r="D61" s="19">
        <f>[1]Desempeño_Financiero_Evol!BA407-D60</f>
        <v>-0.16823425065467745</v>
      </c>
      <c r="E61" s="19">
        <f>[1]Desempeño_Financiero_Evol!BB407-E60</f>
        <v>3.140001354040578E-6</v>
      </c>
      <c r="F61" s="19">
        <f>[1]Desempeño_Financiero_Evol!BC407-F60</f>
        <v>0.1936202911010696</v>
      </c>
      <c r="G61" s="19">
        <f>[1]Desempeño_Financiero_Evol!BD407-G60</f>
        <v>-2.8999875212321058E-7</v>
      </c>
      <c r="H61" s="19">
        <f>[1]Desempeño_Financiero_Evol!BE407-H60</f>
        <v>-2.5599820219213143E-6</v>
      </c>
      <c r="I61" s="19">
        <f>[1]Desempeño_Financiero_Evol!BF407-I60</f>
        <v>-2.3500142560806125E-6</v>
      </c>
      <c r="J61" s="19">
        <f>[1]Desempeño_Financiero_Evol!BG407-J60</f>
        <v>-5.4299925977829844E-6</v>
      </c>
      <c r="K61" s="19">
        <f>[1]Desempeño_Financiero_Evol!BH407-K60</f>
        <v>8.4000203059986234E-7</v>
      </c>
      <c r="L61" s="19">
        <f>[1]Desempeño_Financiero_Evol!BI407-L60</f>
        <v>-6.900791049702093E-6</v>
      </c>
      <c r="M61" s="19">
        <f>[1]Desempeño_Financiero_Evol!BJ407-M60</f>
        <v>2.1699670469388366E-6</v>
      </c>
      <c r="N61" s="19">
        <f>[1]Desempeño_Financiero_Evol!BK407-N60</f>
        <v>8.3000122685916722E-7</v>
      </c>
      <c r="O61" s="19">
        <f>[1]Desempeño_Financiero_Evol!BL407-O60</f>
        <v>7.8002631198614836E-7</v>
      </c>
      <c r="P61" s="19">
        <f>[1]Desempeño_Financiero_Evol!BM407-P60</f>
        <v>-4.3499967432580888E-6</v>
      </c>
      <c r="Q61" s="19">
        <f>[1]Desempeño_Financiero_Evol!BN407-Q60</f>
        <v>-2.9799994081258774E-6</v>
      </c>
      <c r="R61" s="19">
        <f>[1]Desempeño_Financiero_Evol!BO407-R60</f>
        <v>-7.4000126915052533E-7</v>
      </c>
      <c r="S61" s="19">
        <f>[1]Desempeño_Financiero_Evol!BP407-S60</f>
        <v>2.1100204321555793E-6</v>
      </c>
      <c r="T61" s="19">
        <f>[1]Desempeño_Financiero_Evol!BQ407-T60</f>
        <v>-5.6997669162228703E-7</v>
      </c>
      <c r="U61" s="19">
        <f>[1]Desempeño_Financiero_Evol!BR407-U60</f>
        <v>-3.3000833354890347E-7</v>
      </c>
      <c r="V61" s="19">
        <f>[1]Desempeño_Financiero_Evol!BS407-V60</f>
        <v>-3.8100006349850446E-6</v>
      </c>
      <c r="W61" s="19">
        <f>[1]Desempeño_Financiero_Evol!BT407-W60</f>
        <v>1.7999846022576094E-6</v>
      </c>
      <c r="X61" s="19">
        <f>[1]Desempeño_Financiero_Evol!BU407-X60</f>
        <v>-2.7600035537034273E-6</v>
      </c>
      <c r="Y61" s="19">
        <f>[1]Desempeño_Financiero_Evol!BV407-Y60</f>
        <v>3.3967334610642865</v>
      </c>
      <c r="Z61" s="19">
        <f>[1]Desempeño_Financiero_Evol!BW407-Z60</f>
        <v>6.5000494942069054E-7</v>
      </c>
      <c r="AA61" s="19">
        <f>[1]Desempeño_Financiero_Evol!BX407-AA60</f>
        <v>3.3400096981495153E-6</v>
      </c>
      <c r="AB61" s="19">
        <f>[1]Desempeño_Financiero_Evol!BY407-AB60</f>
        <v>-4.8499969125259668E-6</v>
      </c>
      <c r="AC61" s="19">
        <f>[1]Desempeño_Financiero_Evol!BZ407-AC60</f>
        <v>4.2000147004728206E-7</v>
      </c>
      <c r="AD61" s="19">
        <f>[1]Desempeño_Financiero_Evol!CA407-AD60</f>
        <v>4.4999569581705146E-7</v>
      </c>
      <c r="AE61" s="19">
        <f>[1]Desempeño_Financiero_Evol!CB407-AE60</f>
        <v>3.1000236049294472E-6</v>
      </c>
      <c r="AF61" s="19">
        <f>[1]Desempeño_Financiero_Evol!CC407-AF60</f>
        <v>-3.0699939088663086E-6</v>
      </c>
      <c r="AG61" s="19">
        <f>[1]Desempeño_Financiero_Evol!CD407-AG60</f>
        <v>-5.6999851949512959E-7</v>
      </c>
      <c r="AH61" s="19">
        <f>[1]Desempeño_Financiero_Evol!CE407-AH60</f>
        <v>-3.9799988371669315E-6</v>
      </c>
      <c r="AI61" s="19">
        <f>[1]Desempeño_Financiero_Evol!CF407-AI60</f>
        <v>3.5300013223604765E-6</v>
      </c>
      <c r="AJ61" s="19">
        <f>[1]Desempeño_Financiero_Evol!CG407-AJ60</f>
        <v>-1.6799995137262158E-6</v>
      </c>
      <c r="AK61" s="19">
        <f>[1]Desempeño_Financiero_Evol!CH407-AK60</f>
        <v>4.5500082705984823E-6</v>
      </c>
      <c r="AL61" s="19">
        <f>[1]Desempeño_Financiero_Evol!CI407-AL60</f>
        <v>-4.7500052460236475E-6</v>
      </c>
      <c r="AM61" s="19">
        <f>[1]Desempeño_Financiero_Evol!CJ407-AM60</f>
        <v>4.9987647798843682E-8</v>
      </c>
      <c r="AN61" s="19">
        <f>[1]Desempeño_Financiero_Evol!CK407-AN60</f>
        <v>0</v>
      </c>
      <c r="AO61" s="19">
        <f>[1]Desempeño_Financiero_Evol!CL407-AO60</f>
        <v>0</v>
      </c>
      <c r="AP61" s="19">
        <f>[1]Desempeño_Financiero_Evol!CM407-AP60</f>
        <v>0</v>
      </c>
      <c r="AQ61" s="19">
        <f>[1]Desempeño_Financiero_Evol!CN407-AQ60</f>
        <v>0</v>
      </c>
      <c r="AR61" s="19">
        <f>[1]Desempeño_Financiero_Evol!CO407-AR60</f>
        <v>0</v>
      </c>
      <c r="AS61" s="19">
        <f>[1]Desempeño_Financiero_Evol!CP407-AS60</f>
        <v>0</v>
      </c>
      <c r="AT61" s="19">
        <f>[1]Desempeño_Financiero_Evol!CQ407-AT60</f>
        <v>0</v>
      </c>
      <c r="AU61" s="19">
        <f>[1]Desempeño_Financiero_Evol!CR407-AU60</f>
        <v>0</v>
      </c>
      <c r="AV61" s="19">
        <f>[1]Desempeño_Financiero_Evol!CS407-AV60</f>
        <v>0</v>
      </c>
      <c r="AW61" s="19">
        <f>[1]Desempeño_Financiero_Evol!CT407-AW60</f>
        <v>0</v>
      </c>
      <c r="AX61" s="19">
        <f>[1]Desempeño_Financiero_Evol!CU407-AX60</f>
        <v>0</v>
      </c>
      <c r="AY61" s="19">
        <f>[1]Desempeño_Financiero_Evol!CV407-AY60</f>
        <v>0</v>
      </c>
      <c r="AZ61" s="19">
        <f>[1]Desempeño_Financiero_Evol!CW407-AZ60</f>
        <v>0</v>
      </c>
    </row>
    <row r="63" spans="1:72" hidden="1" outlineLevel="1" x14ac:dyDescent="0.25">
      <c r="A63" s="59" t="s">
        <v>71</v>
      </c>
      <c r="C63" s="60" t="s">
        <v>75</v>
      </c>
      <c r="D63" s="8">
        <f>Renta_Alta!D63+Masivo!D63+Consumo_Inicial!D63</f>
        <v>381.75112338225</v>
      </c>
      <c r="E63" s="8">
        <f>Renta_Alta!E63+Masivo!E63+Consumo_Inicial!E63</f>
        <v>355.94817212378001</v>
      </c>
      <c r="F63" s="8">
        <f>Renta_Alta!F63+Masivo!F63+Consumo_Inicial!F63</f>
        <v>293.71882655406</v>
      </c>
      <c r="G63" s="8">
        <f>Renta_Alta!G63+Masivo!G63+Consumo_Inicial!G63</f>
        <v>443.65614644105</v>
      </c>
      <c r="H63" s="8">
        <f>Renta_Alta!H63+Masivo!H63+Consumo_Inicial!H63</f>
        <v>368.75342226205998</v>
      </c>
      <c r="I63" s="8">
        <f>Renta_Alta!I63+Masivo!I63+Consumo_Inicial!I63</f>
        <v>429.45294096692999</v>
      </c>
      <c r="J63" s="8">
        <f>Renta_Alta!J63+Masivo!J63+Consumo_Inicial!J63</f>
        <v>404.47893735803996</v>
      </c>
      <c r="K63" s="8">
        <f>Renta_Alta!K63+Masivo!K63+Consumo_Inicial!K63</f>
        <v>436.98071737511998</v>
      </c>
      <c r="L63" s="8">
        <f>Renta_Alta!L63+Masivo!L63+Consumo_Inicial!L63</f>
        <v>447.27009978551007</v>
      </c>
      <c r="M63" s="8">
        <f>Renta_Alta!M63+Masivo!M63+Consumo_Inicial!M63</f>
        <v>393.59571044635004</v>
      </c>
      <c r="N63" s="8">
        <f>Renta_Alta!N63+Masivo!N63+Consumo_Inicial!N63</f>
        <v>402.07916446541998</v>
      </c>
      <c r="O63" s="8">
        <f>Renta_Alta!O63+Masivo!O63+Consumo_Inicial!O63</f>
        <v>350.06695430064002</v>
      </c>
      <c r="P63" s="8">
        <f>Renta_Alta!P63+Masivo!P63+Consumo_Inicial!P63</f>
        <v>430.83280884343003</v>
      </c>
      <c r="Q63" s="8">
        <f>Renta_Alta!Q63+Masivo!Q63+Consumo_Inicial!Q63</f>
        <v>382.79154891969006</v>
      </c>
      <c r="R63" s="8">
        <f>Renta_Alta!R63+Masivo!R63+Consumo_Inicial!R63</f>
        <v>428.11719231533993</v>
      </c>
      <c r="S63" s="8">
        <f>Renta_Alta!S63+Masivo!S63+Consumo_Inicial!S63</f>
        <v>329.81387404240996</v>
      </c>
      <c r="T63" s="8">
        <f>Renta_Alta!T63+Masivo!T63+Consumo_Inicial!T63</f>
        <v>344.01628875297001</v>
      </c>
      <c r="U63" s="8">
        <f>Renta_Alta!U63+Masivo!U63+Consumo_Inicial!U63</f>
        <v>346.21406351100001</v>
      </c>
      <c r="V63" s="8">
        <f>Renta_Alta!V63+Masivo!V63+Consumo_Inicial!V63</f>
        <v>305.63083953705001</v>
      </c>
      <c r="W63" s="8">
        <f>Renta_Alta!W63+Masivo!W63+Consumo_Inicial!W63</f>
        <v>326.51167929102002</v>
      </c>
      <c r="X63" s="8">
        <f>Renta_Alta!X63+Masivo!X63+Consumo_Inicial!X63</f>
        <v>746.39129157810987</v>
      </c>
      <c r="Y63" s="8">
        <f>Renta_Alta!Y63+Masivo!Y63+Consumo_Inicial!Y63</f>
        <v>-99.32179768110899</v>
      </c>
      <c r="Z63" s="8">
        <f>Renta_Alta!Z63+Masivo!Z63+Consumo_Inicial!Z63</f>
        <v>331.79601468501005</v>
      </c>
      <c r="AA63" s="8">
        <f>Renta_Alta!AA63+Masivo!AA63+Consumo_Inicial!AA63</f>
        <v>273.35829963899005</v>
      </c>
      <c r="AB63" s="8">
        <f>Renta_Alta!AB63+Masivo!AB63+Consumo_Inicial!AB63</f>
        <v>373.39386531992</v>
      </c>
      <c r="AC63" s="8">
        <f>Renta_Alta!AC63+Masivo!AC63+Consumo_Inicial!AC63</f>
        <v>256.43645302404997</v>
      </c>
      <c r="AD63" s="8">
        <f>Renta_Alta!AD63+Masivo!AD63+Consumo_Inicial!AD63</f>
        <v>150.23105409388998</v>
      </c>
      <c r="AE63" s="8">
        <f>Renta_Alta!AE63+Masivo!AE63+Consumo_Inicial!AE63</f>
        <v>293.68875507436996</v>
      </c>
      <c r="AF63" s="8">
        <f>Renta_Alta!AF63+Masivo!AF63+Consumo_Inicial!AF63</f>
        <v>281.79994817317004</v>
      </c>
      <c r="AG63" s="8">
        <f>Renta_Alta!AG63+Masivo!AG63+Consumo_Inicial!AG63</f>
        <v>355.74553945478999</v>
      </c>
      <c r="AH63" s="8">
        <f>Renta_Alta!AH63+Masivo!AH63+Consumo_Inicial!AH63</f>
        <v>297.92720090468998</v>
      </c>
      <c r="AI63" s="8">
        <f>Renta_Alta!AI63+Masivo!AI63+Consumo_Inicial!AI63</f>
        <v>333.41005241267999</v>
      </c>
      <c r="AJ63" s="8">
        <f>Renta_Alta!AJ63+Masivo!AJ63+Consumo_Inicial!AJ63</f>
        <v>322.99271715024003</v>
      </c>
      <c r="AK63" s="8">
        <f>Renta_Alta!AK63+Masivo!AK63+Consumo_Inicial!AK63</f>
        <v>294.00513620430996</v>
      </c>
      <c r="AL63" s="8">
        <f>Renta_Alta!AL63+Masivo!AL63+Consumo_Inicial!AL63</f>
        <v>435.38952054294003</v>
      </c>
      <c r="AM63" s="8">
        <f>Renta_Alta!AM63+Masivo!AM63+Consumo_Inicial!AM63</f>
        <v>298.67887688051997</v>
      </c>
      <c r="AN63" s="8">
        <f>Renta_Alta!AN63+Masivo!AN63+Consumo_Inicial!AN63</f>
        <v>355.86512470000002</v>
      </c>
      <c r="AO63" s="8">
        <f>Renta_Alta!AO63+Masivo!AO63+Consumo_Inicial!AO63</f>
        <v>271.77459234000003</v>
      </c>
      <c r="AP63" s="8">
        <f>Renta_Alta!AP63+Masivo!AP63+Consumo_Inicial!AP63</f>
        <v>285.92705749999988</v>
      </c>
      <c r="AQ63" s="8">
        <f>Renta_Alta!AQ63+Masivo!AQ63+Consumo_Inicial!AQ63</f>
        <v>401.14371821999998</v>
      </c>
      <c r="AR63" s="8">
        <f>Renta_Alta!AR63+Masivo!AR63+Consumo_Inicial!AR63</f>
        <v>350.64139959999994</v>
      </c>
      <c r="AS63" s="8">
        <f>Renta_Alta!AS63+Masivo!AS63+Consumo_Inicial!AS63</f>
        <v>388.50709099999995</v>
      </c>
      <c r="AT63" s="8">
        <f>Renta_Alta!AT63+Masivo!AT63+Consumo_Inicial!AT63</f>
        <v>0</v>
      </c>
      <c r="AU63" s="8">
        <f>Renta_Alta!AU63+Masivo!AU63+Consumo_Inicial!AU63</f>
        <v>0</v>
      </c>
      <c r="AV63" s="8">
        <f>Renta_Alta!AV63+Masivo!AV63+Consumo_Inicial!AV63</f>
        <v>0</v>
      </c>
      <c r="AW63" s="8">
        <f>Renta_Alta!AW63+Masivo!AW63+Consumo_Inicial!AW63</f>
        <v>0</v>
      </c>
      <c r="AX63" s="8">
        <f>Renta_Alta!AX63+Masivo!AX63+Consumo_Inicial!AX63</f>
        <v>0</v>
      </c>
      <c r="AY63" s="8">
        <f>Renta_Alta!AY63+Masivo!AY63+Consumo_Inicial!AY63</f>
        <v>0</v>
      </c>
      <c r="AZ63" s="8">
        <f>Renta_Alta!AZ63+Masivo!AZ63+Consumo_Inicial!AZ63</f>
        <v>310.375384404817</v>
      </c>
      <c r="BA63" s="8">
        <f>Renta_Alta!BA63+Masivo!BA63+Consumo_Inicial!BA63</f>
        <v>311.2949459733681</v>
      </c>
      <c r="BB63" s="8">
        <f>Renta_Alta!BB63+Masivo!BB63+Consumo_Inicial!BB63</f>
        <v>313.71389414872004</v>
      </c>
      <c r="BC63" s="8">
        <f>Renta_Alta!BC63+Masivo!BC63+Consumo_Inicial!BC63</f>
        <v>318.71006358766886</v>
      </c>
      <c r="BD63" s="8">
        <f>Renta_Alta!BD63+Masivo!BD63+Consumo_Inicial!BD63</f>
        <v>325.25851178509862</v>
      </c>
      <c r="BE63" s="8">
        <f>Renta_Alta!BE63+Masivo!BE63+Consumo_Inicial!BE63</f>
        <v>330.93165824001227</v>
      </c>
      <c r="BF63" s="8">
        <f>Renta_Alta!BF63+Masivo!BF63+Consumo_Inicial!BF63</f>
        <v>333.94636346522691</v>
      </c>
      <c r="BG63" s="8">
        <f>Renta_Alta!BG63+Masivo!BG63+Consumo_Inicial!BG63</f>
        <v>337.36593511750812</v>
      </c>
      <c r="BH63" s="8">
        <f>Renta_Alta!BH63+Masivo!BH63+Consumo_Inicial!BH63</f>
        <v>343.06027587311678</v>
      </c>
      <c r="BI63" s="8">
        <f>Renta_Alta!BI63+Masivo!BI63+Consumo_Inicial!BI63</f>
        <v>349.75428056268487</v>
      </c>
      <c r="BJ63" s="8">
        <f>Renta_Alta!BJ63+Masivo!BJ63+Consumo_Inicial!BJ63</f>
        <v>354.6622955764646</v>
      </c>
      <c r="BK63" s="8">
        <f>Renta_Alta!BK63+Masivo!BK63+Consumo_Inicial!BK63</f>
        <v>357.09799852061263</v>
      </c>
      <c r="BO63" s="24">
        <f t="shared" ref="BO63:BT72" si="70">SUMIFS($D63:$BM63,$D$6:$BM$6,"&gt;="&amp;BO$2,$D$6:$BM$6,"&lt;="&amp;BO$6,$D$5:$BM$5,BO$5)</f>
        <v>913.56677453999987</v>
      </c>
      <c r="BP63" s="24">
        <f t="shared" si="70"/>
        <v>935.3842245269052</v>
      </c>
      <c r="BQ63" s="24">
        <f t="shared" si="70"/>
        <v>627.63971704000005</v>
      </c>
      <c r="BR63" s="24">
        <f t="shared" si="70"/>
        <v>780.06137243785997</v>
      </c>
      <c r="BS63" s="24">
        <f t="shared" si="70"/>
        <v>1241.74155007846</v>
      </c>
      <c r="BT63" s="24">
        <f t="shared" si="70"/>
        <v>1031.4181220600899</v>
      </c>
    </row>
    <row r="64" spans="1:72" hidden="1" outlineLevel="1" x14ac:dyDescent="0.25">
      <c r="A64" s="59" t="s">
        <v>71</v>
      </c>
      <c r="C64" s="60" t="s">
        <v>113</v>
      </c>
      <c r="D64" s="8">
        <f>Renta_Alta!D64+Masivo!D64+Consumo_Inicial!D64</f>
        <v>2.6783299999999999</v>
      </c>
      <c r="E64" s="8">
        <f>Renta_Alta!E64+Masivo!E64+Consumo_Inicial!E64</f>
        <v>2.29501</v>
      </c>
      <c r="F64" s="8">
        <f>Renta_Alta!F64+Masivo!F64+Consumo_Inicial!F64</f>
        <v>2.1863299999999999</v>
      </c>
      <c r="G64" s="8">
        <f>Renta_Alta!G64+Masivo!G64+Consumo_Inicial!G64</f>
        <v>1.7566299999999999</v>
      </c>
      <c r="H64" s="8">
        <f>Renta_Alta!H64+Masivo!H64+Consumo_Inicial!H64</f>
        <v>2.0070000000000001</v>
      </c>
      <c r="I64" s="8">
        <f>Renta_Alta!I64+Masivo!I64+Consumo_Inicial!I64</f>
        <v>1.7150000000000001</v>
      </c>
      <c r="J64" s="8">
        <f>Renta_Alta!J64+Masivo!J64+Consumo_Inicial!J64</f>
        <v>1.4743299999999999</v>
      </c>
      <c r="K64" s="8">
        <f>Renta_Alta!K64+Masivo!K64+Consumo_Inicial!K64</f>
        <v>1.5043400000000002</v>
      </c>
      <c r="L64" s="8">
        <f>Renta_Alta!L64+Masivo!L64+Consumo_Inicial!L64</f>
        <v>1.335</v>
      </c>
      <c r="M64" s="8">
        <f>Renta_Alta!M64+Masivo!M64+Consumo_Inicial!M64</f>
        <v>1.51366</v>
      </c>
      <c r="N64" s="8">
        <f>Renta_Alta!N64+Masivo!N64+Consumo_Inicial!N64</f>
        <v>1.44933</v>
      </c>
      <c r="O64" s="8">
        <f>Renta_Alta!O64+Masivo!O64+Consumo_Inicial!O64</f>
        <v>1.4326699999999999</v>
      </c>
      <c r="P64" s="8">
        <f>Renta_Alta!P64+Masivo!P64+Consumo_Inicial!P64</f>
        <v>1.5753299999999999</v>
      </c>
      <c r="Q64" s="8">
        <f>Renta_Alta!Q64+Masivo!Q64+Consumo_Inicial!Q64</f>
        <v>1.3503299999999998</v>
      </c>
      <c r="R64" s="8">
        <f>Renta_Alta!R64+Masivo!R64+Consumo_Inicial!R64</f>
        <v>1.3</v>
      </c>
      <c r="S64" s="8">
        <f>Renta_Alta!S64+Masivo!S64+Consumo_Inicial!S64</f>
        <v>1.5756700000000001</v>
      </c>
      <c r="T64" s="8">
        <f>Renta_Alta!T64+Masivo!T64+Consumo_Inicial!T64</f>
        <v>1.4263299999999999</v>
      </c>
      <c r="U64" s="8">
        <f>Renta_Alta!U64+Masivo!U64+Consumo_Inicial!U64</f>
        <v>1.23</v>
      </c>
      <c r="V64" s="8">
        <f>Renta_Alta!V64+Masivo!V64+Consumo_Inicial!V64</f>
        <v>1.3876599999999999</v>
      </c>
      <c r="W64" s="8">
        <f>Renta_Alta!W64+Masivo!W64+Consumo_Inicial!W64</f>
        <v>1.18167</v>
      </c>
      <c r="X64" s="8">
        <f>Renta_Alta!X64+Masivo!X64+Consumo_Inicial!X64</f>
        <v>1.3443400000000001</v>
      </c>
      <c r="Y64" s="8">
        <f>Renta_Alta!Y64+Masivo!Y64+Consumo_Inicial!Y64</f>
        <v>1.27834</v>
      </c>
      <c r="Z64" s="8">
        <f>Renta_Alta!Z64+Masivo!Z64+Consumo_Inicial!Z64</f>
        <v>1.163</v>
      </c>
      <c r="AA64" s="8">
        <f>Renta_Alta!AA64+Masivo!AA64+Consumo_Inicial!AA64</f>
        <v>1.2353299999999998</v>
      </c>
      <c r="AB64" s="8">
        <f>Renta_Alta!AB64+Masivo!AB64+Consumo_Inicial!AB64</f>
        <v>1.18367</v>
      </c>
      <c r="AC64" s="8">
        <f>Renta_Alta!AC64+Masivo!AC64+Consumo_Inicial!AC64</f>
        <v>0.90700000000000003</v>
      </c>
      <c r="AD64" s="8">
        <f>Renta_Alta!AD64+Masivo!AD64+Consumo_Inicial!AD64</f>
        <v>1.11633</v>
      </c>
      <c r="AE64" s="8">
        <f>Renta_Alta!AE64+Masivo!AE64+Consumo_Inicial!AE64</f>
        <v>0.87133000000000005</v>
      </c>
      <c r="AF64" s="8">
        <f>Renta_Alta!AF64+Masivo!AF64+Consumo_Inicial!AF64</f>
        <v>0.68733</v>
      </c>
      <c r="AG64" s="8">
        <f>Renta_Alta!AG64+Masivo!AG64+Consumo_Inicial!AG64</f>
        <v>0.78</v>
      </c>
      <c r="AH64" s="8">
        <f>Renta_Alta!AH64+Masivo!AH64+Consumo_Inicial!AH64</f>
        <v>0.8</v>
      </c>
      <c r="AI64" s="8">
        <f>Renta_Alta!AI64+Masivo!AI64+Consumo_Inicial!AI64</f>
        <v>0.73967000000000005</v>
      </c>
      <c r="AJ64" s="8">
        <f>Renta_Alta!AJ64+Masivo!AJ64+Consumo_Inicial!AJ64</f>
        <v>0.73199999999999987</v>
      </c>
      <c r="AK64" s="8">
        <f>Renta_Alta!AK64+Masivo!AK64+Consumo_Inicial!AK64</f>
        <v>0.73632999999999993</v>
      </c>
      <c r="AL64" s="8">
        <f>Renta_Alta!AL64+Masivo!AL64+Consumo_Inicial!AL64</f>
        <v>0.65</v>
      </c>
      <c r="AM64" s="8">
        <f>Renta_Alta!AM64+Masivo!AM64+Consumo_Inicial!AM64</f>
        <v>0.65332999999999997</v>
      </c>
      <c r="AN64" s="8">
        <f>Renta_Alta!AN64+Masivo!AN64+Consumo_Inicial!AN64</f>
        <v>0.63666</v>
      </c>
      <c r="AO64" s="8">
        <f>Renta_Alta!AO64+Masivo!AO64+Consumo_Inicial!AO64</f>
        <v>0.58767000000000003</v>
      </c>
      <c r="AP64" s="8">
        <f>Renta_Alta!AP64+Masivo!AP64+Consumo_Inicial!AP64</f>
        <v>0.66832999999999998</v>
      </c>
      <c r="AQ64" s="8">
        <f>Renta_Alta!AQ64+Masivo!AQ64+Consumo_Inicial!AQ64</f>
        <v>0.49933</v>
      </c>
      <c r="AR64" s="8">
        <f>Renta_Alta!AR64+Masivo!AR64+Consumo_Inicial!AR64</f>
        <v>0.51767000000000007</v>
      </c>
      <c r="AS64" s="8">
        <f>Renta_Alta!AS64+Masivo!AS64+Consumo_Inicial!AS64</f>
        <v>0.57967000000000002</v>
      </c>
      <c r="AT64" s="8">
        <f>Renta_Alta!AT64+Masivo!AT64+Consumo_Inicial!AT64</f>
        <v>0</v>
      </c>
      <c r="AU64" s="8">
        <f>Renta_Alta!AU64+Masivo!AU64+Consumo_Inicial!AU64</f>
        <v>0</v>
      </c>
      <c r="AV64" s="8">
        <f>Renta_Alta!AV64+Masivo!AV64+Consumo_Inicial!AV64</f>
        <v>0</v>
      </c>
      <c r="AW64" s="8">
        <f>Renta_Alta!AW64+Masivo!AW64+Consumo_Inicial!AW64</f>
        <v>0</v>
      </c>
      <c r="AX64" s="8">
        <f>Renta_Alta!AX64+Masivo!AX64+Consumo_Inicial!AX64</f>
        <v>0</v>
      </c>
      <c r="AY64" s="8">
        <f>Renta_Alta!AY64+Masivo!AY64+Consumo_Inicial!AY64</f>
        <v>0</v>
      </c>
      <c r="AZ64" s="8">
        <f>Renta_Alta!AZ64+Masivo!AZ64+Consumo_Inicial!AZ64</f>
        <v>0.90652285714285707</v>
      </c>
      <c r="BA64" s="8">
        <f>Renta_Alta!BA64+Masivo!BA64+Consumo_Inicial!BA64</f>
        <v>0.90652285714285707</v>
      </c>
      <c r="BB64" s="8">
        <f>Renta_Alta!BB64+Masivo!BB64+Consumo_Inicial!BB64</f>
        <v>0.90652285714285707</v>
      </c>
      <c r="BC64" s="8">
        <f>Renta_Alta!BC64+Masivo!BC64+Consumo_Inicial!BC64</f>
        <v>0.90652285714285707</v>
      </c>
      <c r="BD64" s="8">
        <f>Renta_Alta!BD64+Masivo!BD64+Consumo_Inicial!BD64</f>
        <v>0.90652285714285707</v>
      </c>
      <c r="BE64" s="8">
        <f>Renta_Alta!BE64+Masivo!BE64+Consumo_Inicial!BE64</f>
        <v>0.90652285714285707</v>
      </c>
      <c r="BF64" s="8">
        <f>Renta_Alta!BF64+Masivo!BF64+Consumo_Inicial!BF64</f>
        <v>0.90652285714285707</v>
      </c>
      <c r="BG64" s="8">
        <f>Renta_Alta!BG64+Masivo!BG64+Consumo_Inicial!BG64</f>
        <v>0.90652285714285707</v>
      </c>
      <c r="BH64" s="8">
        <f>Renta_Alta!BH64+Masivo!BH64+Consumo_Inicial!BH64</f>
        <v>0.90652285714285707</v>
      </c>
      <c r="BI64" s="8">
        <f>Renta_Alta!BI64+Masivo!BI64+Consumo_Inicial!BI64</f>
        <v>0.90652285714285707</v>
      </c>
      <c r="BJ64" s="8">
        <f>Renta_Alta!BJ64+Masivo!BJ64+Consumo_Inicial!BJ64</f>
        <v>0.90652285714285707</v>
      </c>
      <c r="BK64" s="8">
        <f>Renta_Alta!BK64+Masivo!BK64+Consumo_Inicial!BK64</f>
        <v>0.90652285714285707</v>
      </c>
      <c r="BO64" s="24">
        <f t="shared" si="70"/>
        <v>1.8926600000000002</v>
      </c>
      <c r="BP64" s="24">
        <f t="shared" si="70"/>
        <v>2.7195685714285713</v>
      </c>
      <c r="BQ64" s="24">
        <f t="shared" si="70"/>
        <v>1.2243300000000001</v>
      </c>
      <c r="BR64" s="24">
        <f t="shared" si="70"/>
        <v>3.2070000000000003</v>
      </c>
      <c r="BS64" s="24">
        <f t="shared" si="70"/>
        <v>4.2256599999999995</v>
      </c>
      <c r="BT64" s="24">
        <f t="shared" si="70"/>
        <v>7.1596700000000002</v>
      </c>
    </row>
    <row r="65" spans="1:72" hidden="1" outlineLevel="1" x14ac:dyDescent="0.25">
      <c r="A65" s="59" t="s">
        <v>71</v>
      </c>
      <c r="C65" s="60" t="s">
        <v>114</v>
      </c>
      <c r="D65" s="8">
        <f>Renta_Alta!D65+Masivo!D65+Consumo_Inicial!D65</f>
        <v>0.180000000035</v>
      </c>
      <c r="E65" s="8">
        <f>Renta_Alta!E65+Masivo!E65+Consumo_Inicial!E65</f>
        <v>0</v>
      </c>
      <c r="F65" s="8">
        <f>Renta_Alta!F65+Masivo!F65+Consumo_Inicial!F65</f>
        <v>0</v>
      </c>
      <c r="G65" s="8">
        <f>Renta_Alta!G65+Masivo!G65+Consumo_Inicial!G65</f>
        <v>0</v>
      </c>
      <c r="H65" s="8">
        <f>Renta_Alta!H65+Masivo!H65+Consumo_Inicial!H65</f>
        <v>0</v>
      </c>
      <c r="I65" s="8">
        <f>Renta_Alta!I65+Masivo!I65+Consumo_Inicial!I65</f>
        <v>0.199999999968</v>
      </c>
      <c r="J65" s="8">
        <f>Renta_Alta!J65+Masivo!J65+Consumo_Inicial!J65</f>
        <v>0</v>
      </c>
      <c r="K65" s="8">
        <f>Renta_Alta!K65+Masivo!K65+Consumo_Inicial!K65</f>
        <v>0</v>
      </c>
      <c r="L65" s="8">
        <f>Renta_Alta!L65+Masivo!L65+Consumo_Inicial!L65</f>
        <v>0</v>
      </c>
      <c r="M65" s="8">
        <f>Renta_Alta!M65+Masivo!M65+Consumo_Inicial!M65</f>
        <v>0</v>
      </c>
      <c r="N65" s="8">
        <f>Renta_Alta!N65+Masivo!N65+Consumo_Inicial!N65</f>
        <v>6.000000000000001E-3</v>
      </c>
      <c r="O65" s="8">
        <f>Renta_Alta!O65+Masivo!O65+Consumo_Inicial!O65</f>
        <v>0.32999999997899998</v>
      </c>
      <c r="P65" s="8">
        <f>Renta_Alta!P65+Masivo!P65+Consumo_Inicial!P65</f>
        <v>-0.14967999996599998</v>
      </c>
      <c r="Q65" s="8">
        <f>Renta_Alta!Q65+Masivo!Q65+Consumo_Inicial!Q65</f>
        <v>0</v>
      </c>
      <c r="R65" s="8">
        <f>Renta_Alta!R65+Masivo!R65+Consumo_Inicial!R65</f>
        <v>0</v>
      </c>
      <c r="S65" s="8">
        <f>Renta_Alta!S65+Masivo!S65+Consumo_Inicial!S65</f>
        <v>0</v>
      </c>
      <c r="T65" s="8">
        <f>Renta_Alta!T65+Masivo!T65+Consumo_Inicial!T65</f>
        <v>0.18033000004800001</v>
      </c>
      <c r="U65" s="8">
        <f>Renta_Alta!U65+Masivo!U65+Consumo_Inicial!U65</f>
        <v>0.18000000005000003</v>
      </c>
      <c r="V65" s="8">
        <f>Renta_Alta!V65+Masivo!V65+Consumo_Inicial!V65</f>
        <v>0.18000000000700001</v>
      </c>
      <c r="W65" s="8">
        <f>Renta_Alta!W65+Masivo!W65+Consumo_Inicial!W65</f>
        <v>0</v>
      </c>
      <c r="X65" s="8">
        <f>Renta_Alta!X65+Masivo!X65+Consumo_Inicial!X65</f>
        <v>5.9000000002000001E-2</v>
      </c>
      <c r="Y65" s="8">
        <f>Renta_Alta!Y65+Masivo!Y65+Consumo_Inicial!Y65</f>
        <v>0.18000000003400002</v>
      </c>
      <c r="Z65" s="8">
        <f>Renta_Alta!Z65+Masivo!Z65+Consumo_Inicial!Z65</f>
        <v>0</v>
      </c>
      <c r="AA65" s="8">
        <f>Renta_Alta!AA65+Masivo!AA65+Consumo_Inicial!AA65</f>
        <v>0</v>
      </c>
      <c r="AB65" s="8">
        <f>Renta_Alta!AB65+Masivo!AB65+Consumo_Inicial!AB65</f>
        <v>0</v>
      </c>
      <c r="AC65" s="8">
        <f>Renta_Alta!AC65+Masivo!AC65+Consumo_Inicial!AC65</f>
        <v>0.17999999999800001</v>
      </c>
      <c r="AD65" s="8">
        <f>Renta_Alta!AD65+Masivo!AD65+Consumo_Inicial!AD65</f>
        <v>0</v>
      </c>
      <c r="AE65" s="8">
        <f>Renta_Alta!AE65+Masivo!AE65+Consumo_Inicial!AE65</f>
        <v>0</v>
      </c>
      <c r="AF65" s="8">
        <f>Renta_Alta!AF65+Masivo!AF65+Consumo_Inicial!AF65</f>
        <v>0.18000000003999997</v>
      </c>
      <c r="AG65" s="8">
        <f>Renta_Alta!AG65+Masivo!AG65+Consumo_Inicial!AG65</f>
        <v>0</v>
      </c>
      <c r="AH65" s="8">
        <f>Renta_Alta!AH65+Masivo!AH65+Consumo_Inicial!AH65</f>
        <v>3.6000000005000005E-2</v>
      </c>
      <c r="AI65" s="8">
        <f>Renta_Alta!AI65+Masivo!AI65+Consumo_Inicial!AI65</f>
        <v>0</v>
      </c>
      <c r="AJ65" s="8">
        <f>Renta_Alta!AJ65+Masivo!AJ65+Consumo_Inicial!AJ65</f>
        <v>0</v>
      </c>
      <c r="AK65" s="8">
        <f>Renta_Alta!AK65+Masivo!AK65+Consumo_Inicial!AK65</f>
        <v>0</v>
      </c>
      <c r="AL65" s="8">
        <f>Renta_Alta!AL65+Masivo!AL65+Consumo_Inicial!AL65</f>
        <v>0</v>
      </c>
      <c r="AM65" s="8">
        <f>Renta_Alta!AM65+Masivo!AM65+Consumo_Inicial!AM65</f>
        <v>0.179999999997</v>
      </c>
      <c r="AN65" s="8">
        <f>Renta_Alta!AN65+Masivo!AN65+Consumo_Inicial!AN65</f>
        <v>0.25999999999999995</v>
      </c>
      <c r="AO65" s="8">
        <f>Renta_Alta!AO65+Masivo!AO65+Consumo_Inicial!AO65</f>
        <v>0</v>
      </c>
      <c r="AP65" s="8">
        <f>Renta_Alta!AP65+Masivo!AP65+Consumo_Inicial!AP65</f>
        <v>0.28999999999999998</v>
      </c>
      <c r="AQ65" s="8">
        <f>Renta_Alta!AQ65+Masivo!AQ65+Consumo_Inicial!AQ65</f>
        <v>0</v>
      </c>
      <c r="AR65" s="8">
        <f>Renta_Alta!AR65+Masivo!AR65+Consumo_Inicial!AR65</f>
        <v>0</v>
      </c>
      <c r="AS65" s="8">
        <f>Renta_Alta!AS65+Masivo!AS65+Consumo_Inicial!AS65</f>
        <v>0</v>
      </c>
      <c r="AT65" s="8">
        <f>Renta_Alta!AT65+Masivo!AT65+Consumo_Inicial!AT65</f>
        <v>0</v>
      </c>
      <c r="AU65" s="8">
        <f>Renta_Alta!AU65+Masivo!AU65+Consumo_Inicial!AU65</f>
        <v>0</v>
      </c>
      <c r="AV65" s="8">
        <f>Renta_Alta!AV65+Masivo!AV65+Consumo_Inicial!AV65</f>
        <v>0</v>
      </c>
      <c r="AW65" s="8">
        <f>Renta_Alta!AW65+Masivo!AW65+Consumo_Inicial!AW65</f>
        <v>0</v>
      </c>
      <c r="AX65" s="8">
        <f>Renta_Alta!AX65+Masivo!AX65+Consumo_Inicial!AX65</f>
        <v>0</v>
      </c>
      <c r="AY65" s="8">
        <f>Renta_Alta!AY65+Masivo!AY65+Consumo_Inicial!AY65</f>
        <v>0</v>
      </c>
      <c r="AZ65" s="8">
        <f>Renta_Alta!AZ65+Masivo!AZ65+Consumo_Inicial!AZ65</f>
        <v>0</v>
      </c>
      <c r="BA65" s="8">
        <f>Renta_Alta!BA65+Masivo!BA65+Consumo_Inicial!BA65</f>
        <v>0</v>
      </c>
      <c r="BB65" s="8">
        <f>Renta_Alta!BB65+Masivo!BB65+Consumo_Inicial!BB65</f>
        <v>0</v>
      </c>
      <c r="BC65" s="8">
        <f>Renta_Alta!BC65+Masivo!BC65+Consumo_Inicial!BC65</f>
        <v>0</v>
      </c>
      <c r="BD65" s="8">
        <f>Renta_Alta!BD65+Masivo!BD65+Consumo_Inicial!BD65</f>
        <v>0</v>
      </c>
      <c r="BE65" s="8">
        <f>Renta_Alta!BE65+Masivo!BE65+Consumo_Inicial!BE65</f>
        <v>0</v>
      </c>
      <c r="BF65" s="8">
        <f>Renta_Alta!BF65+Masivo!BF65+Consumo_Inicial!BF65</f>
        <v>0</v>
      </c>
      <c r="BG65" s="8">
        <f>Renta_Alta!BG65+Masivo!BG65+Consumo_Inicial!BG65</f>
        <v>0</v>
      </c>
      <c r="BH65" s="8">
        <f>Renta_Alta!BH65+Masivo!BH65+Consumo_Inicial!BH65</f>
        <v>0</v>
      </c>
      <c r="BI65" s="8">
        <f>Renta_Alta!BI65+Masivo!BI65+Consumo_Inicial!BI65</f>
        <v>0</v>
      </c>
      <c r="BJ65" s="8">
        <f>Renta_Alta!BJ65+Masivo!BJ65+Consumo_Inicial!BJ65</f>
        <v>0</v>
      </c>
      <c r="BK65" s="8">
        <f>Renta_Alta!BK65+Masivo!BK65+Consumo_Inicial!BK65</f>
        <v>0</v>
      </c>
      <c r="BO65" s="24">
        <f t="shared" si="70"/>
        <v>0.54999999999999993</v>
      </c>
      <c r="BP65" s="24">
        <f t="shared" si="70"/>
        <v>0</v>
      </c>
      <c r="BQ65" s="24">
        <f t="shared" si="70"/>
        <v>0.25999999999999995</v>
      </c>
      <c r="BR65" s="24">
        <f t="shared" si="70"/>
        <v>0.17999999999800001</v>
      </c>
      <c r="BS65" s="24">
        <f t="shared" si="70"/>
        <v>-0.14967999996599998</v>
      </c>
      <c r="BT65" s="24">
        <f t="shared" si="70"/>
        <v>0.180000000035</v>
      </c>
    </row>
    <row r="66" spans="1:72" hidden="1" outlineLevel="1" x14ac:dyDescent="0.25">
      <c r="A66" s="59" t="s">
        <v>71</v>
      </c>
      <c r="C66" s="60"/>
      <c r="D66" s="8">
        <f>Renta_Alta!D66+Masivo!D66+Consumo_Inicial!D66</f>
        <v>0</v>
      </c>
      <c r="E66" s="8">
        <f>Renta_Alta!E66+Masivo!E66+Consumo_Inicial!E66</f>
        <v>0</v>
      </c>
      <c r="F66" s="8">
        <f>Renta_Alta!F66+Masivo!F66+Consumo_Inicial!F66</f>
        <v>0</v>
      </c>
      <c r="G66" s="8">
        <f>Renta_Alta!G66+Masivo!G66+Consumo_Inicial!G66</f>
        <v>0</v>
      </c>
      <c r="H66" s="8">
        <f>Renta_Alta!H66+Masivo!H66+Consumo_Inicial!H66</f>
        <v>0</v>
      </c>
      <c r="I66" s="8">
        <f>Renta_Alta!I66+Masivo!I66+Consumo_Inicial!I66</f>
        <v>0</v>
      </c>
      <c r="J66" s="8">
        <f>Renta_Alta!J66+Masivo!J66+Consumo_Inicial!J66</f>
        <v>0</v>
      </c>
      <c r="K66" s="8">
        <f>Renta_Alta!K66+Masivo!K66+Consumo_Inicial!K66</f>
        <v>0</v>
      </c>
      <c r="L66" s="8">
        <f>Renta_Alta!L66+Masivo!L66+Consumo_Inicial!L66</f>
        <v>0</v>
      </c>
      <c r="M66" s="8">
        <f>Renta_Alta!M66+Masivo!M66+Consumo_Inicial!M66</f>
        <v>0</v>
      </c>
      <c r="N66" s="8">
        <f>Renta_Alta!N66+Masivo!N66+Consumo_Inicial!N66</f>
        <v>0</v>
      </c>
      <c r="O66" s="8">
        <f>Renta_Alta!O66+Masivo!O66+Consumo_Inicial!O66</f>
        <v>0</v>
      </c>
      <c r="P66" s="8">
        <f>Renta_Alta!P66+Masivo!P66+Consumo_Inicial!P66</f>
        <v>0</v>
      </c>
      <c r="Q66" s="8">
        <f>Renta_Alta!Q66+Masivo!Q66+Consumo_Inicial!Q66</f>
        <v>0</v>
      </c>
      <c r="R66" s="8">
        <f>Renta_Alta!R66+Masivo!R66+Consumo_Inicial!R66</f>
        <v>0</v>
      </c>
      <c r="S66" s="8">
        <f>Renta_Alta!S66+Masivo!S66+Consumo_Inicial!S66</f>
        <v>0</v>
      </c>
      <c r="T66" s="8">
        <f>Renta_Alta!T66+Masivo!T66+Consumo_Inicial!T66</f>
        <v>0</v>
      </c>
      <c r="U66" s="8">
        <f>Renta_Alta!U66+Masivo!U66+Consumo_Inicial!U66</f>
        <v>0</v>
      </c>
      <c r="V66" s="8">
        <f>Renta_Alta!V66+Masivo!V66+Consumo_Inicial!V66</f>
        <v>0</v>
      </c>
      <c r="W66" s="8">
        <f>Renta_Alta!W66+Masivo!W66+Consumo_Inicial!W66</f>
        <v>0</v>
      </c>
      <c r="X66" s="8">
        <f>Renta_Alta!X66+Masivo!X66+Consumo_Inicial!X66</f>
        <v>0</v>
      </c>
      <c r="Y66" s="8">
        <f>Renta_Alta!Y66+Masivo!Y66+Consumo_Inicial!Y66</f>
        <v>0</v>
      </c>
      <c r="Z66" s="8">
        <f>Renta_Alta!Z66+Masivo!Z66+Consumo_Inicial!Z66</f>
        <v>0</v>
      </c>
      <c r="AA66" s="8">
        <f>Renta_Alta!AA66+Masivo!AA66+Consumo_Inicial!AA66</f>
        <v>0</v>
      </c>
      <c r="AB66" s="8">
        <f>Renta_Alta!AB66+Masivo!AB66+Consumo_Inicial!AB66</f>
        <v>0</v>
      </c>
      <c r="AC66" s="8">
        <f>Renta_Alta!AC66+Masivo!AC66+Consumo_Inicial!AC66</f>
        <v>0</v>
      </c>
      <c r="AD66" s="8">
        <f>Renta_Alta!AD66+Masivo!AD66+Consumo_Inicial!AD66</f>
        <v>0</v>
      </c>
      <c r="AE66" s="8">
        <f>Renta_Alta!AE66+Masivo!AE66+Consumo_Inicial!AE66</f>
        <v>0</v>
      </c>
      <c r="AF66" s="8">
        <f>Renta_Alta!AF66+Masivo!AF66+Consumo_Inicial!AF66</f>
        <v>0</v>
      </c>
      <c r="AG66" s="8">
        <f>Renta_Alta!AG66+Masivo!AG66+Consumo_Inicial!AG66</f>
        <v>0</v>
      </c>
      <c r="AH66" s="8">
        <f>Renta_Alta!AH66+Masivo!AH66+Consumo_Inicial!AH66</f>
        <v>0</v>
      </c>
      <c r="AI66" s="8">
        <f>Renta_Alta!AI66+Masivo!AI66+Consumo_Inicial!AI66</f>
        <v>0</v>
      </c>
      <c r="AJ66" s="8">
        <f>Renta_Alta!AJ66+Masivo!AJ66+Consumo_Inicial!AJ66</f>
        <v>0</v>
      </c>
      <c r="AK66" s="8">
        <f>Renta_Alta!AK66+Masivo!AK66+Consumo_Inicial!AK66</f>
        <v>0</v>
      </c>
      <c r="AL66" s="8">
        <f>Renta_Alta!AL66+Masivo!AL66+Consumo_Inicial!AL66</f>
        <v>0</v>
      </c>
      <c r="AM66" s="8">
        <f>Renta_Alta!AM66+Masivo!AM66+Consumo_Inicial!AM66</f>
        <v>0</v>
      </c>
      <c r="AN66" s="8">
        <f>Renta_Alta!AN66+Masivo!AN66+Consumo_Inicial!AN66</f>
        <v>0</v>
      </c>
      <c r="AO66" s="8">
        <f>Renta_Alta!AO66+Masivo!AO66+Consumo_Inicial!AO66</f>
        <v>0</v>
      </c>
      <c r="AP66" s="8">
        <f>Renta_Alta!AP66+Masivo!AP66+Consumo_Inicial!AP66</f>
        <v>0</v>
      </c>
      <c r="AQ66" s="8">
        <f>Renta_Alta!AQ66+Masivo!AQ66+Consumo_Inicial!AQ66</f>
        <v>0</v>
      </c>
      <c r="AR66" s="8">
        <f>Renta_Alta!AR66+Masivo!AR66+Consumo_Inicial!AR66</f>
        <v>0</v>
      </c>
      <c r="AS66" s="8">
        <f>Renta_Alta!AS66+Masivo!AS66+Consumo_Inicial!AS66</f>
        <v>0</v>
      </c>
      <c r="AT66" s="8">
        <f>Renta_Alta!AT66+Masivo!AT66+Consumo_Inicial!AT66</f>
        <v>0</v>
      </c>
      <c r="AU66" s="8">
        <f>Renta_Alta!AU66+Masivo!AU66+Consumo_Inicial!AU66</f>
        <v>0</v>
      </c>
      <c r="AV66" s="8">
        <f>Renta_Alta!AV66+Masivo!AV66+Consumo_Inicial!AV66</f>
        <v>0</v>
      </c>
      <c r="AW66" s="8">
        <f>Renta_Alta!AW66+Masivo!AW66+Consumo_Inicial!AW66</f>
        <v>0</v>
      </c>
      <c r="AX66" s="8">
        <f>Renta_Alta!AX66+Masivo!AX66+Consumo_Inicial!AX66</f>
        <v>0</v>
      </c>
      <c r="AY66" s="8">
        <f>Renta_Alta!AY66+Masivo!AY66+Consumo_Inicial!AY66</f>
        <v>0</v>
      </c>
      <c r="AZ66" s="8">
        <f>Renta_Alta!AZ66+Masivo!AZ66+Consumo_Inicial!AZ66</f>
        <v>0</v>
      </c>
      <c r="BA66" s="8">
        <f>Renta_Alta!BA66+Masivo!BA66+Consumo_Inicial!BA66</f>
        <v>0</v>
      </c>
      <c r="BB66" s="8">
        <f>Renta_Alta!BB66+Masivo!BB66+Consumo_Inicial!BB66</f>
        <v>0</v>
      </c>
      <c r="BC66" s="8">
        <f>Renta_Alta!BC66+Masivo!BC66+Consumo_Inicial!BC66</f>
        <v>0</v>
      </c>
      <c r="BD66" s="8">
        <f>Renta_Alta!BD66+Masivo!BD66+Consumo_Inicial!BD66</f>
        <v>0</v>
      </c>
      <c r="BE66" s="8">
        <f>Renta_Alta!BE66+Masivo!BE66+Consumo_Inicial!BE66</f>
        <v>0</v>
      </c>
      <c r="BF66" s="8">
        <f>Renta_Alta!BF66+Masivo!BF66+Consumo_Inicial!BF66</f>
        <v>0</v>
      </c>
      <c r="BG66" s="8">
        <f>Renta_Alta!BG66+Masivo!BG66+Consumo_Inicial!BG66</f>
        <v>0</v>
      </c>
      <c r="BH66" s="8">
        <f>Renta_Alta!BH66+Masivo!BH66+Consumo_Inicial!BH66</f>
        <v>0</v>
      </c>
      <c r="BI66" s="8">
        <f>Renta_Alta!BI66+Masivo!BI66+Consumo_Inicial!BI66</f>
        <v>0</v>
      </c>
      <c r="BJ66" s="8">
        <f>Renta_Alta!BJ66+Masivo!BJ66+Consumo_Inicial!BJ66</f>
        <v>0</v>
      </c>
      <c r="BK66" s="8">
        <f>Renta_Alta!BK66+Masivo!BK66+Consumo_Inicial!BK66</f>
        <v>0</v>
      </c>
      <c r="BO66" s="24">
        <f t="shared" si="70"/>
        <v>0</v>
      </c>
      <c r="BP66" s="24">
        <f t="shared" si="70"/>
        <v>0</v>
      </c>
      <c r="BQ66" s="24">
        <f t="shared" si="70"/>
        <v>0</v>
      </c>
      <c r="BR66" s="24">
        <f t="shared" si="70"/>
        <v>0</v>
      </c>
      <c r="BS66" s="24">
        <f t="shared" si="70"/>
        <v>0</v>
      </c>
      <c r="BT66" s="24">
        <f t="shared" si="70"/>
        <v>0</v>
      </c>
    </row>
    <row r="67" spans="1:72" hidden="1" outlineLevel="1" x14ac:dyDescent="0.25">
      <c r="A67" s="59" t="s">
        <v>71</v>
      </c>
      <c r="C67" s="60"/>
      <c r="D67" s="8">
        <f>Renta_Alta!D67+Masivo!D67+Consumo_Inicial!D67</f>
        <v>0</v>
      </c>
      <c r="E67" s="8">
        <f>Renta_Alta!E67+Masivo!E67+Consumo_Inicial!E67</f>
        <v>0</v>
      </c>
      <c r="F67" s="8">
        <f>Renta_Alta!F67+Masivo!F67+Consumo_Inicial!F67</f>
        <v>0</v>
      </c>
      <c r="G67" s="8">
        <f>Renta_Alta!G67+Masivo!G67+Consumo_Inicial!G67</f>
        <v>0</v>
      </c>
      <c r="H67" s="8">
        <f>Renta_Alta!H67+Masivo!H67+Consumo_Inicial!H67</f>
        <v>0</v>
      </c>
      <c r="I67" s="8">
        <f>Renta_Alta!I67+Masivo!I67+Consumo_Inicial!I67</f>
        <v>0</v>
      </c>
      <c r="J67" s="8">
        <f>Renta_Alta!J67+Masivo!J67+Consumo_Inicial!J67</f>
        <v>0</v>
      </c>
      <c r="K67" s="8">
        <f>Renta_Alta!K67+Masivo!K67+Consumo_Inicial!K67</f>
        <v>0</v>
      </c>
      <c r="L67" s="8">
        <f>Renta_Alta!L67+Masivo!L67+Consumo_Inicial!L67</f>
        <v>0</v>
      </c>
      <c r="M67" s="8">
        <f>Renta_Alta!M67+Masivo!M67+Consumo_Inicial!M67</f>
        <v>0</v>
      </c>
      <c r="N67" s="8">
        <f>Renta_Alta!N67+Masivo!N67+Consumo_Inicial!N67</f>
        <v>0</v>
      </c>
      <c r="O67" s="8">
        <f>Renta_Alta!O67+Masivo!O67+Consumo_Inicial!O67</f>
        <v>0</v>
      </c>
      <c r="P67" s="8">
        <f>Renta_Alta!P67+Masivo!P67+Consumo_Inicial!P67</f>
        <v>0</v>
      </c>
      <c r="Q67" s="8">
        <f>Renta_Alta!Q67+Masivo!Q67+Consumo_Inicial!Q67</f>
        <v>0</v>
      </c>
      <c r="R67" s="8">
        <f>Renta_Alta!R67+Masivo!R67+Consumo_Inicial!R67</f>
        <v>0</v>
      </c>
      <c r="S67" s="8">
        <f>Renta_Alta!S67+Masivo!S67+Consumo_Inicial!S67</f>
        <v>0</v>
      </c>
      <c r="T67" s="8">
        <f>Renta_Alta!T67+Masivo!T67+Consumo_Inicial!T67</f>
        <v>0</v>
      </c>
      <c r="U67" s="8">
        <f>Renta_Alta!U67+Masivo!U67+Consumo_Inicial!U67</f>
        <v>0</v>
      </c>
      <c r="V67" s="8">
        <f>Renta_Alta!V67+Masivo!V67+Consumo_Inicial!V67</f>
        <v>0</v>
      </c>
      <c r="W67" s="8">
        <f>Renta_Alta!W67+Masivo!W67+Consumo_Inicial!W67</f>
        <v>0</v>
      </c>
      <c r="X67" s="8">
        <f>Renta_Alta!X67+Masivo!X67+Consumo_Inicial!X67</f>
        <v>0</v>
      </c>
      <c r="Y67" s="8">
        <f>Renta_Alta!Y67+Masivo!Y67+Consumo_Inicial!Y67</f>
        <v>0</v>
      </c>
      <c r="Z67" s="8">
        <f>Renta_Alta!Z67+Masivo!Z67+Consumo_Inicial!Z67</f>
        <v>0</v>
      </c>
      <c r="AA67" s="8">
        <f>Renta_Alta!AA67+Masivo!AA67+Consumo_Inicial!AA67</f>
        <v>0</v>
      </c>
      <c r="AB67" s="8">
        <f>Renta_Alta!AB67+Masivo!AB67+Consumo_Inicial!AB67</f>
        <v>0</v>
      </c>
      <c r="AC67" s="8">
        <f>Renta_Alta!AC67+Masivo!AC67+Consumo_Inicial!AC67</f>
        <v>0</v>
      </c>
      <c r="AD67" s="8">
        <f>Renta_Alta!AD67+Masivo!AD67+Consumo_Inicial!AD67</f>
        <v>0</v>
      </c>
      <c r="AE67" s="8">
        <f>Renta_Alta!AE67+Masivo!AE67+Consumo_Inicial!AE67</f>
        <v>0</v>
      </c>
      <c r="AF67" s="8">
        <f>Renta_Alta!AF67+Masivo!AF67+Consumo_Inicial!AF67</f>
        <v>0</v>
      </c>
      <c r="AG67" s="8">
        <f>Renta_Alta!AG67+Masivo!AG67+Consumo_Inicial!AG67</f>
        <v>0</v>
      </c>
      <c r="AH67" s="8">
        <f>Renta_Alta!AH67+Masivo!AH67+Consumo_Inicial!AH67</f>
        <v>0</v>
      </c>
      <c r="AI67" s="8">
        <f>Renta_Alta!AI67+Masivo!AI67+Consumo_Inicial!AI67</f>
        <v>0</v>
      </c>
      <c r="AJ67" s="8">
        <f>Renta_Alta!AJ67+Masivo!AJ67+Consumo_Inicial!AJ67</f>
        <v>0</v>
      </c>
      <c r="AK67" s="8">
        <f>Renta_Alta!AK67+Masivo!AK67+Consumo_Inicial!AK67</f>
        <v>0</v>
      </c>
      <c r="AL67" s="8">
        <f>Renta_Alta!AL67+Masivo!AL67+Consumo_Inicial!AL67</f>
        <v>0</v>
      </c>
      <c r="AM67" s="8">
        <f>Renta_Alta!AM67+Masivo!AM67+Consumo_Inicial!AM67</f>
        <v>0</v>
      </c>
      <c r="AN67" s="8">
        <f>Renta_Alta!AN67+Masivo!AN67+Consumo_Inicial!AN67</f>
        <v>0</v>
      </c>
      <c r="AO67" s="8">
        <f>Renta_Alta!AO67+Masivo!AO67+Consumo_Inicial!AO67</f>
        <v>0</v>
      </c>
      <c r="AP67" s="8">
        <f>Renta_Alta!AP67+Masivo!AP67+Consumo_Inicial!AP67</f>
        <v>0</v>
      </c>
      <c r="AQ67" s="8">
        <f>Renta_Alta!AQ67+Masivo!AQ67+Consumo_Inicial!AQ67</f>
        <v>0</v>
      </c>
      <c r="AR67" s="8">
        <f>Renta_Alta!AR67+Masivo!AR67+Consumo_Inicial!AR67</f>
        <v>0</v>
      </c>
      <c r="AS67" s="8">
        <f>Renta_Alta!AS67+Masivo!AS67+Consumo_Inicial!AS67</f>
        <v>0</v>
      </c>
      <c r="AT67" s="8">
        <f>Renta_Alta!AT67+Masivo!AT67+Consumo_Inicial!AT67</f>
        <v>0</v>
      </c>
      <c r="AU67" s="8">
        <f>Renta_Alta!AU67+Masivo!AU67+Consumo_Inicial!AU67</f>
        <v>0</v>
      </c>
      <c r="AV67" s="8">
        <f>Renta_Alta!AV67+Masivo!AV67+Consumo_Inicial!AV67</f>
        <v>0</v>
      </c>
      <c r="AW67" s="8">
        <f>Renta_Alta!AW67+Masivo!AW67+Consumo_Inicial!AW67</f>
        <v>0</v>
      </c>
      <c r="AX67" s="8">
        <f>Renta_Alta!AX67+Masivo!AX67+Consumo_Inicial!AX67</f>
        <v>0</v>
      </c>
      <c r="AY67" s="8">
        <f>Renta_Alta!AY67+Masivo!AY67+Consumo_Inicial!AY67</f>
        <v>0</v>
      </c>
      <c r="AZ67" s="8">
        <f>Renta_Alta!AZ67+Masivo!AZ67+Consumo_Inicial!AZ67</f>
        <v>0</v>
      </c>
      <c r="BA67" s="8">
        <f>Renta_Alta!BA67+Masivo!BA67+Consumo_Inicial!BA67</f>
        <v>0</v>
      </c>
      <c r="BB67" s="8">
        <f>Renta_Alta!BB67+Masivo!BB67+Consumo_Inicial!BB67</f>
        <v>0</v>
      </c>
      <c r="BC67" s="8">
        <f>Renta_Alta!BC67+Masivo!BC67+Consumo_Inicial!BC67</f>
        <v>0</v>
      </c>
      <c r="BD67" s="8">
        <f>Renta_Alta!BD67+Masivo!BD67+Consumo_Inicial!BD67</f>
        <v>0</v>
      </c>
      <c r="BE67" s="8">
        <f>Renta_Alta!BE67+Masivo!BE67+Consumo_Inicial!BE67</f>
        <v>0</v>
      </c>
      <c r="BF67" s="8">
        <f>Renta_Alta!BF67+Masivo!BF67+Consumo_Inicial!BF67</f>
        <v>0</v>
      </c>
      <c r="BG67" s="8">
        <f>Renta_Alta!BG67+Masivo!BG67+Consumo_Inicial!BG67</f>
        <v>0</v>
      </c>
      <c r="BH67" s="8">
        <f>Renta_Alta!BH67+Masivo!BH67+Consumo_Inicial!BH67</f>
        <v>0</v>
      </c>
      <c r="BI67" s="8">
        <f>Renta_Alta!BI67+Masivo!BI67+Consumo_Inicial!BI67</f>
        <v>0</v>
      </c>
      <c r="BJ67" s="8">
        <f>Renta_Alta!BJ67+Masivo!BJ67+Consumo_Inicial!BJ67</f>
        <v>0</v>
      </c>
      <c r="BK67" s="8">
        <f>Renta_Alta!BK67+Masivo!BK67+Consumo_Inicial!BK67</f>
        <v>0</v>
      </c>
      <c r="BO67" s="24">
        <f t="shared" si="70"/>
        <v>0</v>
      </c>
      <c r="BP67" s="24">
        <f t="shared" si="70"/>
        <v>0</v>
      </c>
      <c r="BQ67" s="24">
        <f t="shared" si="70"/>
        <v>0</v>
      </c>
      <c r="BR67" s="24">
        <f t="shared" si="70"/>
        <v>0</v>
      </c>
      <c r="BS67" s="24">
        <f t="shared" si="70"/>
        <v>0</v>
      </c>
      <c r="BT67" s="24">
        <f t="shared" si="70"/>
        <v>0</v>
      </c>
    </row>
    <row r="68" spans="1:72" hidden="1" outlineLevel="1" x14ac:dyDescent="0.25">
      <c r="A68" s="59" t="s">
        <v>71</v>
      </c>
      <c r="C68" s="60"/>
      <c r="D68" s="8">
        <f>Renta_Alta!D68+Masivo!D68+Consumo_Inicial!D68</f>
        <v>0</v>
      </c>
      <c r="E68" s="8">
        <f>Renta_Alta!E68+Masivo!E68+Consumo_Inicial!E68</f>
        <v>0</v>
      </c>
      <c r="F68" s="8">
        <f>Renta_Alta!F68+Masivo!F68+Consumo_Inicial!F68</f>
        <v>0</v>
      </c>
      <c r="G68" s="8">
        <f>Renta_Alta!G68+Masivo!G68+Consumo_Inicial!G68</f>
        <v>0</v>
      </c>
      <c r="H68" s="8">
        <f>Renta_Alta!H68+Masivo!H68+Consumo_Inicial!H68</f>
        <v>0</v>
      </c>
      <c r="I68" s="8">
        <f>Renta_Alta!I68+Masivo!I68+Consumo_Inicial!I68</f>
        <v>0</v>
      </c>
      <c r="J68" s="8">
        <f>Renta_Alta!J68+Masivo!J68+Consumo_Inicial!J68</f>
        <v>0</v>
      </c>
      <c r="K68" s="8">
        <f>Renta_Alta!K68+Masivo!K68+Consumo_Inicial!K68</f>
        <v>0</v>
      </c>
      <c r="L68" s="8">
        <f>Renta_Alta!L68+Masivo!L68+Consumo_Inicial!L68</f>
        <v>0</v>
      </c>
      <c r="M68" s="8">
        <f>Renta_Alta!M68+Masivo!M68+Consumo_Inicial!M68</f>
        <v>0</v>
      </c>
      <c r="N68" s="8">
        <f>Renta_Alta!N68+Masivo!N68+Consumo_Inicial!N68</f>
        <v>0</v>
      </c>
      <c r="O68" s="8">
        <f>Renta_Alta!O68+Masivo!O68+Consumo_Inicial!O68</f>
        <v>0</v>
      </c>
      <c r="P68" s="8">
        <f>Renta_Alta!P68+Masivo!P68+Consumo_Inicial!P68</f>
        <v>0</v>
      </c>
      <c r="Q68" s="8">
        <f>Renta_Alta!Q68+Masivo!Q68+Consumo_Inicial!Q68</f>
        <v>0</v>
      </c>
      <c r="R68" s="8">
        <f>Renta_Alta!R68+Masivo!R68+Consumo_Inicial!R68</f>
        <v>0</v>
      </c>
      <c r="S68" s="8">
        <f>Renta_Alta!S68+Masivo!S68+Consumo_Inicial!S68</f>
        <v>0</v>
      </c>
      <c r="T68" s="8">
        <f>Renta_Alta!T68+Masivo!T68+Consumo_Inicial!T68</f>
        <v>0</v>
      </c>
      <c r="U68" s="8">
        <f>Renta_Alta!U68+Masivo!U68+Consumo_Inicial!U68</f>
        <v>0</v>
      </c>
      <c r="V68" s="8">
        <f>Renta_Alta!V68+Masivo!V68+Consumo_Inicial!V68</f>
        <v>0</v>
      </c>
      <c r="W68" s="8">
        <f>Renta_Alta!W68+Masivo!W68+Consumo_Inicial!W68</f>
        <v>0</v>
      </c>
      <c r="X68" s="8">
        <f>Renta_Alta!X68+Masivo!X68+Consumo_Inicial!X68</f>
        <v>0</v>
      </c>
      <c r="Y68" s="8">
        <f>Renta_Alta!Y68+Masivo!Y68+Consumo_Inicial!Y68</f>
        <v>0</v>
      </c>
      <c r="Z68" s="8">
        <f>Renta_Alta!Z68+Masivo!Z68+Consumo_Inicial!Z68</f>
        <v>0</v>
      </c>
      <c r="AA68" s="8">
        <f>Renta_Alta!AA68+Masivo!AA68+Consumo_Inicial!AA68</f>
        <v>0</v>
      </c>
      <c r="AB68" s="8">
        <f>Renta_Alta!AB68+Masivo!AB68+Consumo_Inicial!AB68</f>
        <v>0</v>
      </c>
      <c r="AC68" s="8">
        <f>Renta_Alta!AC68+Masivo!AC68+Consumo_Inicial!AC68</f>
        <v>0</v>
      </c>
      <c r="AD68" s="8">
        <f>Renta_Alta!AD68+Masivo!AD68+Consumo_Inicial!AD68</f>
        <v>0</v>
      </c>
      <c r="AE68" s="8">
        <f>Renta_Alta!AE68+Masivo!AE68+Consumo_Inicial!AE68</f>
        <v>0</v>
      </c>
      <c r="AF68" s="8">
        <f>Renta_Alta!AF68+Masivo!AF68+Consumo_Inicial!AF68</f>
        <v>0</v>
      </c>
      <c r="AG68" s="8">
        <f>Renta_Alta!AG68+Masivo!AG68+Consumo_Inicial!AG68</f>
        <v>0</v>
      </c>
      <c r="AH68" s="8">
        <f>Renta_Alta!AH68+Masivo!AH68+Consumo_Inicial!AH68</f>
        <v>0</v>
      </c>
      <c r="AI68" s="8">
        <f>Renta_Alta!AI68+Masivo!AI68+Consumo_Inicial!AI68</f>
        <v>0</v>
      </c>
      <c r="AJ68" s="8">
        <f>Renta_Alta!AJ68+Masivo!AJ68+Consumo_Inicial!AJ68</f>
        <v>0</v>
      </c>
      <c r="AK68" s="8">
        <f>Renta_Alta!AK68+Masivo!AK68+Consumo_Inicial!AK68</f>
        <v>0</v>
      </c>
      <c r="AL68" s="8">
        <f>Renta_Alta!AL68+Masivo!AL68+Consumo_Inicial!AL68</f>
        <v>0</v>
      </c>
      <c r="AM68" s="8">
        <f>Renta_Alta!AM68+Masivo!AM68+Consumo_Inicial!AM68</f>
        <v>0</v>
      </c>
      <c r="AN68" s="8">
        <f>Renta_Alta!AN68+Masivo!AN68+Consumo_Inicial!AN68</f>
        <v>0</v>
      </c>
      <c r="AO68" s="8">
        <f>Renta_Alta!AO68+Masivo!AO68+Consumo_Inicial!AO68</f>
        <v>0</v>
      </c>
      <c r="AP68" s="8">
        <f>Renta_Alta!AP68+Masivo!AP68+Consumo_Inicial!AP68</f>
        <v>0</v>
      </c>
      <c r="AQ68" s="8">
        <f>Renta_Alta!AQ68+Masivo!AQ68+Consumo_Inicial!AQ68</f>
        <v>0</v>
      </c>
      <c r="AR68" s="8">
        <f>Renta_Alta!AR68+Masivo!AR68+Consumo_Inicial!AR68</f>
        <v>0</v>
      </c>
      <c r="AS68" s="8">
        <f>Renta_Alta!AS68+Masivo!AS68+Consumo_Inicial!AS68</f>
        <v>0</v>
      </c>
      <c r="AT68" s="8">
        <f>Renta_Alta!AT68+Masivo!AT68+Consumo_Inicial!AT68</f>
        <v>0</v>
      </c>
      <c r="AU68" s="8">
        <f>Renta_Alta!AU68+Masivo!AU68+Consumo_Inicial!AU68</f>
        <v>0</v>
      </c>
      <c r="AV68" s="8">
        <f>Renta_Alta!AV68+Masivo!AV68+Consumo_Inicial!AV68</f>
        <v>0</v>
      </c>
      <c r="AW68" s="8">
        <f>Renta_Alta!AW68+Masivo!AW68+Consumo_Inicial!AW68</f>
        <v>0</v>
      </c>
      <c r="AX68" s="8">
        <f>Renta_Alta!AX68+Masivo!AX68+Consumo_Inicial!AX68</f>
        <v>0</v>
      </c>
      <c r="AY68" s="8">
        <f>Renta_Alta!AY68+Masivo!AY68+Consumo_Inicial!AY68</f>
        <v>0</v>
      </c>
      <c r="AZ68" s="8">
        <f>Renta_Alta!AZ68+Masivo!AZ68+Consumo_Inicial!AZ68</f>
        <v>0</v>
      </c>
      <c r="BA68" s="8">
        <f>Renta_Alta!BA68+Masivo!BA68+Consumo_Inicial!BA68</f>
        <v>0</v>
      </c>
      <c r="BB68" s="8">
        <f>Renta_Alta!BB68+Masivo!BB68+Consumo_Inicial!BB68</f>
        <v>0</v>
      </c>
      <c r="BC68" s="8">
        <f>Renta_Alta!BC68+Masivo!BC68+Consumo_Inicial!BC68</f>
        <v>0</v>
      </c>
      <c r="BD68" s="8">
        <f>Renta_Alta!BD68+Masivo!BD68+Consumo_Inicial!BD68</f>
        <v>0</v>
      </c>
      <c r="BE68" s="8">
        <f>Renta_Alta!BE68+Masivo!BE68+Consumo_Inicial!BE68</f>
        <v>0</v>
      </c>
      <c r="BF68" s="8">
        <f>Renta_Alta!BF68+Masivo!BF68+Consumo_Inicial!BF68</f>
        <v>0</v>
      </c>
      <c r="BG68" s="8">
        <f>Renta_Alta!BG68+Masivo!BG68+Consumo_Inicial!BG68</f>
        <v>0</v>
      </c>
      <c r="BH68" s="8">
        <f>Renta_Alta!BH68+Masivo!BH68+Consumo_Inicial!BH68</f>
        <v>0</v>
      </c>
      <c r="BI68" s="8">
        <f>Renta_Alta!BI68+Masivo!BI68+Consumo_Inicial!BI68</f>
        <v>0</v>
      </c>
      <c r="BJ68" s="8">
        <f>Renta_Alta!BJ68+Masivo!BJ68+Consumo_Inicial!BJ68</f>
        <v>0</v>
      </c>
      <c r="BK68" s="8">
        <f>Renta_Alta!BK68+Masivo!BK68+Consumo_Inicial!BK68</f>
        <v>0</v>
      </c>
      <c r="BO68" s="24">
        <f t="shared" si="70"/>
        <v>0</v>
      </c>
      <c r="BP68" s="24">
        <f t="shared" si="70"/>
        <v>0</v>
      </c>
      <c r="BQ68" s="24">
        <f t="shared" si="70"/>
        <v>0</v>
      </c>
      <c r="BR68" s="24">
        <f t="shared" si="70"/>
        <v>0</v>
      </c>
      <c r="BS68" s="24">
        <f t="shared" si="70"/>
        <v>0</v>
      </c>
      <c r="BT68" s="24">
        <f t="shared" si="70"/>
        <v>0</v>
      </c>
    </row>
    <row r="69" spans="1:72" hidden="1" outlineLevel="1" x14ac:dyDescent="0.25">
      <c r="A69" s="59" t="s">
        <v>71</v>
      </c>
      <c r="C69" s="60"/>
      <c r="D69" s="8">
        <f>Renta_Alta!D69+Masivo!D69+Consumo_Inicial!D69</f>
        <v>0</v>
      </c>
      <c r="E69" s="8">
        <f>Renta_Alta!E69+Masivo!E69+Consumo_Inicial!E69</f>
        <v>0</v>
      </c>
      <c r="F69" s="8">
        <f>Renta_Alta!F69+Masivo!F69+Consumo_Inicial!F69</f>
        <v>0</v>
      </c>
      <c r="G69" s="8">
        <f>Renta_Alta!G69+Masivo!G69+Consumo_Inicial!G69</f>
        <v>0</v>
      </c>
      <c r="H69" s="8">
        <f>Renta_Alta!H69+Masivo!H69+Consumo_Inicial!H69</f>
        <v>0</v>
      </c>
      <c r="I69" s="8">
        <f>Renta_Alta!I69+Masivo!I69+Consumo_Inicial!I69</f>
        <v>0</v>
      </c>
      <c r="J69" s="8">
        <f>Renta_Alta!J69+Masivo!J69+Consumo_Inicial!J69</f>
        <v>0</v>
      </c>
      <c r="K69" s="8">
        <f>Renta_Alta!K69+Masivo!K69+Consumo_Inicial!K69</f>
        <v>0</v>
      </c>
      <c r="L69" s="8">
        <f>Renta_Alta!L69+Masivo!L69+Consumo_Inicial!L69</f>
        <v>0</v>
      </c>
      <c r="M69" s="8">
        <f>Renta_Alta!M69+Masivo!M69+Consumo_Inicial!M69</f>
        <v>0</v>
      </c>
      <c r="N69" s="8">
        <f>Renta_Alta!N69+Masivo!N69+Consumo_Inicial!N69</f>
        <v>0</v>
      </c>
      <c r="O69" s="8">
        <f>Renta_Alta!O69+Masivo!O69+Consumo_Inicial!O69</f>
        <v>0</v>
      </c>
      <c r="P69" s="8">
        <f>Renta_Alta!P69+Masivo!P69+Consumo_Inicial!P69</f>
        <v>0</v>
      </c>
      <c r="Q69" s="8">
        <f>Renta_Alta!Q69+Masivo!Q69+Consumo_Inicial!Q69</f>
        <v>0</v>
      </c>
      <c r="R69" s="8">
        <f>Renta_Alta!R69+Masivo!R69+Consumo_Inicial!R69</f>
        <v>0</v>
      </c>
      <c r="S69" s="8">
        <f>Renta_Alta!S69+Masivo!S69+Consumo_Inicial!S69</f>
        <v>0</v>
      </c>
      <c r="T69" s="8">
        <f>Renta_Alta!T69+Masivo!T69+Consumo_Inicial!T69</f>
        <v>0</v>
      </c>
      <c r="U69" s="8">
        <f>Renta_Alta!U69+Masivo!U69+Consumo_Inicial!U69</f>
        <v>0</v>
      </c>
      <c r="V69" s="8">
        <f>Renta_Alta!V69+Masivo!V69+Consumo_Inicial!V69</f>
        <v>0</v>
      </c>
      <c r="W69" s="8">
        <f>Renta_Alta!W69+Masivo!W69+Consumo_Inicial!W69</f>
        <v>0</v>
      </c>
      <c r="X69" s="8">
        <f>Renta_Alta!X69+Masivo!X69+Consumo_Inicial!X69</f>
        <v>0</v>
      </c>
      <c r="Y69" s="8">
        <f>Renta_Alta!Y69+Masivo!Y69+Consumo_Inicial!Y69</f>
        <v>0</v>
      </c>
      <c r="Z69" s="8">
        <f>Renta_Alta!Z69+Masivo!Z69+Consumo_Inicial!Z69</f>
        <v>0</v>
      </c>
      <c r="AA69" s="8">
        <f>Renta_Alta!AA69+Masivo!AA69+Consumo_Inicial!AA69</f>
        <v>0</v>
      </c>
      <c r="AB69" s="8">
        <f>Renta_Alta!AB69+Masivo!AB69+Consumo_Inicial!AB69</f>
        <v>0</v>
      </c>
      <c r="AC69" s="8">
        <f>Renta_Alta!AC69+Masivo!AC69+Consumo_Inicial!AC69</f>
        <v>0</v>
      </c>
      <c r="AD69" s="8">
        <f>Renta_Alta!AD69+Masivo!AD69+Consumo_Inicial!AD69</f>
        <v>0</v>
      </c>
      <c r="AE69" s="8">
        <f>Renta_Alta!AE69+Masivo!AE69+Consumo_Inicial!AE69</f>
        <v>0</v>
      </c>
      <c r="AF69" s="8">
        <f>Renta_Alta!AF69+Masivo!AF69+Consumo_Inicial!AF69</f>
        <v>0</v>
      </c>
      <c r="AG69" s="8">
        <f>Renta_Alta!AG69+Masivo!AG69+Consumo_Inicial!AG69</f>
        <v>0</v>
      </c>
      <c r="AH69" s="8">
        <f>Renta_Alta!AH69+Masivo!AH69+Consumo_Inicial!AH69</f>
        <v>0</v>
      </c>
      <c r="AI69" s="8">
        <f>Renta_Alta!AI69+Masivo!AI69+Consumo_Inicial!AI69</f>
        <v>0</v>
      </c>
      <c r="AJ69" s="8">
        <f>Renta_Alta!AJ69+Masivo!AJ69+Consumo_Inicial!AJ69</f>
        <v>0</v>
      </c>
      <c r="AK69" s="8">
        <f>Renta_Alta!AK69+Masivo!AK69+Consumo_Inicial!AK69</f>
        <v>0</v>
      </c>
      <c r="AL69" s="8">
        <f>Renta_Alta!AL69+Masivo!AL69+Consumo_Inicial!AL69</f>
        <v>0</v>
      </c>
      <c r="AM69" s="8">
        <f>Renta_Alta!AM69+Masivo!AM69+Consumo_Inicial!AM69</f>
        <v>0</v>
      </c>
      <c r="AN69" s="8">
        <f>Renta_Alta!AN69+Masivo!AN69+Consumo_Inicial!AN69</f>
        <v>0</v>
      </c>
      <c r="AO69" s="8">
        <f>Renta_Alta!AO69+Masivo!AO69+Consumo_Inicial!AO69</f>
        <v>0</v>
      </c>
      <c r="AP69" s="8">
        <f>Renta_Alta!AP69+Masivo!AP69+Consumo_Inicial!AP69</f>
        <v>0</v>
      </c>
      <c r="AQ69" s="8">
        <f>Renta_Alta!AQ69+Masivo!AQ69+Consumo_Inicial!AQ69</f>
        <v>0</v>
      </c>
      <c r="AR69" s="8">
        <f>Renta_Alta!AR69+Masivo!AR69+Consumo_Inicial!AR69</f>
        <v>0</v>
      </c>
      <c r="AS69" s="8">
        <f>Renta_Alta!AS69+Masivo!AS69+Consumo_Inicial!AS69</f>
        <v>0</v>
      </c>
      <c r="AT69" s="8">
        <f>Renta_Alta!AT69+Masivo!AT69+Consumo_Inicial!AT69</f>
        <v>0</v>
      </c>
      <c r="AU69" s="8">
        <f>Renta_Alta!AU69+Masivo!AU69+Consumo_Inicial!AU69</f>
        <v>0</v>
      </c>
      <c r="AV69" s="8">
        <f>Renta_Alta!AV69+Masivo!AV69+Consumo_Inicial!AV69</f>
        <v>0</v>
      </c>
      <c r="AW69" s="8">
        <f>Renta_Alta!AW69+Masivo!AW69+Consumo_Inicial!AW69</f>
        <v>0</v>
      </c>
      <c r="AX69" s="8">
        <f>Renta_Alta!AX69+Masivo!AX69+Consumo_Inicial!AX69</f>
        <v>0</v>
      </c>
      <c r="AY69" s="8">
        <f>Renta_Alta!AY69+Masivo!AY69+Consumo_Inicial!AY69</f>
        <v>0</v>
      </c>
      <c r="AZ69" s="8">
        <f>Renta_Alta!AZ69+Masivo!AZ69+Consumo_Inicial!AZ69</f>
        <v>0</v>
      </c>
      <c r="BA69" s="8">
        <f>Renta_Alta!BA69+Masivo!BA69+Consumo_Inicial!BA69</f>
        <v>0</v>
      </c>
      <c r="BB69" s="8">
        <f>Renta_Alta!BB69+Masivo!BB69+Consumo_Inicial!BB69</f>
        <v>0</v>
      </c>
      <c r="BC69" s="8">
        <f>Renta_Alta!BC69+Masivo!BC69+Consumo_Inicial!BC69</f>
        <v>0</v>
      </c>
      <c r="BD69" s="8">
        <f>Renta_Alta!BD69+Masivo!BD69+Consumo_Inicial!BD69</f>
        <v>0</v>
      </c>
      <c r="BE69" s="8">
        <f>Renta_Alta!BE69+Masivo!BE69+Consumo_Inicial!BE69</f>
        <v>0</v>
      </c>
      <c r="BF69" s="8">
        <f>Renta_Alta!BF69+Masivo!BF69+Consumo_Inicial!BF69</f>
        <v>0</v>
      </c>
      <c r="BG69" s="8">
        <f>Renta_Alta!BG69+Masivo!BG69+Consumo_Inicial!BG69</f>
        <v>0</v>
      </c>
      <c r="BH69" s="8">
        <f>Renta_Alta!BH69+Masivo!BH69+Consumo_Inicial!BH69</f>
        <v>0</v>
      </c>
      <c r="BI69" s="8">
        <f>Renta_Alta!BI69+Masivo!BI69+Consumo_Inicial!BI69</f>
        <v>0</v>
      </c>
      <c r="BJ69" s="8">
        <f>Renta_Alta!BJ69+Masivo!BJ69+Consumo_Inicial!BJ69</f>
        <v>0</v>
      </c>
      <c r="BK69" s="8">
        <f>Renta_Alta!BK69+Masivo!BK69+Consumo_Inicial!BK69</f>
        <v>0</v>
      </c>
      <c r="BO69" s="24">
        <f t="shared" si="70"/>
        <v>0</v>
      </c>
      <c r="BP69" s="24">
        <f t="shared" si="70"/>
        <v>0</v>
      </c>
      <c r="BQ69" s="24">
        <f t="shared" si="70"/>
        <v>0</v>
      </c>
      <c r="BR69" s="24">
        <f t="shared" si="70"/>
        <v>0</v>
      </c>
      <c r="BS69" s="24">
        <f t="shared" si="70"/>
        <v>0</v>
      </c>
      <c r="BT69" s="24">
        <f t="shared" si="70"/>
        <v>0</v>
      </c>
    </row>
    <row r="70" spans="1:72" hidden="1" outlineLevel="1" x14ac:dyDescent="0.25">
      <c r="A70" s="59" t="s">
        <v>71</v>
      </c>
      <c r="C70" s="60"/>
      <c r="D70" s="8">
        <f>Renta_Alta!D70+Masivo!D70+Consumo_Inicial!D70</f>
        <v>0</v>
      </c>
      <c r="E70" s="8">
        <f>Renta_Alta!E70+Masivo!E70+Consumo_Inicial!E70</f>
        <v>0</v>
      </c>
      <c r="F70" s="8">
        <f>Renta_Alta!F70+Masivo!F70+Consumo_Inicial!F70</f>
        <v>0</v>
      </c>
      <c r="G70" s="8">
        <f>Renta_Alta!G70+Masivo!G70+Consumo_Inicial!G70</f>
        <v>0</v>
      </c>
      <c r="H70" s="8">
        <f>Renta_Alta!H70+Masivo!H70+Consumo_Inicial!H70</f>
        <v>0</v>
      </c>
      <c r="I70" s="8">
        <f>Renta_Alta!I70+Masivo!I70+Consumo_Inicial!I70</f>
        <v>0</v>
      </c>
      <c r="J70" s="8">
        <f>Renta_Alta!J70+Masivo!J70+Consumo_Inicial!J70</f>
        <v>0</v>
      </c>
      <c r="K70" s="8">
        <f>Renta_Alta!K70+Masivo!K70+Consumo_Inicial!K70</f>
        <v>0</v>
      </c>
      <c r="L70" s="8">
        <f>Renta_Alta!L70+Masivo!L70+Consumo_Inicial!L70</f>
        <v>0</v>
      </c>
      <c r="M70" s="8">
        <f>Renta_Alta!M70+Masivo!M70+Consumo_Inicial!M70</f>
        <v>0</v>
      </c>
      <c r="N70" s="8">
        <f>Renta_Alta!N70+Masivo!N70+Consumo_Inicial!N70</f>
        <v>0</v>
      </c>
      <c r="O70" s="8">
        <f>Renta_Alta!O70+Masivo!O70+Consumo_Inicial!O70</f>
        <v>0</v>
      </c>
      <c r="P70" s="8">
        <f>Renta_Alta!P70+Masivo!P70+Consumo_Inicial!P70</f>
        <v>0</v>
      </c>
      <c r="Q70" s="8">
        <f>Renta_Alta!Q70+Masivo!Q70+Consumo_Inicial!Q70</f>
        <v>0</v>
      </c>
      <c r="R70" s="8">
        <f>Renta_Alta!R70+Masivo!R70+Consumo_Inicial!R70</f>
        <v>0</v>
      </c>
      <c r="S70" s="8">
        <f>Renta_Alta!S70+Masivo!S70+Consumo_Inicial!S70</f>
        <v>0</v>
      </c>
      <c r="T70" s="8">
        <f>Renta_Alta!T70+Masivo!T70+Consumo_Inicial!T70</f>
        <v>0</v>
      </c>
      <c r="U70" s="8">
        <f>Renta_Alta!U70+Masivo!U70+Consumo_Inicial!U70</f>
        <v>0</v>
      </c>
      <c r="V70" s="8">
        <f>Renta_Alta!V70+Masivo!V70+Consumo_Inicial!V70</f>
        <v>0</v>
      </c>
      <c r="W70" s="8">
        <f>Renta_Alta!W70+Masivo!W70+Consumo_Inicial!W70</f>
        <v>0</v>
      </c>
      <c r="X70" s="8">
        <f>Renta_Alta!X70+Masivo!X70+Consumo_Inicial!X70</f>
        <v>0</v>
      </c>
      <c r="Y70" s="8">
        <f>Renta_Alta!Y70+Masivo!Y70+Consumo_Inicial!Y70</f>
        <v>0</v>
      </c>
      <c r="Z70" s="8">
        <f>Renta_Alta!Z70+Masivo!Z70+Consumo_Inicial!Z70</f>
        <v>0</v>
      </c>
      <c r="AA70" s="8">
        <f>Renta_Alta!AA70+Masivo!AA70+Consumo_Inicial!AA70</f>
        <v>0</v>
      </c>
      <c r="AB70" s="8">
        <f>Renta_Alta!AB70+Masivo!AB70+Consumo_Inicial!AB70</f>
        <v>0</v>
      </c>
      <c r="AC70" s="8">
        <f>Renta_Alta!AC70+Masivo!AC70+Consumo_Inicial!AC70</f>
        <v>0</v>
      </c>
      <c r="AD70" s="8">
        <f>Renta_Alta!AD70+Masivo!AD70+Consumo_Inicial!AD70</f>
        <v>0</v>
      </c>
      <c r="AE70" s="8">
        <f>Renta_Alta!AE70+Masivo!AE70+Consumo_Inicial!AE70</f>
        <v>0</v>
      </c>
      <c r="AF70" s="8">
        <f>Renta_Alta!AF70+Masivo!AF70+Consumo_Inicial!AF70</f>
        <v>0</v>
      </c>
      <c r="AG70" s="8">
        <f>Renta_Alta!AG70+Masivo!AG70+Consumo_Inicial!AG70</f>
        <v>0</v>
      </c>
      <c r="AH70" s="8">
        <f>Renta_Alta!AH70+Masivo!AH70+Consumo_Inicial!AH70</f>
        <v>0</v>
      </c>
      <c r="AI70" s="8">
        <f>Renta_Alta!AI70+Masivo!AI70+Consumo_Inicial!AI70</f>
        <v>0</v>
      </c>
      <c r="AJ70" s="8">
        <f>Renta_Alta!AJ70+Masivo!AJ70+Consumo_Inicial!AJ70</f>
        <v>0</v>
      </c>
      <c r="AK70" s="8">
        <f>Renta_Alta!AK70+Masivo!AK70+Consumo_Inicial!AK70</f>
        <v>0</v>
      </c>
      <c r="AL70" s="8">
        <f>Renta_Alta!AL70+Masivo!AL70+Consumo_Inicial!AL70</f>
        <v>0</v>
      </c>
      <c r="AM70" s="8">
        <f>Renta_Alta!AM70+Masivo!AM70+Consumo_Inicial!AM70</f>
        <v>0</v>
      </c>
      <c r="AN70" s="8">
        <f>Renta_Alta!AN70+Masivo!AN70+Consumo_Inicial!AN70</f>
        <v>0</v>
      </c>
      <c r="AO70" s="8">
        <f>Renta_Alta!AO70+Masivo!AO70+Consumo_Inicial!AO70</f>
        <v>0</v>
      </c>
      <c r="AP70" s="8">
        <f>Renta_Alta!AP70+Masivo!AP70+Consumo_Inicial!AP70</f>
        <v>0</v>
      </c>
      <c r="AQ70" s="8">
        <f>Renta_Alta!AQ70+Masivo!AQ70+Consumo_Inicial!AQ70</f>
        <v>0</v>
      </c>
      <c r="AR70" s="8">
        <f>Renta_Alta!AR70+Masivo!AR70+Consumo_Inicial!AR70</f>
        <v>0</v>
      </c>
      <c r="AS70" s="8">
        <f>Renta_Alta!AS70+Masivo!AS70+Consumo_Inicial!AS70</f>
        <v>0</v>
      </c>
      <c r="AT70" s="8">
        <f>Renta_Alta!AT70+Masivo!AT70+Consumo_Inicial!AT70</f>
        <v>0</v>
      </c>
      <c r="AU70" s="8">
        <f>Renta_Alta!AU70+Masivo!AU70+Consumo_Inicial!AU70</f>
        <v>0</v>
      </c>
      <c r="AV70" s="8">
        <f>Renta_Alta!AV70+Masivo!AV70+Consumo_Inicial!AV70</f>
        <v>0</v>
      </c>
      <c r="AW70" s="8">
        <f>Renta_Alta!AW70+Masivo!AW70+Consumo_Inicial!AW70</f>
        <v>0</v>
      </c>
      <c r="AX70" s="8">
        <f>Renta_Alta!AX70+Masivo!AX70+Consumo_Inicial!AX70</f>
        <v>0</v>
      </c>
      <c r="AY70" s="8">
        <f>Renta_Alta!AY70+Masivo!AY70+Consumo_Inicial!AY70</f>
        <v>0</v>
      </c>
      <c r="AZ70" s="8">
        <f>Renta_Alta!AZ70+Masivo!AZ70+Consumo_Inicial!AZ70</f>
        <v>0</v>
      </c>
      <c r="BA70" s="8">
        <f>Renta_Alta!BA70+Masivo!BA70+Consumo_Inicial!BA70</f>
        <v>0</v>
      </c>
      <c r="BB70" s="8">
        <f>Renta_Alta!BB70+Masivo!BB70+Consumo_Inicial!BB70</f>
        <v>0</v>
      </c>
      <c r="BC70" s="8">
        <f>Renta_Alta!BC70+Masivo!BC70+Consumo_Inicial!BC70</f>
        <v>0</v>
      </c>
      <c r="BD70" s="8">
        <f>Renta_Alta!BD70+Masivo!BD70+Consumo_Inicial!BD70</f>
        <v>0</v>
      </c>
      <c r="BE70" s="8">
        <f>Renta_Alta!BE70+Masivo!BE70+Consumo_Inicial!BE70</f>
        <v>0</v>
      </c>
      <c r="BF70" s="8">
        <f>Renta_Alta!BF70+Masivo!BF70+Consumo_Inicial!BF70</f>
        <v>0</v>
      </c>
      <c r="BG70" s="8">
        <f>Renta_Alta!BG70+Masivo!BG70+Consumo_Inicial!BG70</f>
        <v>0</v>
      </c>
      <c r="BH70" s="8">
        <f>Renta_Alta!BH70+Masivo!BH70+Consumo_Inicial!BH70</f>
        <v>0</v>
      </c>
      <c r="BI70" s="8">
        <f>Renta_Alta!BI70+Masivo!BI70+Consumo_Inicial!BI70</f>
        <v>0</v>
      </c>
      <c r="BJ70" s="8">
        <f>Renta_Alta!BJ70+Masivo!BJ70+Consumo_Inicial!BJ70</f>
        <v>0</v>
      </c>
      <c r="BK70" s="8">
        <f>Renta_Alta!BK70+Masivo!BK70+Consumo_Inicial!BK70</f>
        <v>0</v>
      </c>
      <c r="BO70" s="24">
        <f t="shared" si="70"/>
        <v>0</v>
      </c>
      <c r="BP70" s="24">
        <f t="shared" si="70"/>
        <v>0</v>
      </c>
      <c r="BQ70" s="24">
        <f t="shared" si="70"/>
        <v>0</v>
      </c>
      <c r="BR70" s="24">
        <f t="shared" si="70"/>
        <v>0</v>
      </c>
      <c r="BS70" s="24">
        <f t="shared" si="70"/>
        <v>0</v>
      </c>
      <c r="BT70" s="24">
        <f t="shared" si="70"/>
        <v>0</v>
      </c>
    </row>
    <row r="71" spans="1:72" hidden="1" outlineLevel="1" x14ac:dyDescent="0.25">
      <c r="A71" s="59" t="s">
        <v>71</v>
      </c>
      <c r="C71" s="60"/>
      <c r="D71" s="8">
        <f>Renta_Alta!D71+Masivo!D71+Consumo_Inicial!D71</f>
        <v>0</v>
      </c>
      <c r="E71" s="8">
        <f>Renta_Alta!E71+Masivo!E71+Consumo_Inicial!E71</f>
        <v>0</v>
      </c>
      <c r="F71" s="8">
        <f>Renta_Alta!F71+Masivo!F71+Consumo_Inicial!F71</f>
        <v>0</v>
      </c>
      <c r="G71" s="8">
        <f>Renta_Alta!G71+Masivo!G71+Consumo_Inicial!G71</f>
        <v>0</v>
      </c>
      <c r="H71" s="8">
        <f>Renta_Alta!H71+Masivo!H71+Consumo_Inicial!H71</f>
        <v>0</v>
      </c>
      <c r="I71" s="8">
        <f>Renta_Alta!I71+Masivo!I71+Consumo_Inicial!I71</f>
        <v>0</v>
      </c>
      <c r="J71" s="8">
        <f>Renta_Alta!J71+Masivo!J71+Consumo_Inicial!J71</f>
        <v>0</v>
      </c>
      <c r="K71" s="8">
        <f>Renta_Alta!K71+Masivo!K71+Consumo_Inicial!K71</f>
        <v>0</v>
      </c>
      <c r="L71" s="8">
        <f>Renta_Alta!L71+Masivo!L71+Consumo_Inicial!L71</f>
        <v>0</v>
      </c>
      <c r="M71" s="8">
        <f>Renta_Alta!M71+Masivo!M71+Consumo_Inicial!M71</f>
        <v>0</v>
      </c>
      <c r="N71" s="8">
        <f>Renta_Alta!N71+Masivo!N71+Consumo_Inicial!N71</f>
        <v>0</v>
      </c>
      <c r="O71" s="8">
        <f>Renta_Alta!O71+Masivo!O71+Consumo_Inicial!O71</f>
        <v>0</v>
      </c>
      <c r="P71" s="8">
        <f>Renta_Alta!P71+Masivo!P71+Consumo_Inicial!P71</f>
        <v>0</v>
      </c>
      <c r="Q71" s="8">
        <f>Renta_Alta!Q71+Masivo!Q71+Consumo_Inicial!Q71</f>
        <v>0</v>
      </c>
      <c r="R71" s="8">
        <f>Renta_Alta!R71+Masivo!R71+Consumo_Inicial!R71</f>
        <v>0</v>
      </c>
      <c r="S71" s="8">
        <f>Renta_Alta!S71+Masivo!S71+Consumo_Inicial!S71</f>
        <v>0</v>
      </c>
      <c r="T71" s="8">
        <f>Renta_Alta!T71+Masivo!T71+Consumo_Inicial!T71</f>
        <v>0</v>
      </c>
      <c r="U71" s="8">
        <f>Renta_Alta!U71+Masivo!U71+Consumo_Inicial!U71</f>
        <v>0</v>
      </c>
      <c r="V71" s="8">
        <f>Renta_Alta!V71+Masivo!V71+Consumo_Inicial!V71</f>
        <v>0</v>
      </c>
      <c r="W71" s="8">
        <f>Renta_Alta!W71+Masivo!W71+Consumo_Inicial!W71</f>
        <v>0</v>
      </c>
      <c r="X71" s="8">
        <f>Renta_Alta!X71+Masivo!X71+Consumo_Inicial!X71</f>
        <v>0</v>
      </c>
      <c r="Y71" s="8">
        <f>Renta_Alta!Y71+Masivo!Y71+Consumo_Inicial!Y71</f>
        <v>0</v>
      </c>
      <c r="Z71" s="8">
        <f>Renta_Alta!Z71+Masivo!Z71+Consumo_Inicial!Z71</f>
        <v>0</v>
      </c>
      <c r="AA71" s="8">
        <f>Renta_Alta!AA71+Masivo!AA71+Consumo_Inicial!AA71</f>
        <v>0</v>
      </c>
      <c r="AB71" s="8">
        <f>Renta_Alta!AB71+Masivo!AB71+Consumo_Inicial!AB71</f>
        <v>0</v>
      </c>
      <c r="AC71" s="8">
        <f>Renta_Alta!AC71+Masivo!AC71+Consumo_Inicial!AC71</f>
        <v>0</v>
      </c>
      <c r="AD71" s="8">
        <f>Renta_Alta!AD71+Masivo!AD71+Consumo_Inicial!AD71</f>
        <v>0</v>
      </c>
      <c r="AE71" s="8">
        <f>Renta_Alta!AE71+Masivo!AE71+Consumo_Inicial!AE71</f>
        <v>0</v>
      </c>
      <c r="AF71" s="8">
        <f>Renta_Alta!AF71+Masivo!AF71+Consumo_Inicial!AF71</f>
        <v>0</v>
      </c>
      <c r="AG71" s="8">
        <f>Renta_Alta!AG71+Masivo!AG71+Consumo_Inicial!AG71</f>
        <v>0</v>
      </c>
      <c r="AH71" s="8">
        <f>Renta_Alta!AH71+Masivo!AH71+Consumo_Inicial!AH71</f>
        <v>0</v>
      </c>
      <c r="AI71" s="8">
        <f>Renta_Alta!AI71+Masivo!AI71+Consumo_Inicial!AI71</f>
        <v>0</v>
      </c>
      <c r="AJ71" s="8">
        <f>Renta_Alta!AJ71+Masivo!AJ71+Consumo_Inicial!AJ71</f>
        <v>0</v>
      </c>
      <c r="AK71" s="8">
        <f>Renta_Alta!AK71+Masivo!AK71+Consumo_Inicial!AK71</f>
        <v>0</v>
      </c>
      <c r="AL71" s="8">
        <f>Renta_Alta!AL71+Masivo!AL71+Consumo_Inicial!AL71</f>
        <v>0</v>
      </c>
      <c r="AM71" s="8">
        <f>Renta_Alta!AM71+Masivo!AM71+Consumo_Inicial!AM71</f>
        <v>0</v>
      </c>
      <c r="AN71" s="8">
        <f>Renta_Alta!AN71+Masivo!AN71+Consumo_Inicial!AN71</f>
        <v>0</v>
      </c>
      <c r="AO71" s="8">
        <f>Renta_Alta!AO71+Masivo!AO71+Consumo_Inicial!AO71</f>
        <v>0</v>
      </c>
      <c r="AP71" s="8">
        <f>Renta_Alta!AP71+Masivo!AP71+Consumo_Inicial!AP71</f>
        <v>0</v>
      </c>
      <c r="AQ71" s="8">
        <f>Renta_Alta!AQ71+Masivo!AQ71+Consumo_Inicial!AQ71</f>
        <v>0</v>
      </c>
      <c r="AR71" s="8">
        <f>Renta_Alta!AR71+Masivo!AR71+Consumo_Inicial!AR71</f>
        <v>0</v>
      </c>
      <c r="AS71" s="8">
        <f>Renta_Alta!AS71+Masivo!AS71+Consumo_Inicial!AS71</f>
        <v>0</v>
      </c>
      <c r="AT71" s="8">
        <f>Renta_Alta!AT71+Masivo!AT71+Consumo_Inicial!AT71</f>
        <v>0</v>
      </c>
      <c r="AU71" s="8">
        <f>Renta_Alta!AU71+Masivo!AU71+Consumo_Inicial!AU71</f>
        <v>0</v>
      </c>
      <c r="AV71" s="8">
        <f>Renta_Alta!AV71+Masivo!AV71+Consumo_Inicial!AV71</f>
        <v>0</v>
      </c>
      <c r="AW71" s="8">
        <f>Renta_Alta!AW71+Masivo!AW71+Consumo_Inicial!AW71</f>
        <v>0</v>
      </c>
      <c r="AX71" s="8">
        <f>Renta_Alta!AX71+Masivo!AX71+Consumo_Inicial!AX71</f>
        <v>0</v>
      </c>
      <c r="AY71" s="8">
        <f>Renta_Alta!AY71+Masivo!AY71+Consumo_Inicial!AY71</f>
        <v>0</v>
      </c>
      <c r="AZ71" s="8">
        <f>Renta_Alta!AZ71+Masivo!AZ71+Consumo_Inicial!AZ71</f>
        <v>0</v>
      </c>
      <c r="BA71" s="8">
        <f>Renta_Alta!BA71+Masivo!BA71+Consumo_Inicial!BA71</f>
        <v>0</v>
      </c>
      <c r="BB71" s="8">
        <f>Renta_Alta!BB71+Masivo!BB71+Consumo_Inicial!BB71</f>
        <v>0</v>
      </c>
      <c r="BC71" s="8">
        <f>Renta_Alta!BC71+Masivo!BC71+Consumo_Inicial!BC71</f>
        <v>0</v>
      </c>
      <c r="BD71" s="8">
        <f>Renta_Alta!BD71+Masivo!BD71+Consumo_Inicial!BD71</f>
        <v>0</v>
      </c>
      <c r="BE71" s="8">
        <f>Renta_Alta!BE71+Masivo!BE71+Consumo_Inicial!BE71</f>
        <v>0</v>
      </c>
      <c r="BF71" s="8">
        <f>Renta_Alta!BF71+Masivo!BF71+Consumo_Inicial!BF71</f>
        <v>0</v>
      </c>
      <c r="BG71" s="8">
        <f>Renta_Alta!BG71+Masivo!BG71+Consumo_Inicial!BG71</f>
        <v>0</v>
      </c>
      <c r="BH71" s="8">
        <f>Renta_Alta!BH71+Masivo!BH71+Consumo_Inicial!BH71</f>
        <v>0</v>
      </c>
      <c r="BI71" s="8">
        <f>Renta_Alta!BI71+Masivo!BI71+Consumo_Inicial!BI71</f>
        <v>0</v>
      </c>
      <c r="BJ71" s="8">
        <f>Renta_Alta!BJ71+Masivo!BJ71+Consumo_Inicial!BJ71</f>
        <v>0</v>
      </c>
      <c r="BK71" s="8">
        <f>Renta_Alta!BK71+Masivo!BK71+Consumo_Inicial!BK71</f>
        <v>0</v>
      </c>
      <c r="BO71" s="24">
        <f t="shared" si="70"/>
        <v>0</v>
      </c>
      <c r="BP71" s="24">
        <f t="shared" si="70"/>
        <v>0</v>
      </c>
      <c r="BQ71" s="24">
        <f t="shared" si="70"/>
        <v>0</v>
      </c>
      <c r="BR71" s="24">
        <f t="shared" si="70"/>
        <v>0</v>
      </c>
      <c r="BS71" s="24">
        <f t="shared" si="70"/>
        <v>0</v>
      </c>
      <c r="BT71" s="24">
        <f t="shared" si="70"/>
        <v>0</v>
      </c>
    </row>
    <row r="72" spans="1:72" hidden="1" outlineLevel="1" x14ac:dyDescent="0.25">
      <c r="A72" s="59" t="s">
        <v>71</v>
      </c>
      <c r="C72" s="60"/>
      <c r="D72" s="8">
        <f>Renta_Alta!D72+Masivo!D72+Consumo_Inicial!D72</f>
        <v>0</v>
      </c>
      <c r="E72" s="8">
        <f>Renta_Alta!E72+Masivo!E72+Consumo_Inicial!E72</f>
        <v>0</v>
      </c>
      <c r="F72" s="8">
        <f>Renta_Alta!F72+Masivo!F72+Consumo_Inicial!F72</f>
        <v>0</v>
      </c>
      <c r="G72" s="8">
        <f>Renta_Alta!G72+Masivo!G72+Consumo_Inicial!G72</f>
        <v>0</v>
      </c>
      <c r="H72" s="8">
        <f>Renta_Alta!H72+Masivo!H72+Consumo_Inicial!H72</f>
        <v>0</v>
      </c>
      <c r="I72" s="8">
        <f>Renta_Alta!I72+Masivo!I72+Consumo_Inicial!I72</f>
        <v>0</v>
      </c>
      <c r="J72" s="8">
        <f>Renta_Alta!J72+Masivo!J72+Consumo_Inicial!J72</f>
        <v>0</v>
      </c>
      <c r="K72" s="8">
        <f>Renta_Alta!K72+Masivo!K72+Consumo_Inicial!K72</f>
        <v>0</v>
      </c>
      <c r="L72" s="8">
        <f>Renta_Alta!L72+Masivo!L72+Consumo_Inicial!L72</f>
        <v>0</v>
      </c>
      <c r="M72" s="8">
        <f>Renta_Alta!M72+Masivo!M72+Consumo_Inicial!M72</f>
        <v>0</v>
      </c>
      <c r="N72" s="8">
        <f>Renta_Alta!N72+Masivo!N72+Consumo_Inicial!N72</f>
        <v>0</v>
      </c>
      <c r="O72" s="8">
        <f>Renta_Alta!O72+Masivo!O72+Consumo_Inicial!O72</f>
        <v>0</v>
      </c>
      <c r="P72" s="8">
        <f>Renta_Alta!P72+Masivo!P72+Consumo_Inicial!P72</f>
        <v>0</v>
      </c>
      <c r="Q72" s="8">
        <f>Renta_Alta!Q72+Masivo!Q72+Consumo_Inicial!Q72</f>
        <v>0</v>
      </c>
      <c r="R72" s="8">
        <f>Renta_Alta!R72+Masivo!R72+Consumo_Inicial!R72</f>
        <v>0</v>
      </c>
      <c r="S72" s="8">
        <f>Renta_Alta!S72+Masivo!S72+Consumo_Inicial!S72</f>
        <v>0</v>
      </c>
      <c r="T72" s="8">
        <f>Renta_Alta!T72+Masivo!T72+Consumo_Inicial!T72</f>
        <v>0</v>
      </c>
      <c r="U72" s="8">
        <f>Renta_Alta!U72+Masivo!U72+Consumo_Inicial!U72</f>
        <v>0</v>
      </c>
      <c r="V72" s="8">
        <f>Renta_Alta!V72+Masivo!V72+Consumo_Inicial!V72</f>
        <v>0</v>
      </c>
      <c r="W72" s="8">
        <f>Renta_Alta!W72+Masivo!W72+Consumo_Inicial!W72</f>
        <v>0</v>
      </c>
      <c r="X72" s="8">
        <f>Renta_Alta!X72+Masivo!X72+Consumo_Inicial!X72</f>
        <v>0</v>
      </c>
      <c r="Y72" s="8">
        <f>Renta_Alta!Y72+Masivo!Y72+Consumo_Inicial!Y72</f>
        <v>0</v>
      </c>
      <c r="Z72" s="8">
        <f>Renta_Alta!Z72+Masivo!Z72+Consumo_Inicial!Z72</f>
        <v>0</v>
      </c>
      <c r="AA72" s="8">
        <f>Renta_Alta!AA72+Masivo!AA72+Consumo_Inicial!AA72</f>
        <v>0</v>
      </c>
      <c r="AB72" s="8">
        <f>Renta_Alta!AB72+Masivo!AB72+Consumo_Inicial!AB72</f>
        <v>0</v>
      </c>
      <c r="AC72" s="8">
        <f>Renta_Alta!AC72+Masivo!AC72+Consumo_Inicial!AC72</f>
        <v>0</v>
      </c>
      <c r="AD72" s="8">
        <f>Renta_Alta!AD72+Masivo!AD72+Consumo_Inicial!AD72</f>
        <v>0</v>
      </c>
      <c r="AE72" s="8">
        <f>Renta_Alta!AE72+Masivo!AE72+Consumo_Inicial!AE72</f>
        <v>0</v>
      </c>
      <c r="AF72" s="8">
        <f>Renta_Alta!AF72+Masivo!AF72+Consumo_Inicial!AF72</f>
        <v>0</v>
      </c>
      <c r="AG72" s="8">
        <f>Renta_Alta!AG72+Masivo!AG72+Consumo_Inicial!AG72</f>
        <v>0</v>
      </c>
      <c r="AH72" s="8">
        <f>Renta_Alta!AH72+Masivo!AH72+Consumo_Inicial!AH72</f>
        <v>0</v>
      </c>
      <c r="AI72" s="8">
        <f>Renta_Alta!AI72+Masivo!AI72+Consumo_Inicial!AI72</f>
        <v>0</v>
      </c>
      <c r="AJ72" s="8">
        <f>Renta_Alta!AJ72+Masivo!AJ72+Consumo_Inicial!AJ72</f>
        <v>0</v>
      </c>
      <c r="AK72" s="8">
        <f>Renta_Alta!AK72+Masivo!AK72+Consumo_Inicial!AK72</f>
        <v>0</v>
      </c>
      <c r="AL72" s="8">
        <f>Renta_Alta!AL72+Masivo!AL72+Consumo_Inicial!AL72</f>
        <v>0</v>
      </c>
      <c r="AM72" s="8">
        <f>Renta_Alta!AM72+Masivo!AM72+Consumo_Inicial!AM72</f>
        <v>0</v>
      </c>
      <c r="AN72" s="8">
        <f>Renta_Alta!AN72+Masivo!AN72+Consumo_Inicial!AN72</f>
        <v>0</v>
      </c>
      <c r="AO72" s="8">
        <f>Renta_Alta!AO72+Masivo!AO72+Consumo_Inicial!AO72</f>
        <v>0</v>
      </c>
      <c r="AP72" s="8">
        <f>Renta_Alta!AP72+Masivo!AP72+Consumo_Inicial!AP72</f>
        <v>0</v>
      </c>
      <c r="AQ72" s="8">
        <f>Renta_Alta!AQ72+Masivo!AQ72+Consumo_Inicial!AQ72</f>
        <v>0</v>
      </c>
      <c r="AR72" s="8">
        <f>Renta_Alta!AR72+Masivo!AR72+Consumo_Inicial!AR72</f>
        <v>0</v>
      </c>
      <c r="AS72" s="8">
        <f>Renta_Alta!AS72+Masivo!AS72+Consumo_Inicial!AS72</f>
        <v>0</v>
      </c>
      <c r="AT72" s="8">
        <f>Renta_Alta!AT72+Masivo!AT72+Consumo_Inicial!AT72</f>
        <v>0</v>
      </c>
      <c r="AU72" s="8">
        <f>Renta_Alta!AU72+Masivo!AU72+Consumo_Inicial!AU72</f>
        <v>0</v>
      </c>
      <c r="AV72" s="8">
        <f>Renta_Alta!AV72+Masivo!AV72+Consumo_Inicial!AV72</f>
        <v>0</v>
      </c>
      <c r="AW72" s="8">
        <f>Renta_Alta!AW72+Masivo!AW72+Consumo_Inicial!AW72</f>
        <v>0</v>
      </c>
      <c r="AX72" s="8">
        <f>Renta_Alta!AX72+Masivo!AX72+Consumo_Inicial!AX72</f>
        <v>0</v>
      </c>
      <c r="AY72" s="8">
        <f>Renta_Alta!AY72+Masivo!AY72+Consumo_Inicial!AY72</f>
        <v>0</v>
      </c>
      <c r="AZ72" s="8">
        <f>Renta_Alta!AZ72+Masivo!AZ72+Consumo_Inicial!AZ72</f>
        <v>0</v>
      </c>
      <c r="BA72" s="8">
        <f>Renta_Alta!BA72+Masivo!BA72+Consumo_Inicial!BA72</f>
        <v>0</v>
      </c>
      <c r="BB72" s="8">
        <f>Renta_Alta!BB72+Masivo!BB72+Consumo_Inicial!BB72</f>
        <v>0</v>
      </c>
      <c r="BC72" s="8">
        <f>Renta_Alta!BC72+Masivo!BC72+Consumo_Inicial!BC72</f>
        <v>0</v>
      </c>
      <c r="BD72" s="8">
        <f>Renta_Alta!BD72+Masivo!BD72+Consumo_Inicial!BD72</f>
        <v>0</v>
      </c>
      <c r="BE72" s="8">
        <f>Renta_Alta!BE72+Masivo!BE72+Consumo_Inicial!BE72</f>
        <v>0</v>
      </c>
      <c r="BF72" s="8">
        <f>Renta_Alta!BF72+Masivo!BF72+Consumo_Inicial!BF72</f>
        <v>0</v>
      </c>
      <c r="BG72" s="8">
        <f>Renta_Alta!BG72+Masivo!BG72+Consumo_Inicial!BG72</f>
        <v>0</v>
      </c>
      <c r="BH72" s="8">
        <f>Renta_Alta!BH72+Masivo!BH72+Consumo_Inicial!BH72</f>
        <v>0</v>
      </c>
      <c r="BI72" s="8">
        <f>Renta_Alta!BI72+Masivo!BI72+Consumo_Inicial!BI72</f>
        <v>0</v>
      </c>
      <c r="BJ72" s="8">
        <f>Renta_Alta!BJ72+Masivo!BJ72+Consumo_Inicial!BJ72</f>
        <v>0</v>
      </c>
      <c r="BK72" s="8">
        <f>Renta_Alta!BK72+Masivo!BK72+Consumo_Inicial!BK72</f>
        <v>0</v>
      </c>
      <c r="BO72" s="24">
        <f t="shared" si="70"/>
        <v>0</v>
      </c>
      <c r="BP72" s="24">
        <f t="shared" si="70"/>
        <v>0</v>
      </c>
      <c r="BQ72" s="24">
        <f t="shared" si="70"/>
        <v>0</v>
      </c>
      <c r="BR72" s="24">
        <f t="shared" si="70"/>
        <v>0</v>
      </c>
      <c r="BS72" s="24">
        <f t="shared" si="70"/>
        <v>0</v>
      </c>
      <c r="BT72" s="24">
        <f t="shared" si="70"/>
        <v>0</v>
      </c>
    </row>
    <row r="73" spans="1:72" hidden="1" outlineLevel="1" x14ac:dyDescent="0.25">
      <c r="A73" s="59" t="s">
        <v>71</v>
      </c>
      <c r="C73" s="60"/>
      <c r="D73" s="8">
        <f>Renta_Alta!D73+Masivo!D73+Consumo_Inicial!D73</f>
        <v>0</v>
      </c>
      <c r="E73" s="8">
        <f>Renta_Alta!E73+Masivo!E73+Consumo_Inicial!E73</f>
        <v>0</v>
      </c>
      <c r="F73" s="8">
        <f>Renta_Alta!F73+Masivo!F73+Consumo_Inicial!F73</f>
        <v>0</v>
      </c>
      <c r="G73" s="8">
        <f>Renta_Alta!G73+Masivo!G73+Consumo_Inicial!G73</f>
        <v>0</v>
      </c>
      <c r="H73" s="8">
        <f>Renta_Alta!H73+Masivo!H73+Consumo_Inicial!H73</f>
        <v>0</v>
      </c>
      <c r="I73" s="8">
        <f>Renta_Alta!I73+Masivo!I73+Consumo_Inicial!I73</f>
        <v>0</v>
      </c>
      <c r="J73" s="8">
        <f>Renta_Alta!J73+Masivo!J73+Consumo_Inicial!J73</f>
        <v>0</v>
      </c>
      <c r="K73" s="8">
        <f>Renta_Alta!K73+Masivo!K73+Consumo_Inicial!K73</f>
        <v>0</v>
      </c>
      <c r="L73" s="8">
        <f>Renta_Alta!L73+Masivo!L73+Consumo_Inicial!L73</f>
        <v>0</v>
      </c>
      <c r="M73" s="8">
        <f>Renta_Alta!M73+Masivo!M73+Consumo_Inicial!M73</f>
        <v>0</v>
      </c>
      <c r="N73" s="8">
        <f>Renta_Alta!N73+Masivo!N73+Consumo_Inicial!N73</f>
        <v>0</v>
      </c>
      <c r="O73" s="8">
        <f>Renta_Alta!O73+Masivo!O73+Consumo_Inicial!O73</f>
        <v>0</v>
      </c>
      <c r="P73" s="8">
        <f>Renta_Alta!P73+Masivo!P73+Consumo_Inicial!P73</f>
        <v>0</v>
      </c>
      <c r="Q73" s="8">
        <f>Renta_Alta!Q73+Masivo!Q73+Consumo_Inicial!Q73</f>
        <v>0</v>
      </c>
      <c r="R73" s="8">
        <f>Renta_Alta!R73+Masivo!R73+Consumo_Inicial!R73</f>
        <v>0</v>
      </c>
      <c r="S73" s="8">
        <f>Renta_Alta!S73+Masivo!S73+Consumo_Inicial!S73</f>
        <v>0</v>
      </c>
      <c r="T73" s="8">
        <f>Renta_Alta!T73+Masivo!T73+Consumo_Inicial!T73</f>
        <v>0</v>
      </c>
      <c r="U73" s="8">
        <f>Renta_Alta!U73+Masivo!U73+Consumo_Inicial!U73</f>
        <v>0</v>
      </c>
      <c r="V73" s="8">
        <f>Renta_Alta!V73+Masivo!V73+Consumo_Inicial!V73</f>
        <v>0</v>
      </c>
      <c r="W73" s="8">
        <f>Renta_Alta!W73+Masivo!W73+Consumo_Inicial!W73</f>
        <v>0</v>
      </c>
      <c r="X73" s="8">
        <f>Renta_Alta!X73+Masivo!X73+Consumo_Inicial!X73</f>
        <v>0</v>
      </c>
      <c r="Y73" s="8">
        <f>Renta_Alta!Y73+Masivo!Y73+Consumo_Inicial!Y73</f>
        <v>0</v>
      </c>
      <c r="Z73" s="8">
        <f>Renta_Alta!Z73+Masivo!Z73+Consumo_Inicial!Z73</f>
        <v>0</v>
      </c>
      <c r="AA73" s="8">
        <f>Renta_Alta!AA73+Masivo!AA73+Consumo_Inicial!AA73</f>
        <v>0</v>
      </c>
      <c r="AB73" s="8">
        <f>Renta_Alta!AB73+Masivo!AB73+Consumo_Inicial!AB73</f>
        <v>0</v>
      </c>
      <c r="AC73" s="8">
        <f>Renta_Alta!AC73+Masivo!AC73+Consumo_Inicial!AC73</f>
        <v>0</v>
      </c>
      <c r="AD73" s="8">
        <f>Renta_Alta!AD73+Masivo!AD73+Consumo_Inicial!AD73</f>
        <v>0</v>
      </c>
      <c r="AE73" s="8">
        <f>Renta_Alta!AE73+Masivo!AE73+Consumo_Inicial!AE73</f>
        <v>0</v>
      </c>
      <c r="AF73" s="8">
        <f>Renta_Alta!AF73+Masivo!AF73+Consumo_Inicial!AF73</f>
        <v>0</v>
      </c>
      <c r="AG73" s="8">
        <f>Renta_Alta!AG73+Masivo!AG73+Consumo_Inicial!AG73</f>
        <v>0</v>
      </c>
      <c r="AH73" s="8">
        <f>Renta_Alta!AH73+Masivo!AH73+Consumo_Inicial!AH73</f>
        <v>0</v>
      </c>
      <c r="AI73" s="8">
        <f>Renta_Alta!AI73+Masivo!AI73+Consumo_Inicial!AI73</f>
        <v>0</v>
      </c>
      <c r="AJ73" s="8">
        <f>Renta_Alta!AJ73+Masivo!AJ73+Consumo_Inicial!AJ73</f>
        <v>0</v>
      </c>
      <c r="AK73" s="8">
        <f>Renta_Alta!AK73+Masivo!AK73+Consumo_Inicial!AK73</f>
        <v>0</v>
      </c>
      <c r="AL73" s="8">
        <f>Renta_Alta!AL73+Masivo!AL73+Consumo_Inicial!AL73</f>
        <v>0</v>
      </c>
      <c r="AM73" s="8">
        <f>Renta_Alta!AM73+Masivo!AM73+Consumo_Inicial!AM73</f>
        <v>0</v>
      </c>
      <c r="AN73" s="8">
        <f>Renta_Alta!AN73+Masivo!AN73+Consumo_Inicial!AN73</f>
        <v>0</v>
      </c>
      <c r="AO73" s="8">
        <f>Renta_Alta!AO73+Masivo!AO73+Consumo_Inicial!AO73</f>
        <v>0</v>
      </c>
      <c r="AP73" s="8">
        <f>Renta_Alta!AP73+Masivo!AP73+Consumo_Inicial!AP73</f>
        <v>0</v>
      </c>
      <c r="AQ73" s="8">
        <f>Renta_Alta!AQ73+Masivo!AQ73+Consumo_Inicial!AQ73</f>
        <v>0</v>
      </c>
      <c r="AR73" s="8">
        <f>Renta_Alta!AR73+Masivo!AR73+Consumo_Inicial!AR73</f>
        <v>0</v>
      </c>
      <c r="AS73" s="8">
        <f>Renta_Alta!AS73+Masivo!AS73+Consumo_Inicial!AS73</f>
        <v>0</v>
      </c>
      <c r="AT73" s="8">
        <f>Renta_Alta!AT73+Masivo!AT73+Consumo_Inicial!AT73</f>
        <v>0</v>
      </c>
      <c r="AU73" s="8">
        <f>Renta_Alta!AU73+Masivo!AU73+Consumo_Inicial!AU73</f>
        <v>0</v>
      </c>
      <c r="AV73" s="8">
        <f>Renta_Alta!AV73+Masivo!AV73+Consumo_Inicial!AV73</f>
        <v>0</v>
      </c>
      <c r="AW73" s="8">
        <f>Renta_Alta!AW73+Masivo!AW73+Consumo_Inicial!AW73</f>
        <v>0</v>
      </c>
      <c r="AX73" s="8">
        <f>Renta_Alta!AX73+Masivo!AX73+Consumo_Inicial!AX73</f>
        <v>0</v>
      </c>
      <c r="AY73" s="8">
        <f>Renta_Alta!AY73+Masivo!AY73+Consumo_Inicial!AY73</f>
        <v>0</v>
      </c>
      <c r="AZ73" s="8">
        <f>Renta_Alta!AZ73+Masivo!AZ73+Consumo_Inicial!AZ73</f>
        <v>0</v>
      </c>
      <c r="BA73" s="8">
        <f>Renta_Alta!BA73+Masivo!BA73+Consumo_Inicial!BA73</f>
        <v>0</v>
      </c>
      <c r="BB73" s="8">
        <f>Renta_Alta!BB73+Masivo!BB73+Consumo_Inicial!BB73</f>
        <v>0</v>
      </c>
      <c r="BC73" s="8">
        <f>Renta_Alta!BC73+Masivo!BC73+Consumo_Inicial!BC73</f>
        <v>0</v>
      </c>
      <c r="BD73" s="8">
        <f>Renta_Alta!BD73+Masivo!BD73+Consumo_Inicial!BD73</f>
        <v>0</v>
      </c>
      <c r="BE73" s="8">
        <f>Renta_Alta!BE73+Masivo!BE73+Consumo_Inicial!BE73</f>
        <v>0</v>
      </c>
      <c r="BF73" s="8">
        <f>Renta_Alta!BF73+Masivo!BF73+Consumo_Inicial!BF73</f>
        <v>0</v>
      </c>
      <c r="BG73" s="8">
        <f>Renta_Alta!BG73+Masivo!BG73+Consumo_Inicial!BG73</f>
        <v>0</v>
      </c>
      <c r="BH73" s="8">
        <f>Renta_Alta!BH73+Masivo!BH73+Consumo_Inicial!BH73</f>
        <v>0</v>
      </c>
      <c r="BI73" s="8">
        <f>Renta_Alta!BI73+Masivo!BI73+Consumo_Inicial!BI73</f>
        <v>0</v>
      </c>
      <c r="BJ73" s="8">
        <f>Renta_Alta!BJ73+Masivo!BJ73+Consumo_Inicial!BJ73</f>
        <v>0</v>
      </c>
      <c r="BK73" s="8">
        <f>Renta_Alta!BK73+Masivo!BK73+Consumo_Inicial!BK73</f>
        <v>0</v>
      </c>
      <c r="BO73" s="24">
        <f t="shared" ref="BO73:BT82" si="71">SUMIFS($D73:$BM73,$D$6:$BM$6,"&gt;="&amp;BO$2,$D$6:$BM$6,"&lt;="&amp;BO$6,$D$5:$BM$5,BO$5)</f>
        <v>0</v>
      </c>
      <c r="BP73" s="24">
        <f t="shared" si="71"/>
        <v>0</v>
      </c>
      <c r="BQ73" s="24">
        <f t="shared" si="71"/>
        <v>0</v>
      </c>
      <c r="BR73" s="24">
        <f t="shared" si="71"/>
        <v>0</v>
      </c>
      <c r="BS73" s="24">
        <f t="shared" si="71"/>
        <v>0</v>
      </c>
      <c r="BT73" s="24">
        <f t="shared" si="71"/>
        <v>0</v>
      </c>
    </row>
    <row r="74" spans="1:72" hidden="1" outlineLevel="1" x14ac:dyDescent="0.25">
      <c r="A74" s="59" t="s">
        <v>71</v>
      </c>
      <c r="C74" s="60"/>
      <c r="D74" s="8">
        <f>Renta_Alta!D74+Masivo!D74+Consumo_Inicial!D74</f>
        <v>0</v>
      </c>
      <c r="E74" s="8">
        <f>Renta_Alta!E74+Masivo!E74+Consumo_Inicial!E74</f>
        <v>0</v>
      </c>
      <c r="F74" s="8">
        <f>Renta_Alta!F74+Masivo!F74+Consumo_Inicial!F74</f>
        <v>0</v>
      </c>
      <c r="G74" s="8">
        <f>Renta_Alta!G74+Masivo!G74+Consumo_Inicial!G74</f>
        <v>0</v>
      </c>
      <c r="H74" s="8">
        <f>Renta_Alta!H74+Masivo!H74+Consumo_Inicial!H74</f>
        <v>0</v>
      </c>
      <c r="I74" s="8">
        <f>Renta_Alta!I74+Masivo!I74+Consumo_Inicial!I74</f>
        <v>0</v>
      </c>
      <c r="J74" s="8">
        <f>Renta_Alta!J74+Masivo!J74+Consumo_Inicial!J74</f>
        <v>0</v>
      </c>
      <c r="K74" s="8">
        <f>Renta_Alta!K74+Masivo!K74+Consumo_Inicial!K74</f>
        <v>0</v>
      </c>
      <c r="L74" s="8">
        <f>Renta_Alta!L74+Masivo!L74+Consumo_Inicial!L74</f>
        <v>0</v>
      </c>
      <c r="M74" s="8">
        <f>Renta_Alta!M74+Masivo!M74+Consumo_Inicial!M74</f>
        <v>0</v>
      </c>
      <c r="N74" s="8">
        <f>Renta_Alta!N74+Masivo!N74+Consumo_Inicial!N74</f>
        <v>0</v>
      </c>
      <c r="O74" s="8">
        <f>Renta_Alta!O74+Masivo!O74+Consumo_Inicial!O74</f>
        <v>0</v>
      </c>
      <c r="P74" s="8">
        <f>Renta_Alta!P74+Masivo!P74+Consumo_Inicial!P74</f>
        <v>0</v>
      </c>
      <c r="Q74" s="8">
        <f>Renta_Alta!Q74+Masivo!Q74+Consumo_Inicial!Q74</f>
        <v>0</v>
      </c>
      <c r="R74" s="8">
        <f>Renta_Alta!R74+Masivo!R74+Consumo_Inicial!R74</f>
        <v>0</v>
      </c>
      <c r="S74" s="8">
        <f>Renta_Alta!S74+Masivo!S74+Consumo_Inicial!S74</f>
        <v>0</v>
      </c>
      <c r="T74" s="8">
        <f>Renta_Alta!T74+Masivo!T74+Consumo_Inicial!T74</f>
        <v>0</v>
      </c>
      <c r="U74" s="8">
        <f>Renta_Alta!U74+Masivo!U74+Consumo_Inicial!U74</f>
        <v>0</v>
      </c>
      <c r="V74" s="8">
        <f>Renta_Alta!V74+Masivo!V74+Consumo_Inicial!V74</f>
        <v>0</v>
      </c>
      <c r="W74" s="8">
        <f>Renta_Alta!W74+Masivo!W74+Consumo_Inicial!W74</f>
        <v>0</v>
      </c>
      <c r="X74" s="8">
        <f>Renta_Alta!X74+Masivo!X74+Consumo_Inicial!X74</f>
        <v>0</v>
      </c>
      <c r="Y74" s="8">
        <f>Renta_Alta!Y74+Masivo!Y74+Consumo_Inicial!Y74</f>
        <v>0</v>
      </c>
      <c r="Z74" s="8">
        <f>Renta_Alta!Z74+Masivo!Z74+Consumo_Inicial!Z74</f>
        <v>0</v>
      </c>
      <c r="AA74" s="8">
        <f>Renta_Alta!AA74+Masivo!AA74+Consumo_Inicial!AA74</f>
        <v>0</v>
      </c>
      <c r="AB74" s="8">
        <f>Renta_Alta!AB74+Masivo!AB74+Consumo_Inicial!AB74</f>
        <v>0</v>
      </c>
      <c r="AC74" s="8">
        <f>Renta_Alta!AC74+Masivo!AC74+Consumo_Inicial!AC74</f>
        <v>0</v>
      </c>
      <c r="AD74" s="8">
        <f>Renta_Alta!AD74+Masivo!AD74+Consumo_Inicial!AD74</f>
        <v>0</v>
      </c>
      <c r="AE74" s="8">
        <f>Renta_Alta!AE74+Masivo!AE74+Consumo_Inicial!AE74</f>
        <v>0</v>
      </c>
      <c r="AF74" s="8">
        <f>Renta_Alta!AF74+Masivo!AF74+Consumo_Inicial!AF74</f>
        <v>0</v>
      </c>
      <c r="AG74" s="8">
        <f>Renta_Alta!AG74+Masivo!AG74+Consumo_Inicial!AG74</f>
        <v>0</v>
      </c>
      <c r="AH74" s="8">
        <f>Renta_Alta!AH74+Masivo!AH74+Consumo_Inicial!AH74</f>
        <v>0</v>
      </c>
      <c r="AI74" s="8">
        <f>Renta_Alta!AI74+Masivo!AI74+Consumo_Inicial!AI74</f>
        <v>0</v>
      </c>
      <c r="AJ74" s="8">
        <f>Renta_Alta!AJ74+Masivo!AJ74+Consumo_Inicial!AJ74</f>
        <v>0</v>
      </c>
      <c r="AK74" s="8">
        <f>Renta_Alta!AK74+Masivo!AK74+Consumo_Inicial!AK74</f>
        <v>0</v>
      </c>
      <c r="AL74" s="8">
        <f>Renta_Alta!AL74+Masivo!AL74+Consumo_Inicial!AL74</f>
        <v>0</v>
      </c>
      <c r="AM74" s="8">
        <f>Renta_Alta!AM74+Masivo!AM74+Consumo_Inicial!AM74</f>
        <v>0</v>
      </c>
      <c r="AN74" s="8">
        <f>Renta_Alta!AN74+Masivo!AN74+Consumo_Inicial!AN74</f>
        <v>0</v>
      </c>
      <c r="AO74" s="8">
        <f>Renta_Alta!AO74+Masivo!AO74+Consumo_Inicial!AO74</f>
        <v>0</v>
      </c>
      <c r="AP74" s="8">
        <f>Renta_Alta!AP74+Masivo!AP74+Consumo_Inicial!AP74</f>
        <v>0</v>
      </c>
      <c r="AQ74" s="8">
        <f>Renta_Alta!AQ74+Masivo!AQ74+Consumo_Inicial!AQ74</f>
        <v>0</v>
      </c>
      <c r="AR74" s="8">
        <f>Renta_Alta!AR74+Masivo!AR74+Consumo_Inicial!AR74</f>
        <v>0</v>
      </c>
      <c r="AS74" s="8">
        <f>Renta_Alta!AS74+Masivo!AS74+Consumo_Inicial!AS74</f>
        <v>0</v>
      </c>
      <c r="AT74" s="8">
        <f>Renta_Alta!AT74+Masivo!AT74+Consumo_Inicial!AT74</f>
        <v>0</v>
      </c>
      <c r="AU74" s="8">
        <f>Renta_Alta!AU74+Masivo!AU74+Consumo_Inicial!AU74</f>
        <v>0</v>
      </c>
      <c r="AV74" s="8">
        <f>Renta_Alta!AV74+Masivo!AV74+Consumo_Inicial!AV74</f>
        <v>0</v>
      </c>
      <c r="AW74" s="8">
        <f>Renta_Alta!AW74+Masivo!AW74+Consumo_Inicial!AW74</f>
        <v>0</v>
      </c>
      <c r="AX74" s="8">
        <f>Renta_Alta!AX74+Masivo!AX74+Consumo_Inicial!AX74</f>
        <v>0</v>
      </c>
      <c r="AY74" s="8">
        <f>Renta_Alta!AY74+Masivo!AY74+Consumo_Inicial!AY74</f>
        <v>0</v>
      </c>
      <c r="AZ74" s="8">
        <f>Renta_Alta!AZ74+Masivo!AZ74+Consumo_Inicial!AZ74</f>
        <v>0</v>
      </c>
      <c r="BA74" s="8">
        <f>Renta_Alta!BA74+Masivo!BA74+Consumo_Inicial!BA74</f>
        <v>0</v>
      </c>
      <c r="BB74" s="8">
        <f>Renta_Alta!BB74+Masivo!BB74+Consumo_Inicial!BB74</f>
        <v>0</v>
      </c>
      <c r="BC74" s="8">
        <f>Renta_Alta!BC74+Masivo!BC74+Consumo_Inicial!BC74</f>
        <v>0</v>
      </c>
      <c r="BD74" s="8">
        <f>Renta_Alta!BD74+Masivo!BD74+Consumo_Inicial!BD74</f>
        <v>0</v>
      </c>
      <c r="BE74" s="8">
        <f>Renta_Alta!BE74+Masivo!BE74+Consumo_Inicial!BE74</f>
        <v>0</v>
      </c>
      <c r="BF74" s="8">
        <f>Renta_Alta!BF74+Masivo!BF74+Consumo_Inicial!BF74</f>
        <v>0</v>
      </c>
      <c r="BG74" s="8">
        <f>Renta_Alta!BG74+Masivo!BG74+Consumo_Inicial!BG74</f>
        <v>0</v>
      </c>
      <c r="BH74" s="8">
        <f>Renta_Alta!BH74+Masivo!BH74+Consumo_Inicial!BH74</f>
        <v>0</v>
      </c>
      <c r="BI74" s="8">
        <f>Renta_Alta!BI74+Masivo!BI74+Consumo_Inicial!BI74</f>
        <v>0</v>
      </c>
      <c r="BJ74" s="8">
        <f>Renta_Alta!BJ74+Masivo!BJ74+Consumo_Inicial!BJ74</f>
        <v>0</v>
      </c>
      <c r="BK74" s="8">
        <f>Renta_Alta!BK74+Masivo!BK74+Consumo_Inicial!BK74</f>
        <v>0</v>
      </c>
      <c r="BO74" s="24">
        <f t="shared" si="71"/>
        <v>0</v>
      </c>
      <c r="BP74" s="24">
        <f t="shared" si="71"/>
        <v>0</v>
      </c>
      <c r="BQ74" s="24">
        <f t="shared" si="71"/>
        <v>0</v>
      </c>
      <c r="BR74" s="24">
        <f t="shared" si="71"/>
        <v>0</v>
      </c>
      <c r="BS74" s="24">
        <f t="shared" si="71"/>
        <v>0</v>
      </c>
      <c r="BT74" s="24">
        <f t="shared" si="71"/>
        <v>0</v>
      </c>
    </row>
    <row r="75" spans="1:72" hidden="1" outlineLevel="1" x14ac:dyDescent="0.25">
      <c r="A75" s="59" t="s">
        <v>71</v>
      </c>
      <c r="C75" s="60"/>
      <c r="D75" s="8">
        <f>Renta_Alta!D75+Masivo!D75+Consumo_Inicial!D75</f>
        <v>0</v>
      </c>
      <c r="E75" s="8">
        <f>Renta_Alta!E75+Masivo!E75+Consumo_Inicial!E75</f>
        <v>0</v>
      </c>
      <c r="F75" s="8">
        <f>Renta_Alta!F75+Masivo!F75+Consumo_Inicial!F75</f>
        <v>0</v>
      </c>
      <c r="G75" s="8">
        <f>Renta_Alta!G75+Masivo!G75+Consumo_Inicial!G75</f>
        <v>0</v>
      </c>
      <c r="H75" s="8">
        <f>Renta_Alta!H75+Masivo!H75+Consumo_Inicial!H75</f>
        <v>0</v>
      </c>
      <c r="I75" s="8">
        <f>Renta_Alta!I75+Masivo!I75+Consumo_Inicial!I75</f>
        <v>0</v>
      </c>
      <c r="J75" s="8">
        <f>Renta_Alta!J75+Masivo!J75+Consumo_Inicial!J75</f>
        <v>0</v>
      </c>
      <c r="K75" s="8">
        <f>Renta_Alta!K75+Masivo!K75+Consumo_Inicial!K75</f>
        <v>0</v>
      </c>
      <c r="L75" s="8">
        <f>Renta_Alta!L75+Masivo!L75+Consumo_Inicial!L75</f>
        <v>0</v>
      </c>
      <c r="M75" s="8">
        <f>Renta_Alta!M75+Masivo!M75+Consumo_Inicial!M75</f>
        <v>0</v>
      </c>
      <c r="N75" s="8">
        <f>Renta_Alta!N75+Masivo!N75+Consumo_Inicial!N75</f>
        <v>0</v>
      </c>
      <c r="O75" s="8">
        <f>Renta_Alta!O75+Masivo!O75+Consumo_Inicial!O75</f>
        <v>0</v>
      </c>
      <c r="P75" s="8">
        <f>Renta_Alta!P75+Masivo!P75+Consumo_Inicial!P75</f>
        <v>0</v>
      </c>
      <c r="Q75" s="8">
        <f>Renta_Alta!Q75+Masivo!Q75+Consumo_Inicial!Q75</f>
        <v>0</v>
      </c>
      <c r="R75" s="8">
        <f>Renta_Alta!R75+Masivo!R75+Consumo_Inicial!R75</f>
        <v>0</v>
      </c>
      <c r="S75" s="8">
        <f>Renta_Alta!S75+Masivo!S75+Consumo_Inicial!S75</f>
        <v>0</v>
      </c>
      <c r="T75" s="8">
        <f>Renta_Alta!T75+Masivo!T75+Consumo_Inicial!T75</f>
        <v>0</v>
      </c>
      <c r="U75" s="8">
        <f>Renta_Alta!U75+Masivo!U75+Consumo_Inicial!U75</f>
        <v>0</v>
      </c>
      <c r="V75" s="8">
        <f>Renta_Alta!V75+Masivo!V75+Consumo_Inicial!V75</f>
        <v>0</v>
      </c>
      <c r="W75" s="8">
        <f>Renta_Alta!W75+Masivo!W75+Consumo_Inicial!W75</f>
        <v>0</v>
      </c>
      <c r="X75" s="8">
        <f>Renta_Alta!X75+Masivo!X75+Consumo_Inicial!X75</f>
        <v>0</v>
      </c>
      <c r="Y75" s="8">
        <f>Renta_Alta!Y75+Masivo!Y75+Consumo_Inicial!Y75</f>
        <v>0</v>
      </c>
      <c r="Z75" s="8">
        <f>Renta_Alta!Z75+Masivo!Z75+Consumo_Inicial!Z75</f>
        <v>0</v>
      </c>
      <c r="AA75" s="8">
        <f>Renta_Alta!AA75+Masivo!AA75+Consumo_Inicial!AA75</f>
        <v>0</v>
      </c>
      <c r="AB75" s="8">
        <f>Renta_Alta!AB75+Masivo!AB75+Consumo_Inicial!AB75</f>
        <v>0</v>
      </c>
      <c r="AC75" s="8">
        <f>Renta_Alta!AC75+Masivo!AC75+Consumo_Inicial!AC75</f>
        <v>0</v>
      </c>
      <c r="AD75" s="8">
        <f>Renta_Alta!AD75+Masivo!AD75+Consumo_Inicial!AD75</f>
        <v>0</v>
      </c>
      <c r="AE75" s="8">
        <f>Renta_Alta!AE75+Masivo!AE75+Consumo_Inicial!AE75</f>
        <v>0</v>
      </c>
      <c r="AF75" s="8">
        <f>Renta_Alta!AF75+Masivo!AF75+Consumo_Inicial!AF75</f>
        <v>0</v>
      </c>
      <c r="AG75" s="8">
        <f>Renta_Alta!AG75+Masivo!AG75+Consumo_Inicial!AG75</f>
        <v>0</v>
      </c>
      <c r="AH75" s="8">
        <f>Renta_Alta!AH75+Masivo!AH75+Consumo_Inicial!AH75</f>
        <v>0</v>
      </c>
      <c r="AI75" s="8">
        <f>Renta_Alta!AI75+Masivo!AI75+Consumo_Inicial!AI75</f>
        <v>0</v>
      </c>
      <c r="AJ75" s="8">
        <f>Renta_Alta!AJ75+Masivo!AJ75+Consumo_Inicial!AJ75</f>
        <v>0</v>
      </c>
      <c r="AK75" s="8">
        <f>Renta_Alta!AK75+Masivo!AK75+Consumo_Inicial!AK75</f>
        <v>0</v>
      </c>
      <c r="AL75" s="8">
        <f>Renta_Alta!AL75+Masivo!AL75+Consumo_Inicial!AL75</f>
        <v>0</v>
      </c>
      <c r="AM75" s="8">
        <f>Renta_Alta!AM75+Masivo!AM75+Consumo_Inicial!AM75</f>
        <v>0</v>
      </c>
      <c r="AN75" s="8">
        <f>Renta_Alta!AN75+Masivo!AN75+Consumo_Inicial!AN75</f>
        <v>0</v>
      </c>
      <c r="AO75" s="8">
        <f>Renta_Alta!AO75+Masivo!AO75+Consumo_Inicial!AO75</f>
        <v>0</v>
      </c>
      <c r="AP75" s="8">
        <f>Renta_Alta!AP75+Masivo!AP75+Consumo_Inicial!AP75</f>
        <v>0</v>
      </c>
      <c r="AQ75" s="8">
        <f>Renta_Alta!AQ75+Masivo!AQ75+Consumo_Inicial!AQ75</f>
        <v>0</v>
      </c>
      <c r="AR75" s="8">
        <f>Renta_Alta!AR75+Masivo!AR75+Consumo_Inicial!AR75</f>
        <v>0</v>
      </c>
      <c r="AS75" s="8">
        <f>Renta_Alta!AS75+Masivo!AS75+Consumo_Inicial!AS75</f>
        <v>0</v>
      </c>
      <c r="AT75" s="8">
        <f>Renta_Alta!AT75+Masivo!AT75+Consumo_Inicial!AT75</f>
        <v>0</v>
      </c>
      <c r="AU75" s="8">
        <f>Renta_Alta!AU75+Masivo!AU75+Consumo_Inicial!AU75</f>
        <v>0</v>
      </c>
      <c r="AV75" s="8">
        <f>Renta_Alta!AV75+Masivo!AV75+Consumo_Inicial!AV75</f>
        <v>0</v>
      </c>
      <c r="AW75" s="8">
        <f>Renta_Alta!AW75+Masivo!AW75+Consumo_Inicial!AW75</f>
        <v>0</v>
      </c>
      <c r="AX75" s="8">
        <f>Renta_Alta!AX75+Masivo!AX75+Consumo_Inicial!AX75</f>
        <v>0</v>
      </c>
      <c r="AY75" s="8">
        <f>Renta_Alta!AY75+Masivo!AY75+Consumo_Inicial!AY75</f>
        <v>0</v>
      </c>
      <c r="AZ75" s="8">
        <f>Renta_Alta!AZ75+Masivo!AZ75+Consumo_Inicial!AZ75</f>
        <v>0</v>
      </c>
      <c r="BA75" s="8">
        <f>Renta_Alta!BA75+Masivo!BA75+Consumo_Inicial!BA75</f>
        <v>0</v>
      </c>
      <c r="BB75" s="8">
        <f>Renta_Alta!BB75+Masivo!BB75+Consumo_Inicial!BB75</f>
        <v>0</v>
      </c>
      <c r="BC75" s="8">
        <f>Renta_Alta!BC75+Masivo!BC75+Consumo_Inicial!BC75</f>
        <v>0</v>
      </c>
      <c r="BD75" s="8">
        <f>Renta_Alta!BD75+Masivo!BD75+Consumo_Inicial!BD75</f>
        <v>0</v>
      </c>
      <c r="BE75" s="8">
        <f>Renta_Alta!BE75+Masivo!BE75+Consumo_Inicial!BE75</f>
        <v>0</v>
      </c>
      <c r="BF75" s="8">
        <f>Renta_Alta!BF75+Masivo!BF75+Consumo_Inicial!BF75</f>
        <v>0</v>
      </c>
      <c r="BG75" s="8">
        <f>Renta_Alta!BG75+Masivo!BG75+Consumo_Inicial!BG75</f>
        <v>0</v>
      </c>
      <c r="BH75" s="8">
        <f>Renta_Alta!BH75+Masivo!BH75+Consumo_Inicial!BH75</f>
        <v>0</v>
      </c>
      <c r="BI75" s="8">
        <f>Renta_Alta!BI75+Masivo!BI75+Consumo_Inicial!BI75</f>
        <v>0</v>
      </c>
      <c r="BJ75" s="8">
        <f>Renta_Alta!BJ75+Masivo!BJ75+Consumo_Inicial!BJ75</f>
        <v>0</v>
      </c>
      <c r="BK75" s="8">
        <f>Renta_Alta!BK75+Masivo!BK75+Consumo_Inicial!BK75</f>
        <v>0</v>
      </c>
      <c r="BO75" s="24">
        <f t="shared" si="71"/>
        <v>0</v>
      </c>
      <c r="BP75" s="24">
        <f t="shared" si="71"/>
        <v>0</v>
      </c>
      <c r="BQ75" s="24">
        <f t="shared" si="71"/>
        <v>0</v>
      </c>
      <c r="BR75" s="24">
        <f t="shared" si="71"/>
        <v>0</v>
      </c>
      <c r="BS75" s="24">
        <f t="shared" si="71"/>
        <v>0</v>
      </c>
      <c r="BT75" s="24">
        <f t="shared" si="71"/>
        <v>0</v>
      </c>
    </row>
    <row r="76" spans="1:72" hidden="1" outlineLevel="1" x14ac:dyDescent="0.25">
      <c r="A76" s="59" t="s">
        <v>71</v>
      </c>
      <c r="C76" s="60"/>
      <c r="D76" s="8">
        <f>Renta_Alta!D76+Masivo!D76+Consumo_Inicial!D76</f>
        <v>0</v>
      </c>
      <c r="E76" s="8">
        <f>Renta_Alta!E76+Masivo!E76+Consumo_Inicial!E76</f>
        <v>0</v>
      </c>
      <c r="F76" s="8">
        <f>Renta_Alta!F76+Masivo!F76+Consumo_Inicial!F76</f>
        <v>0</v>
      </c>
      <c r="G76" s="8">
        <f>Renta_Alta!G76+Masivo!G76+Consumo_Inicial!G76</f>
        <v>0</v>
      </c>
      <c r="H76" s="8">
        <f>Renta_Alta!H76+Masivo!H76+Consumo_Inicial!H76</f>
        <v>0</v>
      </c>
      <c r="I76" s="8">
        <f>Renta_Alta!I76+Masivo!I76+Consumo_Inicial!I76</f>
        <v>0</v>
      </c>
      <c r="J76" s="8">
        <f>Renta_Alta!J76+Masivo!J76+Consumo_Inicial!J76</f>
        <v>0</v>
      </c>
      <c r="K76" s="8">
        <f>Renta_Alta!K76+Masivo!K76+Consumo_Inicial!K76</f>
        <v>0</v>
      </c>
      <c r="L76" s="8">
        <f>Renta_Alta!L76+Masivo!L76+Consumo_Inicial!L76</f>
        <v>0</v>
      </c>
      <c r="M76" s="8">
        <f>Renta_Alta!M76+Masivo!M76+Consumo_Inicial!M76</f>
        <v>0</v>
      </c>
      <c r="N76" s="8">
        <f>Renta_Alta!N76+Masivo!N76+Consumo_Inicial!N76</f>
        <v>0</v>
      </c>
      <c r="O76" s="8">
        <f>Renta_Alta!O76+Masivo!O76+Consumo_Inicial!O76</f>
        <v>0</v>
      </c>
      <c r="P76" s="8">
        <f>Renta_Alta!P76+Masivo!P76+Consumo_Inicial!P76</f>
        <v>0</v>
      </c>
      <c r="Q76" s="8">
        <f>Renta_Alta!Q76+Masivo!Q76+Consumo_Inicial!Q76</f>
        <v>0</v>
      </c>
      <c r="R76" s="8">
        <f>Renta_Alta!R76+Masivo!R76+Consumo_Inicial!R76</f>
        <v>0</v>
      </c>
      <c r="S76" s="8">
        <f>Renta_Alta!S76+Masivo!S76+Consumo_Inicial!S76</f>
        <v>0</v>
      </c>
      <c r="T76" s="8">
        <f>Renta_Alta!T76+Masivo!T76+Consumo_Inicial!T76</f>
        <v>0</v>
      </c>
      <c r="U76" s="8">
        <f>Renta_Alta!U76+Masivo!U76+Consumo_Inicial!U76</f>
        <v>0</v>
      </c>
      <c r="V76" s="8">
        <f>Renta_Alta!V76+Masivo!V76+Consumo_Inicial!V76</f>
        <v>0</v>
      </c>
      <c r="W76" s="8">
        <f>Renta_Alta!W76+Masivo!W76+Consumo_Inicial!W76</f>
        <v>0</v>
      </c>
      <c r="X76" s="8">
        <f>Renta_Alta!X76+Masivo!X76+Consumo_Inicial!X76</f>
        <v>0</v>
      </c>
      <c r="Y76" s="8">
        <f>Renta_Alta!Y76+Masivo!Y76+Consumo_Inicial!Y76</f>
        <v>0</v>
      </c>
      <c r="Z76" s="8">
        <f>Renta_Alta!Z76+Masivo!Z76+Consumo_Inicial!Z76</f>
        <v>0</v>
      </c>
      <c r="AA76" s="8">
        <f>Renta_Alta!AA76+Masivo!AA76+Consumo_Inicial!AA76</f>
        <v>0</v>
      </c>
      <c r="AB76" s="8">
        <f>Renta_Alta!AB76+Masivo!AB76+Consumo_Inicial!AB76</f>
        <v>0</v>
      </c>
      <c r="AC76" s="8">
        <f>Renta_Alta!AC76+Masivo!AC76+Consumo_Inicial!AC76</f>
        <v>0</v>
      </c>
      <c r="AD76" s="8">
        <f>Renta_Alta!AD76+Masivo!AD76+Consumo_Inicial!AD76</f>
        <v>0</v>
      </c>
      <c r="AE76" s="8">
        <f>Renta_Alta!AE76+Masivo!AE76+Consumo_Inicial!AE76</f>
        <v>0</v>
      </c>
      <c r="AF76" s="8">
        <f>Renta_Alta!AF76+Masivo!AF76+Consumo_Inicial!AF76</f>
        <v>0</v>
      </c>
      <c r="AG76" s="8">
        <f>Renta_Alta!AG76+Masivo!AG76+Consumo_Inicial!AG76</f>
        <v>0</v>
      </c>
      <c r="AH76" s="8">
        <f>Renta_Alta!AH76+Masivo!AH76+Consumo_Inicial!AH76</f>
        <v>0</v>
      </c>
      <c r="AI76" s="8">
        <f>Renta_Alta!AI76+Masivo!AI76+Consumo_Inicial!AI76</f>
        <v>0</v>
      </c>
      <c r="AJ76" s="8">
        <f>Renta_Alta!AJ76+Masivo!AJ76+Consumo_Inicial!AJ76</f>
        <v>0</v>
      </c>
      <c r="AK76" s="8">
        <f>Renta_Alta!AK76+Masivo!AK76+Consumo_Inicial!AK76</f>
        <v>0</v>
      </c>
      <c r="AL76" s="8">
        <f>Renta_Alta!AL76+Masivo!AL76+Consumo_Inicial!AL76</f>
        <v>0</v>
      </c>
      <c r="AM76" s="8">
        <f>Renta_Alta!AM76+Masivo!AM76+Consumo_Inicial!AM76</f>
        <v>0</v>
      </c>
      <c r="AN76" s="8">
        <f>Renta_Alta!AN76+Masivo!AN76+Consumo_Inicial!AN76</f>
        <v>0</v>
      </c>
      <c r="AO76" s="8">
        <f>Renta_Alta!AO76+Masivo!AO76+Consumo_Inicial!AO76</f>
        <v>0</v>
      </c>
      <c r="AP76" s="8">
        <f>Renta_Alta!AP76+Masivo!AP76+Consumo_Inicial!AP76</f>
        <v>0</v>
      </c>
      <c r="AQ76" s="8">
        <f>Renta_Alta!AQ76+Masivo!AQ76+Consumo_Inicial!AQ76</f>
        <v>0</v>
      </c>
      <c r="AR76" s="8">
        <f>Renta_Alta!AR76+Masivo!AR76+Consumo_Inicial!AR76</f>
        <v>0</v>
      </c>
      <c r="AS76" s="8">
        <f>Renta_Alta!AS76+Masivo!AS76+Consumo_Inicial!AS76</f>
        <v>0</v>
      </c>
      <c r="AT76" s="8">
        <f>Renta_Alta!AT76+Masivo!AT76+Consumo_Inicial!AT76</f>
        <v>0</v>
      </c>
      <c r="AU76" s="8">
        <f>Renta_Alta!AU76+Masivo!AU76+Consumo_Inicial!AU76</f>
        <v>0</v>
      </c>
      <c r="AV76" s="8">
        <f>Renta_Alta!AV76+Masivo!AV76+Consumo_Inicial!AV76</f>
        <v>0</v>
      </c>
      <c r="AW76" s="8">
        <f>Renta_Alta!AW76+Masivo!AW76+Consumo_Inicial!AW76</f>
        <v>0</v>
      </c>
      <c r="AX76" s="8">
        <f>Renta_Alta!AX76+Masivo!AX76+Consumo_Inicial!AX76</f>
        <v>0</v>
      </c>
      <c r="AY76" s="8">
        <f>Renta_Alta!AY76+Masivo!AY76+Consumo_Inicial!AY76</f>
        <v>0</v>
      </c>
      <c r="AZ76" s="8">
        <f>Renta_Alta!AZ76+Masivo!AZ76+Consumo_Inicial!AZ76</f>
        <v>0</v>
      </c>
      <c r="BA76" s="8">
        <f>Renta_Alta!BA76+Masivo!BA76+Consumo_Inicial!BA76</f>
        <v>0</v>
      </c>
      <c r="BB76" s="8">
        <f>Renta_Alta!BB76+Masivo!BB76+Consumo_Inicial!BB76</f>
        <v>0</v>
      </c>
      <c r="BC76" s="8">
        <f>Renta_Alta!BC76+Masivo!BC76+Consumo_Inicial!BC76</f>
        <v>0</v>
      </c>
      <c r="BD76" s="8">
        <f>Renta_Alta!BD76+Masivo!BD76+Consumo_Inicial!BD76</f>
        <v>0</v>
      </c>
      <c r="BE76" s="8">
        <f>Renta_Alta!BE76+Masivo!BE76+Consumo_Inicial!BE76</f>
        <v>0</v>
      </c>
      <c r="BF76" s="8">
        <f>Renta_Alta!BF76+Masivo!BF76+Consumo_Inicial!BF76</f>
        <v>0</v>
      </c>
      <c r="BG76" s="8">
        <f>Renta_Alta!BG76+Masivo!BG76+Consumo_Inicial!BG76</f>
        <v>0</v>
      </c>
      <c r="BH76" s="8">
        <f>Renta_Alta!BH76+Masivo!BH76+Consumo_Inicial!BH76</f>
        <v>0</v>
      </c>
      <c r="BI76" s="8">
        <f>Renta_Alta!BI76+Masivo!BI76+Consumo_Inicial!BI76</f>
        <v>0</v>
      </c>
      <c r="BJ76" s="8">
        <f>Renta_Alta!BJ76+Masivo!BJ76+Consumo_Inicial!BJ76</f>
        <v>0</v>
      </c>
      <c r="BK76" s="8">
        <f>Renta_Alta!BK76+Masivo!BK76+Consumo_Inicial!BK76</f>
        <v>0</v>
      </c>
      <c r="BO76" s="24">
        <f t="shared" si="71"/>
        <v>0</v>
      </c>
      <c r="BP76" s="24">
        <f t="shared" si="71"/>
        <v>0</v>
      </c>
      <c r="BQ76" s="24">
        <f t="shared" si="71"/>
        <v>0</v>
      </c>
      <c r="BR76" s="24">
        <f t="shared" si="71"/>
        <v>0</v>
      </c>
      <c r="BS76" s="24">
        <f t="shared" si="71"/>
        <v>0</v>
      </c>
      <c r="BT76" s="24">
        <f t="shared" si="71"/>
        <v>0</v>
      </c>
    </row>
    <row r="77" spans="1:72" hidden="1" outlineLevel="1" x14ac:dyDescent="0.25">
      <c r="A77" s="59" t="s">
        <v>71</v>
      </c>
      <c r="C77" s="60"/>
      <c r="D77" s="8">
        <f>Renta_Alta!D77+Masivo!D77+Consumo_Inicial!D77</f>
        <v>0</v>
      </c>
      <c r="E77" s="8">
        <f>Renta_Alta!E77+Masivo!E77+Consumo_Inicial!E77</f>
        <v>0</v>
      </c>
      <c r="F77" s="8">
        <f>Renta_Alta!F77+Masivo!F77+Consumo_Inicial!F77</f>
        <v>0</v>
      </c>
      <c r="G77" s="8">
        <f>Renta_Alta!G77+Masivo!G77+Consumo_Inicial!G77</f>
        <v>0</v>
      </c>
      <c r="H77" s="8">
        <f>Renta_Alta!H77+Masivo!H77+Consumo_Inicial!H77</f>
        <v>0</v>
      </c>
      <c r="I77" s="8">
        <f>Renta_Alta!I77+Masivo!I77+Consumo_Inicial!I77</f>
        <v>0</v>
      </c>
      <c r="J77" s="8">
        <f>Renta_Alta!J77+Masivo!J77+Consumo_Inicial!J77</f>
        <v>0</v>
      </c>
      <c r="K77" s="8">
        <f>Renta_Alta!K77+Masivo!K77+Consumo_Inicial!K77</f>
        <v>0</v>
      </c>
      <c r="L77" s="8">
        <f>Renta_Alta!L77+Masivo!L77+Consumo_Inicial!L77</f>
        <v>0</v>
      </c>
      <c r="M77" s="8">
        <f>Renta_Alta!M77+Masivo!M77+Consumo_Inicial!M77</f>
        <v>0</v>
      </c>
      <c r="N77" s="8">
        <f>Renta_Alta!N77+Masivo!N77+Consumo_Inicial!N77</f>
        <v>0</v>
      </c>
      <c r="O77" s="8">
        <f>Renta_Alta!O77+Masivo!O77+Consumo_Inicial!O77</f>
        <v>0</v>
      </c>
      <c r="P77" s="8">
        <f>Renta_Alta!P77+Masivo!P77+Consumo_Inicial!P77</f>
        <v>0</v>
      </c>
      <c r="Q77" s="8">
        <f>Renta_Alta!Q77+Masivo!Q77+Consumo_Inicial!Q77</f>
        <v>0</v>
      </c>
      <c r="R77" s="8">
        <f>Renta_Alta!R77+Masivo!R77+Consumo_Inicial!R77</f>
        <v>0</v>
      </c>
      <c r="S77" s="8">
        <f>Renta_Alta!S77+Masivo!S77+Consumo_Inicial!S77</f>
        <v>0</v>
      </c>
      <c r="T77" s="8">
        <f>Renta_Alta!T77+Masivo!T77+Consumo_Inicial!T77</f>
        <v>0</v>
      </c>
      <c r="U77" s="8">
        <f>Renta_Alta!U77+Masivo!U77+Consumo_Inicial!U77</f>
        <v>0</v>
      </c>
      <c r="V77" s="8">
        <f>Renta_Alta!V77+Masivo!V77+Consumo_Inicial!V77</f>
        <v>0</v>
      </c>
      <c r="W77" s="8">
        <f>Renta_Alta!W77+Masivo!W77+Consumo_Inicial!W77</f>
        <v>0</v>
      </c>
      <c r="X77" s="8">
        <f>Renta_Alta!X77+Masivo!X77+Consumo_Inicial!X77</f>
        <v>0</v>
      </c>
      <c r="Y77" s="8">
        <f>Renta_Alta!Y77+Masivo!Y77+Consumo_Inicial!Y77</f>
        <v>0</v>
      </c>
      <c r="Z77" s="8">
        <f>Renta_Alta!Z77+Masivo!Z77+Consumo_Inicial!Z77</f>
        <v>0</v>
      </c>
      <c r="AA77" s="8">
        <f>Renta_Alta!AA77+Masivo!AA77+Consumo_Inicial!AA77</f>
        <v>0</v>
      </c>
      <c r="AB77" s="8">
        <f>Renta_Alta!AB77+Masivo!AB77+Consumo_Inicial!AB77</f>
        <v>0</v>
      </c>
      <c r="AC77" s="8">
        <f>Renta_Alta!AC77+Masivo!AC77+Consumo_Inicial!AC77</f>
        <v>0</v>
      </c>
      <c r="AD77" s="8">
        <f>Renta_Alta!AD77+Masivo!AD77+Consumo_Inicial!AD77</f>
        <v>0</v>
      </c>
      <c r="AE77" s="8">
        <f>Renta_Alta!AE77+Masivo!AE77+Consumo_Inicial!AE77</f>
        <v>0</v>
      </c>
      <c r="AF77" s="8">
        <f>Renta_Alta!AF77+Masivo!AF77+Consumo_Inicial!AF77</f>
        <v>0</v>
      </c>
      <c r="AG77" s="8">
        <f>Renta_Alta!AG77+Masivo!AG77+Consumo_Inicial!AG77</f>
        <v>0</v>
      </c>
      <c r="AH77" s="8">
        <f>Renta_Alta!AH77+Masivo!AH77+Consumo_Inicial!AH77</f>
        <v>0</v>
      </c>
      <c r="AI77" s="8">
        <f>Renta_Alta!AI77+Masivo!AI77+Consumo_Inicial!AI77</f>
        <v>0</v>
      </c>
      <c r="AJ77" s="8">
        <f>Renta_Alta!AJ77+Masivo!AJ77+Consumo_Inicial!AJ77</f>
        <v>0</v>
      </c>
      <c r="AK77" s="8">
        <f>Renta_Alta!AK77+Masivo!AK77+Consumo_Inicial!AK77</f>
        <v>0</v>
      </c>
      <c r="AL77" s="8">
        <f>Renta_Alta!AL77+Masivo!AL77+Consumo_Inicial!AL77</f>
        <v>0</v>
      </c>
      <c r="AM77" s="8">
        <f>Renta_Alta!AM77+Masivo!AM77+Consumo_Inicial!AM77</f>
        <v>0</v>
      </c>
      <c r="AN77" s="8">
        <f>Renta_Alta!AN77+Masivo!AN77+Consumo_Inicial!AN77</f>
        <v>0</v>
      </c>
      <c r="AO77" s="8">
        <f>Renta_Alta!AO77+Masivo!AO77+Consumo_Inicial!AO77</f>
        <v>0</v>
      </c>
      <c r="AP77" s="8">
        <f>Renta_Alta!AP77+Masivo!AP77+Consumo_Inicial!AP77</f>
        <v>0</v>
      </c>
      <c r="AQ77" s="8">
        <f>Renta_Alta!AQ77+Masivo!AQ77+Consumo_Inicial!AQ77</f>
        <v>0</v>
      </c>
      <c r="AR77" s="8">
        <f>Renta_Alta!AR77+Masivo!AR77+Consumo_Inicial!AR77</f>
        <v>0</v>
      </c>
      <c r="AS77" s="8">
        <f>Renta_Alta!AS77+Masivo!AS77+Consumo_Inicial!AS77</f>
        <v>0</v>
      </c>
      <c r="AT77" s="8">
        <f>Renta_Alta!AT77+Masivo!AT77+Consumo_Inicial!AT77</f>
        <v>0</v>
      </c>
      <c r="AU77" s="8">
        <f>Renta_Alta!AU77+Masivo!AU77+Consumo_Inicial!AU77</f>
        <v>0</v>
      </c>
      <c r="AV77" s="8">
        <f>Renta_Alta!AV77+Masivo!AV77+Consumo_Inicial!AV77</f>
        <v>0</v>
      </c>
      <c r="AW77" s="8">
        <f>Renta_Alta!AW77+Masivo!AW77+Consumo_Inicial!AW77</f>
        <v>0</v>
      </c>
      <c r="AX77" s="8">
        <f>Renta_Alta!AX77+Masivo!AX77+Consumo_Inicial!AX77</f>
        <v>0</v>
      </c>
      <c r="AY77" s="8">
        <f>Renta_Alta!AY77+Masivo!AY77+Consumo_Inicial!AY77</f>
        <v>0</v>
      </c>
      <c r="AZ77" s="8">
        <f>Renta_Alta!AZ77+Masivo!AZ77+Consumo_Inicial!AZ77</f>
        <v>0</v>
      </c>
      <c r="BA77" s="8">
        <f>Renta_Alta!BA77+Masivo!BA77+Consumo_Inicial!BA77</f>
        <v>0</v>
      </c>
      <c r="BB77" s="8">
        <f>Renta_Alta!BB77+Masivo!BB77+Consumo_Inicial!BB77</f>
        <v>0</v>
      </c>
      <c r="BC77" s="8">
        <f>Renta_Alta!BC77+Masivo!BC77+Consumo_Inicial!BC77</f>
        <v>0</v>
      </c>
      <c r="BD77" s="8">
        <f>Renta_Alta!BD77+Masivo!BD77+Consumo_Inicial!BD77</f>
        <v>0</v>
      </c>
      <c r="BE77" s="8">
        <f>Renta_Alta!BE77+Masivo!BE77+Consumo_Inicial!BE77</f>
        <v>0</v>
      </c>
      <c r="BF77" s="8">
        <f>Renta_Alta!BF77+Masivo!BF77+Consumo_Inicial!BF77</f>
        <v>0</v>
      </c>
      <c r="BG77" s="8">
        <f>Renta_Alta!BG77+Masivo!BG77+Consumo_Inicial!BG77</f>
        <v>0</v>
      </c>
      <c r="BH77" s="8">
        <f>Renta_Alta!BH77+Masivo!BH77+Consumo_Inicial!BH77</f>
        <v>0</v>
      </c>
      <c r="BI77" s="8">
        <f>Renta_Alta!BI77+Masivo!BI77+Consumo_Inicial!BI77</f>
        <v>0</v>
      </c>
      <c r="BJ77" s="8">
        <f>Renta_Alta!BJ77+Masivo!BJ77+Consumo_Inicial!BJ77</f>
        <v>0</v>
      </c>
      <c r="BK77" s="8">
        <f>Renta_Alta!BK77+Masivo!BK77+Consumo_Inicial!BK77</f>
        <v>0</v>
      </c>
      <c r="BO77" s="24">
        <f t="shared" si="71"/>
        <v>0</v>
      </c>
      <c r="BP77" s="24">
        <f t="shared" si="71"/>
        <v>0</v>
      </c>
      <c r="BQ77" s="24">
        <f t="shared" si="71"/>
        <v>0</v>
      </c>
      <c r="BR77" s="24">
        <f t="shared" si="71"/>
        <v>0</v>
      </c>
      <c r="BS77" s="24">
        <f t="shared" si="71"/>
        <v>0</v>
      </c>
      <c r="BT77" s="24">
        <f t="shared" si="71"/>
        <v>0</v>
      </c>
    </row>
    <row r="78" spans="1:72" hidden="1" outlineLevel="1" x14ac:dyDescent="0.25">
      <c r="A78" s="59" t="s">
        <v>71</v>
      </c>
      <c r="C78" s="60"/>
      <c r="D78" s="8">
        <f>Renta_Alta!D78+Masivo!D78+Consumo_Inicial!D78</f>
        <v>0</v>
      </c>
      <c r="E78" s="8">
        <f>Renta_Alta!E78+Masivo!E78+Consumo_Inicial!E78</f>
        <v>0</v>
      </c>
      <c r="F78" s="8">
        <f>Renta_Alta!F78+Masivo!F78+Consumo_Inicial!F78</f>
        <v>0</v>
      </c>
      <c r="G78" s="8">
        <f>Renta_Alta!G78+Masivo!G78+Consumo_Inicial!G78</f>
        <v>0</v>
      </c>
      <c r="H78" s="8">
        <f>Renta_Alta!H78+Masivo!H78+Consumo_Inicial!H78</f>
        <v>0</v>
      </c>
      <c r="I78" s="8">
        <f>Renta_Alta!I78+Masivo!I78+Consumo_Inicial!I78</f>
        <v>0</v>
      </c>
      <c r="J78" s="8">
        <f>Renta_Alta!J78+Masivo!J78+Consumo_Inicial!J78</f>
        <v>0</v>
      </c>
      <c r="K78" s="8">
        <f>Renta_Alta!K78+Masivo!K78+Consumo_Inicial!K78</f>
        <v>0</v>
      </c>
      <c r="L78" s="8">
        <f>Renta_Alta!L78+Masivo!L78+Consumo_Inicial!L78</f>
        <v>0</v>
      </c>
      <c r="M78" s="8">
        <f>Renta_Alta!M78+Masivo!M78+Consumo_Inicial!M78</f>
        <v>0</v>
      </c>
      <c r="N78" s="8">
        <f>Renta_Alta!N78+Masivo!N78+Consumo_Inicial!N78</f>
        <v>0</v>
      </c>
      <c r="O78" s="8">
        <f>Renta_Alta!O78+Masivo!O78+Consumo_Inicial!O78</f>
        <v>0</v>
      </c>
      <c r="P78" s="8">
        <f>Renta_Alta!P78+Masivo!P78+Consumo_Inicial!P78</f>
        <v>0</v>
      </c>
      <c r="Q78" s="8">
        <f>Renta_Alta!Q78+Masivo!Q78+Consumo_Inicial!Q78</f>
        <v>0</v>
      </c>
      <c r="R78" s="8">
        <f>Renta_Alta!R78+Masivo!R78+Consumo_Inicial!R78</f>
        <v>0</v>
      </c>
      <c r="S78" s="8">
        <f>Renta_Alta!S78+Masivo!S78+Consumo_Inicial!S78</f>
        <v>0</v>
      </c>
      <c r="T78" s="8">
        <f>Renta_Alta!T78+Masivo!T78+Consumo_Inicial!T78</f>
        <v>0</v>
      </c>
      <c r="U78" s="8">
        <f>Renta_Alta!U78+Masivo!U78+Consumo_Inicial!U78</f>
        <v>0</v>
      </c>
      <c r="V78" s="8">
        <f>Renta_Alta!V78+Masivo!V78+Consumo_Inicial!V78</f>
        <v>0</v>
      </c>
      <c r="W78" s="8">
        <f>Renta_Alta!W78+Masivo!W78+Consumo_Inicial!W78</f>
        <v>0</v>
      </c>
      <c r="X78" s="8">
        <f>Renta_Alta!X78+Masivo!X78+Consumo_Inicial!X78</f>
        <v>0</v>
      </c>
      <c r="Y78" s="8">
        <f>Renta_Alta!Y78+Masivo!Y78+Consumo_Inicial!Y78</f>
        <v>0</v>
      </c>
      <c r="Z78" s="8">
        <f>Renta_Alta!Z78+Masivo!Z78+Consumo_Inicial!Z78</f>
        <v>0</v>
      </c>
      <c r="AA78" s="8">
        <f>Renta_Alta!AA78+Masivo!AA78+Consumo_Inicial!AA78</f>
        <v>0</v>
      </c>
      <c r="AB78" s="8">
        <f>Renta_Alta!AB78+Masivo!AB78+Consumo_Inicial!AB78</f>
        <v>0</v>
      </c>
      <c r="AC78" s="8">
        <f>Renta_Alta!AC78+Masivo!AC78+Consumo_Inicial!AC78</f>
        <v>0</v>
      </c>
      <c r="AD78" s="8">
        <f>Renta_Alta!AD78+Masivo!AD78+Consumo_Inicial!AD78</f>
        <v>0</v>
      </c>
      <c r="AE78" s="8">
        <f>Renta_Alta!AE78+Masivo!AE78+Consumo_Inicial!AE78</f>
        <v>0</v>
      </c>
      <c r="AF78" s="8">
        <f>Renta_Alta!AF78+Masivo!AF78+Consumo_Inicial!AF78</f>
        <v>0</v>
      </c>
      <c r="AG78" s="8">
        <f>Renta_Alta!AG78+Masivo!AG78+Consumo_Inicial!AG78</f>
        <v>0</v>
      </c>
      <c r="AH78" s="8">
        <f>Renta_Alta!AH78+Masivo!AH78+Consumo_Inicial!AH78</f>
        <v>0</v>
      </c>
      <c r="AI78" s="8">
        <f>Renta_Alta!AI78+Masivo!AI78+Consumo_Inicial!AI78</f>
        <v>0</v>
      </c>
      <c r="AJ78" s="8">
        <f>Renta_Alta!AJ78+Masivo!AJ78+Consumo_Inicial!AJ78</f>
        <v>0</v>
      </c>
      <c r="AK78" s="8">
        <f>Renta_Alta!AK78+Masivo!AK78+Consumo_Inicial!AK78</f>
        <v>0</v>
      </c>
      <c r="AL78" s="8">
        <f>Renta_Alta!AL78+Masivo!AL78+Consumo_Inicial!AL78</f>
        <v>0</v>
      </c>
      <c r="AM78" s="8">
        <f>Renta_Alta!AM78+Masivo!AM78+Consumo_Inicial!AM78</f>
        <v>0</v>
      </c>
      <c r="AN78" s="8">
        <f>Renta_Alta!AN78+Masivo!AN78+Consumo_Inicial!AN78</f>
        <v>0</v>
      </c>
      <c r="AO78" s="8">
        <f>Renta_Alta!AO78+Masivo!AO78+Consumo_Inicial!AO78</f>
        <v>0</v>
      </c>
      <c r="AP78" s="8">
        <f>Renta_Alta!AP78+Masivo!AP78+Consumo_Inicial!AP78</f>
        <v>0</v>
      </c>
      <c r="AQ78" s="8">
        <f>Renta_Alta!AQ78+Masivo!AQ78+Consumo_Inicial!AQ78</f>
        <v>0</v>
      </c>
      <c r="AR78" s="8">
        <f>Renta_Alta!AR78+Masivo!AR78+Consumo_Inicial!AR78</f>
        <v>0</v>
      </c>
      <c r="AS78" s="8">
        <f>Renta_Alta!AS78+Masivo!AS78+Consumo_Inicial!AS78</f>
        <v>0</v>
      </c>
      <c r="AT78" s="8">
        <f>Renta_Alta!AT78+Masivo!AT78+Consumo_Inicial!AT78</f>
        <v>0</v>
      </c>
      <c r="AU78" s="8">
        <f>Renta_Alta!AU78+Masivo!AU78+Consumo_Inicial!AU78</f>
        <v>0</v>
      </c>
      <c r="AV78" s="8">
        <f>Renta_Alta!AV78+Masivo!AV78+Consumo_Inicial!AV78</f>
        <v>0</v>
      </c>
      <c r="AW78" s="8">
        <f>Renta_Alta!AW78+Masivo!AW78+Consumo_Inicial!AW78</f>
        <v>0</v>
      </c>
      <c r="AX78" s="8">
        <f>Renta_Alta!AX78+Masivo!AX78+Consumo_Inicial!AX78</f>
        <v>0</v>
      </c>
      <c r="AY78" s="8">
        <f>Renta_Alta!AY78+Masivo!AY78+Consumo_Inicial!AY78</f>
        <v>0</v>
      </c>
      <c r="AZ78" s="8">
        <f>Renta_Alta!AZ78+Masivo!AZ78+Consumo_Inicial!AZ78</f>
        <v>0</v>
      </c>
      <c r="BA78" s="8">
        <f>Renta_Alta!BA78+Masivo!BA78+Consumo_Inicial!BA78</f>
        <v>0</v>
      </c>
      <c r="BB78" s="8">
        <f>Renta_Alta!BB78+Masivo!BB78+Consumo_Inicial!BB78</f>
        <v>0</v>
      </c>
      <c r="BC78" s="8">
        <f>Renta_Alta!BC78+Masivo!BC78+Consumo_Inicial!BC78</f>
        <v>0</v>
      </c>
      <c r="BD78" s="8">
        <f>Renta_Alta!BD78+Masivo!BD78+Consumo_Inicial!BD78</f>
        <v>0</v>
      </c>
      <c r="BE78" s="8">
        <f>Renta_Alta!BE78+Masivo!BE78+Consumo_Inicial!BE78</f>
        <v>0</v>
      </c>
      <c r="BF78" s="8">
        <f>Renta_Alta!BF78+Masivo!BF78+Consumo_Inicial!BF78</f>
        <v>0</v>
      </c>
      <c r="BG78" s="8">
        <f>Renta_Alta!BG78+Masivo!BG78+Consumo_Inicial!BG78</f>
        <v>0</v>
      </c>
      <c r="BH78" s="8">
        <f>Renta_Alta!BH78+Masivo!BH78+Consumo_Inicial!BH78</f>
        <v>0</v>
      </c>
      <c r="BI78" s="8">
        <f>Renta_Alta!BI78+Masivo!BI78+Consumo_Inicial!BI78</f>
        <v>0</v>
      </c>
      <c r="BJ78" s="8">
        <f>Renta_Alta!BJ78+Masivo!BJ78+Consumo_Inicial!BJ78</f>
        <v>0</v>
      </c>
      <c r="BK78" s="8">
        <f>Renta_Alta!BK78+Masivo!BK78+Consumo_Inicial!BK78</f>
        <v>0</v>
      </c>
      <c r="BO78" s="24">
        <f t="shared" si="71"/>
        <v>0</v>
      </c>
      <c r="BP78" s="24">
        <f t="shared" si="71"/>
        <v>0</v>
      </c>
      <c r="BQ78" s="24">
        <f t="shared" si="71"/>
        <v>0</v>
      </c>
      <c r="BR78" s="24">
        <f t="shared" si="71"/>
        <v>0</v>
      </c>
      <c r="BS78" s="24">
        <f t="shared" si="71"/>
        <v>0</v>
      </c>
      <c r="BT78" s="24">
        <f t="shared" si="71"/>
        <v>0</v>
      </c>
    </row>
    <row r="79" spans="1:72" hidden="1" outlineLevel="1" x14ac:dyDescent="0.25">
      <c r="A79" s="59" t="s">
        <v>71</v>
      </c>
      <c r="C79" s="60"/>
      <c r="D79" s="8">
        <f>Renta_Alta!D79+Masivo!D79+Consumo_Inicial!D79</f>
        <v>0</v>
      </c>
      <c r="E79" s="8">
        <f>Renta_Alta!E79+Masivo!E79+Consumo_Inicial!E79</f>
        <v>0</v>
      </c>
      <c r="F79" s="8">
        <f>Renta_Alta!F79+Masivo!F79+Consumo_Inicial!F79</f>
        <v>0</v>
      </c>
      <c r="G79" s="8">
        <f>Renta_Alta!G79+Masivo!G79+Consumo_Inicial!G79</f>
        <v>0</v>
      </c>
      <c r="H79" s="8">
        <f>Renta_Alta!H79+Masivo!H79+Consumo_Inicial!H79</f>
        <v>0</v>
      </c>
      <c r="I79" s="8">
        <f>Renta_Alta!I79+Masivo!I79+Consumo_Inicial!I79</f>
        <v>0</v>
      </c>
      <c r="J79" s="8">
        <f>Renta_Alta!J79+Masivo!J79+Consumo_Inicial!J79</f>
        <v>0</v>
      </c>
      <c r="K79" s="8">
        <f>Renta_Alta!K79+Masivo!K79+Consumo_Inicial!K79</f>
        <v>0</v>
      </c>
      <c r="L79" s="8">
        <f>Renta_Alta!L79+Masivo!L79+Consumo_Inicial!L79</f>
        <v>0</v>
      </c>
      <c r="M79" s="8">
        <f>Renta_Alta!M79+Masivo!M79+Consumo_Inicial!M79</f>
        <v>0</v>
      </c>
      <c r="N79" s="8">
        <f>Renta_Alta!N79+Masivo!N79+Consumo_Inicial!N79</f>
        <v>0</v>
      </c>
      <c r="O79" s="8">
        <f>Renta_Alta!O79+Masivo!O79+Consumo_Inicial!O79</f>
        <v>0</v>
      </c>
      <c r="P79" s="8">
        <f>Renta_Alta!P79+Masivo!P79+Consumo_Inicial!P79</f>
        <v>0</v>
      </c>
      <c r="Q79" s="8">
        <f>Renta_Alta!Q79+Masivo!Q79+Consumo_Inicial!Q79</f>
        <v>0</v>
      </c>
      <c r="R79" s="8">
        <f>Renta_Alta!R79+Masivo!R79+Consumo_Inicial!R79</f>
        <v>0</v>
      </c>
      <c r="S79" s="8">
        <f>Renta_Alta!S79+Masivo!S79+Consumo_Inicial!S79</f>
        <v>0</v>
      </c>
      <c r="T79" s="8">
        <f>Renta_Alta!T79+Masivo!T79+Consumo_Inicial!T79</f>
        <v>0</v>
      </c>
      <c r="U79" s="8">
        <f>Renta_Alta!U79+Masivo!U79+Consumo_Inicial!U79</f>
        <v>0</v>
      </c>
      <c r="V79" s="8">
        <f>Renta_Alta!V79+Masivo!V79+Consumo_Inicial!V79</f>
        <v>0</v>
      </c>
      <c r="W79" s="8">
        <f>Renta_Alta!W79+Masivo!W79+Consumo_Inicial!W79</f>
        <v>0</v>
      </c>
      <c r="X79" s="8">
        <f>Renta_Alta!X79+Masivo!X79+Consumo_Inicial!X79</f>
        <v>0</v>
      </c>
      <c r="Y79" s="8">
        <f>Renta_Alta!Y79+Masivo!Y79+Consumo_Inicial!Y79</f>
        <v>0</v>
      </c>
      <c r="Z79" s="8">
        <f>Renta_Alta!Z79+Masivo!Z79+Consumo_Inicial!Z79</f>
        <v>0</v>
      </c>
      <c r="AA79" s="8">
        <f>Renta_Alta!AA79+Masivo!AA79+Consumo_Inicial!AA79</f>
        <v>0</v>
      </c>
      <c r="AB79" s="8">
        <f>Renta_Alta!AB79+Masivo!AB79+Consumo_Inicial!AB79</f>
        <v>0</v>
      </c>
      <c r="AC79" s="8">
        <f>Renta_Alta!AC79+Masivo!AC79+Consumo_Inicial!AC79</f>
        <v>0</v>
      </c>
      <c r="AD79" s="8">
        <f>Renta_Alta!AD79+Masivo!AD79+Consumo_Inicial!AD79</f>
        <v>0</v>
      </c>
      <c r="AE79" s="8">
        <f>Renta_Alta!AE79+Masivo!AE79+Consumo_Inicial!AE79</f>
        <v>0</v>
      </c>
      <c r="AF79" s="8">
        <f>Renta_Alta!AF79+Masivo!AF79+Consumo_Inicial!AF79</f>
        <v>0</v>
      </c>
      <c r="AG79" s="8">
        <f>Renta_Alta!AG79+Masivo!AG79+Consumo_Inicial!AG79</f>
        <v>0</v>
      </c>
      <c r="AH79" s="8">
        <f>Renta_Alta!AH79+Masivo!AH79+Consumo_Inicial!AH79</f>
        <v>0</v>
      </c>
      <c r="AI79" s="8">
        <f>Renta_Alta!AI79+Masivo!AI79+Consumo_Inicial!AI79</f>
        <v>0</v>
      </c>
      <c r="AJ79" s="8">
        <f>Renta_Alta!AJ79+Masivo!AJ79+Consumo_Inicial!AJ79</f>
        <v>0</v>
      </c>
      <c r="AK79" s="8">
        <f>Renta_Alta!AK79+Masivo!AK79+Consumo_Inicial!AK79</f>
        <v>0</v>
      </c>
      <c r="AL79" s="8">
        <f>Renta_Alta!AL79+Masivo!AL79+Consumo_Inicial!AL79</f>
        <v>0</v>
      </c>
      <c r="AM79" s="8">
        <f>Renta_Alta!AM79+Masivo!AM79+Consumo_Inicial!AM79</f>
        <v>0</v>
      </c>
      <c r="AN79" s="8">
        <f>Renta_Alta!AN79+Masivo!AN79+Consumo_Inicial!AN79</f>
        <v>0</v>
      </c>
      <c r="AO79" s="8">
        <f>Renta_Alta!AO79+Masivo!AO79+Consumo_Inicial!AO79</f>
        <v>0</v>
      </c>
      <c r="AP79" s="8">
        <f>Renta_Alta!AP79+Masivo!AP79+Consumo_Inicial!AP79</f>
        <v>0</v>
      </c>
      <c r="AQ79" s="8">
        <f>Renta_Alta!AQ79+Masivo!AQ79+Consumo_Inicial!AQ79</f>
        <v>0</v>
      </c>
      <c r="AR79" s="8">
        <f>Renta_Alta!AR79+Masivo!AR79+Consumo_Inicial!AR79</f>
        <v>0</v>
      </c>
      <c r="AS79" s="8">
        <f>Renta_Alta!AS79+Masivo!AS79+Consumo_Inicial!AS79</f>
        <v>0</v>
      </c>
      <c r="AT79" s="8">
        <f>Renta_Alta!AT79+Masivo!AT79+Consumo_Inicial!AT79</f>
        <v>0</v>
      </c>
      <c r="AU79" s="8">
        <f>Renta_Alta!AU79+Masivo!AU79+Consumo_Inicial!AU79</f>
        <v>0</v>
      </c>
      <c r="AV79" s="8">
        <f>Renta_Alta!AV79+Masivo!AV79+Consumo_Inicial!AV79</f>
        <v>0</v>
      </c>
      <c r="AW79" s="8">
        <f>Renta_Alta!AW79+Masivo!AW79+Consumo_Inicial!AW79</f>
        <v>0</v>
      </c>
      <c r="AX79" s="8">
        <f>Renta_Alta!AX79+Masivo!AX79+Consumo_Inicial!AX79</f>
        <v>0</v>
      </c>
      <c r="AY79" s="8">
        <f>Renta_Alta!AY79+Masivo!AY79+Consumo_Inicial!AY79</f>
        <v>0</v>
      </c>
      <c r="AZ79" s="8">
        <f>Renta_Alta!AZ79+Masivo!AZ79+Consumo_Inicial!AZ79</f>
        <v>0</v>
      </c>
      <c r="BA79" s="8">
        <f>Renta_Alta!BA79+Masivo!BA79+Consumo_Inicial!BA79</f>
        <v>0</v>
      </c>
      <c r="BB79" s="8">
        <f>Renta_Alta!BB79+Masivo!BB79+Consumo_Inicial!BB79</f>
        <v>0</v>
      </c>
      <c r="BC79" s="8">
        <f>Renta_Alta!BC79+Masivo!BC79+Consumo_Inicial!BC79</f>
        <v>0</v>
      </c>
      <c r="BD79" s="8">
        <f>Renta_Alta!BD79+Masivo!BD79+Consumo_Inicial!BD79</f>
        <v>0</v>
      </c>
      <c r="BE79" s="8">
        <f>Renta_Alta!BE79+Masivo!BE79+Consumo_Inicial!BE79</f>
        <v>0</v>
      </c>
      <c r="BF79" s="8">
        <f>Renta_Alta!BF79+Masivo!BF79+Consumo_Inicial!BF79</f>
        <v>0</v>
      </c>
      <c r="BG79" s="8">
        <f>Renta_Alta!BG79+Masivo!BG79+Consumo_Inicial!BG79</f>
        <v>0</v>
      </c>
      <c r="BH79" s="8">
        <f>Renta_Alta!BH79+Masivo!BH79+Consumo_Inicial!BH79</f>
        <v>0</v>
      </c>
      <c r="BI79" s="8">
        <f>Renta_Alta!BI79+Masivo!BI79+Consumo_Inicial!BI79</f>
        <v>0</v>
      </c>
      <c r="BJ79" s="8">
        <f>Renta_Alta!BJ79+Masivo!BJ79+Consumo_Inicial!BJ79</f>
        <v>0</v>
      </c>
      <c r="BK79" s="8">
        <f>Renta_Alta!BK79+Masivo!BK79+Consumo_Inicial!BK79</f>
        <v>0</v>
      </c>
      <c r="BO79" s="24">
        <f t="shared" si="71"/>
        <v>0</v>
      </c>
      <c r="BP79" s="24">
        <f t="shared" si="71"/>
        <v>0</v>
      </c>
      <c r="BQ79" s="24">
        <f t="shared" si="71"/>
        <v>0</v>
      </c>
      <c r="BR79" s="24">
        <f t="shared" si="71"/>
        <v>0</v>
      </c>
      <c r="BS79" s="24">
        <f t="shared" si="71"/>
        <v>0</v>
      </c>
      <c r="BT79" s="24">
        <f t="shared" si="71"/>
        <v>0</v>
      </c>
    </row>
    <row r="80" spans="1:72" hidden="1" outlineLevel="1" x14ac:dyDescent="0.25">
      <c r="A80" s="59" t="s">
        <v>71</v>
      </c>
      <c r="C80" s="60"/>
      <c r="D80" s="8">
        <f>Renta_Alta!D80+Masivo!D80+Consumo_Inicial!D80</f>
        <v>0</v>
      </c>
      <c r="E80" s="8">
        <f>Renta_Alta!E80+Masivo!E80+Consumo_Inicial!E80</f>
        <v>0</v>
      </c>
      <c r="F80" s="8">
        <f>Renta_Alta!F80+Masivo!F80+Consumo_Inicial!F80</f>
        <v>0</v>
      </c>
      <c r="G80" s="8">
        <f>Renta_Alta!G80+Masivo!G80+Consumo_Inicial!G80</f>
        <v>0</v>
      </c>
      <c r="H80" s="8">
        <f>Renta_Alta!H80+Masivo!H80+Consumo_Inicial!H80</f>
        <v>0</v>
      </c>
      <c r="I80" s="8">
        <f>Renta_Alta!I80+Masivo!I80+Consumo_Inicial!I80</f>
        <v>0</v>
      </c>
      <c r="J80" s="8">
        <f>Renta_Alta!J80+Masivo!J80+Consumo_Inicial!J80</f>
        <v>0</v>
      </c>
      <c r="K80" s="8">
        <f>Renta_Alta!K80+Masivo!K80+Consumo_Inicial!K80</f>
        <v>0</v>
      </c>
      <c r="L80" s="8">
        <f>Renta_Alta!L80+Masivo!L80+Consumo_Inicial!L80</f>
        <v>0</v>
      </c>
      <c r="M80" s="8">
        <f>Renta_Alta!M80+Masivo!M80+Consumo_Inicial!M80</f>
        <v>0</v>
      </c>
      <c r="N80" s="8">
        <f>Renta_Alta!N80+Masivo!N80+Consumo_Inicial!N80</f>
        <v>0</v>
      </c>
      <c r="O80" s="8">
        <f>Renta_Alta!O80+Masivo!O80+Consumo_Inicial!O80</f>
        <v>0</v>
      </c>
      <c r="P80" s="8">
        <f>Renta_Alta!P80+Masivo!P80+Consumo_Inicial!P80</f>
        <v>0</v>
      </c>
      <c r="Q80" s="8">
        <f>Renta_Alta!Q80+Masivo!Q80+Consumo_Inicial!Q80</f>
        <v>0</v>
      </c>
      <c r="R80" s="8">
        <f>Renta_Alta!R80+Masivo!R80+Consumo_Inicial!R80</f>
        <v>0</v>
      </c>
      <c r="S80" s="8">
        <f>Renta_Alta!S80+Masivo!S80+Consumo_Inicial!S80</f>
        <v>0</v>
      </c>
      <c r="T80" s="8">
        <f>Renta_Alta!T80+Masivo!T80+Consumo_Inicial!T80</f>
        <v>0</v>
      </c>
      <c r="U80" s="8">
        <f>Renta_Alta!U80+Masivo!U80+Consumo_Inicial!U80</f>
        <v>0</v>
      </c>
      <c r="V80" s="8">
        <f>Renta_Alta!V80+Masivo!V80+Consumo_Inicial!V80</f>
        <v>0</v>
      </c>
      <c r="W80" s="8">
        <f>Renta_Alta!W80+Masivo!W80+Consumo_Inicial!W80</f>
        <v>0</v>
      </c>
      <c r="X80" s="8">
        <f>Renta_Alta!X80+Masivo!X80+Consumo_Inicial!X80</f>
        <v>0</v>
      </c>
      <c r="Y80" s="8">
        <f>Renta_Alta!Y80+Masivo!Y80+Consumo_Inicial!Y80</f>
        <v>0</v>
      </c>
      <c r="Z80" s="8">
        <f>Renta_Alta!Z80+Masivo!Z80+Consumo_Inicial!Z80</f>
        <v>0</v>
      </c>
      <c r="AA80" s="8">
        <f>Renta_Alta!AA80+Masivo!AA80+Consumo_Inicial!AA80</f>
        <v>0</v>
      </c>
      <c r="AB80" s="8">
        <f>Renta_Alta!AB80+Masivo!AB80+Consumo_Inicial!AB80</f>
        <v>0</v>
      </c>
      <c r="AC80" s="8">
        <f>Renta_Alta!AC80+Masivo!AC80+Consumo_Inicial!AC80</f>
        <v>0</v>
      </c>
      <c r="AD80" s="8">
        <f>Renta_Alta!AD80+Masivo!AD80+Consumo_Inicial!AD80</f>
        <v>0</v>
      </c>
      <c r="AE80" s="8">
        <f>Renta_Alta!AE80+Masivo!AE80+Consumo_Inicial!AE80</f>
        <v>0</v>
      </c>
      <c r="AF80" s="8">
        <f>Renta_Alta!AF80+Masivo!AF80+Consumo_Inicial!AF80</f>
        <v>0</v>
      </c>
      <c r="AG80" s="8">
        <f>Renta_Alta!AG80+Masivo!AG80+Consumo_Inicial!AG80</f>
        <v>0</v>
      </c>
      <c r="AH80" s="8">
        <f>Renta_Alta!AH80+Masivo!AH80+Consumo_Inicial!AH80</f>
        <v>0</v>
      </c>
      <c r="AI80" s="8">
        <f>Renta_Alta!AI80+Masivo!AI80+Consumo_Inicial!AI80</f>
        <v>0</v>
      </c>
      <c r="AJ80" s="8">
        <f>Renta_Alta!AJ80+Masivo!AJ80+Consumo_Inicial!AJ80</f>
        <v>0</v>
      </c>
      <c r="AK80" s="8">
        <f>Renta_Alta!AK80+Masivo!AK80+Consumo_Inicial!AK80</f>
        <v>0</v>
      </c>
      <c r="AL80" s="8">
        <f>Renta_Alta!AL80+Masivo!AL80+Consumo_Inicial!AL80</f>
        <v>0</v>
      </c>
      <c r="AM80" s="8">
        <f>Renta_Alta!AM80+Masivo!AM80+Consumo_Inicial!AM80</f>
        <v>0</v>
      </c>
      <c r="AN80" s="8">
        <f>Renta_Alta!AN80+Masivo!AN80+Consumo_Inicial!AN80</f>
        <v>0</v>
      </c>
      <c r="AO80" s="8">
        <f>Renta_Alta!AO80+Masivo!AO80+Consumo_Inicial!AO80</f>
        <v>0</v>
      </c>
      <c r="AP80" s="8">
        <f>Renta_Alta!AP80+Masivo!AP80+Consumo_Inicial!AP80</f>
        <v>0</v>
      </c>
      <c r="AQ80" s="8">
        <f>Renta_Alta!AQ80+Masivo!AQ80+Consumo_Inicial!AQ80</f>
        <v>0</v>
      </c>
      <c r="AR80" s="8">
        <f>Renta_Alta!AR80+Masivo!AR80+Consumo_Inicial!AR80</f>
        <v>0</v>
      </c>
      <c r="AS80" s="8">
        <f>Renta_Alta!AS80+Masivo!AS80+Consumo_Inicial!AS80</f>
        <v>0</v>
      </c>
      <c r="AT80" s="8">
        <f>Renta_Alta!AT80+Masivo!AT80+Consumo_Inicial!AT80</f>
        <v>0</v>
      </c>
      <c r="AU80" s="8">
        <f>Renta_Alta!AU80+Masivo!AU80+Consumo_Inicial!AU80</f>
        <v>0</v>
      </c>
      <c r="AV80" s="8">
        <f>Renta_Alta!AV80+Masivo!AV80+Consumo_Inicial!AV80</f>
        <v>0</v>
      </c>
      <c r="AW80" s="8">
        <f>Renta_Alta!AW80+Masivo!AW80+Consumo_Inicial!AW80</f>
        <v>0</v>
      </c>
      <c r="AX80" s="8">
        <f>Renta_Alta!AX80+Masivo!AX80+Consumo_Inicial!AX80</f>
        <v>0</v>
      </c>
      <c r="AY80" s="8">
        <f>Renta_Alta!AY80+Masivo!AY80+Consumo_Inicial!AY80</f>
        <v>0</v>
      </c>
      <c r="AZ80" s="8">
        <f>Renta_Alta!AZ80+Masivo!AZ80+Consumo_Inicial!AZ80</f>
        <v>0</v>
      </c>
      <c r="BA80" s="8">
        <f>Renta_Alta!BA80+Masivo!BA80+Consumo_Inicial!BA80</f>
        <v>0</v>
      </c>
      <c r="BB80" s="8">
        <f>Renta_Alta!BB80+Masivo!BB80+Consumo_Inicial!BB80</f>
        <v>0</v>
      </c>
      <c r="BC80" s="8">
        <f>Renta_Alta!BC80+Masivo!BC80+Consumo_Inicial!BC80</f>
        <v>0</v>
      </c>
      <c r="BD80" s="8">
        <f>Renta_Alta!BD80+Masivo!BD80+Consumo_Inicial!BD80</f>
        <v>0</v>
      </c>
      <c r="BE80" s="8">
        <f>Renta_Alta!BE80+Masivo!BE80+Consumo_Inicial!BE80</f>
        <v>0</v>
      </c>
      <c r="BF80" s="8">
        <f>Renta_Alta!BF80+Masivo!BF80+Consumo_Inicial!BF80</f>
        <v>0</v>
      </c>
      <c r="BG80" s="8">
        <f>Renta_Alta!BG80+Masivo!BG80+Consumo_Inicial!BG80</f>
        <v>0</v>
      </c>
      <c r="BH80" s="8">
        <f>Renta_Alta!BH80+Masivo!BH80+Consumo_Inicial!BH80</f>
        <v>0</v>
      </c>
      <c r="BI80" s="8">
        <f>Renta_Alta!BI80+Masivo!BI80+Consumo_Inicial!BI80</f>
        <v>0</v>
      </c>
      <c r="BJ80" s="8">
        <f>Renta_Alta!BJ80+Masivo!BJ80+Consumo_Inicial!BJ80</f>
        <v>0</v>
      </c>
      <c r="BK80" s="8">
        <f>Renta_Alta!BK80+Masivo!BK80+Consumo_Inicial!BK80</f>
        <v>0</v>
      </c>
      <c r="BO80" s="24">
        <f t="shared" si="71"/>
        <v>0</v>
      </c>
      <c r="BP80" s="24">
        <f t="shared" si="71"/>
        <v>0</v>
      </c>
      <c r="BQ80" s="24">
        <f t="shared" si="71"/>
        <v>0</v>
      </c>
      <c r="BR80" s="24">
        <f t="shared" si="71"/>
        <v>0</v>
      </c>
      <c r="BS80" s="24">
        <f t="shared" si="71"/>
        <v>0</v>
      </c>
      <c r="BT80" s="24">
        <f t="shared" si="71"/>
        <v>0</v>
      </c>
    </row>
    <row r="81" spans="1:72" hidden="1" outlineLevel="1" x14ac:dyDescent="0.25">
      <c r="A81" s="59" t="s">
        <v>71</v>
      </c>
      <c r="C81" s="60"/>
      <c r="D81" s="8">
        <f>Renta_Alta!D81+Masivo!D81+Consumo_Inicial!D81</f>
        <v>0</v>
      </c>
      <c r="E81" s="8">
        <f>Renta_Alta!E81+Masivo!E81+Consumo_Inicial!E81</f>
        <v>0</v>
      </c>
      <c r="F81" s="8">
        <f>Renta_Alta!F81+Masivo!F81+Consumo_Inicial!F81</f>
        <v>0</v>
      </c>
      <c r="G81" s="8">
        <f>Renta_Alta!G81+Masivo!G81+Consumo_Inicial!G81</f>
        <v>0</v>
      </c>
      <c r="H81" s="8">
        <f>Renta_Alta!H81+Masivo!H81+Consumo_Inicial!H81</f>
        <v>0</v>
      </c>
      <c r="I81" s="8">
        <f>Renta_Alta!I81+Masivo!I81+Consumo_Inicial!I81</f>
        <v>0</v>
      </c>
      <c r="J81" s="8">
        <f>Renta_Alta!J81+Masivo!J81+Consumo_Inicial!J81</f>
        <v>0</v>
      </c>
      <c r="K81" s="8">
        <f>Renta_Alta!K81+Masivo!K81+Consumo_Inicial!K81</f>
        <v>0</v>
      </c>
      <c r="L81" s="8">
        <f>Renta_Alta!L81+Masivo!L81+Consumo_Inicial!L81</f>
        <v>0</v>
      </c>
      <c r="M81" s="8">
        <f>Renta_Alta!M81+Masivo!M81+Consumo_Inicial!M81</f>
        <v>0</v>
      </c>
      <c r="N81" s="8">
        <f>Renta_Alta!N81+Masivo!N81+Consumo_Inicial!N81</f>
        <v>0</v>
      </c>
      <c r="O81" s="8">
        <f>Renta_Alta!O81+Masivo!O81+Consumo_Inicial!O81</f>
        <v>0</v>
      </c>
      <c r="P81" s="8">
        <f>Renta_Alta!P81+Masivo!P81+Consumo_Inicial!P81</f>
        <v>0</v>
      </c>
      <c r="Q81" s="8">
        <f>Renta_Alta!Q81+Masivo!Q81+Consumo_Inicial!Q81</f>
        <v>0</v>
      </c>
      <c r="R81" s="8">
        <f>Renta_Alta!R81+Masivo!R81+Consumo_Inicial!R81</f>
        <v>0</v>
      </c>
      <c r="S81" s="8">
        <f>Renta_Alta!S81+Masivo!S81+Consumo_Inicial!S81</f>
        <v>0</v>
      </c>
      <c r="T81" s="8">
        <f>Renta_Alta!T81+Masivo!T81+Consumo_Inicial!T81</f>
        <v>0</v>
      </c>
      <c r="U81" s="8">
        <f>Renta_Alta!U81+Masivo!U81+Consumo_Inicial!U81</f>
        <v>0</v>
      </c>
      <c r="V81" s="8">
        <f>Renta_Alta!V81+Masivo!V81+Consumo_Inicial!V81</f>
        <v>0</v>
      </c>
      <c r="W81" s="8">
        <f>Renta_Alta!W81+Masivo!W81+Consumo_Inicial!W81</f>
        <v>0</v>
      </c>
      <c r="X81" s="8">
        <f>Renta_Alta!X81+Masivo!X81+Consumo_Inicial!X81</f>
        <v>0</v>
      </c>
      <c r="Y81" s="8">
        <f>Renta_Alta!Y81+Masivo!Y81+Consumo_Inicial!Y81</f>
        <v>0</v>
      </c>
      <c r="Z81" s="8">
        <f>Renta_Alta!Z81+Masivo!Z81+Consumo_Inicial!Z81</f>
        <v>0</v>
      </c>
      <c r="AA81" s="8">
        <f>Renta_Alta!AA81+Masivo!AA81+Consumo_Inicial!AA81</f>
        <v>0</v>
      </c>
      <c r="AB81" s="8">
        <f>Renta_Alta!AB81+Masivo!AB81+Consumo_Inicial!AB81</f>
        <v>0</v>
      </c>
      <c r="AC81" s="8">
        <f>Renta_Alta!AC81+Masivo!AC81+Consumo_Inicial!AC81</f>
        <v>0</v>
      </c>
      <c r="AD81" s="8">
        <f>Renta_Alta!AD81+Masivo!AD81+Consumo_Inicial!AD81</f>
        <v>0</v>
      </c>
      <c r="AE81" s="8">
        <f>Renta_Alta!AE81+Masivo!AE81+Consumo_Inicial!AE81</f>
        <v>0</v>
      </c>
      <c r="AF81" s="8">
        <f>Renta_Alta!AF81+Masivo!AF81+Consumo_Inicial!AF81</f>
        <v>0</v>
      </c>
      <c r="AG81" s="8">
        <f>Renta_Alta!AG81+Masivo!AG81+Consumo_Inicial!AG81</f>
        <v>0</v>
      </c>
      <c r="AH81" s="8">
        <f>Renta_Alta!AH81+Masivo!AH81+Consumo_Inicial!AH81</f>
        <v>0</v>
      </c>
      <c r="AI81" s="8">
        <f>Renta_Alta!AI81+Masivo!AI81+Consumo_Inicial!AI81</f>
        <v>0</v>
      </c>
      <c r="AJ81" s="8">
        <f>Renta_Alta!AJ81+Masivo!AJ81+Consumo_Inicial!AJ81</f>
        <v>0</v>
      </c>
      <c r="AK81" s="8">
        <f>Renta_Alta!AK81+Masivo!AK81+Consumo_Inicial!AK81</f>
        <v>0</v>
      </c>
      <c r="AL81" s="8">
        <f>Renta_Alta!AL81+Masivo!AL81+Consumo_Inicial!AL81</f>
        <v>0</v>
      </c>
      <c r="AM81" s="8">
        <f>Renta_Alta!AM81+Masivo!AM81+Consumo_Inicial!AM81</f>
        <v>0</v>
      </c>
      <c r="AN81" s="8">
        <f>Renta_Alta!AN81+Masivo!AN81+Consumo_Inicial!AN81</f>
        <v>0</v>
      </c>
      <c r="AO81" s="8">
        <f>Renta_Alta!AO81+Masivo!AO81+Consumo_Inicial!AO81</f>
        <v>0</v>
      </c>
      <c r="AP81" s="8">
        <f>Renta_Alta!AP81+Masivo!AP81+Consumo_Inicial!AP81</f>
        <v>0</v>
      </c>
      <c r="AQ81" s="8">
        <f>Renta_Alta!AQ81+Masivo!AQ81+Consumo_Inicial!AQ81</f>
        <v>0</v>
      </c>
      <c r="AR81" s="8">
        <f>Renta_Alta!AR81+Masivo!AR81+Consumo_Inicial!AR81</f>
        <v>0</v>
      </c>
      <c r="AS81" s="8">
        <f>Renta_Alta!AS81+Masivo!AS81+Consumo_Inicial!AS81</f>
        <v>0</v>
      </c>
      <c r="AT81" s="8">
        <f>Renta_Alta!AT81+Masivo!AT81+Consumo_Inicial!AT81</f>
        <v>0</v>
      </c>
      <c r="AU81" s="8">
        <f>Renta_Alta!AU81+Masivo!AU81+Consumo_Inicial!AU81</f>
        <v>0</v>
      </c>
      <c r="AV81" s="8">
        <f>Renta_Alta!AV81+Masivo!AV81+Consumo_Inicial!AV81</f>
        <v>0</v>
      </c>
      <c r="AW81" s="8">
        <f>Renta_Alta!AW81+Masivo!AW81+Consumo_Inicial!AW81</f>
        <v>0</v>
      </c>
      <c r="AX81" s="8">
        <f>Renta_Alta!AX81+Masivo!AX81+Consumo_Inicial!AX81</f>
        <v>0</v>
      </c>
      <c r="AY81" s="8">
        <f>Renta_Alta!AY81+Masivo!AY81+Consumo_Inicial!AY81</f>
        <v>0</v>
      </c>
      <c r="AZ81" s="8">
        <f>Renta_Alta!AZ81+Masivo!AZ81+Consumo_Inicial!AZ81</f>
        <v>0</v>
      </c>
      <c r="BA81" s="8">
        <f>Renta_Alta!BA81+Masivo!BA81+Consumo_Inicial!BA81</f>
        <v>0</v>
      </c>
      <c r="BB81" s="8">
        <f>Renta_Alta!BB81+Masivo!BB81+Consumo_Inicial!BB81</f>
        <v>0</v>
      </c>
      <c r="BC81" s="8">
        <f>Renta_Alta!BC81+Masivo!BC81+Consumo_Inicial!BC81</f>
        <v>0</v>
      </c>
      <c r="BD81" s="8">
        <f>Renta_Alta!BD81+Masivo!BD81+Consumo_Inicial!BD81</f>
        <v>0</v>
      </c>
      <c r="BE81" s="8">
        <f>Renta_Alta!BE81+Masivo!BE81+Consumo_Inicial!BE81</f>
        <v>0</v>
      </c>
      <c r="BF81" s="8">
        <f>Renta_Alta!BF81+Masivo!BF81+Consumo_Inicial!BF81</f>
        <v>0</v>
      </c>
      <c r="BG81" s="8">
        <f>Renta_Alta!BG81+Masivo!BG81+Consumo_Inicial!BG81</f>
        <v>0</v>
      </c>
      <c r="BH81" s="8">
        <f>Renta_Alta!BH81+Masivo!BH81+Consumo_Inicial!BH81</f>
        <v>0</v>
      </c>
      <c r="BI81" s="8">
        <f>Renta_Alta!BI81+Masivo!BI81+Consumo_Inicial!BI81</f>
        <v>0</v>
      </c>
      <c r="BJ81" s="8">
        <f>Renta_Alta!BJ81+Masivo!BJ81+Consumo_Inicial!BJ81</f>
        <v>0</v>
      </c>
      <c r="BK81" s="8">
        <f>Renta_Alta!BK81+Masivo!BK81+Consumo_Inicial!BK81</f>
        <v>0</v>
      </c>
      <c r="BO81" s="24">
        <f t="shared" si="71"/>
        <v>0</v>
      </c>
      <c r="BP81" s="24">
        <f t="shared" si="71"/>
        <v>0</v>
      </c>
      <c r="BQ81" s="24">
        <f t="shared" si="71"/>
        <v>0</v>
      </c>
      <c r="BR81" s="24">
        <f t="shared" si="71"/>
        <v>0</v>
      </c>
      <c r="BS81" s="24">
        <f t="shared" si="71"/>
        <v>0</v>
      </c>
      <c r="BT81" s="24">
        <f t="shared" si="71"/>
        <v>0</v>
      </c>
    </row>
    <row r="82" spans="1:72" hidden="1" outlineLevel="1" x14ac:dyDescent="0.25">
      <c r="A82" s="59" t="s">
        <v>71</v>
      </c>
      <c r="C82" s="60"/>
      <c r="D82" s="8">
        <f>Renta_Alta!D82+Masivo!D82+Consumo_Inicial!D82</f>
        <v>0</v>
      </c>
      <c r="E82" s="8">
        <f>Renta_Alta!E82+Masivo!E82+Consumo_Inicial!E82</f>
        <v>0</v>
      </c>
      <c r="F82" s="8">
        <f>Renta_Alta!F82+Masivo!F82+Consumo_Inicial!F82</f>
        <v>0</v>
      </c>
      <c r="G82" s="8">
        <f>Renta_Alta!G82+Masivo!G82+Consumo_Inicial!G82</f>
        <v>0</v>
      </c>
      <c r="H82" s="8">
        <f>Renta_Alta!H82+Masivo!H82+Consumo_Inicial!H82</f>
        <v>0</v>
      </c>
      <c r="I82" s="8">
        <f>Renta_Alta!I82+Masivo!I82+Consumo_Inicial!I82</f>
        <v>0</v>
      </c>
      <c r="J82" s="8">
        <f>Renta_Alta!J82+Masivo!J82+Consumo_Inicial!J82</f>
        <v>0</v>
      </c>
      <c r="K82" s="8">
        <f>Renta_Alta!K82+Masivo!K82+Consumo_Inicial!K82</f>
        <v>0</v>
      </c>
      <c r="L82" s="8">
        <f>Renta_Alta!L82+Masivo!L82+Consumo_Inicial!L82</f>
        <v>0</v>
      </c>
      <c r="M82" s="8">
        <f>Renta_Alta!M82+Masivo!M82+Consumo_Inicial!M82</f>
        <v>0</v>
      </c>
      <c r="N82" s="8">
        <f>Renta_Alta!N82+Masivo!N82+Consumo_Inicial!N82</f>
        <v>0</v>
      </c>
      <c r="O82" s="8">
        <f>Renta_Alta!O82+Masivo!O82+Consumo_Inicial!O82</f>
        <v>0</v>
      </c>
      <c r="P82" s="8">
        <f>Renta_Alta!P82+Masivo!P82+Consumo_Inicial!P82</f>
        <v>0</v>
      </c>
      <c r="Q82" s="8">
        <f>Renta_Alta!Q82+Masivo!Q82+Consumo_Inicial!Q82</f>
        <v>0</v>
      </c>
      <c r="R82" s="8">
        <f>Renta_Alta!R82+Masivo!R82+Consumo_Inicial!R82</f>
        <v>0</v>
      </c>
      <c r="S82" s="8">
        <f>Renta_Alta!S82+Masivo!S82+Consumo_Inicial!S82</f>
        <v>0</v>
      </c>
      <c r="T82" s="8">
        <f>Renta_Alta!T82+Masivo!T82+Consumo_Inicial!T82</f>
        <v>0</v>
      </c>
      <c r="U82" s="8">
        <f>Renta_Alta!U82+Masivo!U82+Consumo_Inicial!U82</f>
        <v>0</v>
      </c>
      <c r="V82" s="8">
        <f>Renta_Alta!V82+Masivo!V82+Consumo_Inicial!V82</f>
        <v>0</v>
      </c>
      <c r="W82" s="8">
        <f>Renta_Alta!W82+Masivo!W82+Consumo_Inicial!W82</f>
        <v>0</v>
      </c>
      <c r="X82" s="8">
        <f>Renta_Alta!X82+Masivo!X82+Consumo_Inicial!X82</f>
        <v>0</v>
      </c>
      <c r="Y82" s="8">
        <f>Renta_Alta!Y82+Masivo!Y82+Consumo_Inicial!Y82</f>
        <v>0</v>
      </c>
      <c r="Z82" s="8">
        <f>Renta_Alta!Z82+Masivo!Z82+Consumo_Inicial!Z82</f>
        <v>0</v>
      </c>
      <c r="AA82" s="8">
        <f>Renta_Alta!AA82+Masivo!AA82+Consumo_Inicial!AA82</f>
        <v>0</v>
      </c>
      <c r="AB82" s="8">
        <f>Renta_Alta!AB82+Masivo!AB82+Consumo_Inicial!AB82</f>
        <v>0</v>
      </c>
      <c r="AC82" s="8">
        <f>Renta_Alta!AC82+Masivo!AC82+Consumo_Inicial!AC82</f>
        <v>0</v>
      </c>
      <c r="AD82" s="8">
        <f>Renta_Alta!AD82+Masivo!AD82+Consumo_Inicial!AD82</f>
        <v>0</v>
      </c>
      <c r="AE82" s="8">
        <f>Renta_Alta!AE82+Masivo!AE82+Consumo_Inicial!AE82</f>
        <v>0</v>
      </c>
      <c r="AF82" s="8">
        <f>Renta_Alta!AF82+Masivo!AF82+Consumo_Inicial!AF82</f>
        <v>0</v>
      </c>
      <c r="AG82" s="8">
        <f>Renta_Alta!AG82+Masivo!AG82+Consumo_Inicial!AG82</f>
        <v>0</v>
      </c>
      <c r="AH82" s="8">
        <f>Renta_Alta!AH82+Masivo!AH82+Consumo_Inicial!AH82</f>
        <v>0</v>
      </c>
      <c r="AI82" s="8">
        <f>Renta_Alta!AI82+Masivo!AI82+Consumo_Inicial!AI82</f>
        <v>0</v>
      </c>
      <c r="AJ82" s="8">
        <f>Renta_Alta!AJ82+Masivo!AJ82+Consumo_Inicial!AJ82</f>
        <v>0</v>
      </c>
      <c r="AK82" s="8">
        <f>Renta_Alta!AK82+Masivo!AK82+Consumo_Inicial!AK82</f>
        <v>0</v>
      </c>
      <c r="AL82" s="8">
        <f>Renta_Alta!AL82+Masivo!AL82+Consumo_Inicial!AL82</f>
        <v>0</v>
      </c>
      <c r="AM82" s="8">
        <f>Renta_Alta!AM82+Masivo!AM82+Consumo_Inicial!AM82</f>
        <v>0</v>
      </c>
      <c r="AN82" s="8">
        <f>Renta_Alta!AN82+Masivo!AN82+Consumo_Inicial!AN82</f>
        <v>0</v>
      </c>
      <c r="AO82" s="8">
        <f>Renta_Alta!AO82+Masivo!AO82+Consumo_Inicial!AO82</f>
        <v>0</v>
      </c>
      <c r="AP82" s="8">
        <f>Renta_Alta!AP82+Masivo!AP82+Consumo_Inicial!AP82</f>
        <v>0</v>
      </c>
      <c r="AQ82" s="8">
        <f>Renta_Alta!AQ82+Masivo!AQ82+Consumo_Inicial!AQ82</f>
        <v>0</v>
      </c>
      <c r="AR82" s="8">
        <f>Renta_Alta!AR82+Masivo!AR82+Consumo_Inicial!AR82</f>
        <v>0</v>
      </c>
      <c r="AS82" s="8">
        <f>Renta_Alta!AS82+Masivo!AS82+Consumo_Inicial!AS82</f>
        <v>0</v>
      </c>
      <c r="AT82" s="8">
        <f>Renta_Alta!AT82+Masivo!AT82+Consumo_Inicial!AT82</f>
        <v>0</v>
      </c>
      <c r="AU82" s="8">
        <f>Renta_Alta!AU82+Masivo!AU82+Consumo_Inicial!AU82</f>
        <v>0</v>
      </c>
      <c r="AV82" s="8">
        <f>Renta_Alta!AV82+Masivo!AV82+Consumo_Inicial!AV82</f>
        <v>0</v>
      </c>
      <c r="AW82" s="8">
        <f>Renta_Alta!AW82+Masivo!AW82+Consumo_Inicial!AW82</f>
        <v>0</v>
      </c>
      <c r="AX82" s="8">
        <f>Renta_Alta!AX82+Masivo!AX82+Consumo_Inicial!AX82</f>
        <v>0</v>
      </c>
      <c r="AY82" s="8">
        <f>Renta_Alta!AY82+Masivo!AY82+Consumo_Inicial!AY82</f>
        <v>0</v>
      </c>
      <c r="AZ82" s="8">
        <f>Renta_Alta!AZ82+Masivo!AZ82+Consumo_Inicial!AZ82</f>
        <v>0</v>
      </c>
      <c r="BA82" s="8">
        <f>Renta_Alta!BA82+Masivo!BA82+Consumo_Inicial!BA82</f>
        <v>0</v>
      </c>
      <c r="BB82" s="8">
        <f>Renta_Alta!BB82+Masivo!BB82+Consumo_Inicial!BB82</f>
        <v>0</v>
      </c>
      <c r="BC82" s="8">
        <f>Renta_Alta!BC82+Masivo!BC82+Consumo_Inicial!BC82</f>
        <v>0</v>
      </c>
      <c r="BD82" s="8">
        <f>Renta_Alta!BD82+Masivo!BD82+Consumo_Inicial!BD82</f>
        <v>0</v>
      </c>
      <c r="BE82" s="8">
        <f>Renta_Alta!BE82+Masivo!BE82+Consumo_Inicial!BE82</f>
        <v>0</v>
      </c>
      <c r="BF82" s="8">
        <f>Renta_Alta!BF82+Masivo!BF82+Consumo_Inicial!BF82</f>
        <v>0</v>
      </c>
      <c r="BG82" s="8">
        <f>Renta_Alta!BG82+Masivo!BG82+Consumo_Inicial!BG82</f>
        <v>0</v>
      </c>
      <c r="BH82" s="8">
        <f>Renta_Alta!BH82+Masivo!BH82+Consumo_Inicial!BH82</f>
        <v>0</v>
      </c>
      <c r="BI82" s="8">
        <f>Renta_Alta!BI82+Masivo!BI82+Consumo_Inicial!BI82</f>
        <v>0</v>
      </c>
      <c r="BJ82" s="8">
        <f>Renta_Alta!BJ82+Masivo!BJ82+Consumo_Inicial!BJ82</f>
        <v>0</v>
      </c>
      <c r="BK82" s="8">
        <f>Renta_Alta!BK82+Masivo!BK82+Consumo_Inicial!BK82</f>
        <v>0</v>
      </c>
      <c r="BO82" s="24">
        <f t="shared" si="71"/>
        <v>0</v>
      </c>
      <c r="BP82" s="24">
        <f t="shared" si="71"/>
        <v>0</v>
      </c>
      <c r="BQ82" s="24">
        <f t="shared" si="71"/>
        <v>0</v>
      </c>
      <c r="BR82" s="24">
        <f t="shared" si="71"/>
        <v>0</v>
      </c>
      <c r="BS82" s="24">
        <f t="shared" si="71"/>
        <v>0</v>
      </c>
      <c r="BT82" s="24">
        <f t="shared" si="71"/>
        <v>0</v>
      </c>
    </row>
    <row r="83" spans="1:72" collapsed="1" x14ac:dyDescent="0.25">
      <c r="C83" s="61" t="s">
        <v>71</v>
      </c>
      <c r="D83" s="62">
        <f t="shared" ref="D83:AY83" si="72">SUM(D63:D82)</f>
        <v>384.60945338228504</v>
      </c>
      <c r="E83" s="62">
        <f t="shared" si="72"/>
        <v>358.24318212378</v>
      </c>
      <c r="F83" s="62">
        <f t="shared" si="72"/>
        <v>295.90515655406</v>
      </c>
      <c r="G83" s="62">
        <f t="shared" si="72"/>
        <v>445.41277644104997</v>
      </c>
      <c r="H83" s="62">
        <f t="shared" si="72"/>
        <v>370.76042226205999</v>
      </c>
      <c r="I83" s="62">
        <f t="shared" si="72"/>
        <v>431.36794096689795</v>
      </c>
      <c r="J83" s="62">
        <f t="shared" si="72"/>
        <v>405.95326735803997</v>
      </c>
      <c r="K83" s="62">
        <f t="shared" si="72"/>
        <v>438.48505737511999</v>
      </c>
      <c r="L83" s="62">
        <f t="shared" si="72"/>
        <v>448.60509978551005</v>
      </c>
      <c r="M83" s="62">
        <f t="shared" si="72"/>
        <v>395.10937044635006</v>
      </c>
      <c r="N83" s="62">
        <f t="shared" si="72"/>
        <v>403.53449446541993</v>
      </c>
      <c r="O83" s="62">
        <f t="shared" si="72"/>
        <v>351.829624300619</v>
      </c>
      <c r="P83" s="62">
        <f t="shared" si="72"/>
        <v>432.25845884346404</v>
      </c>
      <c r="Q83" s="62">
        <f t="shared" si="72"/>
        <v>384.14187891969004</v>
      </c>
      <c r="R83" s="62">
        <f t="shared" si="72"/>
        <v>429.41719231533995</v>
      </c>
      <c r="S83" s="62">
        <f t="shared" si="72"/>
        <v>331.38954404240997</v>
      </c>
      <c r="T83" s="62">
        <f t="shared" si="72"/>
        <v>345.62294875301802</v>
      </c>
      <c r="U83" s="62">
        <f t="shared" si="72"/>
        <v>347.62406351105</v>
      </c>
      <c r="V83" s="62">
        <f t="shared" si="72"/>
        <v>307.19849953705699</v>
      </c>
      <c r="W83" s="62">
        <f t="shared" si="72"/>
        <v>327.69334929102001</v>
      </c>
      <c r="X83" s="62">
        <f t="shared" si="72"/>
        <v>747.79463157811188</v>
      </c>
      <c r="Y83" s="62">
        <f t="shared" si="72"/>
        <v>-97.863457681074991</v>
      </c>
      <c r="Z83" s="62">
        <f t="shared" si="72"/>
        <v>332.95901468501006</v>
      </c>
      <c r="AA83" s="62">
        <f t="shared" si="72"/>
        <v>274.59362963899002</v>
      </c>
      <c r="AB83" s="62">
        <f t="shared" si="72"/>
        <v>374.57753531992</v>
      </c>
      <c r="AC83" s="62">
        <f t="shared" si="72"/>
        <v>257.52345302404797</v>
      </c>
      <c r="AD83" s="62">
        <f t="shared" si="72"/>
        <v>151.34738409388999</v>
      </c>
      <c r="AE83" s="62">
        <f t="shared" si="72"/>
        <v>294.56008507436997</v>
      </c>
      <c r="AF83" s="62">
        <f t="shared" si="72"/>
        <v>282.66727817321004</v>
      </c>
      <c r="AG83" s="62">
        <f t="shared" si="72"/>
        <v>356.52553945478996</v>
      </c>
      <c r="AH83" s="62">
        <f t="shared" si="72"/>
        <v>298.763200904695</v>
      </c>
      <c r="AI83" s="62">
        <f t="shared" si="72"/>
        <v>334.14972241267998</v>
      </c>
      <c r="AJ83" s="62">
        <f t="shared" si="72"/>
        <v>323.72471715024005</v>
      </c>
      <c r="AK83" s="62">
        <f t="shared" si="72"/>
        <v>294.74146620430997</v>
      </c>
      <c r="AL83" s="62">
        <f t="shared" si="72"/>
        <v>436.03952054294001</v>
      </c>
      <c r="AM83" s="62">
        <f t="shared" si="72"/>
        <v>299.51220688051694</v>
      </c>
      <c r="AN83" s="62">
        <f t="shared" si="72"/>
        <v>356.76178470000002</v>
      </c>
      <c r="AO83" s="62">
        <f t="shared" si="72"/>
        <v>272.36226234000003</v>
      </c>
      <c r="AP83" s="62">
        <f t="shared" si="72"/>
        <v>286.88538749999992</v>
      </c>
      <c r="AQ83" s="62">
        <f t="shared" si="72"/>
        <v>401.64304821999997</v>
      </c>
      <c r="AR83" s="62">
        <f t="shared" si="72"/>
        <v>351.15906959999995</v>
      </c>
      <c r="AS83" s="62">
        <f t="shared" si="72"/>
        <v>389.08676099999997</v>
      </c>
      <c r="AT83" s="62">
        <f t="shared" si="72"/>
        <v>0</v>
      </c>
      <c r="AU83" s="62">
        <f t="shared" si="72"/>
        <v>0</v>
      </c>
      <c r="AV83" s="62">
        <f t="shared" si="72"/>
        <v>0</v>
      </c>
      <c r="AW83" s="62">
        <f t="shared" si="72"/>
        <v>0</v>
      </c>
      <c r="AX83" s="62">
        <f t="shared" si="72"/>
        <v>0</v>
      </c>
      <c r="AY83" s="62">
        <f t="shared" si="72"/>
        <v>0</v>
      </c>
      <c r="AZ83" s="62">
        <f t="shared" ref="AZ83:BK83" si="73">SUM(AZ63:AZ82)</f>
        <v>311.28190726195987</v>
      </c>
      <c r="BA83" s="62">
        <f t="shared" si="73"/>
        <v>312.20146883051098</v>
      </c>
      <c r="BB83" s="62">
        <f t="shared" si="73"/>
        <v>314.62041700586292</v>
      </c>
      <c r="BC83" s="62">
        <f t="shared" si="73"/>
        <v>319.61658644481173</v>
      </c>
      <c r="BD83" s="62">
        <f t="shared" si="73"/>
        <v>326.16503464224149</v>
      </c>
      <c r="BE83" s="62">
        <f t="shared" si="73"/>
        <v>331.83818109715514</v>
      </c>
      <c r="BF83" s="62">
        <f t="shared" si="73"/>
        <v>334.85288632236978</v>
      </c>
      <c r="BG83" s="62">
        <f t="shared" si="73"/>
        <v>338.27245797465099</v>
      </c>
      <c r="BH83" s="62">
        <f t="shared" si="73"/>
        <v>343.96679873025965</v>
      </c>
      <c r="BI83" s="62">
        <f t="shared" si="73"/>
        <v>350.66080341982774</v>
      </c>
      <c r="BJ83" s="62">
        <f t="shared" si="73"/>
        <v>355.56881843360748</v>
      </c>
      <c r="BK83" s="62">
        <f t="shared" si="73"/>
        <v>358.00452137775551</v>
      </c>
      <c r="BO83" s="63">
        <f t="shared" ref="BO83:BT83" si="74">SUM(BO63:BO82)</f>
        <v>916.0094345399998</v>
      </c>
      <c r="BP83" s="63">
        <f t="shared" si="74"/>
        <v>938.10379309833377</v>
      </c>
      <c r="BQ83" s="63">
        <f t="shared" si="74"/>
        <v>629.12404704000005</v>
      </c>
      <c r="BR83" s="63">
        <f t="shared" si="74"/>
        <v>783.44837243785798</v>
      </c>
      <c r="BS83" s="63">
        <f t="shared" si="74"/>
        <v>1245.817530078494</v>
      </c>
      <c r="BT83" s="63">
        <f t="shared" si="74"/>
        <v>1038.757792060125</v>
      </c>
    </row>
    <row r="84" spans="1:72" x14ac:dyDescent="0.25">
      <c r="D84" s="19">
        <f>[1]Desempeño_Financiero_Evol!BA518-D83</f>
        <v>-2.2850485947856214E-9</v>
      </c>
      <c r="E84" s="19">
        <f>[1]Desempeño_Financiero_Evol!BB518-E83</f>
        <v>1.6220042198256124E-8</v>
      </c>
      <c r="F84" s="19">
        <f>[1]Desempeño_Financiero_Evol!BC518-F83</f>
        <v>4.5940055315440986E-8</v>
      </c>
      <c r="G84" s="19">
        <f>[1]Desempeño_Financiero_Evol!BD518-G83</f>
        <v>-4.1049929677683394E-8</v>
      </c>
      <c r="H84" s="19">
        <f>[1]Desempeño_Financiero_Evol!BE518-H83</f>
        <v>-2.2060135052015539E-8</v>
      </c>
      <c r="I84" s="19">
        <f>[1]Desempeño_Financiero_Evol!BF518-I83</f>
        <v>3.3102082852565218E-8</v>
      </c>
      <c r="J84" s="19">
        <f>[1]Desempeño_Financiero_Evol!BG518-J83</f>
        <v>-8.0398763202538248E-9</v>
      </c>
      <c r="K84" s="19">
        <f>[1]Desempeño_Financiero_Evol!BH518-K83</f>
        <v>-1.5119951513042906E-8</v>
      </c>
      <c r="L84" s="19">
        <f>[1]Desempeño_Financiero_Evol!BI518-L83</f>
        <v>5.448987394629512E-8</v>
      </c>
      <c r="M84" s="19">
        <f>[1]Desempeño_Financiero_Evol!BJ518-M83</f>
        <v>-4.6350010052265134E-8</v>
      </c>
      <c r="N84" s="19">
        <f>[1]Desempeño_Financiero_Evol!BK518-N83</f>
        <v>-4.5419938032864593E-8</v>
      </c>
      <c r="O84" s="19">
        <f>[1]Desempeño_Financiero_Evol!BL518-O83</f>
        <v>9.3809831014368683E-9</v>
      </c>
      <c r="P84" s="19">
        <f>[1]Desempeño_Financiero_Evol!BM518-P83</f>
        <v>-4.346401283328305E-8</v>
      </c>
      <c r="Q84" s="19">
        <f>[1]Desempeño_Financiero_Evol!BN518-Q83</f>
        <v>4.0309942050953396E-8</v>
      </c>
      <c r="R84" s="19">
        <f>[1]Desempeño_Financiero_Evol!BO518-R83</f>
        <v>-4.5340016185946297E-8</v>
      </c>
      <c r="S84" s="19">
        <f>[1]Desempeño_Financiero_Evol!BP518-S83</f>
        <v>-4.2409794787090505E-8</v>
      </c>
      <c r="T84" s="19">
        <f>[1]Desempeño_Financiero_Evol!BQ518-T83</f>
        <v>4.6981995183159597E-8</v>
      </c>
      <c r="U84" s="19">
        <f>[1]Desempeño_Financiero_Evol!BR518-U83</f>
        <v>1.895006107588415E-8</v>
      </c>
      <c r="V84" s="19">
        <f>[1]Desempeño_Financiero_Evol!BS518-V83</f>
        <v>-3.7057020563224796E-8</v>
      </c>
      <c r="W84" s="19">
        <f>[1]Desempeño_Financiero_Evol!BT518-W83</f>
        <v>3.8979976579867071E-8</v>
      </c>
      <c r="X84" s="19">
        <f>[1]Desempeño_Financiero_Evol!BU518-X83</f>
        <v>-1.8112018551619258E-8</v>
      </c>
      <c r="Y84" s="19">
        <f>[1]Desempeño_Financiero_Evol!BV518-Y83</f>
        <v>1.0749801049314556E-9</v>
      </c>
      <c r="Z84" s="19">
        <f>[1]Desempeño_Financiero_Evol!BW518-Z83</f>
        <v>-2.5010081117216032E-8</v>
      </c>
      <c r="AA84" s="19">
        <f>[1]Desempeño_Financiero_Evol!BX518-AA83</f>
        <v>1.1010058642568765E-8</v>
      </c>
      <c r="AB84" s="19">
        <f>[1]Desempeño_Financiero_Evol!BY518-AB83</f>
        <v>-1.9919980331906117E-8</v>
      </c>
      <c r="AC84" s="19">
        <f>[1]Desempeño_Financiero_Evol!BZ518-AC83</f>
        <v>-2.4047949409577996E-8</v>
      </c>
      <c r="AD84" s="19">
        <f>[1]Desempeño_Financiero_Evol!CA518-AD83</f>
        <v>-3.8900225263205357E-9</v>
      </c>
      <c r="AE84" s="19">
        <f>[1]Desempeño_Financiero_Evol!CB518-AE83</f>
        <v>-4.4369983243086608E-8</v>
      </c>
      <c r="AF84" s="19">
        <f>[1]Desempeño_Financiero_Evol!CC518-AF83</f>
        <v>2.6789962248585653E-8</v>
      </c>
      <c r="AG84" s="19">
        <f>[1]Desempeño_Financiero_Evol!CD518-AG83</f>
        <v>-5.4790007197880186E-8</v>
      </c>
      <c r="AH84" s="19">
        <f>[1]Desempeño_Financiero_Evol!CE518-AH83</f>
        <v>-3.600004469490159E-2</v>
      </c>
      <c r="AI84" s="19">
        <f>[1]Desempeño_Financiero_Evol!CF518-AI83</f>
        <v>8.7320074726449093E-8</v>
      </c>
      <c r="AJ84" s="19">
        <f>[1]Desempeño_Financiero_Evol!CG518-AJ83</f>
        <v>9.7599581749818753E-9</v>
      </c>
      <c r="AK84" s="19">
        <f>[1]Desempeño_Financiero_Evol!CH518-AK83</f>
        <v>-4.4309956592769595E-8</v>
      </c>
      <c r="AL84" s="19">
        <f>[1]Desempeño_Financiero_Evol!CI518-AL83</f>
        <v>-1.2940120086568641E-8</v>
      </c>
      <c r="AM84" s="19">
        <f>[1]Desempeño_Financiero_Evol!CJ518-AM83</f>
        <v>-2.0516949916782323E-8</v>
      </c>
      <c r="AN84" s="19">
        <f>[1]Desempeño_Financiero_Evol!CK518-AN83</f>
        <v>0</v>
      </c>
      <c r="AO84" s="19">
        <f>[1]Desempeño_Financiero_Evol!CL518-AO83</f>
        <v>0</v>
      </c>
      <c r="AP84" s="19">
        <f>[1]Desempeño_Financiero_Evol!CM518-AP83</f>
        <v>0</v>
      </c>
      <c r="AZ84" s="19">
        <f>[1]Desempeño_Financiero_Evol!CW518-AZ83</f>
        <v>0</v>
      </c>
    </row>
    <row r="86" spans="1:72" hidden="1" outlineLevel="1" x14ac:dyDescent="0.25">
      <c r="A86" s="59" t="s">
        <v>76</v>
      </c>
      <c r="C86" s="60" t="s">
        <v>79</v>
      </c>
      <c r="D86" s="8">
        <f>Renta_Alta!D86+Masivo!D86+Consumo_Inicial!D86</f>
        <v>-1586.9910588143998</v>
      </c>
      <c r="E86" s="8">
        <f>Renta_Alta!E86+Masivo!E86+Consumo_Inicial!E86</f>
        <v>-1556.6910388450001</v>
      </c>
      <c r="F86" s="8">
        <f>Renta_Alta!F86+Masivo!F86+Consumo_Inicial!F86</f>
        <v>-1604.1167516743003</v>
      </c>
      <c r="G86" s="8">
        <f>Renta_Alta!G86+Masivo!G86+Consumo_Inicial!G86</f>
        <v>-1663.1703341297998</v>
      </c>
      <c r="H86" s="8">
        <f>Renta_Alta!H86+Masivo!H86+Consumo_Inicial!H86</f>
        <v>-1672.2142621559999</v>
      </c>
      <c r="I86" s="8">
        <f>Renta_Alta!I86+Masivo!I86+Consumo_Inicial!I86</f>
        <v>-1812.6893748215</v>
      </c>
      <c r="J86" s="8">
        <f>Renta_Alta!J86+Masivo!J86+Consumo_Inicial!J86</f>
        <v>-1455.5654640895</v>
      </c>
      <c r="K86" s="8">
        <f>Renta_Alta!K86+Masivo!K86+Consumo_Inicial!K86</f>
        <v>-1578.0044543643</v>
      </c>
      <c r="L86" s="8">
        <f>Renta_Alta!L86+Masivo!L86+Consumo_Inicial!L86</f>
        <v>-1585.8821222484999</v>
      </c>
      <c r="M86" s="8">
        <f>Renta_Alta!M86+Masivo!M86+Consumo_Inicial!M86</f>
        <v>-1416.2165467998002</v>
      </c>
      <c r="N86" s="8">
        <f>Renta_Alta!N86+Masivo!N86+Consumo_Inicial!N86</f>
        <v>-1441.8826992007</v>
      </c>
      <c r="O86" s="8">
        <f>Renta_Alta!O86+Masivo!O86+Consumo_Inicial!O86</f>
        <v>-1391.4191974392002</v>
      </c>
      <c r="P86" s="8">
        <f>Renta_Alta!P86+Masivo!P86+Consumo_Inicial!P86</f>
        <v>-1328.2458775226</v>
      </c>
      <c r="Q86" s="8">
        <f>Renta_Alta!Q86+Masivo!Q86+Consumo_Inicial!Q86</f>
        <v>-1456.8630491334998</v>
      </c>
      <c r="R86" s="8">
        <f>Renta_Alta!R86+Masivo!R86+Consumo_Inicial!R86</f>
        <v>-1318.8706763528</v>
      </c>
      <c r="S86" s="8">
        <f>Renta_Alta!S86+Masivo!S86+Consumo_Inicial!S86</f>
        <v>-1462.9167246905999</v>
      </c>
      <c r="T86" s="8">
        <f>Renta_Alta!T86+Masivo!T86+Consumo_Inicial!T86</f>
        <v>-1333.7227920963001</v>
      </c>
      <c r="U86" s="8">
        <f>Renta_Alta!U86+Masivo!U86+Consumo_Inicial!U86</f>
        <v>-1297.4864791458999</v>
      </c>
      <c r="V86" s="8">
        <f>Renta_Alta!V86+Masivo!V86+Consumo_Inicial!V86</f>
        <v>-1496.6523018445996</v>
      </c>
      <c r="W86" s="8">
        <f>Renta_Alta!W86+Masivo!W86+Consumo_Inicial!W86</f>
        <v>-1443.2543250877</v>
      </c>
      <c r="X86" s="8">
        <f>Renta_Alta!X86+Masivo!X86+Consumo_Inicial!X86</f>
        <v>-1519.8917898826001</v>
      </c>
      <c r="Y86" s="8">
        <f>Renta_Alta!Y86+Masivo!Y86+Consumo_Inicial!Y86</f>
        <v>-1363.906565346</v>
      </c>
      <c r="Z86" s="8">
        <f>Renta_Alta!Z86+Masivo!Z86+Consumo_Inicial!Z86</f>
        <v>-1262.1657595784002</v>
      </c>
      <c r="AA86" s="8">
        <f>Renta_Alta!AA86+Masivo!AA86+Consumo_Inicial!AA86</f>
        <v>-1376.3416486620999</v>
      </c>
      <c r="AB86" s="8">
        <f>Renta_Alta!AB86+Masivo!AB86+Consumo_Inicial!AB86</f>
        <v>-1276.3557342462</v>
      </c>
      <c r="AC86" s="8">
        <f>Renta_Alta!AC86+Masivo!AC86+Consumo_Inicial!AC86</f>
        <v>-1249.0794840148999</v>
      </c>
      <c r="AD86" s="8">
        <f>Renta_Alta!AD86+Masivo!AD86+Consumo_Inicial!AD86</f>
        <v>-1551.1616114467001</v>
      </c>
      <c r="AE86" s="8">
        <f>Renta_Alta!AE86+Masivo!AE86+Consumo_Inicial!AE86</f>
        <v>-1580.3705844452002</v>
      </c>
      <c r="AF86" s="8">
        <f>Renta_Alta!AF86+Masivo!AF86+Consumo_Inicial!AF86</f>
        <v>-1576.2053616022001</v>
      </c>
      <c r="AG86" s="8">
        <f>Renta_Alta!AG86+Masivo!AG86+Consumo_Inicial!AG86</f>
        <v>-1607.7278637602003</v>
      </c>
      <c r="AH86" s="8">
        <f>Renta_Alta!AH86+Masivo!AH86+Consumo_Inicial!AH86</f>
        <v>-1682.3768122517999</v>
      </c>
      <c r="AI86" s="8">
        <f>Renta_Alta!AI86+Masivo!AI86+Consumo_Inicial!AI86</f>
        <v>-1797.1879267122004</v>
      </c>
      <c r="AJ86" s="8">
        <f>Renta_Alta!AJ86+Masivo!AJ86+Consumo_Inicial!AJ86</f>
        <v>-1502.6017764307001</v>
      </c>
      <c r="AK86" s="8">
        <f>Renta_Alta!AK86+Masivo!AK86+Consumo_Inicial!AK86</f>
        <v>-1489.8220471792001</v>
      </c>
      <c r="AL86" s="8">
        <f>Renta_Alta!AL86+Masivo!AL86+Consumo_Inicial!AL86</f>
        <v>-1478.9397867436001</v>
      </c>
      <c r="AM86" s="8">
        <f>Renta_Alta!AM86+Masivo!AM86+Consumo_Inicial!AM86</f>
        <v>-2176.2899936754998</v>
      </c>
      <c r="AN86" s="8">
        <f>Renta_Alta!AN86+Masivo!AN86+Consumo_Inicial!AN86</f>
        <v>-1579.8793037839</v>
      </c>
      <c r="AO86" s="8">
        <f>Renta_Alta!AO86+Masivo!AO86+Consumo_Inicial!AO86</f>
        <v>-1700.9688967539</v>
      </c>
      <c r="AP86" s="8">
        <f>Renta_Alta!AP86+Masivo!AP86+Consumo_Inicial!AP86</f>
        <v>-1877.3931138141998</v>
      </c>
      <c r="AQ86" s="8">
        <f>Renta_Alta!AQ86+Masivo!AQ86+Consumo_Inicial!AQ86</f>
        <v>-1872.8927261599001</v>
      </c>
      <c r="AR86" s="8">
        <f>Renta_Alta!AR86+Masivo!AR86+Consumo_Inicial!AR86</f>
        <v>-1721.6248801984998</v>
      </c>
      <c r="AS86" s="8">
        <f>Renta_Alta!AS86+Masivo!AS86+Consumo_Inicial!AS86</f>
        <v>-1934.2975316220002</v>
      </c>
      <c r="AT86" s="8">
        <f>Renta_Alta!AT86+Masivo!AT86+Consumo_Inicial!AT86</f>
        <v>0</v>
      </c>
      <c r="AU86" s="8">
        <f>Renta_Alta!AU86+Masivo!AU86+Consumo_Inicial!AU86</f>
        <v>0</v>
      </c>
      <c r="AV86" s="8">
        <f>Renta_Alta!AV86+Masivo!AV86+Consumo_Inicial!AV86</f>
        <v>0</v>
      </c>
      <c r="AW86" s="8">
        <f>Renta_Alta!AW86+Masivo!AW86+Consumo_Inicial!AW86</f>
        <v>0</v>
      </c>
      <c r="AX86" s="8">
        <f>Renta_Alta!AX86+Masivo!AX86+Consumo_Inicial!AX86</f>
        <v>0</v>
      </c>
      <c r="AY86" s="8">
        <f>Renta_Alta!AY86+Masivo!AY86+Consumo_Inicial!AY86</f>
        <v>0</v>
      </c>
      <c r="AZ86" s="8">
        <f>Renta_Alta!AZ86+Masivo!AZ86+Consumo_Inicial!AZ86</f>
        <v>-1672.6957653393001</v>
      </c>
      <c r="BA86" s="8">
        <f>Renta_Alta!BA86+Masivo!BA86+Consumo_Inicial!BA86</f>
        <v>-1635.2227071885002</v>
      </c>
      <c r="BB86" s="8">
        <f>Renta_Alta!BB86+Masivo!BB86+Consumo_Inicial!BB86</f>
        <v>-1679.1421071730999</v>
      </c>
      <c r="BC86" s="8">
        <f>Renta_Alta!BC86+Masivo!BC86+Consumo_Inicial!BC86</f>
        <v>-1691.3017880348002</v>
      </c>
      <c r="BD86" s="8">
        <f>Renta_Alta!BD86+Masivo!BD86+Consumo_Inicial!BD86</f>
        <v>-1746.9666380772999</v>
      </c>
      <c r="BE86" s="8">
        <f>Renta_Alta!BE86+Masivo!BE86+Consumo_Inicial!BE86</f>
        <v>-1854.7230496018001</v>
      </c>
      <c r="BF86" s="8">
        <f>Renta_Alta!BF86+Masivo!BF86+Consumo_Inicial!BF86</f>
        <v>-1720.3027546175999</v>
      </c>
      <c r="BG86" s="8">
        <f>Renta_Alta!BG86+Masivo!BG86+Consumo_Inicial!BG86</f>
        <v>-1774.1045748554002</v>
      </c>
      <c r="BH86" s="8">
        <f>Renta_Alta!BH86+Masivo!BH86+Consumo_Inicial!BH86</f>
        <v>-1822.1833770150999</v>
      </c>
      <c r="BI86" s="8">
        <f>Renta_Alta!BI86+Masivo!BI86+Consumo_Inicial!BI86</f>
        <v>-1756.0767059351001</v>
      </c>
      <c r="BJ86" s="8">
        <f>Renta_Alta!BJ86+Masivo!BJ86+Consumo_Inicial!BJ86</f>
        <v>-1771.1827236030999</v>
      </c>
      <c r="BK86" s="8">
        <f>Renta_Alta!BK86+Masivo!BK86+Consumo_Inicial!BK86</f>
        <v>-1785.5442807024001</v>
      </c>
      <c r="BO86" s="24">
        <f t="shared" ref="BO86:BT88" si="75">SUMIFS($D86:$BM86,$D$6:$BM$6,"&gt;="&amp;BO$2,$D$6:$BM$6,"&lt;="&amp;BO$6,$D$5:$BM$5,BO$5)</f>
        <v>-5158.2413143519998</v>
      </c>
      <c r="BP86" s="24">
        <f t="shared" si="75"/>
        <v>-4987.0605797009002</v>
      </c>
      <c r="BQ86" s="24">
        <f t="shared" si="75"/>
        <v>-3280.8482005378</v>
      </c>
      <c r="BR86" s="24">
        <f t="shared" si="75"/>
        <v>-4076.5968297078002</v>
      </c>
      <c r="BS86" s="24">
        <f t="shared" si="75"/>
        <v>-4103.9796030089001</v>
      </c>
      <c r="BT86" s="24">
        <f t="shared" si="75"/>
        <v>-4747.7988493336998</v>
      </c>
    </row>
    <row r="87" spans="1:72" hidden="1" outlineLevel="1" x14ac:dyDescent="0.25">
      <c r="A87" s="59" t="s">
        <v>76</v>
      </c>
      <c r="C87" s="60" t="s">
        <v>78</v>
      </c>
      <c r="D87" s="8">
        <f>Renta_Alta!D87+Masivo!D87+Consumo_Inicial!D87</f>
        <v>-1021.2752175117</v>
      </c>
      <c r="E87" s="8">
        <f>Renta_Alta!E87+Masivo!E87+Consumo_Inicial!E87</f>
        <v>-1040.6650547844997</v>
      </c>
      <c r="F87" s="8">
        <f>Renta_Alta!F87+Masivo!F87+Consumo_Inicial!F87</f>
        <v>-1206.6795354897001</v>
      </c>
      <c r="G87" s="8">
        <f>Renta_Alta!G87+Masivo!G87+Consumo_Inicial!G87</f>
        <v>-1056.4030830422</v>
      </c>
      <c r="H87" s="8">
        <f>Renta_Alta!H87+Masivo!H87+Consumo_Inicial!H87</f>
        <v>-1175.5128051518</v>
      </c>
      <c r="I87" s="8">
        <f>Renta_Alta!I87+Masivo!I87+Consumo_Inicial!I87</f>
        <v>-1085.0360034831999</v>
      </c>
      <c r="J87" s="8">
        <f>Renta_Alta!J87+Masivo!J87+Consumo_Inicial!J87</f>
        <v>-1003.5387291474999</v>
      </c>
      <c r="K87" s="8">
        <f>Renta_Alta!K87+Masivo!K87+Consumo_Inicial!K87</f>
        <v>-1063.3875675959</v>
      </c>
      <c r="L87" s="8">
        <f>Renta_Alta!L87+Masivo!L87+Consumo_Inicial!L87</f>
        <v>-988.21946941940007</v>
      </c>
      <c r="M87" s="8">
        <f>Renta_Alta!M87+Masivo!M87+Consumo_Inicial!M87</f>
        <v>-923.36399646929999</v>
      </c>
      <c r="N87" s="8">
        <f>Renta_Alta!N87+Masivo!N87+Consumo_Inicial!N87</f>
        <v>-923.46817403929992</v>
      </c>
      <c r="O87" s="8">
        <f>Renta_Alta!O87+Masivo!O87+Consumo_Inicial!O87</f>
        <v>-888.04203176139993</v>
      </c>
      <c r="P87" s="8">
        <f>Renta_Alta!P87+Masivo!P87+Consumo_Inicial!P87</f>
        <v>-1078.6393536660999</v>
      </c>
      <c r="Q87" s="8">
        <f>Renta_Alta!Q87+Masivo!Q87+Consumo_Inicial!Q87</f>
        <v>-1001.6857515458</v>
      </c>
      <c r="R87" s="8">
        <f>Renta_Alta!R87+Masivo!R87+Consumo_Inicial!R87</f>
        <v>-1017.2740078141999</v>
      </c>
      <c r="S87" s="8">
        <f>Renta_Alta!S87+Masivo!S87+Consumo_Inicial!S87</f>
        <v>-1001.4470855104</v>
      </c>
      <c r="T87" s="8">
        <f>Renta_Alta!T87+Masivo!T87+Consumo_Inicial!T87</f>
        <v>-1018.1917210772</v>
      </c>
      <c r="U87" s="8">
        <f>Renta_Alta!U87+Masivo!U87+Consumo_Inicial!U87</f>
        <v>-878.43067401889994</v>
      </c>
      <c r="V87" s="8">
        <f>Renta_Alta!V87+Masivo!V87+Consumo_Inicial!V87</f>
        <v>-1062.4672563624999</v>
      </c>
      <c r="W87" s="8">
        <f>Renta_Alta!W87+Masivo!W87+Consumo_Inicial!W87</f>
        <v>-1030.8455206794999</v>
      </c>
      <c r="X87" s="8">
        <f>Renta_Alta!X87+Masivo!X87+Consumo_Inicial!X87</f>
        <v>-1008.2874483482001</v>
      </c>
      <c r="Y87" s="8">
        <f>Renta_Alta!Y87+Masivo!Y87+Consumo_Inicial!Y87</f>
        <v>-1030.3384797006001</v>
      </c>
      <c r="Z87" s="8">
        <f>Renta_Alta!Z87+Masivo!Z87+Consumo_Inicial!Z87</f>
        <v>-947.95057029930001</v>
      </c>
      <c r="AA87" s="8">
        <f>Renta_Alta!AA87+Masivo!AA87+Consumo_Inicial!AA87</f>
        <v>-889.76943482000013</v>
      </c>
      <c r="AB87" s="8">
        <f>Renta_Alta!AB87+Masivo!AB87+Consumo_Inicial!AB87</f>
        <v>-1019.3522051528</v>
      </c>
      <c r="AC87" s="8">
        <f>Renta_Alta!AC87+Masivo!AC87+Consumo_Inicial!AC87</f>
        <v>-945.72358603990017</v>
      </c>
      <c r="AD87" s="8">
        <f>Renta_Alta!AD87+Masivo!AD87+Consumo_Inicial!AD87</f>
        <v>-1011.9328746947001</v>
      </c>
      <c r="AE87" s="8">
        <f>Renta_Alta!AE87+Masivo!AE87+Consumo_Inicial!AE87</f>
        <v>-938.41728998300005</v>
      </c>
      <c r="AF87" s="8">
        <f>Renta_Alta!AF87+Masivo!AF87+Consumo_Inicial!AF87</f>
        <v>-982.12897005240006</v>
      </c>
      <c r="AG87" s="8">
        <f>Renta_Alta!AG87+Masivo!AG87+Consumo_Inicial!AG87</f>
        <v>-924.62651588150015</v>
      </c>
      <c r="AH87" s="8">
        <f>Renta_Alta!AH87+Masivo!AH87+Consumo_Inicial!AH87</f>
        <v>-955.68015949209996</v>
      </c>
      <c r="AI87" s="8">
        <f>Renta_Alta!AI87+Masivo!AI87+Consumo_Inicial!AI87</f>
        <v>-924.85692413200013</v>
      </c>
      <c r="AJ87" s="8">
        <f>Renta_Alta!AJ87+Masivo!AJ87+Consumo_Inicial!AJ87</f>
        <v>-856.5087420758</v>
      </c>
      <c r="AK87" s="8">
        <f>Renta_Alta!AK87+Masivo!AK87+Consumo_Inicial!AK87</f>
        <v>-892.16828355869995</v>
      </c>
      <c r="AL87" s="8">
        <f>Renta_Alta!AL87+Masivo!AL87+Consumo_Inicial!AL87</f>
        <v>-832.26649074750003</v>
      </c>
      <c r="AM87" s="8">
        <f>Renta_Alta!AM87+Masivo!AM87+Consumo_Inicial!AM87</f>
        <v>-830.73080488159997</v>
      </c>
      <c r="AN87" s="8">
        <f>Renta_Alta!AN87+Masivo!AN87+Consumo_Inicial!AN87</f>
        <v>-972.97751487459982</v>
      </c>
      <c r="AO87" s="8">
        <f>Renta_Alta!AO87+Masivo!AO87+Consumo_Inicial!AO87</f>
        <v>-1131.4858148684002</v>
      </c>
      <c r="AP87" s="8">
        <f>Renta_Alta!AP87+Masivo!AP87+Consumo_Inicial!AP87</f>
        <v>-1140.0579918296</v>
      </c>
      <c r="AQ87" s="8">
        <f>Renta_Alta!AQ87+Masivo!AQ87+Consumo_Inicial!AQ87</f>
        <v>-1285.1194484157998</v>
      </c>
      <c r="AR87" s="8">
        <f>Renta_Alta!AR87+Masivo!AR87+Consumo_Inicial!AR87</f>
        <v>-1187.9190301853002</v>
      </c>
      <c r="AS87" s="8">
        <f>Renta_Alta!AS87+Masivo!AS87+Consumo_Inicial!AS87</f>
        <v>-1196.8395294824002</v>
      </c>
      <c r="AT87" s="8">
        <f>Renta_Alta!AT87+Masivo!AT87+Consumo_Inicial!AT87</f>
        <v>0</v>
      </c>
      <c r="AU87" s="8">
        <f>Renta_Alta!AU87+Masivo!AU87+Consumo_Inicial!AU87</f>
        <v>0</v>
      </c>
      <c r="AV87" s="8">
        <f>Renta_Alta!AV87+Masivo!AV87+Consumo_Inicial!AV87</f>
        <v>0</v>
      </c>
      <c r="AW87" s="8">
        <f>Renta_Alta!AW87+Masivo!AW87+Consumo_Inicial!AW87</f>
        <v>0</v>
      </c>
      <c r="AX87" s="8">
        <f>Renta_Alta!AX87+Masivo!AX87+Consumo_Inicial!AX87</f>
        <v>0</v>
      </c>
      <c r="AY87" s="8">
        <f>Renta_Alta!AY87+Masivo!AY87+Consumo_Inicial!AY87</f>
        <v>0</v>
      </c>
      <c r="AZ87" s="8">
        <f>Renta_Alta!AZ87+Masivo!AZ87+Consumo_Inicial!AZ87</f>
        <v>-1051.3677139423</v>
      </c>
      <c r="BA87" s="8">
        <f>Renta_Alta!BA87+Masivo!BA87+Consumo_Inicial!BA87</f>
        <v>-1043.4154580769</v>
      </c>
      <c r="BB87" s="8">
        <f>Renta_Alta!BB87+Masivo!BB87+Consumo_Inicial!BB87</f>
        <v>-1098.7537074939999</v>
      </c>
      <c r="BC87" s="8">
        <f>Renta_Alta!BC87+Masivo!BC87+Consumo_Inicial!BC87</f>
        <v>-1083.5533589948</v>
      </c>
      <c r="BD87" s="8">
        <f>Renta_Alta!BD87+Masivo!BD87+Consumo_Inicial!BD87</f>
        <v>-1105.4081825198</v>
      </c>
      <c r="BE87" s="8">
        <f>Renta_Alta!BE87+Masivo!BE87+Consumo_Inicial!BE87</f>
        <v>-1108.1063382494001</v>
      </c>
      <c r="BF87" s="8">
        <f>Renta_Alta!BF87+Masivo!BF87+Consumo_Inicial!BF87</f>
        <v>-1073.0746574705001</v>
      </c>
      <c r="BG87" s="8">
        <f>Renta_Alta!BG87+Masivo!BG87+Consumo_Inicial!BG87</f>
        <v>-1081.7586833217999</v>
      </c>
      <c r="BH87" s="8">
        <f>Renta_Alta!BH87+Masivo!BH87+Consumo_Inicial!BH87</f>
        <v>-1094.378324323</v>
      </c>
      <c r="BI87" s="8">
        <f>Renta_Alta!BI87+Masivo!BI87+Consumo_Inicial!BI87</f>
        <v>-1102.4807325936999</v>
      </c>
      <c r="BJ87" s="8">
        <f>Renta_Alta!BJ87+Masivo!BJ87+Consumo_Inicial!BJ87</f>
        <v>-1095.3576007524</v>
      </c>
      <c r="BK87" s="8">
        <f>Renta_Alta!BK87+Masivo!BK87+Consumo_Inicial!BK87</f>
        <v>-1089.6759384069001</v>
      </c>
      <c r="BO87" s="24">
        <f t="shared" si="75"/>
        <v>-3244.5213215725998</v>
      </c>
      <c r="BP87" s="24">
        <f t="shared" si="75"/>
        <v>-3193.5368795131999</v>
      </c>
      <c r="BQ87" s="24">
        <f t="shared" si="75"/>
        <v>-2104.463329743</v>
      </c>
      <c r="BR87" s="24">
        <f t="shared" si="75"/>
        <v>-2977.0086658874006</v>
      </c>
      <c r="BS87" s="24">
        <f t="shared" si="75"/>
        <v>-3097.5991130261</v>
      </c>
      <c r="BT87" s="24">
        <f t="shared" si="75"/>
        <v>-3268.6198077858999</v>
      </c>
    </row>
    <row r="88" spans="1:72" hidden="1" outlineLevel="1" x14ac:dyDescent="0.25">
      <c r="A88" s="59" t="s">
        <v>76</v>
      </c>
      <c r="C88" s="60" t="s">
        <v>80</v>
      </c>
      <c r="D88" s="8">
        <f>Renta_Alta!D88+Masivo!D88+Consumo_Inicial!D88</f>
        <v>-1883.8883187803001</v>
      </c>
      <c r="E88" s="8">
        <f>Renta_Alta!E88+Masivo!E88+Consumo_Inicial!E88</f>
        <v>-2135.6845992834001</v>
      </c>
      <c r="F88" s="8">
        <f>Renta_Alta!F88+Masivo!F88+Consumo_Inicial!F88</f>
        <v>-1952.7376119901</v>
      </c>
      <c r="G88" s="8">
        <f>Renta_Alta!G88+Masivo!G88+Consumo_Inicial!G88</f>
        <v>-2095.1783098526003</v>
      </c>
      <c r="H88" s="8">
        <f>Renta_Alta!H88+Masivo!H88+Consumo_Inicial!H88</f>
        <v>-2024.7599423414997</v>
      </c>
      <c r="I88" s="8">
        <f>Renta_Alta!I88+Masivo!I88+Consumo_Inicial!I88</f>
        <v>-1876.4754309111001</v>
      </c>
      <c r="J88" s="8">
        <f>Renta_Alta!J88+Masivo!J88+Consumo_Inicial!J88</f>
        <v>-2208.4679172849001</v>
      </c>
      <c r="K88" s="8">
        <f>Renta_Alta!K88+Masivo!K88+Consumo_Inicial!K88</f>
        <v>-1911.1280180474998</v>
      </c>
      <c r="L88" s="8">
        <f>Renta_Alta!L88+Masivo!L88+Consumo_Inicial!L88</f>
        <v>-2062.9174386625</v>
      </c>
      <c r="M88" s="8">
        <f>Renta_Alta!M88+Masivo!M88+Consumo_Inicial!M88</f>
        <v>-2031.1317775990003</v>
      </c>
      <c r="N88" s="8">
        <f>Renta_Alta!N88+Masivo!N88+Consumo_Inicial!N88</f>
        <v>-2283.6609333232</v>
      </c>
      <c r="O88" s="8">
        <f>Renta_Alta!O88+Masivo!O88+Consumo_Inicial!O88</f>
        <v>-1930.2544888133</v>
      </c>
      <c r="P88" s="8">
        <f>Renta_Alta!P88+Masivo!P88+Consumo_Inicial!P88</f>
        <v>-1867.7237373877997</v>
      </c>
      <c r="Q88" s="8">
        <f>Renta_Alta!Q88+Masivo!Q88+Consumo_Inicial!Q88</f>
        <v>-1956.4702813095</v>
      </c>
      <c r="R88" s="8">
        <f>Renta_Alta!R88+Masivo!R88+Consumo_Inicial!R88</f>
        <v>-1849.5380798900001</v>
      </c>
      <c r="S88" s="8">
        <f>Renta_Alta!S88+Masivo!S88+Consumo_Inicial!S88</f>
        <v>-1968.2290923538999</v>
      </c>
      <c r="T88" s="8">
        <f>Renta_Alta!T88+Masivo!T88+Consumo_Inicial!T88</f>
        <v>-2305.7224476409001</v>
      </c>
      <c r="U88" s="8">
        <f>Renta_Alta!U88+Masivo!U88+Consumo_Inicial!U88</f>
        <v>-3169.8167832846002</v>
      </c>
      <c r="V88" s="8">
        <f>Renta_Alta!V88+Masivo!V88+Consumo_Inicial!V88</f>
        <v>-2736.1897240722001</v>
      </c>
      <c r="W88" s="8">
        <f>Renta_Alta!W88+Masivo!W88+Consumo_Inicial!W88</f>
        <v>-2311.7629717005998</v>
      </c>
      <c r="X88" s="8">
        <f>Renta_Alta!X88+Masivo!X88+Consumo_Inicial!X88</f>
        <v>-2137.6925521373</v>
      </c>
      <c r="Y88" s="8">
        <f>Renta_Alta!Y88+Masivo!Y88+Consumo_Inicial!Y88</f>
        <v>-2018.8014483191</v>
      </c>
      <c r="Z88" s="8">
        <f>Renta_Alta!Z88+Masivo!Z88+Consumo_Inicial!Z88</f>
        <v>-2173.2822143983999</v>
      </c>
      <c r="AA88" s="8">
        <f>Renta_Alta!AA88+Masivo!AA88+Consumo_Inicial!AA88</f>
        <v>-2096.2855130801004</v>
      </c>
      <c r="AB88" s="8">
        <f>Renta_Alta!AB88+Masivo!AB88+Consumo_Inicial!AB88</f>
        <v>-2313.7181720812</v>
      </c>
      <c r="AC88" s="8">
        <f>Renta_Alta!AC88+Masivo!AC88+Consumo_Inicial!AC88</f>
        <v>-1938.3283367798003</v>
      </c>
      <c r="AD88" s="8">
        <f>Renta_Alta!AD88+Masivo!AD88+Consumo_Inicial!AD88</f>
        <v>-2089.8883320753002</v>
      </c>
      <c r="AE88" s="8">
        <f>Renta_Alta!AE88+Masivo!AE88+Consumo_Inicial!AE88</f>
        <v>-2087.5540446598002</v>
      </c>
      <c r="AF88" s="8">
        <f>Renta_Alta!AF88+Masivo!AF88+Consumo_Inicial!AF88</f>
        <v>-2185.3175340243997</v>
      </c>
      <c r="AG88" s="8">
        <f>Renta_Alta!AG88+Masivo!AG88+Consumo_Inicial!AG88</f>
        <v>-2223.6253782657996</v>
      </c>
      <c r="AH88" s="8">
        <f>Renta_Alta!AH88+Masivo!AH88+Consumo_Inicial!AH88</f>
        <v>-2128.3566175000001</v>
      </c>
      <c r="AI88" s="8">
        <f>Renta_Alta!AI88+Masivo!AI88+Consumo_Inicial!AI88</f>
        <v>-2157.7223405218001</v>
      </c>
      <c r="AJ88" s="8">
        <f>Renta_Alta!AJ88+Masivo!AJ88+Consumo_Inicial!AJ88</f>
        <v>-2291.9190962748003</v>
      </c>
      <c r="AK88" s="8">
        <f>Renta_Alta!AK88+Masivo!AK88+Consumo_Inicial!AK88</f>
        <v>-2006.9006405109001</v>
      </c>
      <c r="AL88" s="8">
        <f>Renta_Alta!AL88+Masivo!AL88+Consumo_Inicial!AL88</f>
        <v>-2451.5378302406993</v>
      </c>
      <c r="AM88" s="8">
        <f>Renta_Alta!AM88+Masivo!AM88+Consumo_Inicial!AM88</f>
        <v>-2261.6814559266004</v>
      </c>
      <c r="AN88" s="8">
        <f>Renta_Alta!AN88+Masivo!AN88+Consumo_Inicial!AN88</f>
        <v>-2658.4325645864005</v>
      </c>
      <c r="AO88" s="8">
        <f>Renta_Alta!AO88+Masivo!AO88+Consumo_Inicial!AO88</f>
        <v>-2465.9749832319999</v>
      </c>
      <c r="AP88" s="8">
        <f>Renta_Alta!AP88+Masivo!AP88+Consumo_Inicial!AP88</f>
        <v>-2551.3516253045</v>
      </c>
      <c r="AQ88" s="8">
        <f>Renta_Alta!AQ88+Masivo!AQ88+Consumo_Inicial!AQ88</f>
        <v>-2762.3450899107997</v>
      </c>
      <c r="AR88" s="8">
        <f>Renta_Alta!AR88+Masivo!AR88+Consumo_Inicial!AR88</f>
        <v>-2353.2866959533003</v>
      </c>
      <c r="AS88" s="8">
        <f>Renta_Alta!AS88+Masivo!AS88+Consumo_Inicial!AS88</f>
        <v>-2727.7928559447</v>
      </c>
      <c r="AT88" s="8">
        <f>Renta_Alta!AT88+Masivo!AT88+Consumo_Inicial!AT88</f>
        <v>0</v>
      </c>
      <c r="AU88" s="8">
        <f>Renta_Alta!AU88+Masivo!AU88+Consumo_Inicial!AU88</f>
        <v>0</v>
      </c>
      <c r="AV88" s="8">
        <f>Renta_Alta!AV88+Masivo!AV88+Consumo_Inicial!AV88</f>
        <v>0</v>
      </c>
      <c r="AW88" s="8">
        <f>Renta_Alta!AW88+Masivo!AW88+Consumo_Inicial!AW88</f>
        <v>0</v>
      </c>
      <c r="AX88" s="8">
        <f>Renta_Alta!AX88+Masivo!AX88+Consumo_Inicial!AX88</f>
        <v>0</v>
      </c>
      <c r="AY88" s="8">
        <f>Renta_Alta!AY88+Masivo!AY88+Consumo_Inicial!AY88</f>
        <v>0</v>
      </c>
      <c r="AZ88" s="8">
        <f>Renta_Alta!AZ88+Masivo!AZ88+Consumo_Inicial!AZ88</f>
        <v>-2496.5013163584999</v>
      </c>
      <c r="BA88" s="8">
        <f>Renta_Alta!BA88+Masivo!BA88+Consumo_Inicial!BA88</f>
        <v>-2483.5987737896999</v>
      </c>
      <c r="BB88" s="8">
        <f>Renta_Alta!BB88+Masivo!BB88+Consumo_Inicial!BB88</f>
        <v>-2537.0327490956997</v>
      </c>
      <c r="BC88" s="8">
        <f>Renta_Alta!BC88+Masivo!BC88+Consumo_Inicial!BC88</f>
        <v>-2481.9518770505001</v>
      </c>
      <c r="BD88" s="8">
        <f>Renta_Alta!BD88+Masivo!BD88+Consumo_Inicial!BD88</f>
        <v>-2572.4037578942998</v>
      </c>
      <c r="BE88" s="8">
        <f>Renta_Alta!BE88+Masivo!BE88+Consumo_Inicial!BE88</f>
        <v>-2638.0634071227996</v>
      </c>
      <c r="BF88" s="8">
        <f>Renta_Alta!BF88+Masivo!BF88+Consumo_Inicial!BF88</f>
        <v>-2560.6247239502</v>
      </c>
      <c r="BG88" s="8">
        <f>Renta_Alta!BG88+Masivo!BG88+Consumo_Inicial!BG88</f>
        <v>-2548.3113143508999</v>
      </c>
      <c r="BH88" s="8">
        <f>Renta_Alta!BH88+Masivo!BH88+Consumo_Inicial!BH88</f>
        <v>-2730.7651160895998</v>
      </c>
      <c r="BI88" s="8">
        <f>Renta_Alta!BI88+Masivo!BI88+Consumo_Inicial!BI88</f>
        <v>-2638.0432461431001</v>
      </c>
      <c r="BJ88" s="8">
        <f>Renta_Alta!BJ88+Masivo!BJ88+Consumo_Inicial!BJ88</f>
        <v>-2613.6491601224998</v>
      </c>
      <c r="BK88" s="8">
        <f>Renta_Alta!BK88+Masivo!BK88+Consumo_Inicial!BK88</f>
        <v>-2653.9272044704003</v>
      </c>
      <c r="BO88" s="24">
        <f t="shared" si="75"/>
        <v>-7675.7591731229004</v>
      </c>
      <c r="BP88" s="24">
        <f t="shared" si="75"/>
        <v>-7517.1328392439</v>
      </c>
      <c r="BQ88" s="24">
        <f t="shared" si="75"/>
        <v>-5124.4075478184004</v>
      </c>
      <c r="BR88" s="24">
        <f t="shared" si="75"/>
        <v>-6341.9348409363001</v>
      </c>
      <c r="BS88" s="24">
        <f t="shared" si="75"/>
        <v>-5673.7320985872993</v>
      </c>
      <c r="BT88" s="24">
        <f t="shared" si="75"/>
        <v>-5972.3105300538</v>
      </c>
    </row>
    <row r="89" spans="1:72" collapsed="1" x14ac:dyDescent="0.25">
      <c r="C89" s="61" t="s">
        <v>76</v>
      </c>
      <c r="D89" s="62">
        <f t="shared" ref="D89:AY89" si="76">SUM(D86:D88)</f>
        <v>-4492.1545951063999</v>
      </c>
      <c r="E89" s="62">
        <f t="shared" si="76"/>
        <v>-4733.0406929129003</v>
      </c>
      <c r="F89" s="62">
        <f t="shared" si="76"/>
        <v>-4763.5338991541003</v>
      </c>
      <c r="G89" s="62">
        <f t="shared" si="76"/>
        <v>-4814.7517270245999</v>
      </c>
      <c r="H89" s="62">
        <f t="shared" si="76"/>
        <v>-4872.4870096492996</v>
      </c>
      <c r="I89" s="62">
        <f t="shared" si="76"/>
        <v>-4774.2008092158003</v>
      </c>
      <c r="J89" s="62">
        <f t="shared" si="76"/>
        <v>-4667.5721105219</v>
      </c>
      <c r="K89" s="62">
        <f t="shared" si="76"/>
        <v>-4552.5200400077001</v>
      </c>
      <c r="L89" s="62">
        <f t="shared" si="76"/>
        <v>-4637.0190303303998</v>
      </c>
      <c r="M89" s="62">
        <f t="shared" si="76"/>
        <v>-4370.7123208681005</v>
      </c>
      <c r="N89" s="62">
        <f t="shared" si="76"/>
        <v>-4649.0118065631996</v>
      </c>
      <c r="O89" s="62">
        <f t="shared" si="76"/>
        <v>-4209.7157180139002</v>
      </c>
      <c r="P89" s="62">
        <f t="shared" si="76"/>
        <v>-4274.6089685765</v>
      </c>
      <c r="Q89" s="62">
        <f t="shared" si="76"/>
        <v>-4415.0190819887994</v>
      </c>
      <c r="R89" s="62">
        <f t="shared" si="76"/>
        <v>-4185.682764057</v>
      </c>
      <c r="S89" s="62">
        <f t="shared" si="76"/>
        <v>-4432.5929025548994</v>
      </c>
      <c r="T89" s="62">
        <f t="shared" si="76"/>
        <v>-4657.6369608143996</v>
      </c>
      <c r="U89" s="62">
        <f t="shared" si="76"/>
        <v>-5345.7339364494001</v>
      </c>
      <c r="V89" s="62">
        <f t="shared" si="76"/>
        <v>-5295.3092822792996</v>
      </c>
      <c r="W89" s="62">
        <f t="shared" si="76"/>
        <v>-4785.8628174677997</v>
      </c>
      <c r="X89" s="62">
        <f t="shared" si="76"/>
        <v>-4665.8717903681008</v>
      </c>
      <c r="Y89" s="62">
        <f t="shared" si="76"/>
        <v>-4413.0464933657004</v>
      </c>
      <c r="Z89" s="62">
        <f t="shared" si="76"/>
        <v>-4383.3985442761004</v>
      </c>
      <c r="AA89" s="62">
        <f t="shared" si="76"/>
        <v>-4362.396596562201</v>
      </c>
      <c r="AB89" s="62">
        <f t="shared" si="76"/>
        <v>-4609.4261114801993</v>
      </c>
      <c r="AC89" s="62">
        <f t="shared" si="76"/>
        <v>-4133.1314068346001</v>
      </c>
      <c r="AD89" s="62">
        <f t="shared" si="76"/>
        <v>-4652.9828182167003</v>
      </c>
      <c r="AE89" s="62">
        <f t="shared" si="76"/>
        <v>-4606.3419190880004</v>
      </c>
      <c r="AF89" s="62">
        <f t="shared" si="76"/>
        <v>-4743.6518656789995</v>
      </c>
      <c r="AG89" s="62">
        <f t="shared" si="76"/>
        <v>-4755.9797579075002</v>
      </c>
      <c r="AH89" s="62">
        <f t="shared" si="76"/>
        <v>-4766.4135892438999</v>
      </c>
      <c r="AI89" s="62">
        <f t="shared" si="76"/>
        <v>-4879.7671913660006</v>
      </c>
      <c r="AJ89" s="62">
        <f t="shared" si="76"/>
        <v>-4651.0296147813006</v>
      </c>
      <c r="AK89" s="62">
        <f t="shared" si="76"/>
        <v>-4388.8909712488003</v>
      </c>
      <c r="AL89" s="62">
        <f t="shared" si="76"/>
        <v>-4762.7441077317999</v>
      </c>
      <c r="AM89" s="62">
        <f t="shared" si="76"/>
        <v>-5268.7022544837</v>
      </c>
      <c r="AN89" s="62">
        <f t="shared" si="76"/>
        <v>-5211.2893832449008</v>
      </c>
      <c r="AO89" s="62">
        <f t="shared" si="76"/>
        <v>-5298.4296948542997</v>
      </c>
      <c r="AP89" s="62">
        <f t="shared" si="76"/>
        <v>-5568.8027309482995</v>
      </c>
      <c r="AQ89" s="62">
        <f t="shared" si="76"/>
        <v>-5920.3572644864998</v>
      </c>
      <c r="AR89" s="62">
        <f t="shared" si="76"/>
        <v>-5262.8306063371001</v>
      </c>
      <c r="AS89" s="62">
        <f t="shared" si="76"/>
        <v>-5858.9299170491004</v>
      </c>
      <c r="AT89" s="62">
        <f t="shared" si="76"/>
        <v>0</v>
      </c>
      <c r="AU89" s="62">
        <f t="shared" si="76"/>
        <v>0</v>
      </c>
      <c r="AV89" s="62">
        <f t="shared" si="76"/>
        <v>0</v>
      </c>
      <c r="AW89" s="62">
        <f t="shared" si="76"/>
        <v>0</v>
      </c>
      <c r="AX89" s="62">
        <f t="shared" si="76"/>
        <v>0</v>
      </c>
      <c r="AY89" s="62">
        <f t="shared" si="76"/>
        <v>0</v>
      </c>
      <c r="AZ89" s="62">
        <f t="shared" ref="AZ89:BK89" si="77">SUM(AZ86:AZ88)</f>
        <v>-5220.5647956400999</v>
      </c>
      <c r="BA89" s="62">
        <f t="shared" si="77"/>
        <v>-5162.2369390550994</v>
      </c>
      <c r="BB89" s="62">
        <f t="shared" si="77"/>
        <v>-5314.9285637628</v>
      </c>
      <c r="BC89" s="62">
        <f t="shared" si="77"/>
        <v>-5256.8070240801007</v>
      </c>
      <c r="BD89" s="62">
        <f t="shared" si="77"/>
        <v>-5424.7785784913995</v>
      </c>
      <c r="BE89" s="62">
        <f t="shared" si="77"/>
        <v>-5600.892794974</v>
      </c>
      <c r="BF89" s="62">
        <f t="shared" si="77"/>
        <v>-5354.0021360382998</v>
      </c>
      <c r="BG89" s="62">
        <f t="shared" si="77"/>
        <v>-5404.1745725280998</v>
      </c>
      <c r="BH89" s="62">
        <f t="shared" si="77"/>
        <v>-5647.3268174277</v>
      </c>
      <c r="BI89" s="62">
        <f t="shared" si="77"/>
        <v>-5496.6006846719001</v>
      </c>
      <c r="BJ89" s="62">
        <f t="shared" si="77"/>
        <v>-5480.1894844779999</v>
      </c>
      <c r="BK89" s="62">
        <f t="shared" si="77"/>
        <v>-5529.1474235797004</v>
      </c>
      <c r="BO89" s="63">
        <f t="shared" ref="BO89:BT89" si="78">SUM(BO86:BO88)</f>
        <v>-16078.521809047499</v>
      </c>
      <c r="BP89" s="63">
        <f t="shared" si="78"/>
        <v>-15697.730298458</v>
      </c>
      <c r="BQ89" s="63">
        <f t="shared" si="78"/>
        <v>-10509.7190780992</v>
      </c>
      <c r="BR89" s="63">
        <f t="shared" si="78"/>
        <v>-13395.5403365315</v>
      </c>
      <c r="BS89" s="63">
        <f t="shared" si="78"/>
        <v>-12875.310814622298</v>
      </c>
      <c r="BT89" s="63">
        <f t="shared" si="78"/>
        <v>-13988.7291871734</v>
      </c>
    </row>
    <row r="90" spans="1:72" x14ac:dyDescent="0.25">
      <c r="D90" s="19">
        <f>[1]Desempeño_Financiero_Evol!BA563-D89</f>
        <v>0</v>
      </c>
      <c r="E90" s="19">
        <f>[1]Desempeño_Financiero_Evol!BB563-E89</f>
        <v>0</v>
      </c>
      <c r="F90" s="19">
        <f>[1]Desempeño_Financiero_Evol!BC563-F89</f>
        <v>0</v>
      </c>
      <c r="G90" s="19">
        <f>[1]Desempeño_Financiero_Evol!BD563-G89</f>
        <v>0</v>
      </c>
      <c r="H90" s="19">
        <f>[1]Desempeño_Financiero_Evol!BE563-H89</f>
        <v>0</v>
      </c>
      <c r="I90" s="19">
        <f>[1]Desempeño_Financiero_Evol!BF563-I89</f>
        <v>0</v>
      </c>
      <c r="J90" s="19">
        <f>[1]Desempeño_Financiero_Evol!BG563-J89</f>
        <v>0</v>
      </c>
      <c r="K90" s="19">
        <f>[1]Desempeño_Financiero_Evol!BH563-K89</f>
        <v>0</v>
      </c>
      <c r="L90" s="19">
        <f>[1]Desempeño_Financiero_Evol!BI563-L89</f>
        <v>0</v>
      </c>
      <c r="M90" s="19">
        <f>[1]Desempeño_Financiero_Evol!BJ563-M89</f>
        <v>0</v>
      </c>
      <c r="N90" s="19">
        <f>[1]Desempeño_Financiero_Evol!BK563-N89</f>
        <v>0</v>
      </c>
      <c r="O90" s="19">
        <f>[1]Desempeño_Financiero_Evol!BL563-O89</f>
        <v>0</v>
      </c>
      <c r="P90" s="19">
        <f>[1]Desempeño_Financiero_Evol!BM563-P89</f>
        <v>0</v>
      </c>
      <c r="Q90" s="19">
        <f>[1]Desempeño_Financiero_Evol!BN563-Q89</f>
        <v>0</v>
      </c>
      <c r="R90" s="19">
        <f>[1]Desempeño_Financiero_Evol!BO563-R89</f>
        <v>0</v>
      </c>
      <c r="S90" s="19">
        <f>[1]Desempeño_Financiero_Evol!BP563-S89</f>
        <v>0</v>
      </c>
      <c r="T90" s="19">
        <f>[1]Desempeño_Financiero_Evol!BQ563-T89</f>
        <v>0</v>
      </c>
      <c r="U90" s="19">
        <f>[1]Desempeño_Financiero_Evol!BR563-U89</f>
        <v>0</v>
      </c>
      <c r="V90" s="19">
        <f>[1]Desempeño_Financiero_Evol!BS563-V89</f>
        <v>0</v>
      </c>
      <c r="W90" s="19">
        <f>[1]Desempeño_Financiero_Evol!BT563-W89</f>
        <v>0</v>
      </c>
      <c r="X90" s="19">
        <f>[1]Desempeño_Financiero_Evol!BU563-X89</f>
        <v>0</v>
      </c>
      <c r="Y90" s="19">
        <f>[1]Desempeño_Financiero_Evol!BV563-Y89</f>
        <v>0</v>
      </c>
      <c r="Z90" s="19">
        <f>[1]Desempeño_Financiero_Evol!BW563-Z89</f>
        <v>0</v>
      </c>
      <c r="AA90" s="19">
        <f>[1]Desempeño_Financiero_Evol!BX563-AA89</f>
        <v>0</v>
      </c>
      <c r="AB90" s="19">
        <f>[1]Desempeño_Financiero_Evol!BY563-AB89</f>
        <v>0</v>
      </c>
      <c r="AC90" s="19">
        <f>[1]Desempeño_Financiero_Evol!BZ563-AC89</f>
        <v>0</v>
      </c>
      <c r="AD90" s="19">
        <f>[1]Desempeño_Financiero_Evol!CA563-AD89</f>
        <v>0</v>
      </c>
      <c r="AE90" s="19">
        <f>[1]Desempeño_Financiero_Evol!CB563-AE89</f>
        <v>0</v>
      </c>
      <c r="AF90" s="19">
        <f>[1]Desempeño_Financiero_Evol!CC563-AF89</f>
        <v>0</v>
      </c>
      <c r="AG90" s="19">
        <f>[1]Desempeño_Financiero_Evol!CD563-AG89</f>
        <v>0</v>
      </c>
      <c r="AH90" s="19">
        <f>[1]Desempeño_Financiero_Evol!CE563-AH89</f>
        <v>0</v>
      </c>
      <c r="AI90" s="19">
        <f>[1]Desempeño_Financiero_Evol!CF563-AI89</f>
        <v>0</v>
      </c>
      <c r="AJ90" s="19">
        <f>[1]Desempeño_Financiero_Evol!CG563-AJ89</f>
        <v>0</v>
      </c>
      <c r="AK90" s="19">
        <f>[1]Desempeño_Financiero_Evol!CH563-AK89</f>
        <v>0</v>
      </c>
      <c r="AL90" s="19">
        <f>[1]Desempeño_Financiero_Evol!CI563-AL89</f>
        <v>0</v>
      </c>
      <c r="AM90" s="19">
        <f>[1]Desempeño_Financiero_Evol!CJ563-AM89</f>
        <v>0</v>
      </c>
      <c r="AN90" s="19">
        <f>[1]Desempeño_Financiero_Evol!CK563-AN89</f>
        <v>0</v>
      </c>
      <c r="AO90" s="19">
        <f>[1]Desempeño_Financiero_Evol!CL563-AO89</f>
        <v>0</v>
      </c>
      <c r="AP90" s="19">
        <f>[1]Desempeño_Financiero_Evol!CM563-AP89</f>
        <v>0</v>
      </c>
      <c r="AQ90" s="19">
        <f>[1]Desempeño_Financiero_Evol!CN563-AQ89</f>
        <v>0</v>
      </c>
      <c r="AR90" s="19">
        <f>[1]Desempeño_Financiero_Evol!CO563-AR89</f>
        <v>0</v>
      </c>
      <c r="AS90" s="19">
        <f>[1]Desempeño_Financiero_Evol!CP563-AS89</f>
        <v>0</v>
      </c>
      <c r="AZ90" s="19">
        <f>[1]Desempeño_Financiero_Evol!CW563-AZ89</f>
        <v>13.295605978798449</v>
      </c>
    </row>
    <row r="91" spans="1:72" hidden="1" outlineLevel="1" x14ac:dyDescent="0.25">
      <c r="A91" s="59" t="s">
        <v>81</v>
      </c>
      <c r="C91" s="60" t="s">
        <v>85</v>
      </c>
      <c r="D91" s="8">
        <f>Renta_Alta!D91+Masivo!D91+Consumo_Inicial!D91</f>
        <v>0</v>
      </c>
      <c r="E91" s="8">
        <f>Renta_Alta!E91+Masivo!E91+Consumo_Inicial!E91</f>
        <v>0</v>
      </c>
      <c r="F91" s="8">
        <f>Renta_Alta!F91+Masivo!F91+Consumo_Inicial!F91</f>
        <v>0</v>
      </c>
      <c r="G91" s="8">
        <f>Renta_Alta!G91+Masivo!G91+Consumo_Inicial!G91</f>
        <v>0</v>
      </c>
      <c r="H91" s="8">
        <f>Renta_Alta!H91+Masivo!H91+Consumo_Inicial!H91</f>
        <v>0</v>
      </c>
      <c r="I91" s="8">
        <f>Renta_Alta!I91+Masivo!I91+Consumo_Inicial!I91</f>
        <v>0</v>
      </c>
      <c r="J91" s="8">
        <f>Renta_Alta!J91+Masivo!J91+Consumo_Inicial!J91</f>
        <v>0</v>
      </c>
      <c r="K91" s="8">
        <f>Renta_Alta!K91+Masivo!K91+Consumo_Inicial!K91</f>
        <v>0</v>
      </c>
      <c r="L91" s="8">
        <f>Renta_Alta!L91+Masivo!L91+Consumo_Inicial!L91</f>
        <v>0</v>
      </c>
      <c r="M91" s="8">
        <f>Renta_Alta!M91+Masivo!M91+Consumo_Inicial!M91</f>
        <v>0</v>
      </c>
      <c r="N91" s="8">
        <f>Renta_Alta!N91+Masivo!N91+Consumo_Inicial!N91</f>
        <v>0</v>
      </c>
      <c r="O91" s="8">
        <f>Renta_Alta!O91+Masivo!O91+Consumo_Inicial!O91</f>
        <v>0</v>
      </c>
      <c r="P91" s="8">
        <f>Renta_Alta!P91+Masivo!P91+Consumo_Inicial!P91</f>
        <v>0</v>
      </c>
      <c r="Q91" s="8">
        <f>Renta_Alta!Q91+Masivo!Q91+Consumo_Inicial!Q91</f>
        <v>0</v>
      </c>
      <c r="R91" s="8">
        <f>Renta_Alta!R91+Masivo!R91+Consumo_Inicial!R91</f>
        <v>0</v>
      </c>
      <c r="S91" s="8">
        <f>Renta_Alta!S91+Masivo!S91+Consumo_Inicial!S91</f>
        <v>0</v>
      </c>
      <c r="T91" s="8">
        <f>Renta_Alta!T91+Masivo!T91+Consumo_Inicial!T91</f>
        <v>0</v>
      </c>
      <c r="U91" s="8">
        <f>Renta_Alta!U91+Masivo!U91+Consumo_Inicial!U91</f>
        <v>0</v>
      </c>
      <c r="V91" s="8">
        <f>Renta_Alta!V91+Masivo!V91+Consumo_Inicial!V91</f>
        <v>0</v>
      </c>
      <c r="W91" s="8">
        <f>Renta_Alta!W91+Masivo!W91+Consumo_Inicial!W91</f>
        <v>0</v>
      </c>
      <c r="X91" s="8">
        <f>Renta_Alta!X91+Masivo!X91+Consumo_Inicial!X91</f>
        <v>0</v>
      </c>
      <c r="Y91" s="8">
        <f>Renta_Alta!Y91+Masivo!Y91+Consumo_Inicial!Y91</f>
        <v>0</v>
      </c>
      <c r="Z91" s="8">
        <f>Renta_Alta!Z91+Masivo!Z91+Consumo_Inicial!Z91</f>
        <v>0</v>
      </c>
      <c r="AA91" s="8">
        <f>Renta_Alta!AA91+Masivo!AA91+Consumo_Inicial!AA91</f>
        <v>0</v>
      </c>
      <c r="AB91" s="8">
        <f>Renta_Alta!AB91+Masivo!AB91+Consumo_Inicial!AB91</f>
        <v>0</v>
      </c>
      <c r="AC91" s="8">
        <f>Renta_Alta!AC91+Masivo!AC91+Consumo_Inicial!AC91</f>
        <v>0</v>
      </c>
      <c r="AD91" s="8">
        <f>Renta_Alta!AD91+Masivo!AD91+Consumo_Inicial!AD91</f>
        <v>0</v>
      </c>
      <c r="AE91" s="8">
        <f>Renta_Alta!AE91+Masivo!AE91+Consumo_Inicial!AE91</f>
        <v>0</v>
      </c>
      <c r="AF91" s="8">
        <f>Renta_Alta!AF91+Masivo!AF91+Consumo_Inicial!AF91</f>
        <v>0</v>
      </c>
      <c r="AG91" s="8">
        <f>Renta_Alta!AG91+Masivo!AG91+Consumo_Inicial!AG91</f>
        <v>0</v>
      </c>
      <c r="AH91" s="8">
        <f>Renta_Alta!AH91+Masivo!AH91+Consumo_Inicial!AH91</f>
        <v>0</v>
      </c>
      <c r="AI91" s="8">
        <f>Renta_Alta!AI91+Masivo!AI91+Consumo_Inicial!AI91</f>
        <v>0</v>
      </c>
      <c r="AJ91" s="8">
        <f>Renta_Alta!AJ91+Masivo!AJ91+Consumo_Inicial!AJ91</f>
        <v>0</v>
      </c>
      <c r="AK91" s="8">
        <f>Renta_Alta!AK91+Masivo!AK91+Consumo_Inicial!AK91</f>
        <v>0</v>
      </c>
      <c r="AL91" s="8">
        <f>Renta_Alta!AL91+Masivo!AL91+Consumo_Inicial!AL91</f>
        <v>0</v>
      </c>
      <c r="AM91" s="8">
        <f>Renta_Alta!AM91+Masivo!AM91+Consumo_Inicial!AM91</f>
        <v>0</v>
      </c>
      <c r="AN91" s="8">
        <f>Renta_Alta!AN91+Masivo!AN91+Consumo_Inicial!AN91</f>
        <v>0</v>
      </c>
      <c r="AO91" s="8">
        <f>Renta_Alta!AO91+Masivo!AO91+Consumo_Inicial!AO91</f>
        <v>0</v>
      </c>
      <c r="AP91" s="8">
        <f>Renta_Alta!AP91+Masivo!AP91+Consumo_Inicial!AP91</f>
        <v>0</v>
      </c>
      <c r="AQ91" s="8">
        <f>Renta_Alta!AQ91+Masivo!AQ91+Consumo_Inicial!AQ91</f>
        <v>0</v>
      </c>
      <c r="AR91" s="8">
        <f>Renta_Alta!AR91+Masivo!AR91+Consumo_Inicial!AR91</f>
        <v>0</v>
      </c>
      <c r="AS91" s="8">
        <f>Renta_Alta!AS91+Masivo!AS91+Consumo_Inicial!AS91</f>
        <v>0</v>
      </c>
      <c r="AT91" s="8">
        <f>Renta_Alta!AT91+Masivo!AT91+Consumo_Inicial!AT91</f>
        <v>0</v>
      </c>
      <c r="AU91" s="8">
        <f>Renta_Alta!AU91+Masivo!AU91+Consumo_Inicial!AU91</f>
        <v>0</v>
      </c>
      <c r="AV91" s="8">
        <f>Renta_Alta!AV91+Masivo!AV91+Consumo_Inicial!AV91</f>
        <v>0</v>
      </c>
      <c r="AW91" s="8">
        <f>Renta_Alta!AW91+Masivo!AW91+Consumo_Inicial!AW91</f>
        <v>0</v>
      </c>
      <c r="AX91" s="8">
        <f>Renta_Alta!AX91+Masivo!AX91+Consumo_Inicial!AX91</f>
        <v>0</v>
      </c>
      <c r="AY91" s="8">
        <f>Renta_Alta!AY91+Masivo!AY91+Consumo_Inicial!AY91</f>
        <v>0</v>
      </c>
      <c r="AZ91" s="8">
        <f>Renta_Alta!AZ91+Masivo!AZ91+Consumo_Inicial!AZ91</f>
        <v>0</v>
      </c>
      <c r="BA91" s="8">
        <f>Renta_Alta!BA91+Masivo!BA91+Consumo_Inicial!BA91</f>
        <v>0</v>
      </c>
      <c r="BB91" s="8">
        <f>Renta_Alta!BB91+Masivo!BB91+Consumo_Inicial!BB91</f>
        <v>0</v>
      </c>
      <c r="BC91" s="8">
        <f>Renta_Alta!BC91+Masivo!BC91+Consumo_Inicial!BC91</f>
        <v>0</v>
      </c>
      <c r="BD91" s="8">
        <f>Renta_Alta!BD91+Masivo!BD91+Consumo_Inicial!BD91</f>
        <v>0</v>
      </c>
      <c r="BE91" s="8">
        <f>Renta_Alta!BE91+Masivo!BE91+Consumo_Inicial!BE91</f>
        <v>0</v>
      </c>
      <c r="BF91" s="8">
        <f>Renta_Alta!BF91+Masivo!BF91+Consumo_Inicial!BF91</f>
        <v>0</v>
      </c>
      <c r="BG91" s="8">
        <f>Renta_Alta!BG91+Masivo!BG91+Consumo_Inicial!BG91</f>
        <v>0</v>
      </c>
      <c r="BH91" s="8">
        <f>Renta_Alta!BH91+Masivo!BH91+Consumo_Inicial!BH91</f>
        <v>0</v>
      </c>
      <c r="BI91" s="8">
        <f>Renta_Alta!BI91+Masivo!BI91+Consumo_Inicial!BI91</f>
        <v>0</v>
      </c>
      <c r="BJ91" s="8">
        <f>Renta_Alta!BJ91+Masivo!BJ91+Consumo_Inicial!BJ91</f>
        <v>0</v>
      </c>
      <c r="BK91" s="8">
        <f>Renta_Alta!BK91+Masivo!BK91+Consumo_Inicial!BK91</f>
        <v>0</v>
      </c>
      <c r="BO91" s="24">
        <f t="shared" ref="BO91:BT92" si="79">SUMIFS($D91:$BM91,$D$6:$BM$6,"&gt;="&amp;BO$2,$D$6:$BM$6,"&lt;="&amp;BO$6,$D$5:$BM$5,BO$5)</f>
        <v>0</v>
      </c>
      <c r="BP91" s="24">
        <f t="shared" si="79"/>
        <v>0</v>
      </c>
      <c r="BQ91" s="24">
        <f t="shared" si="79"/>
        <v>0</v>
      </c>
      <c r="BR91" s="24">
        <f t="shared" si="79"/>
        <v>0</v>
      </c>
      <c r="BS91" s="24">
        <f t="shared" si="79"/>
        <v>0</v>
      </c>
      <c r="BT91" s="24">
        <f t="shared" si="79"/>
        <v>0</v>
      </c>
    </row>
    <row r="92" spans="1:72" hidden="1" outlineLevel="1" x14ac:dyDescent="0.25">
      <c r="A92" s="59" t="s">
        <v>81</v>
      </c>
      <c r="C92" s="60" t="s">
        <v>48</v>
      </c>
      <c r="D92" s="8">
        <f>Renta_Alta!D92+Masivo!D92+Consumo_Inicial!D92</f>
        <v>-182.6519716710302</v>
      </c>
      <c r="E92" s="8">
        <f>Renta_Alta!E92+Masivo!E92+Consumo_Inicial!E92</f>
        <v>-147.82116167103007</v>
      </c>
      <c r="F92" s="8">
        <f>Renta_Alta!F92+Masivo!F92+Consumo_Inicial!F92</f>
        <v>-51.149913060445378</v>
      </c>
      <c r="G92" s="8">
        <f>Renta_Alta!G92+Masivo!G92+Consumo_Inicial!G92</f>
        <v>-133.3724016710301</v>
      </c>
      <c r="H92" s="8">
        <f>Renta_Alta!H92+Masivo!H92+Consumo_Inicial!H92</f>
        <v>-97.97264167103009</v>
      </c>
      <c r="I92" s="8">
        <f>Renta_Alta!I92+Masivo!I92+Consumo_Inicial!I92</f>
        <v>-263.83044284781903</v>
      </c>
      <c r="J92" s="8">
        <f>Renta_Alta!J92+Masivo!J92+Consumo_Inicial!J92</f>
        <v>-197.57804186860818</v>
      </c>
      <c r="K92" s="8">
        <f>Renta_Alta!K92+Masivo!K92+Consumo_Inicial!K92</f>
        <v>-603.70026832896997</v>
      </c>
      <c r="L92" s="8">
        <f>Renta_Alta!L92+Masivo!L92+Consumo_Inicial!L92</f>
        <v>-54.233505455994241</v>
      </c>
      <c r="M92" s="8">
        <f>Renta_Alta!M92+Masivo!M92+Consumo_Inicial!M92</f>
        <v>-384.60948304602493</v>
      </c>
      <c r="N92" s="8">
        <f>Renta_Alta!N92+Masivo!N92+Consumo_Inicial!N92</f>
        <v>-203.95961471968391</v>
      </c>
      <c r="O92" s="8">
        <f>Renta_Alta!O92+Masivo!O92+Consumo_Inicial!O92</f>
        <v>-144.5302181872475</v>
      </c>
      <c r="P92" s="8">
        <f>Renta_Alta!P92+Masivo!P92+Consumo_Inicial!P92</f>
        <v>-215.92816951308995</v>
      </c>
      <c r="Q92" s="8">
        <f>Renta_Alta!Q92+Masivo!Q92+Consumo_Inicial!Q92</f>
        <v>-170.97149144227819</v>
      </c>
      <c r="R92" s="8">
        <f>Renta_Alta!R92+Masivo!R92+Consumo_Inicial!R92</f>
        <v>-105.16542302070052</v>
      </c>
      <c r="S92" s="8">
        <f>Renta_Alta!S92+Masivo!S92+Consumo_Inicial!S92</f>
        <v>-288.67693198571351</v>
      </c>
      <c r="T92" s="8">
        <f>Renta_Alta!T92+Masivo!T92+Consumo_Inicial!T92</f>
        <v>-416.01698005430654</v>
      </c>
      <c r="U92" s="8">
        <f>Renta_Alta!U92+Masivo!U92+Consumo_Inicial!U92</f>
        <v>-422.25888749479537</v>
      </c>
      <c r="V92" s="8">
        <f>Renta_Alta!V92+Masivo!V92+Consumo_Inicial!V92</f>
        <v>-269.48420921622875</v>
      </c>
      <c r="W92" s="8">
        <f>Renta_Alta!W92+Masivo!W92+Consumo_Inicial!W92</f>
        <v>-250.32857019867518</v>
      </c>
      <c r="X92" s="8">
        <f>Renta_Alta!X92+Masivo!X92+Consumo_Inicial!X92</f>
        <v>-482.87609984046708</v>
      </c>
      <c r="Y92" s="8">
        <f>Renta_Alta!Y92+Masivo!Y92+Consumo_Inicial!Y92</f>
        <v>-181.53387786747138</v>
      </c>
      <c r="Z92" s="8">
        <f>Renta_Alta!Z92+Masivo!Z92+Consumo_Inicial!Z92</f>
        <v>-170.293295836683</v>
      </c>
      <c r="AA92" s="8">
        <f>Renta_Alta!AA92+Masivo!AA92+Consumo_Inicial!AA92</f>
        <v>-248.62925363208473</v>
      </c>
      <c r="AB92" s="8">
        <f>Renta_Alta!AB92+Masivo!AB92+Consumo_Inicial!AB92</f>
        <v>-93.907376340042319</v>
      </c>
      <c r="AC92" s="8">
        <f>Renta_Alta!AC92+Masivo!AC92+Consumo_Inicial!AC92</f>
        <v>-83.980518542885548</v>
      </c>
      <c r="AD92" s="8">
        <f>Renta_Alta!AD92+Masivo!AD92+Consumo_Inicial!AD92</f>
        <v>-77.861820232411489</v>
      </c>
      <c r="AE92" s="8">
        <f>Renta_Alta!AE92+Masivo!AE92+Consumo_Inicial!AE92</f>
        <v>-602.8806538886796</v>
      </c>
      <c r="AF92" s="8">
        <f>Renta_Alta!AF92+Masivo!AF92+Consumo_Inicial!AF92</f>
        <v>-368.22557922192868</v>
      </c>
      <c r="AG92" s="8">
        <f>Renta_Alta!AG92+Masivo!AG92+Consumo_Inicial!AG92</f>
        <v>24.231889190057338</v>
      </c>
      <c r="AH92" s="8">
        <f>Renta_Alta!AH92+Masivo!AH92+Consumo_Inicial!AH92</f>
        <v>-173.53798146438075</v>
      </c>
      <c r="AI92" s="8">
        <f>Renta_Alta!AI92+Masivo!AI92+Consumo_Inicial!AI92</f>
        <v>-57.386259289462011</v>
      </c>
      <c r="AJ92" s="8">
        <f>Renta_Alta!AJ92+Masivo!AJ92+Consumo_Inicial!AJ92</f>
        <v>-232.57339488360776</v>
      </c>
      <c r="AK92" s="8">
        <f>Renta_Alta!AK92+Masivo!AK92+Consumo_Inicial!AK92</f>
        <v>-87.667587319007382</v>
      </c>
      <c r="AL92" s="8">
        <f>Renta_Alta!AL92+Masivo!AL92+Consumo_Inicial!AL92</f>
        <v>-46.255638634456531</v>
      </c>
      <c r="AM92" s="8">
        <f>Renta_Alta!AM92+Masivo!AM92+Consumo_Inicial!AM92</f>
        <v>-304.15677236611327</v>
      </c>
      <c r="AN92" s="8">
        <f>Renta_Alta!AN92+Masivo!AN92+Consumo_Inicial!AN92</f>
        <v>-38.056087050755039</v>
      </c>
      <c r="AO92" s="8">
        <f>Renta_Alta!AO92+Masivo!AO92+Consumo_Inicial!AO92</f>
        <v>-19.984786268692808</v>
      </c>
      <c r="AP92" s="8">
        <f>Renta_Alta!AP92+Masivo!AP92+Consumo_Inicial!AP92</f>
        <v>-160.0727860651167</v>
      </c>
      <c r="AQ92" s="8">
        <f>Renta_Alta!AQ92+Masivo!AQ92+Consumo_Inicial!AQ92</f>
        <v>-30.513929219577147</v>
      </c>
      <c r="AR92" s="8">
        <f>Renta_Alta!AR92+Masivo!AR92+Consumo_Inicial!AR92</f>
        <v>-35.716324561893913</v>
      </c>
      <c r="AS92" s="8">
        <f>Renta_Alta!AS92+Masivo!AS92+Consumo_Inicial!AS92</f>
        <v>-143.0760260995666</v>
      </c>
      <c r="AT92" s="8">
        <f>Renta_Alta!AT92+Masivo!AT92+Consumo_Inicial!AT92</f>
        <v>0</v>
      </c>
      <c r="AU92" s="8">
        <f>Renta_Alta!AU92+Masivo!AU92+Consumo_Inicial!AU92</f>
        <v>0</v>
      </c>
      <c r="AV92" s="8">
        <f>Renta_Alta!AV92+Masivo!AV92+Consumo_Inicial!AV92</f>
        <v>0</v>
      </c>
      <c r="AW92" s="8">
        <f>Renta_Alta!AW92+Masivo!AW92+Consumo_Inicial!AW92</f>
        <v>0</v>
      </c>
      <c r="AX92" s="8">
        <f>Renta_Alta!AX92+Masivo!AX92+Consumo_Inicial!AX92</f>
        <v>0</v>
      </c>
      <c r="AY92" s="8">
        <f>Renta_Alta!AY92+Masivo!AY92+Consumo_Inicial!AY92</f>
        <v>0</v>
      </c>
      <c r="AZ92" s="8">
        <f>Renta_Alta!AZ92+Masivo!AZ92+Consumo_Inicial!AZ92</f>
        <v>-182.70307034423789</v>
      </c>
      <c r="BA92" s="8">
        <f>Renta_Alta!BA92+Masivo!BA92+Consumo_Inicial!BA92</f>
        <v>-182.70307034423791</v>
      </c>
      <c r="BB92" s="8">
        <f>Renta_Alta!BB92+Masivo!BB92+Consumo_Inicial!BB92</f>
        <v>-190.71378011092122</v>
      </c>
      <c r="BC92" s="8">
        <f>Renta_Alta!BC92+Masivo!BC92+Consumo_Inicial!BC92</f>
        <v>-188.26792016309562</v>
      </c>
      <c r="BD92" s="8">
        <f>Renta_Alta!BD92+Masivo!BD92+Consumo_Inicial!BD92</f>
        <v>-188.26792016309577</v>
      </c>
      <c r="BE92" s="8">
        <f>Renta_Alta!BE92+Masivo!BE92+Consumo_Inicial!BE92</f>
        <v>-196.27862992977904</v>
      </c>
      <c r="BF92" s="8">
        <f>Renta_Alta!BF92+Masivo!BF92+Consumo_Inicial!BF92</f>
        <v>-187.58279197227614</v>
      </c>
      <c r="BG92" s="8">
        <f>Renta_Alta!BG92+Masivo!BG92+Consumo_Inicial!BG92</f>
        <v>-187.58279197227611</v>
      </c>
      <c r="BH92" s="8">
        <f>Renta_Alta!BH92+Masivo!BH92+Consumo_Inicial!BH92</f>
        <v>-193.40876271168219</v>
      </c>
      <c r="BI92" s="8">
        <f>Renta_Alta!BI92+Masivo!BI92+Consumo_Inicial!BI92</f>
        <v>-187.93755405856442</v>
      </c>
      <c r="BJ92" s="8">
        <f>Renta_Alta!BJ92+Masivo!BJ92+Consumo_Inicial!BJ92</f>
        <v>-187.93755405856442</v>
      </c>
      <c r="BK92" s="8">
        <f>Renta_Alta!BK92+Masivo!BK92+Consumo_Inicial!BK92</f>
        <v>-195.22001748282202</v>
      </c>
      <c r="BO92" s="24">
        <f t="shared" si="79"/>
        <v>-218.11365938456456</v>
      </c>
      <c r="BP92" s="24">
        <f t="shared" si="79"/>
        <v>-556.11992079939705</v>
      </c>
      <c r="BQ92" s="24">
        <f t="shared" si="79"/>
        <v>-58.040873319447847</v>
      </c>
      <c r="BR92" s="24">
        <f t="shared" si="79"/>
        <v>-255.74971511533937</v>
      </c>
      <c r="BS92" s="24">
        <f t="shared" si="79"/>
        <v>-492.06508397606871</v>
      </c>
      <c r="BT92" s="24">
        <f t="shared" si="79"/>
        <v>-381.62304640250562</v>
      </c>
    </row>
    <row r="93" spans="1:72" collapsed="1" x14ac:dyDescent="0.25">
      <c r="C93" s="61" t="s">
        <v>81</v>
      </c>
      <c r="D93" s="62">
        <f t="shared" ref="D93:AY93" si="80">SUM(D91:D92)</f>
        <v>-182.6519716710302</v>
      </c>
      <c r="E93" s="62">
        <f t="shared" si="80"/>
        <v>-147.82116167103007</v>
      </c>
      <c r="F93" s="62">
        <f t="shared" si="80"/>
        <v>-51.149913060445378</v>
      </c>
      <c r="G93" s="62">
        <f t="shared" si="80"/>
        <v>-133.3724016710301</v>
      </c>
      <c r="H93" s="62">
        <f t="shared" si="80"/>
        <v>-97.97264167103009</v>
      </c>
      <c r="I93" s="62">
        <f t="shared" si="80"/>
        <v>-263.83044284781903</v>
      </c>
      <c r="J93" s="62">
        <f t="shared" si="80"/>
        <v>-197.57804186860818</v>
      </c>
      <c r="K93" s="62">
        <f t="shared" si="80"/>
        <v>-603.70026832896997</v>
      </c>
      <c r="L93" s="62">
        <f t="shared" si="80"/>
        <v>-54.233505455994241</v>
      </c>
      <c r="M93" s="62">
        <f t="shared" si="80"/>
        <v>-384.60948304602493</v>
      </c>
      <c r="N93" s="62">
        <f t="shared" si="80"/>
        <v>-203.95961471968391</v>
      </c>
      <c r="O93" s="62">
        <f t="shared" si="80"/>
        <v>-144.5302181872475</v>
      </c>
      <c r="P93" s="62">
        <f t="shared" si="80"/>
        <v>-215.92816951308995</v>
      </c>
      <c r="Q93" s="62">
        <f t="shared" si="80"/>
        <v>-170.97149144227819</v>
      </c>
      <c r="R93" s="62">
        <f t="shared" si="80"/>
        <v>-105.16542302070052</v>
      </c>
      <c r="S93" s="62">
        <f t="shared" si="80"/>
        <v>-288.67693198571351</v>
      </c>
      <c r="T93" s="62">
        <f t="shared" si="80"/>
        <v>-416.01698005430654</v>
      </c>
      <c r="U93" s="62">
        <f t="shared" si="80"/>
        <v>-422.25888749479537</v>
      </c>
      <c r="V93" s="62">
        <f t="shared" si="80"/>
        <v>-269.48420921622875</v>
      </c>
      <c r="W93" s="62">
        <f t="shared" si="80"/>
        <v>-250.32857019867518</v>
      </c>
      <c r="X93" s="62">
        <f t="shared" si="80"/>
        <v>-482.87609984046708</v>
      </c>
      <c r="Y93" s="62">
        <f t="shared" si="80"/>
        <v>-181.53387786747138</v>
      </c>
      <c r="Z93" s="62">
        <f t="shared" si="80"/>
        <v>-170.293295836683</v>
      </c>
      <c r="AA93" s="62">
        <f t="shared" si="80"/>
        <v>-248.62925363208473</v>
      </c>
      <c r="AB93" s="62">
        <f t="shared" si="80"/>
        <v>-93.907376340042319</v>
      </c>
      <c r="AC93" s="62">
        <f t="shared" si="80"/>
        <v>-83.980518542885548</v>
      </c>
      <c r="AD93" s="62">
        <f t="shared" si="80"/>
        <v>-77.861820232411489</v>
      </c>
      <c r="AE93" s="62">
        <f t="shared" si="80"/>
        <v>-602.8806538886796</v>
      </c>
      <c r="AF93" s="62">
        <f t="shared" si="80"/>
        <v>-368.22557922192868</v>
      </c>
      <c r="AG93" s="62">
        <f t="shared" si="80"/>
        <v>24.231889190057338</v>
      </c>
      <c r="AH93" s="62">
        <f t="shared" si="80"/>
        <v>-173.53798146438075</v>
      </c>
      <c r="AI93" s="62">
        <f t="shared" si="80"/>
        <v>-57.386259289462011</v>
      </c>
      <c r="AJ93" s="62">
        <f t="shared" si="80"/>
        <v>-232.57339488360776</v>
      </c>
      <c r="AK93" s="62">
        <f t="shared" si="80"/>
        <v>-87.667587319007382</v>
      </c>
      <c r="AL93" s="62">
        <f t="shared" si="80"/>
        <v>-46.255638634456531</v>
      </c>
      <c r="AM93" s="62">
        <f t="shared" si="80"/>
        <v>-304.15677236611327</v>
      </c>
      <c r="AN93" s="62">
        <f t="shared" si="80"/>
        <v>-38.056087050755039</v>
      </c>
      <c r="AO93" s="62">
        <f t="shared" si="80"/>
        <v>-19.984786268692808</v>
      </c>
      <c r="AP93" s="62">
        <f t="shared" si="80"/>
        <v>-160.0727860651167</v>
      </c>
      <c r="AQ93" s="62">
        <f t="shared" si="80"/>
        <v>-30.513929219577147</v>
      </c>
      <c r="AR93" s="62">
        <f t="shared" si="80"/>
        <v>-35.716324561893913</v>
      </c>
      <c r="AS93" s="62">
        <f t="shared" si="80"/>
        <v>-143.0760260995666</v>
      </c>
      <c r="AT93" s="62">
        <f t="shared" si="80"/>
        <v>0</v>
      </c>
      <c r="AU93" s="62">
        <f t="shared" si="80"/>
        <v>0</v>
      </c>
      <c r="AV93" s="62">
        <f t="shared" si="80"/>
        <v>0</v>
      </c>
      <c r="AW93" s="62">
        <f t="shared" si="80"/>
        <v>0</v>
      </c>
      <c r="AX93" s="62">
        <f t="shared" si="80"/>
        <v>0</v>
      </c>
      <c r="AY93" s="62">
        <f t="shared" si="80"/>
        <v>0</v>
      </c>
      <c r="AZ93" s="62">
        <f t="shared" ref="AZ93:BK93" si="81">SUM(AZ91:AZ92)</f>
        <v>-182.70307034423789</v>
      </c>
      <c r="BA93" s="62">
        <f t="shared" si="81"/>
        <v>-182.70307034423791</v>
      </c>
      <c r="BB93" s="62">
        <f t="shared" si="81"/>
        <v>-190.71378011092122</v>
      </c>
      <c r="BC93" s="62">
        <f t="shared" si="81"/>
        <v>-188.26792016309562</v>
      </c>
      <c r="BD93" s="62">
        <f t="shared" si="81"/>
        <v>-188.26792016309577</v>
      </c>
      <c r="BE93" s="62">
        <f t="shared" si="81"/>
        <v>-196.27862992977904</v>
      </c>
      <c r="BF93" s="62">
        <f t="shared" si="81"/>
        <v>-187.58279197227614</v>
      </c>
      <c r="BG93" s="62">
        <f t="shared" si="81"/>
        <v>-187.58279197227611</v>
      </c>
      <c r="BH93" s="62">
        <f t="shared" si="81"/>
        <v>-193.40876271168219</v>
      </c>
      <c r="BI93" s="62">
        <f t="shared" si="81"/>
        <v>-187.93755405856442</v>
      </c>
      <c r="BJ93" s="62">
        <f t="shared" si="81"/>
        <v>-187.93755405856442</v>
      </c>
      <c r="BK93" s="62">
        <f t="shared" si="81"/>
        <v>-195.22001748282202</v>
      </c>
      <c r="BO93" s="63">
        <f t="shared" ref="BO93:BT93" si="82">SUM(BO91:BO92)</f>
        <v>-218.11365938456456</v>
      </c>
      <c r="BP93" s="63">
        <f t="shared" si="82"/>
        <v>-556.11992079939705</v>
      </c>
      <c r="BQ93" s="63">
        <f t="shared" si="82"/>
        <v>-58.040873319447847</v>
      </c>
      <c r="BR93" s="63">
        <f t="shared" si="82"/>
        <v>-255.74971511533937</v>
      </c>
      <c r="BS93" s="63">
        <f t="shared" si="82"/>
        <v>-492.06508397606871</v>
      </c>
      <c r="BT93" s="63">
        <f t="shared" si="82"/>
        <v>-381.62304640250562</v>
      </c>
    </row>
    <row r="94" spans="1:72" x14ac:dyDescent="0.25">
      <c r="D94" s="19">
        <f>[1]Desempeño_Financiero_Evol!BA609-D93</f>
        <v>0</v>
      </c>
      <c r="E94" s="19">
        <f>[1]Desempeño_Financiero_Evol!BB609-E93</f>
        <v>0</v>
      </c>
      <c r="F94" s="19">
        <f>[1]Desempeño_Financiero_Evol!BC609-F93</f>
        <v>0</v>
      </c>
      <c r="G94" s="19">
        <f>[1]Desempeño_Financiero_Evol!BD609-G93</f>
        <v>0</v>
      </c>
      <c r="H94" s="19">
        <f>[1]Desempeño_Financiero_Evol!BE609-H93</f>
        <v>0</v>
      </c>
      <c r="I94" s="19">
        <f>[1]Desempeño_Financiero_Evol!BF609-I93</f>
        <v>0</v>
      </c>
      <c r="J94" s="19">
        <f>[1]Desempeño_Financiero_Evol!BG609-J93</f>
        <v>1.9757806057896232E-7</v>
      </c>
      <c r="K94" s="19">
        <f>[1]Desempeño_Financiero_Evol!BH609-K93</f>
        <v>0</v>
      </c>
      <c r="L94" s="19">
        <f>[1]Desempeño_Financiero_Evol!BI609-L93</f>
        <v>0</v>
      </c>
      <c r="M94" s="19">
        <f>[1]Desempeño_Financiero_Evol!BJ609-M93</f>
        <v>-3.8460950690932805E-7</v>
      </c>
      <c r="N94" s="19">
        <f>[1]Desempeño_Financiero_Evol!BK609-N93</f>
        <v>0</v>
      </c>
      <c r="O94" s="19">
        <f>[1]Desempeño_Financiero_Evol!BL609-O93</f>
        <v>-1.4453021890403761E-7</v>
      </c>
      <c r="P94" s="19">
        <f>[1]Desempeño_Financiero_Evol!BM609-P93</f>
        <v>2.1592813936877064E-7</v>
      </c>
      <c r="Q94" s="19">
        <f>[1]Desempeño_Financiero_Evol!BN609-Q93</f>
        <v>0</v>
      </c>
      <c r="R94" s="19">
        <f>[1]Desempeño_Financiero_Evol!BO609-R93</f>
        <v>0</v>
      </c>
      <c r="S94" s="19">
        <f>[1]Desempeño_Financiero_Evol!BP609-S93</f>
        <v>2.8867708579127793E-7</v>
      </c>
      <c r="T94" s="19">
        <f>[1]Desempeño_Financiero_Evol!BQ609-T93</f>
        <v>0</v>
      </c>
      <c r="U94" s="19">
        <f>[1]Desempeño_Financiero_Evol!BR609-U93</f>
        <v>0</v>
      </c>
      <c r="V94" s="19">
        <f>[1]Desempeño_Financiero_Evol!BS609-V93</f>
        <v>0</v>
      </c>
      <c r="W94" s="19">
        <f>[1]Desempeño_Financiero_Evol!BT609-W93</f>
        <v>2.5032858275153558E-7</v>
      </c>
      <c r="X94" s="19">
        <f>[1]Desempeño_Financiero_Evol!BU609-X93</f>
        <v>0</v>
      </c>
      <c r="Y94" s="19">
        <f>[1]Desempeño_Financiero_Evol!BV609-Y93</f>
        <v>0</v>
      </c>
      <c r="Z94" s="19">
        <f>[1]Desempeño_Financiero_Evol!BW609-Z93</f>
        <v>0</v>
      </c>
      <c r="AA94" s="19">
        <f>[1]Desempeño_Financiero_Evol!BX609-AA93</f>
        <v>0</v>
      </c>
      <c r="AB94" s="19">
        <f>[1]Desempeño_Financiero_Evol!BY609-AB93</f>
        <v>0</v>
      </c>
      <c r="AC94" s="19">
        <f>[1]Desempeño_Financiero_Evol!BZ609-AC93</f>
        <v>0</v>
      </c>
      <c r="AD94" s="19">
        <f>[1]Desempeño_Financiero_Evol!CA609-AD93</f>
        <v>7.7861841418780386E-8</v>
      </c>
      <c r="AE94" s="19">
        <f>[1]Desempeño_Financiero_Evol!CB609-AE93</f>
        <v>6.0288061831670348E-7</v>
      </c>
      <c r="AF94" s="19">
        <f>[1]Desempeño_Financiero_Evol!CC609-AF93</f>
        <v>-3.6822558513449621E-7</v>
      </c>
      <c r="AG94" s="19">
        <f>[1]Desempeño_Financiero_Evol!CD609-AG93</f>
        <v>2.4231873396729497E-8</v>
      </c>
      <c r="AH94" s="19">
        <f>[1]Desempeño_Financiero_Evol!CE609-AH93</f>
        <v>1.7353798398289655E-7</v>
      </c>
      <c r="AI94" s="19">
        <f>[1]Desempeño_Financiero_Evol!CF609-AI93</f>
        <v>0</v>
      </c>
      <c r="AJ94" s="19">
        <f>[1]Desempeño_Financiero_Evol!CG609-AJ93</f>
        <v>0</v>
      </c>
      <c r="AK94" s="19">
        <f>[1]Desempeño_Financiero_Evol!CH609-AK93</f>
        <v>0</v>
      </c>
      <c r="AL94" s="19">
        <f>[1]Desempeño_Financiero_Evol!CI609-AL93</f>
        <v>-4.6255649976956192E-8</v>
      </c>
      <c r="AM94" s="19">
        <f>[1]Desempeño_Financiero_Evol!CJ609-AM93</f>
        <v>0</v>
      </c>
      <c r="AN94" s="19">
        <f>[1]Desempeño_Financiero_Evol!CK609-AN93</f>
        <v>0</v>
      </c>
      <c r="AO94" s="19">
        <f>[1]Desempeño_Financiero_Evol!CL609-AO93</f>
        <v>0</v>
      </c>
      <c r="AZ94" s="19">
        <f>[1]Desempeño_Financiero_Evol!CW609-AZ93</f>
        <v>0</v>
      </c>
    </row>
    <row r="95" spans="1:72" hidden="1" outlineLevel="1" x14ac:dyDescent="0.25">
      <c r="A95" s="59" t="s">
        <v>82</v>
      </c>
      <c r="C95" s="60" t="s">
        <v>83</v>
      </c>
      <c r="D95" s="8">
        <f>Renta_Alta!D95+Masivo!D95+Consumo_Inicial!D95</f>
        <v>0</v>
      </c>
      <c r="E95" s="8">
        <f>Renta_Alta!E95+Masivo!E95+Consumo_Inicial!E95</f>
        <v>0</v>
      </c>
      <c r="F95" s="8">
        <f>Renta_Alta!F95+Masivo!F95+Consumo_Inicial!F95</f>
        <v>0</v>
      </c>
      <c r="G95" s="8">
        <f>Renta_Alta!G95+Masivo!G95+Consumo_Inicial!G95</f>
        <v>0</v>
      </c>
      <c r="H95" s="8">
        <f>Renta_Alta!H95+Masivo!H95+Consumo_Inicial!H95</f>
        <v>0</v>
      </c>
      <c r="I95" s="8">
        <f>Renta_Alta!I95+Masivo!I95+Consumo_Inicial!I95</f>
        <v>0</v>
      </c>
      <c r="J95" s="8">
        <f>Renta_Alta!J95+Masivo!J95+Consumo_Inicial!J95</f>
        <v>0</v>
      </c>
      <c r="K95" s="8">
        <f>Renta_Alta!K95+Masivo!K95+Consumo_Inicial!K95</f>
        <v>2367.47721</v>
      </c>
      <c r="L95" s="8">
        <f>Renta_Alta!L95+Masivo!L95+Consumo_Inicial!L95</f>
        <v>0</v>
      </c>
      <c r="M95" s="8">
        <f>Renta_Alta!M95+Masivo!M95+Consumo_Inicial!M95</f>
        <v>1185.1146388148852</v>
      </c>
      <c r="N95" s="8">
        <f>Renta_Alta!N95+Masivo!N95+Consumo_Inicial!N95</f>
        <v>0</v>
      </c>
      <c r="O95" s="8">
        <f>Renta_Alta!O95+Masivo!O95+Consumo_Inicial!O95</f>
        <v>0</v>
      </c>
      <c r="P95" s="8">
        <f>Renta_Alta!P95+Masivo!P95+Consumo_Inicial!P95</f>
        <v>0</v>
      </c>
      <c r="Q95" s="8">
        <f>Renta_Alta!Q95+Masivo!Q95+Consumo_Inicial!Q95</f>
        <v>0</v>
      </c>
      <c r="R95" s="8">
        <f>Renta_Alta!R95+Masivo!R95+Consumo_Inicial!R95</f>
        <v>0</v>
      </c>
      <c r="S95" s="8">
        <f>Renta_Alta!S95+Masivo!S95+Consumo_Inicial!S95</f>
        <v>0</v>
      </c>
      <c r="T95" s="8">
        <f>Renta_Alta!T95+Masivo!T95+Consumo_Inicial!T95</f>
        <v>0</v>
      </c>
      <c r="U95" s="8">
        <f>Renta_Alta!U95+Masivo!U95+Consumo_Inicial!U95</f>
        <v>0</v>
      </c>
      <c r="V95" s="8">
        <f>Renta_Alta!V95+Masivo!V95+Consumo_Inicial!V95</f>
        <v>0</v>
      </c>
      <c r="W95" s="8">
        <f>Renta_Alta!W95+Masivo!W95+Consumo_Inicial!W95</f>
        <v>0</v>
      </c>
      <c r="X95" s="8">
        <f>Renta_Alta!X95+Masivo!X95+Consumo_Inicial!X95</f>
        <v>0</v>
      </c>
      <c r="Y95" s="8">
        <f>Renta_Alta!Y95+Masivo!Y95+Consumo_Inicial!Y95</f>
        <v>400</v>
      </c>
      <c r="Z95" s="8">
        <f>Renta_Alta!Z95+Masivo!Z95+Consumo_Inicial!Z95</f>
        <v>5.915</v>
      </c>
      <c r="AA95" s="8">
        <f>Renta_Alta!AA95+Masivo!AA95+Consumo_Inicial!AA95</f>
        <v>-0.78200000000000003</v>
      </c>
      <c r="AB95" s="8">
        <f>Renta_Alta!AB95+Masivo!AB95+Consumo_Inicial!AB95</f>
        <v>0</v>
      </c>
      <c r="AC95" s="8">
        <f>Renta_Alta!AC95+Masivo!AC95+Consumo_Inicial!AC95</f>
        <v>0</v>
      </c>
      <c r="AD95" s="8">
        <f>Renta_Alta!AD95+Masivo!AD95+Consumo_Inicial!AD95</f>
        <v>2363.9500023639498</v>
      </c>
      <c r="AE95" s="8">
        <f>Renta_Alta!AE95+Masivo!AE95+Consumo_Inicial!AE95</f>
        <v>-17.710000017710001</v>
      </c>
      <c r="AF95" s="8">
        <f>Renta_Alta!AF95+Masivo!AF95+Consumo_Inicial!AF95</f>
        <v>0</v>
      </c>
      <c r="AG95" s="8">
        <f>Renta_Alta!AG95+Masivo!AG95+Consumo_Inicial!AG95</f>
        <v>2993.2499970067497</v>
      </c>
      <c r="AH95" s="8">
        <f>Renta_Alta!AH95+Masivo!AH95+Consumo_Inicial!AH95</f>
        <v>0</v>
      </c>
      <c r="AI95" s="8">
        <f>Renta_Alta!AI95+Masivo!AI95+Consumo_Inicial!AI95</f>
        <v>0</v>
      </c>
      <c r="AJ95" s="8">
        <f>Renta_Alta!AJ95+Masivo!AJ95+Consumo_Inicial!AJ95</f>
        <v>2766.65</v>
      </c>
      <c r="AK95" s="8">
        <f>Renta_Alta!AK95+Masivo!AK95+Consumo_Inicial!AK95</f>
        <v>-0.26</v>
      </c>
      <c r="AL95" s="8">
        <f>Renta_Alta!AL95+Masivo!AL95+Consumo_Inicial!AL95</f>
        <v>2946.5189970534807</v>
      </c>
      <c r="AM95" s="8">
        <f>Renta_Alta!AM95+Masivo!AM95+Consumo_Inicial!AM95</f>
        <v>-0.93799999999999994</v>
      </c>
      <c r="AN95" s="8">
        <f>Renta_Alta!AN95+Masivo!AN95+Consumo_Inicial!AN95</f>
        <v>0</v>
      </c>
      <c r="AO95" s="8">
        <f>Renta_Alta!AO95+Masivo!AO95+Consumo_Inicial!AO95</f>
        <v>0</v>
      </c>
      <c r="AP95" s="8">
        <f>Renta_Alta!AP95+Masivo!AP95+Consumo_Inicial!AP95</f>
        <v>0</v>
      </c>
      <c r="AQ95" s="8">
        <f>Renta_Alta!AQ95+Masivo!AQ95+Consumo_Inicial!AQ95</f>
        <v>0</v>
      </c>
      <c r="AR95" s="8">
        <f>Renta_Alta!AR95+Masivo!AR95+Consumo_Inicial!AR95</f>
        <v>0</v>
      </c>
      <c r="AS95" s="8">
        <f>Renta_Alta!AS95+Masivo!AS95+Consumo_Inicial!AS95</f>
        <v>2411.4690000000001</v>
      </c>
      <c r="AT95" s="8">
        <f>Renta_Alta!AT95+Masivo!AT95+Consumo_Inicial!AT95</f>
        <v>0</v>
      </c>
      <c r="AU95" s="8">
        <f>Renta_Alta!AU95+Masivo!AU95+Consumo_Inicial!AU95</f>
        <v>0</v>
      </c>
      <c r="AV95" s="8">
        <f>Renta_Alta!AV95+Masivo!AV95+Consumo_Inicial!AV95</f>
        <v>0</v>
      </c>
      <c r="AW95" s="8">
        <f>Renta_Alta!AW95+Masivo!AW95+Consumo_Inicial!AW95</f>
        <v>0</v>
      </c>
      <c r="AX95" s="8">
        <f>Renta_Alta!AX95+Masivo!AX95+Consumo_Inicial!AX95</f>
        <v>0</v>
      </c>
      <c r="AY95" s="8">
        <f>Renta_Alta!AY95+Masivo!AY95+Consumo_Inicial!AY95</f>
        <v>0</v>
      </c>
      <c r="AZ95" s="8">
        <f>Renta_Alta!AZ95+Masivo!AZ95+Consumo_Inicial!AZ95</f>
        <v>0</v>
      </c>
      <c r="BA95" s="8">
        <f>Renta_Alta!BA95+Masivo!BA95+Consumo_Inicial!BA95</f>
        <v>0</v>
      </c>
      <c r="BB95" s="8">
        <f>Renta_Alta!BB95+Masivo!BB95+Consumo_Inicial!BB95</f>
        <v>0</v>
      </c>
      <c r="BC95" s="8">
        <f>Renta_Alta!BC95+Masivo!BC95+Consumo_Inicial!BC95</f>
        <v>0</v>
      </c>
      <c r="BD95" s="8">
        <f>Renta_Alta!BD95+Masivo!BD95+Consumo_Inicial!BD95</f>
        <v>0</v>
      </c>
      <c r="BE95" s="8">
        <f>Renta_Alta!BE95+Masivo!BE95+Consumo_Inicial!BE95</f>
        <v>1644.2318975904698</v>
      </c>
      <c r="BF95" s="8">
        <f>Renta_Alta!BF95+Masivo!BF95+Consumo_Inicial!BF95</f>
        <v>0</v>
      </c>
      <c r="BG95" s="8">
        <f>Renta_Alta!BG95+Masivo!BG95+Consumo_Inicial!BG95</f>
        <v>0</v>
      </c>
      <c r="BH95" s="8">
        <f>Renta_Alta!BH95+Masivo!BH95+Consumo_Inicial!BH95</f>
        <v>3414.9899641409097</v>
      </c>
      <c r="BI95" s="8">
        <f>Renta_Alta!BI95+Masivo!BI95+Consumo_Inicial!BI95</f>
        <v>0</v>
      </c>
      <c r="BJ95" s="8">
        <f>Renta_Alta!BJ95+Masivo!BJ95+Consumo_Inicial!BJ95</f>
        <v>0</v>
      </c>
      <c r="BK95" s="8">
        <f>Renta_Alta!BK95+Masivo!BK95+Consumo_Inicial!BK95</f>
        <v>0</v>
      </c>
      <c r="BO95" s="24">
        <f t="shared" ref="BO95:BT95" si="83">SUMIFS($D95:$BM95,$D$6:$BM$6,"&gt;="&amp;BO$2,$D$6:$BM$6,"&lt;="&amp;BO$6,$D$5:$BM$5,BO$5)</f>
        <v>0</v>
      </c>
      <c r="BP95" s="24">
        <f t="shared" si="83"/>
        <v>0</v>
      </c>
      <c r="BQ95" s="24">
        <f t="shared" si="83"/>
        <v>0</v>
      </c>
      <c r="BR95" s="24">
        <f t="shared" si="83"/>
        <v>2363.9500023639498</v>
      </c>
      <c r="BS95" s="24">
        <f t="shared" si="83"/>
        <v>0</v>
      </c>
      <c r="BT95" s="24">
        <f t="shared" si="83"/>
        <v>0</v>
      </c>
    </row>
    <row r="96" spans="1:72" collapsed="1" x14ac:dyDescent="0.25">
      <c r="C96" s="61" t="s">
        <v>82</v>
      </c>
      <c r="D96" s="62">
        <f t="shared" ref="D96:AY96" si="84">SUM(D95:D95)</f>
        <v>0</v>
      </c>
      <c r="E96" s="62">
        <f t="shared" si="84"/>
        <v>0</v>
      </c>
      <c r="F96" s="62">
        <f t="shared" si="84"/>
        <v>0</v>
      </c>
      <c r="G96" s="62">
        <f t="shared" si="84"/>
        <v>0</v>
      </c>
      <c r="H96" s="62">
        <f t="shared" si="84"/>
        <v>0</v>
      </c>
      <c r="I96" s="62">
        <f t="shared" si="84"/>
        <v>0</v>
      </c>
      <c r="J96" s="62">
        <f t="shared" si="84"/>
        <v>0</v>
      </c>
      <c r="K96" s="62">
        <f t="shared" si="84"/>
        <v>2367.47721</v>
      </c>
      <c r="L96" s="62">
        <f t="shared" si="84"/>
        <v>0</v>
      </c>
      <c r="M96" s="62">
        <f t="shared" si="84"/>
        <v>1185.1146388148852</v>
      </c>
      <c r="N96" s="62">
        <f t="shared" si="84"/>
        <v>0</v>
      </c>
      <c r="O96" s="62">
        <f t="shared" si="84"/>
        <v>0</v>
      </c>
      <c r="P96" s="62">
        <f t="shared" si="84"/>
        <v>0</v>
      </c>
      <c r="Q96" s="62">
        <f t="shared" si="84"/>
        <v>0</v>
      </c>
      <c r="R96" s="62">
        <f t="shared" si="84"/>
        <v>0</v>
      </c>
      <c r="S96" s="62">
        <f t="shared" si="84"/>
        <v>0</v>
      </c>
      <c r="T96" s="62">
        <f t="shared" si="84"/>
        <v>0</v>
      </c>
      <c r="U96" s="62">
        <f t="shared" si="84"/>
        <v>0</v>
      </c>
      <c r="V96" s="62">
        <f t="shared" si="84"/>
        <v>0</v>
      </c>
      <c r="W96" s="62">
        <f t="shared" si="84"/>
        <v>0</v>
      </c>
      <c r="X96" s="62">
        <f t="shared" si="84"/>
        <v>0</v>
      </c>
      <c r="Y96" s="62">
        <f t="shared" si="84"/>
        <v>400</v>
      </c>
      <c r="Z96" s="62">
        <f t="shared" si="84"/>
        <v>5.915</v>
      </c>
      <c r="AA96" s="62">
        <f t="shared" si="84"/>
        <v>-0.78200000000000003</v>
      </c>
      <c r="AB96" s="62">
        <f t="shared" si="84"/>
        <v>0</v>
      </c>
      <c r="AC96" s="62">
        <f t="shared" si="84"/>
        <v>0</v>
      </c>
      <c r="AD96" s="62">
        <f t="shared" si="84"/>
        <v>2363.9500023639498</v>
      </c>
      <c r="AE96" s="62">
        <f t="shared" si="84"/>
        <v>-17.710000017710001</v>
      </c>
      <c r="AF96" s="62">
        <f t="shared" si="84"/>
        <v>0</v>
      </c>
      <c r="AG96" s="62">
        <f t="shared" si="84"/>
        <v>2993.2499970067497</v>
      </c>
      <c r="AH96" s="62">
        <f t="shared" si="84"/>
        <v>0</v>
      </c>
      <c r="AI96" s="62">
        <f t="shared" si="84"/>
        <v>0</v>
      </c>
      <c r="AJ96" s="62">
        <f t="shared" si="84"/>
        <v>2766.65</v>
      </c>
      <c r="AK96" s="62">
        <f t="shared" si="84"/>
        <v>-0.26</v>
      </c>
      <c r="AL96" s="62">
        <f t="shared" si="84"/>
        <v>2946.5189970534807</v>
      </c>
      <c r="AM96" s="62">
        <f t="shared" si="84"/>
        <v>-0.93799999999999994</v>
      </c>
      <c r="AN96" s="62">
        <f t="shared" si="84"/>
        <v>0</v>
      </c>
      <c r="AO96" s="62">
        <f t="shared" si="84"/>
        <v>0</v>
      </c>
      <c r="AP96" s="62">
        <f t="shared" si="84"/>
        <v>0</v>
      </c>
      <c r="AQ96" s="62">
        <f t="shared" si="84"/>
        <v>0</v>
      </c>
      <c r="AR96" s="62">
        <f t="shared" si="84"/>
        <v>0</v>
      </c>
      <c r="AS96" s="62">
        <f t="shared" si="84"/>
        <v>2411.4690000000001</v>
      </c>
      <c r="AT96" s="62">
        <f t="shared" si="84"/>
        <v>0</v>
      </c>
      <c r="AU96" s="62">
        <f t="shared" si="84"/>
        <v>0</v>
      </c>
      <c r="AV96" s="62">
        <f t="shared" si="84"/>
        <v>0</v>
      </c>
      <c r="AW96" s="62">
        <f t="shared" si="84"/>
        <v>0</v>
      </c>
      <c r="AX96" s="62">
        <f t="shared" si="84"/>
        <v>0</v>
      </c>
      <c r="AY96" s="62">
        <f t="shared" si="84"/>
        <v>0</v>
      </c>
      <c r="AZ96" s="62">
        <f t="shared" ref="AZ96:BK96" si="85">SUM(AZ95:AZ95)</f>
        <v>0</v>
      </c>
      <c r="BA96" s="62">
        <f t="shared" si="85"/>
        <v>0</v>
      </c>
      <c r="BB96" s="62">
        <f t="shared" si="85"/>
        <v>0</v>
      </c>
      <c r="BC96" s="62">
        <f t="shared" si="85"/>
        <v>0</v>
      </c>
      <c r="BD96" s="62">
        <f t="shared" si="85"/>
        <v>0</v>
      </c>
      <c r="BE96" s="62">
        <f t="shared" si="85"/>
        <v>1644.2318975904698</v>
      </c>
      <c r="BF96" s="62">
        <f t="shared" si="85"/>
        <v>0</v>
      </c>
      <c r="BG96" s="62">
        <f t="shared" si="85"/>
        <v>0</v>
      </c>
      <c r="BH96" s="62">
        <f t="shared" si="85"/>
        <v>3414.9899641409097</v>
      </c>
      <c r="BI96" s="62">
        <f t="shared" si="85"/>
        <v>0</v>
      </c>
      <c r="BJ96" s="62">
        <f t="shared" si="85"/>
        <v>0</v>
      </c>
      <c r="BK96" s="62">
        <f t="shared" si="85"/>
        <v>0</v>
      </c>
      <c r="BO96" s="63">
        <f t="shared" ref="BO96:BT96" si="86">SUM(BO95)</f>
        <v>0</v>
      </c>
      <c r="BP96" s="63">
        <f t="shared" si="86"/>
        <v>0</v>
      </c>
      <c r="BQ96" s="63">
        <f t="shared" si="86"/>
        <v>0</v>
      </c>
      <c r="BR96" s="63">
        <f t="shared" si="86"/>
        <v>2363.9500023639498</v>
      </c>
      <c r="BS96" s="63">
        <f t="shared" si="86"/>
        <v>0</v>
      </c>
      <c r="BT96" s="63">
        <f t="shared" si="86"/>
        <v>0</v>
      </c>
    </row>
    <row r="97" spans="3:72" x14ac:dyDescent="0.25">
      <c r="D97" s="19">
        <f>[1]Desempeño_Financiero_Evol!BA597-D96</f>
        <v>0</v>
      </c>
      <c r="E97" s="19">
        <f>[1]Desempeño_Financiero_Evol!BB597-E96</f>
        <v>0</v>
      </c>
      <c r="F97" s="19">
        <f>[1]Desempeño_Financiero_Evol!BC597-F96</f>
        <v>0</v>
      </c>
      <c r="G97" s="19">
        <f>[1]Desempeño_Financiero_Evol!BD597-G96</f>
        <v>0</v>
      </c>
      <c r="H97" s="19">
        <f>[1]Desempeño_Financiero_Evol!BE597-H96</f>
        <v>0</v>
      </c>
      <c r="I97" s="19">
        <f>[1]Desempeño_Financiero_Evol!BF597-I96</f>
        <v>0</v>
      </c>
      <c r="J97" s="19">
        <f>[1]Desempeño_Financiero_Evol!BG597-J96</f>
        <v>0</v>
      </c>
      <c r="K97" s="19">
        <f>[1]Desempeño_Financiero_Evol!BH597-K96</f>
        <v>0</v>
      </c>
      <c r="L97" s="19">
        <f>[1]Desempeño_Financiero_Evol!BI597-L96</f>
        <v>0</v>
      </c>
      <c r="M97" s="19">
        <f>[1]Desempeño_Financiero_Evol!BJ597-M96</f>
        <v>1.1851145700347843E-6</v>
      </c>
      <c r="N97" s="19">
        <f>[1]Desempeño_Financiero_Evol!BK597-N96</f>
        <v>0</v>
      </c>
      <c r="O97" s="19">
        <f>[1]Desempeño_Financiero_Evol!BL597-O96</f>
        <v>0</v>
      </c>
      <c r="P97" s="19">
        <f>[1]Desempeño_Financiero_Evol!BM597-P96</f>
        <v>0</v>
      </c>
      <c r="Q97" s="19">
        <f>[1]Desempeño_Financiero_Evol!BN597-Q96</f>
        <v>0</v>
      </c>
      <c r="R97" s="19">
        <f>[1]Desempeño_Financiero_Evol!BO597-R96</f>
        <v>0</v>
      </c>
      <c r="S97" s="19">
        <f>[1]Desempeño_Financiero_Evol!BP597-S96</f>
        <v>0</v>
      </c>
      <c r="T97" s="19">
        <f>[1]Desempeño_Financiero_Evol!BQ597-T96</f>
        <v>0</v>
      </c>
      <c r="U97" s="19">
        <f>[1]Desempeño_Financiero_Evol!BR597-U96</f>
        <v>0</v>
      </c>
      <c r="V97" s="19">
        <f>[1]Desempeño_Financiero_Evol!BS597-V96</f>
        <v>0</v>
      </c>
      <c r="W97" s="19">
        <f>[1]Desempeño_Financiero_Evol!BT597-W96</f>
        <v>0</v>
      </c>
      <c r="X97" s="19">
        <f>[1]Desempeño_Financiero_Evol!BU597-X96</f>
        <v>0</v>
      </c>
      <c r="Y97" s="19">
        <f>[1]Desempeño_Financiero_Evol!BV597-Y96</f>
        <v>0</v>
      </c>
      <c r="Z97" s="19">
        <f>[1]Desempeño_Financiero_Evol!BW597-Z96</f>
        <v>0</v>
      </c>
      <c r="AA97" s="19">
        <f>[1]Desempeño_Financiero_Evol!BX597-AA96</f>
        <v>0</v>
      </c>
      <c r="AB97" s="19">
        <f>[1]Desempeño_Financiero_Evol!BY597-AB96</f>
        <v>0</v>
      </c>
      <c r="AC97" s="19">
        <f>[1]Desempeño_Financiero_Evol!BZ597-AC96</f>
        <v>0</v>
      </c>
      <c r="AD97" s="19">
        <f>[1]Desempeño_Financiero_Evol!CA597-AD96</f>
        <v>-2.3639499886485282E-6</v>
      </c>
      <c r="AE97" s="19">
        <f>[1]Desempeño_Financiero_Evol!CB597-AE96</f>
        <v>1.7710000577153551E-8</v>
      </c>
      <c r="AF97" s="19">
        <f>[1]Desempeño_Financiero_Evol!CC597-AF96</f>
        <v>0</v>
      </c>
      <c r="AG97" s="19">
        <f>[1]Desempeño_Financiero_Evol!CD597-AG96</f>
        <v>2.9932502911833581E-6</v>
      </c>
      <c r="AH97" s="19">
        <f>[1]Desempeño_Financiero_Evol!CE597-AH96</f>
        <v>0</v>
      </c>
      <c r="AI97" s="19">
        <f>[1]Desempeño_Financiero_Evol!CF597-AI96</f>
        <v>0</v>
      </c>
      <c r="AJ97" s="19">
        <f>[1]Desempeño_Financiero_Evol!CG597-AJ96</f>
        <v>0</v>
      </c>
      <c r="AK97" s="19">
        <f>[1]Desempeño_Financiero_Evol!CH597-AK96</f>
        <v>0</v>
      </c>
      <c r="AL97" s="19">
        <f>[1]Desempeño_Financiero_Evol!CI597-AL96</f>
        <v>0</v>
      </c>
      <c r="AM97" s="19">
        <f>[1]Desempeño_Financiero_Evol!CJ597-AM96</f>
        <v>0</v>
      </c>
      <c r="AN97" s="19">
        <f>[1]Desempeño_Financiero_Evol!CK597-AN96</f>
        <v>0</v>
      </c>
      <c r="AO97" s="19">
        <f>[1]Desempeño_Financiero_Evol!CL597-AO96</f>
        <v>0</v>
      </c>
      <c r="AP97" s="19">
        <f>[1]Desempeño_Financiero_Evol!CM597-AP96</f>
        <v>0</v>
      </c>
      <c r="AZ97" s="19">
        <f>[1]Desempeño_Financiero_Evol!CW597-AZ96</f>
        <v>0</v>
      </c>
    </row>
    <row r="98" spans="3:72" x14ac:dyDescent="0.25">
      <c r="C98" s="61" t="s">
        <v>84</v>
      </c>
      <c r="D98" s="62">
        <f t="shared" ref="D98:AY98" si="87">D60+D83+D89+D93+D96</f>
        <v>430.16164007022212</v>
      </c>
      <c r="E98" s="62">
        <f t="shared" si="87"/>
        <v>7931.5527918580265</v>
      </c>
      <c r="F98" s="62">
        <f t="shared" si="87"/>
        <v>251.26492224180657</v>
      </c>
      <c r="G98" s="62">
        <f t="shared" si="87"/>
        <v>-96.197457432288331</v>
      </c>
      <c r="H98" s="62">
        <f t="shared" si="87"/>
        <v>-10572.436178207174</v>
      </c>
      <c r="I98" s="62">
        <f t="shared" si="87"/>
        <v>-18778.550917226159</v>
      </c>
      <c r="J98" s="62">
        <f t="shared" si="87"/>
        <v>-21133.974502740737</v>
      </c>
      <c r="K98" s="62">
        <f t="shared" si="87"/>
        <v>-36268.609754480531</v>
      </c>
      <c r="L98" s="62">
        <f t="shared" si="87"/>
        <v>-19282.868274144184</v>
      </c>
      <c r="M98" s="62">
        <f t="shared" si="87"/>
        <v>-43946.45345817686</v>
      </c>
      <c r="N98" s="62">
        <f t="shared" si="87"/>
        <v>-25730.630349076713</v>
      </c>
      <c r="O98" s="62">
        <f t="shared" si="87"/>
        <v>-38154.074773293883</v>
      </c>
      <c r="P98" s="62">
        <f t="shared" si="87"/>
        <v>-61979.31162458504</v>
      </c>
      <c r="Q98" s="62">
        <f t="shared" si="87"/>
        <v>-37870.188563184965</v>
      </c>
      <c r="R98" s="62">
        <f t="shared" si="87"/>
        <v>-55858.659109058295</v>
      </c>
      <c r="S98" s="62">
        <f t="shared" si="87"/>
        <v>-51194.717838565528</v>
      </c>
      <c r="T98" s="62">
        <f t="shared" si="87"/>
        <v>-45383.194939728484</v>
      </c>
      <c r="U98" s="62">
        <f t="shared" si="87"/>
        <v>-38342.240787850926</v>
      </c>
      <c r="V98" s="62">
        <f t="shared" si="87"/>
        <v>-26690.842409350178</v>
      </c>
      <c r="W98" s="62">
        <f t="shared" si="87"/>
        <v>-18346.053454267494</v>
      </c>
      <c r="X98" s="62">
        <f t="shared" si="87"/>
        <v>-15432.834767846347</v>
      </c>
      <c r="Y98" s="62">
        <f t="shared" si="87"/>
        <v>-20797.065216133524</v>
      </c>
      <c r="Z98" s="62">
        <f t="shared" si="87"/>
        <v>-1883.6539785197381</v>
      </c>
      <c r="AA98" s="62">
        <f t="shared" si="87"/>
        <v>-8379.7138415990703</v>
      </c>
      <c r="AB98" s="62">
        <f t="shared" si="87"/>
        <v>-18994.970191514574</v>
      </c>
      <c r="AC98" s="62">
        <f t="shared" si="87"/>
        <v>-3222.0365513594638</v>
      </c>
      <c r="AD98" s="62">
        <f t="shared" si="87"/>
        <v>-4308.2717423034082</v>
      </c>
      <c r="AE98" s="62">
        <f t="shared" si="87"/>
        <v>-8411.3357483925774</v>
      </c>
      <c r="AF98" s="62">
        <f t="shared" si="87"/>
        <v>-2740.1149260593138</v>
      </c>
      <c r="AG98" s="62">
        <f t="shared" si="87"/>
        <v>-2368.8561425939538</v>
      </c>
      <c r="AH98" s="62">
        <f t="shared" si="87"/>
        <v>-2350.6788866342613</v>
      </c>
      <c r="AI98" s="62">
        <f t="shared" si="87"/>
        <v>-786.22717653660857</v>
      </c>
      <c r="AJ98" s="62">
        <f t="shared" si="87"/>
        <v>2643.738528476752</v>
      </c>
      <c r="AK98" s="62">
        <f t="shared" si="87"/>
        <v>-5652.8898189416013</v>
      </c>
      <c r="AL98" s="62">
        <f t="shared" si="87"/>
        <v>10235.83769304795</v>
      </c>
      <c r="AM98" s="62">
        <f t="shared" si="87"/>
        <v>6539.0904738681711</v>
      </c>
      <c r="AN98" s="62">
        <f t="shared" si="87"/>
        <v>7214.726110519031</v>
      </c>
      <c r="AO98" s="62">
        <f t="shared" si="87"/>
        <v>4305.2552261081746</v>
      </c>
      <c r="AP98" s="62">
        <f t="shared" si="87"/>
        <v>8067.3064603263811</v>
      </c>
      <c r="AQ98" s="62">
        <f t="shared" si="87"/>
        <v>4955.5848474850509</v>
      </c>
      <c r="AR98" s="62">
        <f t="shared" si="87"/>
        <v>7606.6516414712059</v>
      </c>
      <c r="AS98" s="62">
        <f t="shared" si="87"/>
        <v>6478.0110054416255</v>
      </c>
      <c r="AT98" s="62">
        <f t="shared" si="87"/>
        <v>0</v>
      </c>
      <c r="AU98" s="62">
        <f t="shared" si="87"/>
        <v>0</v>
      </c>
      <c r="AV98" s="62">
        <f t="shared" si="87"/>
        <v>0</v>
      </c>
      <c r="AW98" s="62">
        <f t="shared" si="87"/>
        <v>0</v>
      </c>
      <c r="AX98" s="62">
        <f t="shared" si="87"/>
        <v>0</v>
      </c>
      <c r="AY98" s="62">
        <f t="shared" si="87"/>
        <v>0</v>
      </c>
      <c r="AZ98" s="62">
        <f t="shared" ref="AZ98:BK98" si="88">AZ60+AZ83+AZ89+AZ93+AZ96</f>
        <v>3103.2049629550884</v>
      </c>
      <c r="BA98" s="62">
        <f t="shared" si="88"/>
        <v>-3059.951222789864</v>
      </c>
      <c r="BB98" s="62">
        <f t="shared" si="88"/>
        <v>-400.31545787271818</v>
      </c>
      <c r="BC98" s="62">
        <f t="shared" si="88"/>
        <v>-465.1951760042441</v>
      </c>
      <c r="BD98" s="62">
        <f t="shared" si="88"/>
        <v>1420.6963114948744</v>
      </c>
      <c r="BE98" s="62">
        <f t="shared" si="88"/>
        <v>2196.701625200486</v>
      </c>
      <c r="BF98" s="62">
        <f t="shared" si="88"/>
        <v>5103.641760285991</v>
      </c>
      <c r="BG98" s="62">
        <f t="shared" si="88"/>
        <v>-1942.239049920644</v>
      </c>
      <c r="BH98" s="62">
        <f t="shared" si="88"/>
        <v>12089.057126297015</v>
      </c>
      <c r="BI98" s="62">
        <f t="shared" si="88"/>
        <v>4334.1400219785473</v>
      </c>
      <c r="BJ98" s="62">
        <f t="shared" si="88"/>
        <v>4920.9760322663133</v>
      </c>
      <c r="BK98" s="62">
        <f t="shared" si="88"/>
        <v>8453.9306759160208</v>
      </c>
      <c r="BO98" s="63">
        <f t="shared" ref="BO98:BT98" si="89">BO60+BO83+BO89+BO93+BO96</f>
        <v>19587.287796953573</v>
      </c>
      <c r="BP98" s="63">
        <f t="shared" si="89"/>
        <v>-357.06171770748847</v>
      </c>
      <c r="BQ98" s="63">
        <f t="shared" si="89"/>
        <v>11519.981336627192</v>
      </c>
      <c r="BR98" s="63">
        <f t="shared" si="89"/>
        <v>-26525.278485177423</v>
      </c>
      <c r="BS98" s="63">
        <f t="shared" si="89"/>
        <v>-155708.15929682832</v>
      </c>
      <c r="BT98" s="63">
        <f t="shared" si="89"/>
        <v>8612.9793541700637</v>
      </c>
    </row>
    <row r="102" spans="3:72" s="48" customFormat="1" x14ac:dyDescent="0.25">
      <c r="C102" s="66" t="s">
        <v>110</v>
      </c>
      <c r="D102" s="47">
        <f>D11</f>
        <v>3296914.7808294995</v>
      </c>
      <c r="E102" s="47">
        <f t="shared" ref="E102:AY102" si="90">IFERROR(AVERAGE(D11:E11),0)</f>
        <v>3341468.63320708</v>
      </c>
      <c r="F102" s="47">
        <f t="shared" si="90"/>
        <v>3443124.7735079001</v>
      </c>
      <c r="G102" s="47">
        <f t="shared" si="90"/>
        <v>3536071.2465580702</v>
      </c>
      <c r="H102" s="47">
        <f t="shared" si="90"/>
        <v>3607044.6471809251</v>
      </c>
      <c r="I102" s="47">
        <f t="shared" si="90"/>
        <v>3673389.5336335851</v>
      </c>
      <c r="J102" s="48">
        <f t="shared" si="90"/>
        <v>3731406.2047703499</v>
      </c>
      <c r="K102" s="48">
        <f t="shared" si="90"/>
        <v>3821688.5968338898</v>
      </c>
      <c r="L102" s="48">
        <f t="shared" si="90"/>
        <v>3900284.541935035</v>
      </c>
      <c r="M102" s="48">
        <f t="shared" si="90"/>
        <v>3916027.1705095549</v>
      </c>
      <c r="N102" s="48">
        <f t="shared" si="90"/>
        <v>3904503.1240512598</v>
      </c>
      <c r="O102" s="48">
        <f t="shared" si="90"/>
        <v>3855190.7615180453</v>
      </c>
      <c r="P102" s="48">
        <f t="shared" si="90"/>
        <v>3780160.8898962848</v>
      </c>
      <c r="Q102" s="48">
        <f t="shared" si="90"/>
        <v>3700891.3820504798</v>
      </c>
      <c r="R102" s="48">
        <f t="shared" si="90"/>
        <v>3634287.6656267298</v>
      </c>
      <c r="S102" s="48">
        <f t="shared" si="90"/>
        <v>3574018.8837287049</v>
      </c>
      <c r="T102" s="48">
        <f t="shared" si="90"/>
        <v>3494204.923531435</v>
      </c>
      <c r="U102" s="48">
        <f t="shared" si="90"/>
        <v>3400371.1784425299</v>
      </c>
      <c r="V102" s="48">
        <f t="shared" si="90"/>
        <v>3297625.7931467248</v>
      </c>
      <c r="W102" s="47">
        <f t="shared" si="90"/>
        <v>3212016.2653305447</v>
      </c>
      <c r="X102" s="47">
        <f t="shared" si="90"/>
        <v>3159088.7386026196</v>
      </c>
      <c r="Y102" s="47">
        <f t="shared" si="90"/>
        <v>3122510.9287919803</v>
      </c>
      <c r="Z102" s="47">
        <f t="shared" si="90"/>
        <v>3084018.04243998</v>
      </c>
      <c r="AA102" s="47">
        <f t="shared" si="90"/>
        <v>3046667.6113783</v>
      </c>
      <c r="AB102" s="47">
        <f t="shared" si="90"/>
        <v>3019723.0079212599</v>
      </c>
      <c r="AC102" s="48">
        <f t="shared" si="90"/>
        <v>3000183.6066955505</v>
      </c>
      <c r="AD102" s="48">
        <f t="shared" si="90"/>
        <v>3006933.2425295003</v>
      </c>
      <c r="AE102" s="48">
        <f t="shared" si="90"/>
        <v>3019671.8850743398</v>
      </c>
      <c r="AF102" s="48">
        <f t="shared" si="90"/>
        <v>3026952.3333037696</v>
      </c>
      <c r="AG102" s="48">
        <f t="shared" si="90"/>
        <v>3025369.6986688096</v>
      </c>
      <c r="AH102" s="48">
        <f t="shared" si="90"/>
        <v>3020814.5398648446</v>
      </c>
      <c r="AI102" s="48">
        <f t="shared" si="90"/>
        <v>3044012.8939313795</v>
      </c>
      <c r="AJ102" s="48">
        <f t="shared" si="90"/>
        <v>3075239.238049875</v>
      </c>
      <c r="AK102" s="48">
        <f t="shared" si="90"/>
        <v>3122672.3682515752</v>
      </c>
      <c r="AL102" s="48">
        <f t="shared" si="90"/>
        <v>3167074.0862101652</v>
      </c>
      <c r="AM102" s="48">
        <f t="shared" si="90"/>
        <v>3179225.5167519995</v>
      </c>
      <c r="AN102" s="48">
        <f t="shared" si="90"/>
        <v>3199457.3233730099</v>
      </c>
      <c r="AO102" s="48">
        <f t="shared" si="90"/>
        <v>3249119.625</v>
      </c>
      <c r="AP102" s="48">
        <f t="shared" si="90"/>
        <v>3300761.6150000002</v>
      </c>
      <c r="AQ102" s="48">
        <f t="shared" si="90"/>
        <v>3345878.1892914753</v>
      </c>
      <c r="AR102" s="48">
        <f t="shared" si="90"/>
        <v>3401797.7867406555</v>
      </c>
      <c r="AS102" s="48">
        <f t="shared" si="90"/>
        <v>3475169.3084485307</v>
      </c>
      <c r="AT102" s="48">
        <f t="shared" si="90"/>
        <v>1758655.3759993501</v>
      </c>
      <c r="AU102" s="48">
        <f t="shared" si="90"/>
        <v>0</v>
      </c>
      <c r="AV102" s="48">
        <f t="shared" si="90"/>
        <v>0</v>
      </c>
      <c r="AW102" s="48">
        <f t="shared" si="90"/>
        <v>0</v>
      </c>
      <c r="AX102" s="48">
        <f t="shared" si="90"/>
        <v>0</v>
      </c>
      <c r="AY102" s="48">
        <f t="shared" si="90"/>
        <v>0</v>
      </c>
      <c r="AZ102" s="48">
        <f>AZ11</f>
        <v>3206378.7069383352</v>
      </c>
      <c r="BA102" s="48">
        <f t="shared" ref="BA102:BK102" si="91">IFERROR(AVERAGE(AZ11:BA11),0)</f>
        <v>3208160.8125716173</v>
      </c>
      <c r="BB102" s="48">
        <f t="shared" si="91"/>
        <v>3227708.5154567668</v>
      </c>
      <c r="BC102" s="48">
        <f t="shared" si="91"/>
        <v>3269328.4855218334</v>
      </c>
      <c r="BD102" s="48">
        <f t="shared" si="91"/>
        <v>3324308.5547340503</v>
      </c>
      <c r="BE102" s="48">
        <f t="shared" si="91"/>
        <v>3371614.2559104795</v>
      </c>
      <c r="BF102" s="48">
        <f t="shared" si="91"/>
        <v>3396542.3443184653</v>
      </c>
      <c r="BG102" s="48">
        <f t="shared" si="91"/>
        <v>3424732.956362511</v>
      </c>
      <c r="BH102" s="48">
        <f t="shared" si="91"/>
        <v>3472215.5522770793</v>
      </c>
      <c r="BI102" s="48">
        <f t="shared" si="91"/>
        <v>3528473.5954664676</v>
      </c>
      <c r="BJ102" s="48">
        <f t="shared" si="91"/>
        <v>3569718.6862644628</v>
      </c>
      <c r="BK102" s="48">
        <f t="shared" si="91"/>
        <v>3589906.546657817</v>
      </c>
      <c r="BO102" s="48">
        <f t="shared" ref="BO102:BT102" si="92">IFERROR(AVERAGEIFS($D11:$BM11,$D$6:$BM$6,"&gt;="&amp;EOMONTH(BO$2,-1),$D$6:$BM$6,"&lt;="&amp;BO$6,$D$5:$BM$5,BO$5,$D11:$BM11,"&lt;&gt;0"),0)</f>
        <v>3250109.4691865048</v>
      </c>
      <c r="BP102" s="48">
        <f t="shared" si="92"/>
        <v>3220598.5792839564</v>
      </c>
      <c r="BQ102" s="48">
        <f t="shared" si="92"/>
        <v>3226416.4022486731</v>
      </c>
      <c r="BR102" s="48">
        <f t="shared" si="92"/>
        <v>3013328.1252253801</v>
      </c>
      <c r="BS102" s="48">
        <f t="shared" si="92"/>
        <v>3707224.2777615073</v>
      </c>
      <c r="BT102" s="48">
        <f t="shared" si="92"/>
        <v>3394388.1092817667</v>
      </c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B638-615A-4F5F-A5DA-8497D4B2415C}">
  <sheetPr codeName="Hoja3"/>
  <dimension ref="A1:AN102"/>
  <sheetViews>
    <sheetView showGridLines="0" zoomScale="70" zoomScaleNormal="70" workbookViewId="0">
      <pane xSplit="3" ySplit="6" topLeftCell="D7" activePane="bottomRight" state="frozen"/>
      <selection activeCell="AT11" sqref="AT11"/>
      <selection pane="topRight" activeCell="AT11" sqref="AT11"/>
      <selection pane="bottomLeft" activeCell="AT11" sqref="AT11"/>
      <selection pane="bottomRight" activeCell="B1" sqref="B1"/>
    </sheetView>
  </sheetViews>
  <sheetFormatPr baseColWidth="10" defaultRowHeight="15" outlineLevelRow="1" x14ac:dyDescent="0.25"/>
  <cols>
    <col min="1" max="1" width="2.42578125" customWidth="1"/>
    <col min="2" max="2" width="12" customWidth="1"/>
    <col min="3" max="3" width="22.85546875" bestFit="1" customWidth="1"/>
    <col min="4" max="9" width="11.28515625" customWidth="1"/>
    <col min="10" max="10" width="1.5703125" customWidth="1"/>
    <col min="11" max="11" width="11.28515625" bestFit="1" customWidth="1"/>
    <col min="16" max="16" width="1.42578125" customWidth="1"/>
    <col min="17" max="17" width="12.7109375" bestFit="1" customWidth="1"/>
    <col min="18" max="19" width="11" bestFit="1" customWidth="1"/>
    <col min="20" max="20" width="11.5703125" bestFit="1" customWidth="1"/>
    <col min="21" max="21" width="11" bestFit="1" customWidth="1"/>
    <col min="22" max="22" width="5.85546875" customWidth="1"/>
    <col min="23" max="23" width="11.28515625" bestFit="1" customWidth="1"/>
    <col min="25" max="28" width="11.28515625" bestFit="1" customWidth="1"/>
    <col min="29" max="29" width="3.28515625" customWidth="1"/>
    <col min="35" max="35" width="3.140625" customWidth="1"/>
    <col min="36" max="36" width="12.7109375" bestFit="1" customWidth="1"/>
    <col min="39" max="39" width="11.5703125" bestFit="1" customWidth="1"/>
  </cols>
  <sheetData>
    <row r="1" spans="1:40" ht="15.75" x14ac:dyDescent="0.25">
      <c r="B1" s="31">
        <v>46112</v>
      </c>
      <c r="D1" s="71" t="s">
        <v>94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W1" s="71" t="s">
        <v>90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</row>
    <row r="2" spans="1:40" x14ac:dyDescent="0.25">
      <c r="B2" s="38" t="s">
        <v>102</v>
      </c>
      <c r="C2" s="13"/>
      <c r="D2" s="12"/>
      <c r="E2" s="12"/>
      <c r="F2" s="12"/>
      <c r="G2" s="12"/>
      <c r="H2" s="12"/>
      <c r="I2" s="12"/>
    </row>
    <row r="3" spans="1:40" x14ac:dyDescent="0.25">
      <c r="B3" s="39" t="s">
        <v>103</v>
      </c>
      <c r="C3" s="40" t="s">
        <v>61</v>
      </c>
      <c r="D3" s="41">
        <f>DAY(D6)</f>
        <v>31</v>
      </c>
      <c r="E3" s="41">
        <f t="shared" ref="E3:I3" si="0">DAY(E6)</f>
        <v>31</v>
      </c>
      <c r="F3" s="41">
        <f t="shared" si="0"/>
        <v>28</v>
      </c>
      <c r="G3" s="41">
        <f t="shared" si="0"/>
        <v>31</v>
      </c>
      <c r="H3" s="41">
        <f t="shared" si="0"/>
        <v>31</v>
      </c>
      <c r="I3" s="41">
        <f t="shared" si="0"/>
        <v>31</v>
      </c>
      <c r="W3" s="41"/>
      <c r="X3" s="41"/>
      <c r="Y3" s="41"/>
      <c r="Z3" s="41"/>
      <c r="AA3" s="41"/>
      <c r="AB3" s="41"/>
    </row>
    <row r="4" spans="1:40" x14ac:dyDescent="0.25">
      <c r="C4" s="40" t="s">
        <v>62</v>
      </c>
      <c r="D4" s="41">
        <f>DAY(D6)</f>
        <v>31</v>
      </c>
      <c r="E4" s="41">
        <f t="shared" ref="E4:I4" si="1">DAY(E6)</f>
        <v>31</v>
      </c>
      <c r="F4" s="41">
        <f t="shared" si="1"/>
        <v>28</v>
      </c>
      <c r="G4" s="41">
        <f t="shared" si="1"/>
        <v>31</v>
      </c>
      <c r="H4" s="41">
        <f t="shared" si="1"/>
        <v>31</v>
      </c>
      <c r="I4" s="41">
        <f t="shared" si="1"/>
        <v>31</v>
      </c>
      <c r="W4" s="41"/>
      <c r="X4" s="41"/>
      <c r="Y4" s="41"/>
      <c r="Z4" s="41"/>
      <c r="AA4" s="41"/>
      <c r="AB4" s="41"/>
    </row>
    <row r="5" spans="1:40" ht="15.75" thickBot="1" x14ac:dyDescent="0.3">
      <c r="C5" s="40" t="s">
        <v>86</v>
      </c>
      <c r="D5" s="41" t="s">
        <v>87</v>
      </c>
      <c r="E5" s="41" t="s">
        <v>88</v>
      </c>
      <c r="F5" s="41" t="s">
        <v>87</v>
      </c>
      <c r="G5" s="41" t="s">
        <v>87</v>
      </c>
      <c r="H5" s="41" t="s">
        <v>87</v>
      </c>
      <c r="I5" s="41" t="s">
        <v>87</v>
      </c>
      <c r="K5" s="70" t="s">
        <v>100</v>
      </c>
      <c r="L5" s="70"/>
      <c r="M5" s="70"/>
      <c r="N5" s="70"/>
      <c r="O5" s="70"/>
      <c r="Q5" s="70" t="s">
        <v>101</v>
      </c>
      <c r="R5" s="70"/>
      <c r="S5" s="70"/>
      <c r="T5" s="70"/>
      <c r="U5" s="70"/>
      <c r="W5" s="41"/>
      <c r="X5" s="41"/>
      <c r="Y5" s="41"/>
      <c r="Z5" s="41"/>
      <c r="AA5" s="41"/>
      <c r="AB5" s="41"/>
      <c r="AD5" s="70" t="s">
        <v>100</v>
      </c>
      <c r="AE5" s="70"/>
      <c r="AF5" s="70"/>
      <c r="AG5" s="70"/>
      <c r="AH5" s="70"/>
      <c r="AJ5" s="70" t="s">
        <v>101</v>
      </c>
      <c r="AK5" s="70"/>
      <c r="AL5" s="70"/>
      <c r="AM5" s="70"/>
      <c r="AN5" s="70"/>
    </row>
    <row r="6" spans="1:40" ht="16.5" thickTop="1" thickBot="1" x14ac:dyDescent="0.3">
      <c r="C6" s="45" t="s">
        <v>99</v>
      </c>
      <c r="D6" s="1">
        <f>$B$1</f>
        <v>46112</v>
      </c>
      <c r="E6" s="30">
        <f>D6</f>
        <v>46112</v>
      </c>
      <c r="F6" s="1">
        <f>EOMONTH(D6,-1)</f>
        <v>46081</v>
      </c>
      <c r="G6" s="1">
        <f>EOMONTH(D6,-12)</f>
        <v>45747</v>
      </c>
      <c r="H6" s="1">
        <f>EOMONTH(D6,-24)</f>
        <v>45382</v>
      </c>
      <c r="I6" s="1">
        <f>EOMONTH(D6,-36)</f>
        <v>45016</v>
      </c>
      <c r="K6" s="32">
        <f>E6</f>
        <v>46112</v>
      </c>
      <c r="L6" s="33">
        <f>F6</f>
        <v>46081</v>
      </c>
      <c r="M6" s="33">
        <f t="shared" ref="M6:O6" si="2">G6</f>
        <v>45747</v>
      </c>
      <c r="N6" s="33">
        <f t="shared" si="2"/>
        <v>45382</v>
      </c>
      <c r="O6" s="33">
        <f t="shared" si="2"/>
        <v>45016</v>
      </c>
      <c r="Q6" s="32">
        <f>K6</f>
        <v>46112</v>
      </c>
      <c r="R6" s="33">
        <f>L6</f>
        <v>46081</v>
      </c>
      <c r="S6" s="33">
        <f t="shared" ref="S6" si="3">M6</f>
        <v>45747</v>
      </c>
      <c r="T6" s="33">
        <f t="shared" ref="T6" si="4">N6</f>
        <v>45382</v>
      </c>
      <c r="U6" s="33">
        <f t="shared" ref="U6" si="5">O6</f>
        <v>45016</v>
      </c>
      <c r="W6" s="1">
        <f>$B$1</f>
        <v>46112</v>
      </c>
      <c r="X6" s="30">
        <f>W6</f>
        <v>46112</v>
      </c>
      <c r="Y6" s="1">
        <f>EOMONTH(W6,-1)</f>
        <v>46081</v>
      </c>
      <c r="Z6" s="1">
        <f>EOMONTH(W6,-12)</f>
        <v>45747</v>
      </c>
      <c r="AA6" s="1">
        <f>EOMONTH(W6,-24)</f>
        <v>45382</v>
      </c>
      <c r="AB6" s="1">
        <f>EOMONTH(W6,-36)</f>
        <v>45016</v>
      </c>
      <c r="AD6" s="32">
        <f>X6</f>
        <v>46112</v>
      </c>
      <c r="AE6" s="33">
        <f>Y6</f>
        <v>46081</v>
      </c>
      <c r="AF6" s="33">
        <f t="shared" ref="AF6" si="6">Z6</f>
        <v>45747</v>
      </c>
      <c r="AG6" s="33">
        <f t="shared" ref="AG6" si="7">AA6</f>
        <v>45382</v>
      </c>
      <c r="AH6" s="33">
        <f t="shared" ref="AH6" si="8">AB6</f>
        <v>45016</v>
      </c>
      <c r="AJ6" s="32">
        <f>AD6</f>
        <v>46112</v>
      </c>
      <c r="AK6" s="33">
        <f>AE6</f>
        <v>46081</v>
      </c>
      <c r="AL6" s="33">
        <f t="shared" ref="AL6" si="9">AF6</f>
        <v>45747</v>
      </c>
      <c r="AM6" s="33">
        <f t="shared" ref="AM6" si="10">AG6</f>
        <v>45382</v>
      </c>
      <c r="AN6" s="33">
        <f t="shared" ref="AN6" si="11">AH6</f>
        <v>45016</v>
      </c>
    </row>
    <row r="7" spans="1:40" ht="15.75" thickTop="1" x14ac:dyDescent="0.25"/>
    <row r="8" spans="1:40" hidden="1" outlineLevel="1" x14ac:dyDescent="0.25">
      <c r="A8" s="11" t="s">
        <v>51</v>
      </c>
      <c r="C8" s="2" t="s">
        <v>0</v>
      </c>
      <c r="D8" s="8" cm="1">
        <f t="array" aca="1" ref="D8" ca="1">_xlfn.XLOOKUP(1,
 (INDIRECT("'"&amp;$C$6&amp;"'!$6:$6")=D$6)*
 (INDIRECT("'"&amp;$C$6&amp;"'!$5:$5")=D$5),
 INDIRECT("'"&amp;$C$6&amp;"'!"&amp;ROW()&amp;":"&amp;ROW())
)</f>
        <v>3199553.0500000003</v>
      </c>
      <c r="E8" s="8" cm="1">
        <f t="array" aca="1" ref="E8" ca="1">_xlfn.XLOOKUP(1,
 (INDIRECT("'"&amp;$C$6&amp;"'!$6:$6")=E$6)*
 (INDIRECT("'"&amp;$C$6&amp;"'!$5:$5")=E$5),
 INDIRECT("'"&amp;$C$6&amp;"'!"&amp;ROW()&amp;":"&amp;ROW())
)</f>
        <v>3121000.4869662733</v>
      </c>
      <c r="F8" s="8" cm="1">
        <f t="array" aca="1" ref="F8" ca="1">_xlfn.XLOOKUP(1,
 (INDIRECT("'"&amp;$C$6&amp;"'!$6:$6")=F$6)*
 (INDIRECT("'"&amp;$C$6&amp;"'!$5:$5")=F$5),
 INDIRECT("'"&amp;$C$6&amp;"'!"&amp;ROW()&amp;":"&amp;ROW())
)</f>
        <v>3154128.98</v>
      </c>
      <c r="G8" s="8" cm="1">
        <f t="array" aca="1" ref="G8" ca="1">_xlfn.XLOOKUP(1,
 (INDIRECT("'"&amp;$C$6&amp;"'!$6:$6")=G$6)*
 (INDIRECT("'"&amp;$C$6&amp;"'!$5:$5")=G$5),
 INDIRECT("'"&amp;$C$6&amp;"'!"&amp;ROW()&amp;":"&amp;ROW())
)</f>
        <v>2864120.4859285601</v>
      </c>
      <c r="H8" s="8" cm="1">
        <f t="array" aca="1" ref="H8" ca="1">_xlfn.XLOOKUP(1,
 (INDIRECT("'"&amp;$C$6&amp;"'!$6:$6")=H$6)*
 (INDIRECT("'"&amp;$C$6&amp;"'!$5:$5")=H$5),
 INDIRECT("'"&amp;$C$6&amp;"'!"&amp;ROW()&amp;":"&amp;ROW())
)</f>
        <v>3428790.18530316</v>
      </c>
      <c r="I8" s="8" cm="1">
        <f t="array" aca="1" ref="I8" ca="1">_xlfn.XLOOKUP(1,
 (INDIRECT("'"&amp;$C$6&amp;"'!$6:$6")=I$6)*
 (INDIRECT("'"&amp;$C$6&amp;"'!$5:$5")=I$5),
 INDIRECT("'"&amp;$C$6&amp;"'!"&amp;ROW()&amp;":"&amp;ROW())
)</f>
        <v>3421266.20571924</v>
      </c>
      <c r="K8" s="34">
        <f ca="1">$D8-E8</f>
        <v>78552.563033726998</v>
      </c>
      <c r="L8" s="34">
        <f t="shared" ref="L8:O11" ca="1" si="12">$D8-F8</f>
        <v>45424.070000000298</v>
      </c>
      <c r="M8" s="34">
        <f t="shared" ca="1" si="12"/>
        <v>335432.56407144014</v>
      </c>
      <c r="N8" s="34">
        <f t="shared" ca="1" si="12"/>
        <v>-229237.13530315971</v>
      </c>
      <c r="O8" s="34">
        <f t="shared" ca="1" si="12"/>
        <v>-221713.15571923973</v>
      </c>
      <c r="Q8" s="36">
        <f ca="1">IFERROR($D8/E8-1,0)</f>
        <v>2.516903261046366E-2</v>
      </c>
      <c r="R8" s="36">
        <f t="shared" ref="R8:U11" ca="1" si="13">IFERROR($D8/F8-1,0)</f>
        <v>1.4401462428464296E-2</v>
      </c>
      <c r="S8" s="36">
        <f t="shared" ca="1" si="13"/>
        <v>0.11711538174438618</v>
      </c>
      <c r="T8" s="36">
        <f t="shared" ca="1" si="13"/>
        <v>-6.6856565410662872E-2</v>
      </c>
      <c r="U8" s="36">
        <f t="shared" ca="1" si="13"/>
        <v>-6.4804415204115839E-2</v>
      </c>
      <c r="W8" s="8" cm="1">
        <f t="array" aca="1" ref="W8" ca="1">INDIRECT("'"&amp;$C$6&amp;"'!"&amp;ADDRESS(ROW(),COLUMN()+44))</f>
        <v>3199553.0500000003</v>
      </c>
      <c r="X8" s="8" cm="1">
        <f t="array" aca="1" ref="X8" ca="1">INDIRECT("'"&amp;$C$6&amp;"'!"&amp;ADDRESS(ROW(),COLUMN()+44))</f>
        <v>3121000.4869662733</v>
      </c>
      <c r="Y8" s="8" cm="1">
        <f t="array" aca="1" ref="Y8" ca="1">INDIRECT("'"&amp;$C$6&amp;"'!"&amp;ADDRESS(ROW(),COLUMN()+44))</f>
        <v>3154128.98</v>
      </c>
      <c r="Z8" s="8" cm="1">
        <f t="array" aca="1" ref="Z8" ca="1">INDIRECT("'"&amp;$C$6&amp;"'!"&amp;ADDRESS(ROW(),COLUMN()+44))</f>
        <v>2864120.4859285601</v>
      </c>
      <c r="AA8" s="8" cm="1">
        <f t="array" aca="1" ref="AA8" ca="1">INDIRECT("'"&amp;$C$6&amp;"'!"&amp;ADDRESS(ROW(),COLUMN()+44))</f>
        <v>3428790.18530316</v>
      </c>
      <c r="AB8" s="8" cm="1">
        <f t="array" aca="1" ref="AB8" ca="1">INDIRECT("'"&amp;$C$6&amp;"'!"&amp;ADDRESS(ROW(),COLUMN()+44))</f>
        <v>3421266.20571924</v>
      </c>
      <c r="AD8" s="34">
        <f t="shared" ref="AD8:AH11" ca="1" si="14">$W8-X8</f>
        <v>78552.563033726998</v>
      </c>
      <c r="AE8" s="34">
        <f t="shared" ca="1" si="14"/>
        <v>45424.070000000298</v>
      </c>
      <c r="AF8" s="34">
        <f t="shared" ca="1" si="14"/>
        <v>335432.56407144014</v>
      </c>
      <c r="AG8" s="34">
        <f t="shared" ca="1" si="14"/>
        <v>-229237.13530315971</v>
      </c>
      <c r="AH8" s="34">
        <f t="shared" ca="1" si="14"/>
        <v>-221713.15571923973</v>
      </c>
      <c r="AJ8" s="36">
        <f t="shared" ref="AJ8:AN11" ca="1" si="15">IFERROR($W8/X8-1,0)</f>
        <v>2.516903261046366E-2</v>
      </c>
      <c r="AK8" s="36">
        <f t="shared" ca="1" si="15"/>
        <v>1.4401462428464296E-2</v>
      </c>
      <c r="AL8" s="36">
        <f t="shared" ca="1" si="15"/>
        <v>0.11711538174438618</v>
      </c>
      <c r="AM8" s="36">
        <f t="shared" ca="1" si="15"/>
        <v>-6.6856565410662872E-2</v>
      </c>
      <c r="AN8" s="36">
        <f t="shared" ca="1" si="15"/>
        <v>-6.4804415204115839E-2</v>
      </c>
    </row>
    <row r="9" spans="1:40" hidden="1" outlineLevel="1" x14ac:dyDescent="0.25">
      <c r="A9" s="11" t="s">
        <v>51</v>
      </c>
      <c r="C9" s="2" t="s">
        <v>1</v>
      </c>
      <c r="D9" s="8" cm="1">
        <f t="array" aca="1" ref="D9" ca="1">_xlfn.XLOOKUP(1,
 (INDIRECT("'"&amp;$C$6&amp;"'!$6:$6")=D$6)*
 (INDIRECT("'"&amp;$C$6&amp;"'!$5:$5")=D$5),
 INDIRECT("'"&amp;$C$6&amp;"'!"&amp;ROW()&amp;":"&amp;ROW())
)</f>
        <v>36825.599999999999</v>
      </c>
      <c r="E9" s="8" cm="1">
        <f t="array" aca="1" ref="E9" ca="1">_xlfn.XLOOKUP(1,
 (INDIRECT("'"&amp;$C$6&amp;"'!$6:$6")=E$6)*
 (INDIRECT("'"&amp;$C$6&amp;"'!$5:$5")=E$5),
 INDIRECT("'"&amp;$C$6&amp;"'!"&amp;ROW()&amp;":"&amp;ROW())
)</f>
        <v>32170.330436663753</v>
      </c>
      <c r="F9" s="8" cm="1">
        <f t="array" aca="1" ref="F9" ca="1">_xlfn.XLOOKUP(1,
 (INDIRECT("'"&amp;$C$6&amp;"'!$6:$6")=F$6)*
 (INDIRECT("'"&amp;$C$6&amp;"'!$5:$5")=F$5),
 INDIRECT("'"&amp;$C$6&amp;"'!"&amp;ROW()&amp;":"&amp;ROW())
)</f>
        <v>37846.729999999996</v>
      </c>
      <c r="G9" s="8" cm="1">
        <f t="array" aca="1" ref="G9" ca="1">_xlfn.XLOOKUP(1,
 (INDIRECT("'"&amp;$C$6&amp;"'!$6:$6")=G$6)*
 (INDIRECT("'"&amp;$C$6&amp;"'!$5:$5")=G$5),
 INDIRECT("'"&amp;$C$6&amp;"'!"&amp;ROW()&amp;":"&amp;ROW())
)</f>
        <v>47040.750680000005</v>
      </c>
      <c r="H9" s="8" cm="1">
        <f t="array" aca="1" ref="H9" ca="1">_xlfn.XLOOKUP(1,
 (INDIRECT("'"&amp;$C$6&amp;"'!$6:$6")=H$6)*
 (INDIRECT("'"&amp;$C$6&amp;"'!$5:$5")=H$5),
 INDIRECT("'"&amp;$C$6&amp;"'!"&amp;ROW()&amp;":"&amp;ROW())
)</f>
        <v>8619.8673400000007</v>
      </c>
      <c r="I9" s="8" cm="1">
        <f t="array" aca="1" ref="I9" ca="1">_xlfn.XLOOKUP(1,
 (INDIRECT("'"&amp;$C$6&amp;"'!$6:$6")=I$6)*
 (INDIRECT("'"&amp;$C$6&amp;"'!$5:$5")=I$5),
 INDIRECT("'"&amp;$C$6&amp;"'!"&amp;ROW()&amp;":"&amp;ROW())
)</f>
        <v>12918.972462119998</v>
      </c>
      <c r="K9" s="34">
        <f t="shared" ref="K9:K11" ca="1" si="16">$D9-E9</f>
        <v>4655.2695633362455</v>
      </c>
      <c r="L9" s="34">
        <f t="shared" ca="1" si="12"/>
        <v>-1021.1299999999974</v>
      </c>
      <c r="M9" s="34">
        <f t="shared" ca="1" si="12"/>
        <v>-10215.150680000006</v>
      </c>
      <c r="N9" s="34">
        <f t="shared" ca="1" si="12"/>
        <v>28205.732659999998</v>
      </c>
      <c r="O9" s="34">
        <f t="shared" ca="1" si="12"/>
        <v>23906.627537879998</v>
      </c>
      <c r="Q9" s="36">
        <f t="shared" ref="Q9:Q11" ca="1" si="17">IFERROR($D9/E9-1,0)</f>
        <v>0.14470692405542551</v>
      </c>
      <c r="R9" s="36">
        <f t="shared" ca="1" si="13"/>
        <v>-2.6980666493512051E-2</v>
      </c>
      <c r="S9" s="36">
        <f t="shared" ca="1" si="13"/>
        <v>-0.21715535003872954</v>
      </c>
      <c r="T9" s="36">
        <f t="shared" ca="1" si="13"/>
        <v>3.2721771168232383</v>
      </c>
      <c r="U9" s="36">
        <f t="shared" ca="1" si="13"/>
        <v>1.8505053407286955</v>
      </c>
      <c r="W9" s="8" cm="1">
        <f t="array" aca="1" ref="W9" ca="1">INDIRECT("'"&amp;$C$6&amp;"'!"&amp;ADDRESS(ROW(),COLUMN()+44))</f>
        <v>36825.599999999999</v>
      </c>
      <c r="X9" s="8" cm="1">
        <f t="array" aca="1" ref="X9" ca="1">INDIRECT("'"&amp;$C$6&amp;"'!"&amp;ADDRESS(ROW(),COLUMN()+44))</f>
        <v>32170.330436663753</v>
      </c>
      <c r="Y9" s="8" cm="1">
        <f t="array" aca="1" ref="Y9" ca="1">INDIRECT("'"&amp;$C$6&amp;"'!"&amp;ADDRESS(ROW(),COLUMN()+44))</f>
        <v>37846.729999999996</v>
      </c>
      <c r="Z9" s="8" cm="1">
        <f t="array" aca="1" ref="Z9" ca="1">INDIRECT("'"&amp;$C$6&amp;"'!"&amp;ADDRESS(ROW(),COLUMN()+44))</f>
        <v>47040.750680000005</v>
      </c>
      <c r="AA9" s="8" cm="1">
        <f t="array" aca="1" ref="AA9" ca="1">INDIRECT("'"&amp;$C$6&amp;"'!"&amp;ADDRESS(ROW(),COLUMN()+44))</f>
        <v>8619.8673400000007</v>
      </c>
      <c r="AB9" s="8" cm="1">
        <f t="array" aca="1" ref="AB9" ca="1">INDIRECT("'"&amp;$C$6&amp;"'!"&amp;ADDRESS(ROW(),COLUMN()+44))</f>
        <v>12918.972462119998</v>
      </c>
      <c r="AD9" s="34">
        <f t="shared" ca="1" si="14"/>
        <v>4655.2695633362455</v>
      </c>
      <c r="AE9" s="34">
        <f t="shared" ca="1" si="14"/>
        <v>-1021.1299999999974</v>
      </c>
      <c r="AF9" s="34">
        <f t="shared" ca="1" si="14"/>
        <v>-10215.150680000006</v>
      </c>
      <c r="AG9" s="34">
        <f t="shared" ca="1" si="14"/>
        <v>28205.732659999998</v>
      </c>
      <c r="AH9" s="34">
        <f t="shared" ca="1" si="14"/>
        <v>23906.627537879998</v>
      </c>
      <c r="AJ9" s="36">
        <f t="shared" ca="1" si="15"/>
        <v>0.14470692405542551</v>
      </c>
      <c r="AK9" s="36">
        <f t="shared" ca="1" si="15"/>
        <v>-2.6980666493512051E-2</v>
      </c>
      <c r="AL9" s="36">
        <f t="shared" ca="1" si="15"/>
        <v>-0.21715535003872954</v>
      </c>
      <c r="AM9" s="36">
        <f t="shared" ca="1" si="15"/>
        <v>3.2721771168232383</v>
      </c>
      <c r="AN9" s="36">
        <f t="shared" ca="1" si="15"/>
        <v>1.8505053407286955</v>
      </c>
    </row>
    <row r="10" spans="1:40" ht="14.45" hidden="1" customHeight="1" outlineLevel="1" x14ac:dyDescent="0.25">
      <c r="A10" s="11" t="s">
        <v>51</v>
      </c>
      <c r="C10" s="2" t="s">
        <v>45</v>
      </c>
      <c r="D10" s="8" cm="1">
        <f t="array" aca="1" ref="D10" ca="1">_xlfn.XLOOKUP(1,
 (INDIRECT("'"&amp;$C$6&amp;"'!$6:$6")=D$6)*
 (INDIRECT("'"&amp;$C$6&amp;"'!$5:$5")=D$5),
 INDIRECT("'"&amp;$C$6&amp;"'!"&amp;ROW()&amp;":"&amp;ROW())
)</f>
        <v>84810.02</v>
      </c>
      <c r="E10" s="8" cm="1">
        <f t="array" aca="1" ref="E10" ca="1">_xlfn.XLOOKUP(1,
 (INDIRECT("'"&amp;$C$6&amp;"'!$6:$6")=E$6)*
 (INDIRECT("'"&amp;$C$6&amp;"'!$5:$5")=E$5),
 INDIRECT("'"&amp;$C$6&amp;"'!"&amp;ROW()&amp;":"&amp;ROW())
)</f>
        <v>92303.295305696884</v>
      </c>
      <c r="F10" s="8" cm="1">
        <f t="array" aca="1" ref="F10" ca="1">_xlfn.XLOOKUP(1,
 (INDIRECT("'"&amp;$C$6&amp;"'!$6:$6")=F$6)*
 (INDIRECT("'"&amp;$C$6&amp;"'!$5:$5")=F$5),
 INDIRECT("'"&amp;$C$6&amp;"'!"&amp;ROW()&amp;":"&amp;ROW())
)</f>
        <v>88358.849999999991</v>
      </c>
      <c r="G10" s="8" cm="1">
        <f t="array" aca="1" ref="G10" ca="1">_xlfn.XLOOKUP(1,
 (INDIRECT("'"&amp;$C$6&amp;"'!$6:$6")=G$6)*
 (INDIRECT("'"&amp;$C$6&amp;"'!$5:$5")=G$5),
 INDIRECT("'"&amp;$C$6&amp;"'!"&amp;ROW()&amp;":"&amp;ROW())
)</f>
        <v>109573.13714432</v>
      </c>
      <c r="H10" s="8" cm="1">
        <f t="array" aca="1" ref="H10" ca="1">_xlfn.XLOOKUP(1,
 (INDIRECT("'"&amp;$C$6&amp;"'!$6:$6")=H$6)*
 (INDIRECT("'"&amp;$C$6&amp;"'!$5:$5")=H$5),
 INDIRECT("'"&amp;$C$6&amp;"'!"&amp;ROW()&amp;":"&amp;ROW())
)</f>
        <v>171673.77350189997</v>
      </c>
      <c r="I10" s="8" cm="1">
        <f t="array" aca="1" ref="I10" ca="1">_xlfn.XLOOKUP(1,
 (INDIRECT("'"&amp;$C$6&amp;"'!$6:$6")=I$6)*
 (INDIRECT("'"&amp;$C$6&amp;"'!$5:$5")=I$5),
 INDIRECT("'"&amp;$C$6&amp;"'!"&amp;ROW()&amp;":"&amp;ROW())
)</f>
        <v>66041.883249780003</v>
      </c>
      <c r="K10" s="34">
        <f t="shared" ca="1" si="16"/>
        <v>-7493.2753056968795</v>
      </c>
      <c r="L10" s="34">
        <f t="shared" ca="1" si="12"/>
        <v>-3548.8299999999872</v>
      </c>
      <c r="M10" s="34">
        <f t="shared" ca="1" si="12"/>
        <v>-24763.11714432</v>
      </c>
      <c r="N10" s="34">
        <f t="shared" ca="1" si="12"/>
        <v>-86863.753501899962</v>
      </c>
      <c r="O10" s="34">
        <f t="shared" ca="1" si="12"/>
        <v>18768.136750220001</v>
      </c>
      <c r="Q10" s="36">
        <f t="shared" ca="1" si="17"/>
        <v>-8.1181016136857242E-2</v>
      </c>
      <c r="R10" s="36">
        <f t="shared" ca="1" si="13"/>
        <v>-4.0163831919496351E-2</v>
      </c>
      <c r="S10" s="36">
        <f t="shared" ca="1" si="13"/>
        <v>-0.22599624132057317</v>
      </c>
      <c r="T10" s="36">
        <f t="shared" ca="1" si="13"/>
        <v>-0.50598150043540935</v>
      </c>
      <c r="U10" s="36">
        <f t="shared" ca="1" si="13"/>
        <v>0.28418536581151366</v>
      </c>
      <c r="W10" s="8" cm="1">
        <f t="array" aca="1" ref="W10" ca="1">INDIRECT("'"&amp;$C$6&amp;"'!"&amp;ADDRESS(ROW(),COLUMN()+44))</f>
        <v>84810.02</v>
      </c>
      <c r="X10" s="8" cm="1">
        <f t="array" aca="1" ref="X10" ca="1">INDIRECT("'"&amp;$C$6&amp;"'!"&amp;ADDRESS(ROW(),COLUMN()+44))</f>
        <v>92303.295305696884</v>
      </c>
      <c r="Y10" s="8" cm="1">
        <f t="array" aca="1" ref="Y10" ca="1">INDIRECT("'"&amp;$C$6&amp;"'!"&amp;ADDRESS(ROW(),COLUMN()+44))</f>
        <v>88358.849999999991</v>
      </c>
      <c r="Z10" s="8" cm="1">
        <f t="array" aca="1" ref="Z10" ca="1">INDIRECT("'"&amp;$C$6&amp;"'!"&amp;ADDRESS(ROW(),COLUMN()+44))</f>
        <v>109573.13714432</v>
      </c>
      <c r="AA10" s="8" cm="1">
        <f t="array" aca="1" ref="AA10" ca="1">INDIRECT("'"&amp;$C$6&amp;"'!"&amp;ADDRESS(ROW(),COLUMN()+44))</f>
        <v>171673.77350189997</v>
      </c>
      <c r="AB10" s="8" cm="1">
        <f t="array" aca="1" ref="AB10" ca="1">INDIRECT("'"&amp;$C$6&amp;"'!"&amp;ADDRESS(ROW(),COLUMN()+44))</f>
        <v>66041.883249780003</v>
      </c>
      <c r="AD10" s="34">
        <f t="shared" ca="1" si="14"/>
        <v>-7493.2753056968795</v>
      </c>
      <c r="AE10" s="34">
        <f t="shared" ca="1" si="14"/>
        <v>-3548.8299999999872</v>
      </c>
      <c r="AF10" s="34">
        <f t="shared" ca="1" si="14"/>
        <v>-24763.11714432</v>
      </c>
      <c r="AG10" s="34">
        <f t="shared" ca="1" si="14"/>
        <v>-86863.753501899962</v>
      </c>
      <c r="AH10" s="34">
        <f t="shared" ca="1" si="14"/>
        <v>18768.136750220001</v>
      </c>
      <c r="AJ10" s="36">
        <f t="shared" ca="1" si="15"/>
        <v>-8.1181016136857242E-2</v>
      </c>
      <c r="AK10" s="36">
        <f t="shared" ca="1" si="15"/>
        <v>-4.0163831919496351E-2</v>
      </c>
      <c r="AL10" s="36">
        <f t="shared" ca="1" si="15"/>
        <v>-0.22599624132057317</v>
      </c>
      <c r="AM10" s="36">
        <f t="shared" ca="1" si="15"/>
        <v>-0.50598150043540935</v>
      </c>
      <c r="AN10" s="36">
        <f t="shared" ca="1" si="15"/>
        <v>0.28418536581151366</v>
      </c>
    </row>
    <row r="11" spans="1:40" collapsed="1" x14ac:dyDescent="0.25">
      <c r="C11" s="3" t="s">
        <v>2</v>
      </c>
      <c r="D11" s="10">
        <f ca="1">SUM(D8:D10)</f>
        <v>3321188.6700000004</v>
      </c>
      <c r="E11" s="10">
        <f t="shared" ref="E11:I11" ca="1" si="18">SUM(E8:E10)</f>
        <v>3245474.1127086338</v>
      </c>
      <c r="F11" s="10">
        <f t="shared" ca="1" si="18"/>
        <v>3280334.56</v>
      </c>
      <c r="G11" s="10">
        <f t="shared" ca="1" si="18"/>
        <v>3020734.3737528804</v>
      </c>
      <c r="H11" s="10">
        <f t="shared" ca="1" si="18"/>
        <v>3609083.8261450599</v>
      </c>
      <c r="I11" s="10">
        <f t="shared" ca="1" si="18"/>
        <v>3500227.0614311402</v>
      </c>
      <c r="K11" s="35">
        <f t="shared" ca="1" si="16"/>
        <v>75714.557291366626</v>
      </c>
      <c r="L11" s="35">
        <f t="shared" ca="1" si="12"/>
        <v>40854.110000000335</v>
      </c>
      <c r="M11" s="35">
        <f t="shared" ca="1" si="12"/>
        <v>300454.29624712002</v>
      </c>
      <c r="N11" s="35">
        <f t="shared" ca="1" si="12"/>
        <v>-287895.1561450595</v>
      </c>
      <c r="O11" s="35">
        <f t="shared" ca="1" si="12"/>
        <v>-179038.39143113978</v>
      </c>
      <c r="Q11" s="37">
        <f t="shared" ca="1" si="17"/>
        <v>2.3329274756770824E-2</v>
      </c>
      <c r="R11" s="37">
        <f t="shared" ca="1" si="13"/>
        <v>1.2454251007860684E-2</v>
      </c>
      <c r="S11" s="37">
        <f t="shared" ca="1" si="13"/>
        <v>9.9463990894983478E-2</v>
      </c>
      <c r="T11" s="37">
        <f t="shared" ca="1" si="13"/>
        <v>-7.9769595280519301E-2</v>
      </c>
      <c r="U11" s="37">
        <f t="shared" ca="1" si="13"/>
        <v>-5.1150507749613272E-2</v>
      </c>
      <c r="W11" s="10">
        <f ca="1">SUM(W8:W10)</f>
        <v>3321188.6700000004</v>
      </c>
      <c r="X11" s="10">
        <f t="shared" ref="X11" ca="1" si="19">SUM(X8:X10)</f>
        <v>3245474.1127086338</v>
      </c>
      <c r="Y11" s="10">
        <f t="shared" ref="Y11" ca="1" si="20">SUM(Y8:Y10)</f>
        <v>3280334.56</v>
      </c>
      <c r="Z11" s="10">
        <f t="shared" ref="Z11" ca="1" si="21">SUM(Z8:Z10)</f>
        <v>3020734.3737528804</v>
      </c>
      <c r="AA11" s="10">
        <f t="shared" ref="AA11" ca="1" si="22">SUM(AA8:AA10)</f>
        <v>3609083.8261450599</v>
      </c>
      <c r="AB11" s="10">
        <f t="shared" ref="AB11" ca="1" si="23">SUM(AB8:AB10)</f>
        <v>3500227.0614311402</v>
      </c>
      <c r="AD11" s="35">
        <f t="shared" ca="1" si="14"/>
        <v>75714.557291366626</v>
      </c>
      <c r="AE11" s="35">
        <f t="shared" ca="1" si="14"/>
        <v>40854.110000000335</v>
      </c>
      <c r="AF11" s="35">
        <f t="shared" ca="1" si="14"/>
        <v>300454.29624712002</v>
      </c>
      <c r="AG11" s="35">
        <f t="shared" ca="1" si="14"/>
        <v>-287895.1561450595</v>
      </c>
      <c r="AH11" s="35">
        <f t="shared" ca="1" si="14"/>
        <v>-179038.39143113978</v>
      </c>
      <c r="AJ11" s="37">
        <f t="shared" ca="1" si="15"/>
        <v>2.3329274756770824E-2</v>
      </c>
      <c r="AK11" s="37">
        <f t="shared" ca="1" si="15"/>
        <v>1.2454251007860684E-2</v>
      </c>
      <c r="AL11" s="37">
        <f t="shared" ca="1" si="15"/>
        <v>9.9463990894983478E-2</v>
      </c>
      <c r="AM11" s="37">
        <f t="shared" ca="1" si="15"/>
        <v>-7.9769595280519301E-2</v>
      </c>
      <c r="AN11" s="37">
        <f t="shared" ca="1" si="15"/>
        <v>-5.1150507749613272E-2</v>
      </c>
    </row>
    <row r="12" spans="1:40" x14ac:dyDescent="0.25">
      <c r="D12" s="9"/>
      <c r="W12" s="9"/>
    </row>
    <row r="14" spans="1:40" hidden="1" outlineLevel="1" x14ac:dyDescent="0.25">
      <c r="A14" s="11" t="s">
        <v>52</v>
      </c>
      <c r="C14" s="2" t="s">
        <v>0</v>
      </c>
      <c r="D14" s="8" cm="1">
        <f t="array" aca="1" ref="D14" ca="1">_xlfn.XLOOKUP(1,
 (INDIRECT("'"&amp;$C$6&amp;"'!$6:$6")=D$6)*
 (INDIRECT("'"&amp;$C$6&amp;"'!$5:$5")=D$5),
 INDIRECT("'"&amp;$C$6&amp;"'!"&amp;ROW()&amp;":"&amp;ROW())
)</f>
        <v>3165468.54</v>
      </c>
      <c r="E14" s="8" cm="1">
        <f t="array" aca="1" ref="E14" ca="1">_xlfn.XLOOKUP(1,
 (INDIRECT("'"&amp;$C$6&amp;"'!$6:$6")=E$6)*
 (INDIRECT("'"&amp;$C$6&amp;"'!$5:$5")=E$5),
 INDIRECT("'"&amp;$C$6&amp;"'!"&amp;ROW()&amp;":"&amp;ROW())
)</f>
        <v>3078694.5854300028</v>
      </c>
      <c r="F14" s="8" cm="1">
        <f t="array" aca="1" ref="F14" ca="1">_xlfn.XLOOKUP(1,
 (INDIRECT("'"&amp;$C$6&amp;"'!$6:$6")=F$6)*
 (INDIRECT("'"&amp;$C$6&amp;"'!$5:$5")=F$5),
 INDIRECT("'"&amp;$C$6&amp;"'!"&amp;ROW()&amp;":"&amp;ROW())
)</f>
        <v>3096567.55</v>
      </c>
      <c r="G14" s="8" cm="1">
        <f t="array" aca="1" ref="G14" ca="1">_xlfn.XLOOKUP(1,
 (INDIRECT("'"&amp;$C$6&amp;"'!$6:$6")=G$6)*
 (INDIRECT("'"&amp;$C$6&amp;"'!$5:$5")=G$5),
 INDIRECT("'"&amp;$C$6&amp;"'!"&amp;ROW()&amp;":"&amp;ROW())
)</f>
        <v>2841610.0432182099</v>
      </c>
      <c r="H14" s="8" cm="1">
        <f t="array" aca="1" ref="H14" ca="1">_xlfn.XLOOKUP(1,
 (INDIRECT("'"&amp;$C$6&amp;"'!$6:$6")=H$6)*
 (INDIRECT("'"&amp;$C$6&amp;"'!$5:$5")=H$5),
 INDIRECT("'"&amp;$C$6&amp;"'!"&amp;ROW()&amp;":"&amp;ROW())
)</f>
        <v>3450850.8927352</v>
      </c>
      <c r="I14" s="8" cm="1">
        <f t="array" aca="1" ref="I14" ca="1">_xlfn.XLOOKUP(1,
 (INDIRECT("'"&amp;$C$6&amp;"'!$6:$6")=I$6)*
 (INDIRECT("'"&amp;$C$6&amp;"'!$5:$5")=I$5),
 INDIRECT("'"&amp;$C$6&amp;"'!"&amp;ROW()&amp;":"&amp;ROW())
)</f>
        <v>3343878.5237366003</v>
      </c>
      <c r="K14" s="34">
        <f ca="1">$D14-E14</f>
        <v>86773.954569997266</v>
      </c>
      <c r="L14" s="34">
        <f t="shared" ref="L14:L17" ca="1" si="24">$D14-F14</f>
        <v>68900.990000000224</v>
      </c>
      <c r="M14" s="34">
        <f t="shared" ref="M14:M17" ca="1" si="25">$D14-G14</f>
        <v>323858.49678179016</v>
      </c>
      <c r="N14" s="34">
        <f t="shared" ref="N14:N17" ca="1" si="26">$D14-H14</f>
        <v>-285382.35273519997</v>
      </c>
      <c r="O14" s="34">
        <f t="shared" ref="O14:O17" ca="1" si="27">$D14-I14</f>
        <v>-178409.98373660026</v>
      </c>
      <c r="Q14" s="36">
        <f ca="1">IFERROR($D14/E14-1,0)</f>
        <v>2.8185307818663574E-2</v>
      </c>
      <c r="R14" s="36">
        <f t="shared" ref="R14:R17" ca="1" si="28">IFERROR($D14/F14-1,0)</f>
        <v>2.2250762784102651E-2</v>
      </c>
      <c r="S14" s="36">
        <f t="shared" ref="S14:S17" ca="1" si="29">IFERROR($D14/G14-1,0)</f>
        <v>0.11397007043760676</v>
      </c>
      <c r="T14" s="36">
        <f t="shared" ref="T14:T17" ca="1" si="30">IFERROR($D14/H14-1,0)</f>
        <v>-8.2699125985417843E-2</v>
      </c>
      <c r="U14" s="36">
        <f t="shared" ref="U14:U17" ca="1" si="31">IFERROR($D14/I14-1,0)</f>
        <v>-5.3354206042520058E-2</v>
      </c>
      <c r="W14" s="8" cm="1">
        <f t="array" aca="1" ref="W14" ca="1">INDIRECT("'"&amp;$C$6&amp;"'!"&amp;ADDRESS(ROW(),COLUMN()+44))</f>
        <v>3101496.0100000002</v>
      </c>
      <c r="X14" s="8" cm="1">
        <f t="array" aca="1" ref="X14" ca="1">INDIRECT("'"&amp;$C$6&amp;"'!"&amp;ADDRESS(ROW(),COLUMN()+44))</f>
        <v>3059754.3126159511</v>
      </c>
      <c r="Y14" s="8" cm="1">
        <f t="array" aca="1" ref="Y14" ca="1">INDIRECT("'"&amp;$C$6&amp;"'!"&amp;ADDRESS(ROW(),COLUMN()+44))</f>
        <v>3069509.7450000001</v>
      </c>
      <c r="Z14" s="8" cm="1">
        <f t="array" aca="1" ref="Z14" ca="1">INDIRECT("'"&amp;$C$6&amp;"'!"&amp;ADDRESS(ROW(),COLUMN()+44))</f>
        <v>2830433.5578254201</v>
      </c>
      <c r="AA14" s="8" cm="1">
        <f t="array" aca="1" ref="AA14" ca="1">INDIRECT("'"&amp;$C$6&amp;"'!"&amp;ADDRESS(ROW(),COLUMN()+44))</f>
        <v>3524089.413701667</v>
      </c>
      <c r="AB14" s="8" cm="1">
        <f t="array" aca="1" ref="AB14" ca="1">INDIRECT("'"&amp;$C$6&amp;"'!"&amp;ADDRESS(ROW(),COLUMN()+44))</f>
        <v>3241831.42390509</v>
      </c>
      <c r="AD14" s="34">
        <f t="shared" ref="AD14:AH17" ca="1" si="32">$W14-X14</f>
        <v>41741.697384049185</v>
      </c>
      <c r="AE14" s="34">
        <f t="shared" ca="1" si="32"/>
        <v>31986.26500000013</v>
      </c>
      <c r="AF14" s="34">
        <f t="shared" ca="1" si="32"/>
        <v>271062.45217458019</v>
      </c>
      <c r="AG14" s="34">
        <f t="shared" ca="1" si="32"/>
        <v>-422593.40370166674</v>
      </c>
      <c r="AH14" s="34">
        <f t="shared" ca="1" si="32"/>
        <v>-140335.41390508972</v>
      </c>
      <c r="AJ14" s="36">
        <f t="shared" ref="AJ14:AN17" ca="1" si="33">IFERROR($W14/X14-1,0)</f>
        <v>1.3642172906478178E-2</v>
      </c>
      <c r="AK14" s="36">
        <f t="shared" ca="1" si="33"/>
        <v>1.0420642922571943E-2</v>
      </c>
      <c r="AL14" s="36">
        <f t="shared" ca="1" si="33"/>
        <v>9.5767113637118317E-2</v>
      </c>
      <c r="AM14" s="36">
        <f t="shared" ca="1" si="33"/>
        <v>-0.11991563042033571</v>
      </c>
      <c r="AN14" s="36">
        <f t="shared" ca="1" si="33"/>
        <v>-4.3288930099900869E-2</v>
      </c>
    </row>
    <row r="15" spans="1:40" hidden="1" outlineLevel="1" x14ac:dyDescent="0.25">
      <c r="A15" s="11" t="s">
        <v>52</v>
      </c>
      <c r="C15" s="2" t="s">
        <v>1</v>
      </c>
      <c r="D15" s="8" cm="1">
        <f t="array" aca="1" ref="D15" ca="1">_xlfn.XLOOKUP(1,
 (INDIRECT("'"&amp;$C$6&amp;"'!$6:$6")=D$6)*
 (INDIRECT("'"&amp;$C$6&amp;"'!$5:$5")=D$5),
 INDIRECT("'"&amp;$C$6&amp;"'!"&amp;ROW()&amp;":"&amp;ROW())
)</f>
        <v>36267.490000000005</v>
      </c>
      <c r="E15" s="8" cm="1">
        <f t="array" aca="1" ref="E15" ca="1">_xlfn.XLOOKUP(1,
 (INDIRECT("'"&amp;$C$6&amp;"'!$6:$6")=E$6)*
 (INDIRECT("'"&amp;$C$6&amp;"'!$5:$5")=E$5),
 INDIRECT("'"&amp;$C$6&amp;"'!"&amp;ROW()&amp;":"&amp;ROW())
)</f>
        <v>31668.279046356842</v>
      </c>
      <c r="F15" s="8" cm="1">
        <f t="array" aca="1" ref="F15" ca="1">_xlfn.XLOOKUP(1,
 (INDIRECT("'"&amp;$C$6&amp;"'!$6:$6")=F$6)*
 (INDIRECT("'"&amp;$C$6&amp;"'!$5:$5")=F$5),
 INDIRECT("'"&amp;$C$6&amp;"'!"&amp;ROW()&amp;":"&amp;ROW())
)</f>
        <v>37148</v>
      </c>
      <c r="G15" s="8" cm="1">
        <f t="array" aca="1" ref="G15" ca="1">_xlfn.XLOOKUP(1,
 (INDIRECT("'"&amp;$C$6&amp;"'!$6:$6")=G$6)*
 (INDIRECT("'"&amp;$C$6&amp;"'!$5:$5")=G$5),
 INDIRECT("'"&amp;$C$6&amp;"'!"&amp;ROW()&amp;":"&amp;ROW())
)</f>
        <v>44237.049360000005</v>
      </c>
      <c r="H15" s="8" cm="1">
        <f t="array" aca="1" ref="H15" ca="1">_xlfn.XLOOKUP(1,
 (INDIRECT("'"&amp;$C$6&amp;"'!$6:$6")=H$6)*
 (INDIRECT("'"&amp;$C$6&amp;"'!$5:$5")=H$5),
 INDIRECT("'"&amp;$C$6&amp;"'!"&amp;ROW()&amp;":"&amp;ROW())
)</f>
        <v>6162.1973199999993</v>
      </c>
      <c r="I15" s="8" cm="1">
        <f t="array" aca="1" ref="I15" ca="1">_xlfn.XLOOKUP(1,
 (INDIRECT("'"&amp;$C$6&amp;"'!$6:$6")=I$6)*
 (INDIRECT("'"&amp;$C$6&amp;"'!$5:$5")=I$5),
 INDIRECT("'"&amp;$C$6&amp;"'!"&amp;ROW()&amp;":"&amp;ROW())
)</f>
        <v>12441.220657799999</v>
      </c>
      <c r="K15" s="34">
        <f t="shared" ref="K15:K17" ca="1" si="34">$D15-E15</f>
        <v>4599.2109536431635</v>
      </c>
      <c r="L15" s="34">
        <f t="shared" ca="1" si="24"/>
        <v>-880.50999999999476</v>
      </c>
      <c r="M15" s="34">
        <f t="shared" ca="1" si="25"/>
        <v>-7969.5593599999993</v>
      </c>
      <c r="N15" s="34">
        <f t="shared" ca="1" si="26"/>
        <v>30105.292680000006</v>
      </c>
      <c r="O15" s="34">
        <f t="shared" ca="1" si="27"/>
        <v>23826.269342200008</v>
      </c>
      <c r="Q15" s="36">
        <f t="shared" ref="Q15:Q17" ca="1" si="35">IFERROR($D15/E15-1,0)</f>
        <v>0.14523084588558532</v>
      </c>
      <c r="R15" s="36">
        <f t="shared" ca="1" si="28"/>
        <v>-2.3702756541401859E-2</v>
      </c>
      <c r="S15" s="36">
        <f t="shared" ca="1" si="29"/>
        <v>-0.18015576254066867</v>
      </c>
      <c r="T15" s="36">
        <f t="shared" ca="1" si="30"/>
        <v>4.8854801488245769</v>
      </c>
      <c r="U15" s="36">
        <f t="shared" ca="1" si="31"/>
        <v>1.915107045968369</v>
      </c>
      <c r="W15" s="8" cm="1">
        <f t="array" aca="1" ref="W15" ca="1">INDIRECT("'"&amp;$C$6&amp;"'!"&amp;ADDRESS(ROW(),COLUMN()+44))</f>
        <v>37137.886666666665</v>
      </c>
      <c r="X15" s="8" cm="1">
        <f t="array" aca="1" ref="X15" ca="1">INDIRECT("'"&amp;$C$6&amp;"'!"&amp;ADDRESS(ROW(),COLUMN()+44))</f>
        <v>33358.563519173673</v>
      </c>
      <c r="Y15" s="8" cm="1">
        <f t="array" aca="1" ref="Y15" ca="1">INDIRECT("'"&amp;$C$6&amp;"'!"&amp;ADDRESS(ROW(),COLUMN()+44))</f>
        <v>37573.084999999999</v>
      </c>
      <c r="Z15" s="8" cm="1">
        <f t="array" aca="1" ref="Z15" ca="1">INDIRECT("'"&amp;$C$6&amp;"'!"&amp;ADDRESS(ROW(),COLUMN()+44))</f>
        <v>44410.207523333338</v>
      </c>
      <c r="AA15" s="8" cm="1">
        <f t="array" aca="1" ref="AA15" ca="1">INDIRECT("'"&amp;$C$6&amp;"'!"&amp;ADDRESS(ROW(),COLUMN()+44))</f>
        <v>5713.7241033333339</v>
      </c>
      <c r="AB15" s="8" cm="1">
        <f t="array" aca="1" ref="AB15" ca="1">INDIRECT("'"&amp;$C$6&amp;"'!"&amp;ADDRESS(ROW(),COLUMN()+44))</f>
        <v>12001.905159266666</v>
      </c>
      <c r="AD15" s="34">
        <f t="shared" ca="1" si="32"/>
        <v>3779.3231474929926</v>
      </c>
      <c r="AE15" s="34">
        <f t="shared" ca="1" si="32"/>
        <v>-435.19833333333372</v>
      </c>
      <c r="AF15" s="34">
        <f t="shared" ca="1" si="32"/>
        <v>-7272.3208566666726</v>
      </c>
      <c r="AG15" s="34">
        <f t="shared" ca="1" si="32"/>
        <v>31424.162563333331</v>
      </c>
      <c r="AH15" s="34">
        <f t="shared" ca="1" si="32"/>
        <v>25135.9815074</v>
      </c>
      <c r="AJ15" s="36">
        <f t="shared" ca="1" si="33"/>
        <v>0.11329394160874862</v>
      </c>
      <c r="AK15" s="36">
        <f t="shared" ca="1" si="33"/>
        <v>-1.1582714949633033E-2</v>
      </c>
      <c r="AL15" s="36">
        <f t="shared" ca="1" si="33"/>
        <v>-0.16375336352224334</v>
      </c>
      <c r="AM15" s="36">
        <f t="shared" ca="1" si="33"/>
        <v>5.499768976419559</v>
      </c>
      <c r="AN15" s="36">
        <f t="shared" ca="1" si="33"/>
        <v>2.0943326225163945</v>
      </c>
    </row>
    <row r="16" spans="1:40" hidden="1" outlineLevel="1" x14ac:dyDescent="0.25">
      <c r="A16" s="11" t="s">
        <v>52</v>
      </c>
      <c r="C16" s="2" t="s">
        <v>45</v>
      </c>
      <c r="D16" s="8" cm="1">
        <f t="array" aca="1" ref="D16" ca="1">_xlfn.XLOOKUP(1,
 (INDIRECT("'"&amp;$C$6&amp;"'!$6:$6")=D$6)*
 (INDIRECT("'"&amp;$C$6&amp;"'!$5:$5")=D$5),
 INDIRECT("'"&amp;$C$6&amp;"'!"&amp;ROW()&amp;":"&amp;ROW())
)</f>
        <v>96644.160000000003</v>
      </c>
      <c r="E16" s="8" cm="1">
        <f t="array" aca="1" ref="E16" ca="1">_xlfn.XLOOKUP(1,
 (INDIRECT("'"&amp;$C$6&amp;"'!$6:$6")=E$6)*
 (INDIRECT("'"&amp;$C$6&amp;"'!$5:$5")=E$5),
 INDIRECT("'"&amp;$C$6&amp;"'!"&amp;ROW()&amp;":"&amp;ROW())
)</f>
        <v>108022.07401630754</v>
      </c>
      <c r="F16" s="8" cm="1">
        <f t="array" aca="1" ref="F16" ca="1">_xlfn.XLOOKUP(1,
 (INDIRECT("'"&amp;$C$6&amp;"'!$6:$6")=F$6)*
 (INDIRECT("'"&amp;$C$6&amp;"'!$5:$5")=F$5),
 INDIRECT("'"&amp;$C$6&amp;"'!"&amp;ROW()&amp;":"&amp;ROW())
)</f>
        <v>101854.37</v>
      </c>
      <c r="G16" s="8" cm="1">
        <f t="array" aca="1" ref="G16" ca="1">_xlfn.XLOOKUP(1,
 (INDIRECT("'"&amp;$C$6&amp;"'!$6:$6")=G$6)*
 (INDIRECT("'"&amp;$C$6&amp;"'!$5:$5")=G$5),
 INDIRECT("'"&amp;$C$6&amp;"'!"&amp;ROW()&amp;":"&amp;ROW())
)</f>
        <v>122146.44726766</v>
      </c>
      <c r="H16" s="8" cm="1">
        <f t="array" aca="1" ref="H16" ca="1">_xlfn.XLOOKUP(1,
 (INDIRECT("'"&amp;$C$6&amp;"'!$6:$6")=H$6)*
 (INDIRECT("'"&amp;$C$6&amp;"'!$5:$5")=H$5),
 INDIRECT("'"&amp;$C$6&amp;"'!"&amp;ROW()&amp;":"&amp;ROW())
)</f>
        <v>178129.14890008001</v>
      </c>
      <c r="I16" s="8" cm="1">
        <f t="array" aca="1" ref="I16" ca="1">_xlfn.XLOOKUP(1,
 (INDIRECT("'"&amp;$C$6&amp;"'!$6:$6")=I$6)*
 (INDIRECT("'"&amp;$C$6&amp;"'!$5:$5")=I$5),
 INDIRECT("'"&amp;$C$6&amp;"'!"&amp;ROW()&amp;":"&amp;ROW())
)</f>
        <v>78613.722669199982</v>
      </c>
      <c r="K16" s="34">
        <f t="shared" ca="1" si="34"/>
        <v>-11377.914016307535</v>
      </c>
      <c r="L16" s="34">
        <f t="shared" ca="1" si="24"/>
        <v>-5210.2099999999919</v>
      </c>
      <c r="M16" s="34">
        <f t="shared" ca="1" si="25"/>
        <v>-25502.287267659995</v>
      </c>
      <c r="N16" s="34">
        <f t="shared" ca="1" si="26"/>
        <v>-81484.988900080003</v>
      </c>
      <c r="O16" s="34">
        <f t="shared" ca="1" si="27"/>
        <v>18030.437330800021</v>
      </c>
      <c r="Q16" s="36">
        <f t="shared" ca="1" si="35"/>
        <v>-0.10532952750555291</v>
      </c>
      <c r="R16" s="36">
        <f t="shared" ca="1" si="28"/>
        <v>-5.1153524389773275E-2</v>
      </c>
      <c r="S16" s="36">
        <f t="shared" ca="1" si="29"/>
        <v>-0.20878451922368835</v>
      </c>
      <c r="T16" s="36">
        <f t="shared" ca="1" si="30"/>
        <v>-0.45744893187463831</v>
      </c>
      <c r="U16" s="36">
        <f t="shared" ca="1" si="31"/>
        <v>0.22935483422748737</v>
      </c>
      <c r="W16" s="8" cm="1">
        <f t="array" aca="1" ref="W16" ca="1">INDIRECT("'"&amp;$C$6&amp;"'!"&amp;ADDRESS(ROW(),COLUMN()+44))</f>
        <v>100528.68666666666</v>
      </c>
      <c r="X16" s="8" cm="1">
        <f t="array" aca="1" ref="X16" ca="1">INDIRECT("'"&amp;$C$6&amp;"'!"&amp;ADDRESS(ROW(),COLUMN()+44))</f>
        <v>110684.54666283102</v>
      </c>
      <c r="Y16" s="8" cm="1">
        <f t="array" aca="1" ref="Y16" ca="1">INDIRECT("'"&amp;$C$6&amp;"'!"&amp;ADDRESS(ROW(),COLUMN()+44))</f>
        <v>102470.95</v>
      </c>
      <c r="Z16" s="8" cm="1">
        <f t="array" aca="1" ref="Z16" ca="1">INDIRECT("'"&amp;$C$6&amp;"'!"&amp;ADDRESS(ROW(),COLUMN()+44))</f>
        <v>133756.47388159332</v>
      </c>
      <c r="AA16" s="8" cm="1">
        <f t="array" aca="1" ref="AA16" ca="1">INDIRECT("'"&amp;$C$6&amp;"'!"&amp;ADDRESS(ROW(),COLUMN()+44))</f>
        <v>178374.55994775333</v>
      </c>
      <c r="AB16" s="8" cm="1">
        <f t="array" aca="1" ref="AB16" ca="1">INDIRECT("'"&amp;$C$6&amp;"'!"&amp;ADDRESS(ROW(),COLUMN()+44))</f>
        <v>84598.845144713312</v>
      </c>
      <c r="AD16" s="34">
        <f t="shared" ca="1" si="32"/>
        <v>-10155.859996164363</v>
      </c>
      <c r="AE16" s="34">
        <f t="shared" ca="1" si="32"/>
        <v>-1942.263333333336</v>
      </c>
      <c r="AF16" s="34">
        <f t="shared" ca="1" si="32"/>
        <v>-33227.787214926662</v>
      </c>
      <c r="AG16" s="34">
        <f t="shared" ca="1" si="32"/>
        <v>-77845.873281086664</v>
      </c>
      <c r="AH16" s="34">
        <f t="shared" ca="1" si="32"/>
        <v>15929.841521953349</v>
      </c>
      <c r="AJ16" s="36">
        <f t="shared" ca="1" si="33"/>
        <v>-9.175499473382942E-2</v>
      </c>
      <c r="AK16" s="36">
        <f t="shared" ca="1" si="33"/>
        <v>-1.8954282490143193E-2</v>
      </c>
      <c r="AL16" s="36">
        <f t="shared" ca="1" si="33"/>
        <v>-0.24842002970518839</v>
      </c>
      <c r="AM16" s="36">
        <f t="shared" ca="1" si="33"/>
        <v>-0.43641802566401877</v>
      </c>
      <c r="AN16" s="36">
        <f t="shared" ca="1" si="33"/>
        <v>0.18829856949824841</v>
      </c>
    </row>
    <row r="17" spans="1:40" collapsed="1" x14ac:dyDescent="0.25">
      <c r="C17" s="3" t="s">
        <v>56</v>
      </c>
      <c r="D17" s="10">
        <f ca="1">SUM(D14:D16)</f>
        <v>3298380.1900000004</v>
      </c>
      <c r="E17" s="10">
        <f t="shared" ref="E17:I17" ca="1" si="36">SUM(E14:E16)</f>
        <v>3218384.9384926669</v>
      </c>
      <c r="F17" s="10">
        <f t="shared" ca="1" si="36"/>
        <v>3235569.92</v>
      </c>
      <c r="G17" s="10">
        <f t="shared" ca="1" si="36"/>
        <v>3007993.5398458699</v>
      </c>
      <c r="H17" s="10">
        <f t="shared" ca="1" si="36"/>
        <v>3635142.2389552798</v>
      </c>
      <c r="I17" s="10">
        <f t="shared" ca="1" si="36"/>
        <v>3434933.4670636002</v>
      </c>
      <c r="K17" s="35">
        <f t="shared" ca="1" si="34"/>
        <v>79995.25150733348</v>
      </c>
      <c r="L17" s="35">
        <f t="shared" ca="1" si="24"/>
        <v>62810.270000000484</v>
      </c>
      <c r="M17" s="35">
        <f t="shared" ca="1" si="25"/>
        <v>290386.65015413053</v>
      </c>
      <c r="N17" s="35">
        <f t="shared" ca="1" si="26"/>
        <v>-336762.0489552794</v>
      </c>
      <c r="O17" s="35">
        <f t="shared" ca="1" si="27"/>
        <v>-136553.27706359979</v>
      </c>
      <c r="Q17" s="37">
        <f t="shared" ca="1" si="35"/>
        <v>2.4855712736711721E-2</v>
      </c>
      <c r="R17" s="37">
        <f t="shared" ca="1" si="28"/>
        <v>1.9412428583833741E-2</v>
      </c>
      <c r="S17" s="37">
        <f t="shared" ca="1" si="29"/>
        <v>9.6538322409100097E-2</v>
      </c>
      <c r="T17" s="37">
        <f t="shared" ca="1" si="30"/>
        <v>-9.264068001148229E-2</v>
      </c>
      <c r="U17" s="37">
        <f t="shared" ca="1" si="31"/>
        <v>-3.975427133391729E-2</v>
      </c>
      <c r="W17" s="10">
        <f ca="1">SUM(W14:W16)</f>
        <v>3239162.5833333335</v>
      </c>
      <c r="X17" s="10">
        <f t="shared" ref="X17" ca="1" si="37">SUM(X14:X16)</f>
        <v>3203797.422797956</v>
      </c>
      <c r="Y17" s="10">
        <f t="shared" ref="Y17" ca="1" si="38">SUM(Y14:Y16)</f>
        <v>3209553.7800000003</v>
      </c>
      <c r="Z17" s="10">
        <f t="shared" ref="Z17" ca="1" si="39">SUM(Z14:Z16)</f>
        <v>3008600.2392303469</v>
      </c>
      <c r="AA17" s="10">
        <f t="shared" ref="AA17" ca="1" si="40">SUM(AA14:AA16)</f>
        <v>3708177.6977527537</v>
      </c>
      <c r="AB17" s="10">
        <f t="shared" ref="AB17" ca="1" si="41">SUM(AB14:AB16)</f>
        <v>3338432.1742090699</v>
      </c>
      <c r="AD17" s="35">
        <f t="shared" ca="1" si="32"/>
        <v>35365.16053537745</v>
      </c>
      <c r="AE17" s="35">
        <f t="shared" ca="1" si="32"/>
        <v>29608.803333333228</v>
      </c>
      <c r="AF17" s="35">
        <f t="shared" ca="1" si="32"/>
        <v>230562.34410298662</v>
      </c>
      <c r="AG17" s="35">
        <f t="shared" ca="1" si="32"/>
        <v>-469015.11441942025</v>
      </c>
      <c r="AH17" s="35">
        <f t="shared" ca="1" si="32"/>
        <v>-99269.590875736438</v>
      </c>
      <c r="AJ17" s="37">
        <f t="shared" ca="1" si="33"/>
        <v>1.1038513322884302E-2</v>
      </c>
      <c r="AK17" s="37">
        <f t="shared" ca="1" si="33"/>
        <v>9.2252086622874874E-3</v>
      </c>
      <c r="AL17" s="37">
        <f t="shared" ca="1" si="33"/>
        <v>7.6634423243271632E-2</v>
      </c>
      <c r="AM17" s="37">
        <f t="shared" ca="1" si="33"/>
        <v>-0.12648129422267296</v>
      </c>
      <c r="AN17" s="37">
        <f t="shared" ca="1" si="33"/>
        <v>-2.9735392452373222E-2</v>
      </c>
    </row>
    <row r="18" spans="1:40" x14ac:dyDescent="0.25">
      <c r="D18" s="8"/>
      <c r="E18" s="8"/>
      <c r="F18" s="8"/>
      <c r="G18" s="8"/>
      <c r="H18" s="8"/>
      <c r="I18" s="8"/>
      <c r="W18" s="8"/>
      <c r="X18" s="8"/>
      <c r="Y18" s="8"/>
      <c r="Z18" s="8"/>
      <c r="AA18" s="8"/>
      <c r="AB18" s="8"/>
    </row>
    <row r="19" spans="1:40" x14ac:dyDescent="0.25">
      <c r="D19" s="16"/>
      <c r="E19" s="16"/>
      <c r="F19" s="16"/>
      <c r="G19" s="16"/>
      <c r="H19" s="16"/>
      <c r="I19" s="16"/>
      <c r="W19" s="16"/>
      <c r="X19" s="16"/>
      <c r="Y19" s="16"/>
      <c r="Z19" s="16"/>
      <c r="AA19" s="16"/>
      <c r="AB19" s="16"/>
    </row>
    <row r="20" spans="1:40" hidden="1" outlineLevel="1" x14ac:dyDescent="0.25">
      <c r="A20" s="11"/>
      <c r="C20" s="2" t="s">
        <v>0</v>
      </c>
      <c r="D20" s="14">
        <f ca="1">IFERROR(((1+D38/D14)^(360/D$3))-1,0)</f>
        <v>0.16676473692188543</v>
      </c>
      <c r="E20" s="14">
        <f t="shared" ref="E20:I23" ca="1" si="42">IFERROR(((1+E38/E14)^(360/E$3))-1,0)</f>
        <v>0.16679744535593488</v>
      </c>
      <c r="F20" s="14">
        <f t="shared" ca="1" si="42"/>
        <v>0.16819332775632989</v>
      </c>
      <c r="G20" s="14">
        <f t="shared" ca="1" si="42"/>
        <v>0.16916884243095831</v>
      </c>
      <c r="H20" s="14">
        <f t="shared" ca="1" si="42"/>
        <v>0.17166177219065171</v>
      </c>
      <c r="I20" s="14">
        <f t="shared" ca="1" si="42"/>
        <v>0.18709846297257249</v>
      </c>
      <c r="K20" s="44"/>
      <c r="L20" s="44"/>
      <c r="M20" s="44"/>
      <c r="N20" s="44"/>
      <c r="O20" s="44"/>
      <c r="Q20" s="42">
        <f ca="1">($D20-E20)*10000</f>
        <v>-0.32708434049455448</v>
      </c>
      <c r="R20" s="42">
        <f t="shared" ref="R20:U23" ca="1" si="43">($D20-F20)*10000</f>
        <v>-14.285908344444653</v>
      </c>
      <c r="S20" s="42">
        <f t="shared" ca="1" si="43"/>
        <v>-24.041055090728847</v>
      </c>
      <c r="T20" s="42">
        <f t="shared" ca="1" si="43"/>
        <v>-48.97035268766281</v>
      </c>
      <c r="U20" s="42">
        <f t="shared" ca="1" si="43"/>
        <v>-203.33726050687062</v>
      </c>
      <c r="W20" s="14" cm="1">
        <f t="array" aca="1" ref="W20" ca="1">INDIRECT("'"&amp;$C$6&amp;"'!"&amp;ADDRESS(ROW(),COLUMN()+44))</f>
        <v>0.16764934370492646</v>
      </c>
      <c r="X20" s="14" cm="1">
        <f t="array" aca="1" ref="X20" ca="1">INDIRECT("'"&amp;$C$6&amp;"'!"&amp;ADDRESS(ROW(),COLUMN()+44))</f>
        <v>0.16628707728179193</v>
      </c>
      <c r="Y20" s="14" cm="1">
        <f t="array" aca="1" ref="Y20" ca="1">INDIRECT("'"&amp;$C$6&amp;"'!"&amp;ADDRESS(ROW(),COLUMN()+44))</f>
        <v>0.16803227572167745</v>
      </c>
      <c r="Z20" s="14" cm="1">
        <f t="array" aca="1" ref="Z20" ca="1">INDIRECT("'"&amp;$C$6&amp;"'!"&amp;ADDRESS(ROW(),COLUMN()+44))</f>
        <v>0.17002459302494799</v>
      </c>
      <c r="AA20" s="14" cm="1">
        <f t="array" aca="1" ref="AA20" ca="1">INDIRECT("'"&amp;$C$6&amp;"'!"&amp;ADDRESS(ROW(),COLUMN()+44))</f>
        <v>0.17330210869037943</v>
      </c>
      <c r="AB20" s="14" cm="1">
        <f t="array" aca="1" ref="AB20" ca="1">INDIRECT("'"&amp;$C$6&amp;"'!"&amp;ADDRESS(ROW(),COLUMN()+44))</f>
        <v>0.18774684407981601</v>
      </c>
      <c r="AD20" s="44"/>
      <c r="AE20" s="44"/>
      <c r="AF20" s="44"/>
      <c r="AG20" s="44"/>
      <c r="AH20" s="44"/>
      <c r="AJ20" s="42">
        <f t="shared" ref="AJ20:AN23" ca="1" si="44">($W20-X20)*10000</f>
        <v>13.622664231345283</v>
      </c>
      <c r="AK20" s="42">
        <f t="shared" ca="1" si="44"/>
        <v>-3.8293201675099198</v>
      </c>
      <c r="AL20" s="42">
        <f t="shared" ca="1" si="44"/>
        <v>-23.75249320021533</v>
      </c>
      <c r="AM20" s="42">
        <f t="shared" ca="1" si="44"/>
        <v>-56.527649854529741</v>
      </c>
      <c r="AN20" s="42">
        <f t="shared" ca="1" si="44"/>
        <v>-200.97500374889555</v>
      </c>
    </row>
    <row r="21" spans="1:40" hidden="1" outlineLevel="1" x14ac:dyDescent="0.25">
      <c r="A21" s="11"/>
      <c r="C21" s="2" t="s">
        <v>1</v>
      </c>
      <c r="D21" s="14">
        <f t="shared" ref="D21:I23" ca="1" si="45">IFERROR(((1+D39/D15)^(360/D$3))-1,0)</f>
        <v>7.8418696241422836E-2</v>
      </c>
      <c r="E21" s="14">
        <f t="shared" ca="1" si="45"/>
        <v>7.2561465102756406E-2</v>
      </c>
      <c r="F21" s="14">
        <f t="shared" ca="1" si="45"/>
        <v>7.8432699605047729E-2</v>
      </c>
      <c r="G21" s="14">
        <f t="shared" ca="1" si="45"/>
        <v>5.981386927112986E-2</v>
      </c>
      <c r="H21" s="14">
        <f t="shared" ca="1" si="45"/>
        <v>6.4599698573128084E-2</v>
      </c>
      <c r="I21" s="14">
        <f t="shared" ca="1" si="45"/>
        <v>6.0315444633924686E-2</v>
      </c>
      <c r="K21" s="44"/>
      <c r="L21" s="44"/>
      <c r="M21" s="44"/>
      <c r="N21" s="44"/>
      <c r="O21" s="44"/>
      <c r="Q21" s="42">
        <f t="shared" ref="Q21:Q23" ca="1" si="46">($D21-E21)*10000</f>
        <v>58.572311386664296</v>
      </c>
      <c r="R21" s="42">
        <f t="shared" ca="1" si="43"/>
        <v>-0.14003363624892629</v>
      </c>
      <c r="S21" s="42">
        <f t="shared" ca="1" si="43"/>
        <v>186.04826970292976</v>
      </c>
      <c r="T21" s="42">
        <f t="shared" ca="1" si="43"/>
        <v>138.18997668294753</v>
      </c>
      <c r="U21" s="42">
        <f t="shared" ca="1" si="43"/>
        <v>181.03251607498149</v>
      </c>
      <c r="W21" s="14" cm="1">
        <f t="array" aca="1" ref="W21" ca="1">INDIRECT("'"&amp;$C$6&amp;"'!"&amp;ADDRESS(ROW(),COLUMN()+44))</f>
        <v>7.7494623261812112E-2</v>
      </c>
      <c r="X21" s="14" cm="1">
        <f t="array" aca="1" ref="X21" ca="1">INDIRECT("'"&amp;$C$6&amp;"'!"&amp;ADDRESS(ROW(),COLUMN()+44))</f>
        <v>7.2375066852906844E-2</v>
      </c>
      <c r="Y21" s="14" cm="1">
        <f t="array" aca="1" ref="Y21" ca="1">INDIRECT("'"&amp;$C$6&amp;"'!"&amp;ADDRESS(ROW(),COLUMN()+44))</f>
        <v>7.7073241036773821E-2</v>
      </c>
      <c r="Z21" s="14" cm="1">
        <f t="array" aca="1" ref="Z21" ca="1">INDIRECT("'"&amp;$C$6&amp;"'!"&amp;ADDRESS(ROW(),COLUMN()+44))</f>
        <v>6.5973937159895524E-2</v>
      </c>
      <c r="AA21" s="14" cm="1">
        <f t="array" aca="1" ref="AA21" ca="1">INDIRECT("'"&amp;$C$6&amp;"'!"&amp;ADDRESS(ROW(),COLUMN()+44))</f>
        <v>7.4294711296670313E-2</v>
      </c>
      <c r="AB21" s="14" cm="1">
        <f t="array" aca="1" ref="AB21" ca="1">INDIRECT("'"&amp;$C$6&amp;"'!"&amp;ADDRESS(ROW(),COLUMN()+44))</f>
        <v>7.0310612911428594E-2</v>
      </c>
      <c r="AD21" s="44"/>
      <c r="AE21" s="44"/>
      <c r="AF21" s="44"/>
      <c r="AG21" s="44"/>
      <c r="AH21" s="44"/>
      <c r="AJ21" s="42">
        <f t="shared" ca="1" si="44"/>
        <v>51.195564089052681</v>
      </c>
      <c r="AK21" s="42">
        <f t="shared" ca="1" si="44"/>
        <v>4.2138222503829148</v>
      </c>
      <c r="AL21" s="42">
        <f t="shared" ca="1" si="44"/>
        <v>115.20686101916588</v>
      </c>
      <c r="AM21" s="42">
        <f t="shared" ca="1" si="44"/>
        <v>31.999119651417995</v>
      </c>
      <c r="AN21" s="42">
        <f t="shared" ca="1" si="44"/>
        <v>71.840103503835181</v>
      </c>
    </row>
    <row r="22" spans="1:40" hidden="1" outlineLevel="1" x14ac:dyDescent="0.25">
      <c r="A22" s="11"/>
      <c r="C22" s="2" t="s">
        <v>45</v>
      </c>
      <c r="D22" s="14">
        <f t="shared" ca="1" si="45"/>
        <v>8.9721569683756108E-2</v>
      </c>
      <c r="E22" s="14">
        <f t="shared" ca="1" si="42"/>
        <v>8.7265585705735615E-2</v>
      </c>
      <c r="F22" s="14">
        <f t="shared" ca="1" si="42"/>
        <v>9.7956684328677435E-2</v>
      </c>
      <c r="G22" s="14">
        <f t="shared" ca="1" si="42"/>
        <v>0.1120822412936997</v>
      </c>
      <c r="H22" s="14">
        <f t="shared" ca="1" si="42"/>
        <v>6.4649013657577026E-2</v>
      </c>
      <c r="I22" s="14">
        <f t="shared" ca="1" si="42"/>
        <v>5.520267246584476E-2</v>
      </c>
      <c r="K22" s="44"/>
      <c r="L22" s="44"/>
      <c r="M22" s="44"/>
      <c r="N22" s="44"/>
      <c r="O22" s="44"/>
      <c r="Q22" s="42">
        <f t="shared" ca="1" si="46"/>
        <v>24.559839780204928</v>
      </c>
      <c r="R22" s="42">
        <f t="shared" ca="1" si="43"/>
        <v>-82.35114644921326</v>
      </c>
      <c r="S22" s="42">
        <f t="shared" ca="1" si="43"/>
        <v>-223.60671609943594</v>
      </c>
      <c r="T22" s="42">
        <f t="shared" ca="1" si="43"/>
        <v>250.72556026179083</v>
      </c>
      <c r="U22" s="42">
        <f t="shared" ca="1" si="43"/>
        <v>345.18897217911348</v>
      </c>
      <c r="W22" s="14" cm="1">
        <f t="array" aca="1" ref="W22" ca="1">INDIRECT("'"&amp;$C$6&amp;"'!"&amp;ADDRESS(ROW(),COLUMN()+44))</f>
        <v>9.2717636307968254E-2</v>
      </c>
      <c r="X22" s="14" cm="1">
        <f t="array" aca="1" ref="X22" ca="1">INDIRECT("'"&amp;$C$6&amp;"'!"&amp;ADDRESS(ROW(),COLUMN()+44))</f>
        <v>9.0299601923856665E-2</v>
      </c>
      <c r="Y22" s="14" cm="1">
        <f t="array" aca="1" ref="Y22" ca="1">INDIRECT("'"&amp;$C$6&amp;"'!"&amp;ADDRESS(ROW(),COLUMN()+44))</f>
        <v>9.429888803929054E-2</v>
      </c>
      <c r="Z22" s="14" cm="1">
        <f t="array" aca="1" ref="Z22" ca="1">INDIRECT("'"&amp;$C$6&amp;"'!"&amp;ADDRESS(ROW(),COLUMN()+44))</f>
        <v>9.5011802942374102E-2</v>
      </c>
      <c r="AA22" s="14" cm="1">
        <f t="array" aca="1" ref="AA22" ca="1">INDIRECT("'"&amp;$C$6&amp;"'!"&amp;ADDRESS(ROW(),COLUMN()+44))</f>
        <v>6.2221606991115008E-2</v>
      </c>
      <c r="AB22" s="14" cm="1">
        <f t="array" aca="1" ref="AB22" ca="1">INDIRECT("'"&amp;$C$6&amp;"'!"&amp;ADDRESS(ROW(),COLUMN()+44))</f>
        <v>5.197313134114423E-2</v>
      </c>
      <c r="AD22" s="44"/>
      <c r="AE22" s="44"/>
      <c r="AF22" s="44"/>
      <c r="AG22" s="44"/>
      <c r="AH22" s="44"/>
      <c r="AJ22" s="42">
        <f t="shared" ca="1" si="44"/>
        <v>24.180343841115892</v>
      </c>
      <c r="AK22" s="42">
        <f t="shared" ca="1" si="44"/>
        <v>-15.812517313222862</v>
      </c>
      <c r="AL22" s="42">
        <f t="shared" ca="1" si="44"/>
        <v>-22.941666344058476</v>
      </c>
      <c r="AM22" s="42">
        <f t="shared" ca="1" si="44"/>
        <v>304.96029316853247</v>
      </c>
      <c r="AN22" s="42">
        <f t="shared" ca="1" si="44"/>
        <v>407.44504966824024</v>
      </c>
    </row>
    <row r="23" spans="1:40" collapsed="1" x14ac:dyDescent="0.25">
      <c r="C23" s="3" t="s">
        <v>59</v>
      </c>
      <c r="D23" s="15">
        <f t="shared" ca="1" si="45"/>
        <v>0.16343381872056995</v>
      </c>
      <c r="E23" s="15">
        <f t="shared" ca="1" si="42"/>
        <v>0.16308314067711582</v>
      </c>
      <c r="F23" s="15">
        <f t="shared" ca="1" si="42"/>
        <v>0.16485397776930322</v>
      </c>
      <c r="G23" s="15">
        <f t="shared" ca="1" si="42"/>
        <v>0.16512236779574008</v>
      </c>
      <c r="H23" s="15">
        <f t="shared" ca="1" si="42"/>
        <v>0.16600838315346422</v>
      </c>
      <c r="I23" s="15">
        <f t="shared" ca="1" si="42"/>
        <v>0.18343664328476428</v>
      </c>
      <c r="K23" s="44"/>
      <c r="L23" s="44"/>
      <c r="M23" s="44"/>
      <c r="N23" s="44"/>
      <c r="O23" s="44"/>
      <c r="Q23" s="43">
        <f t="shared" ca="1" si="46"/>
        <v>3.5067804345412235</v>
      </c>
      <c r="R23" s="43">
        <f t="shared" ca="1" si="43"/>
        <v>-14.201590487332716</v>
      </c>
      <c r="S23" s="43">
        <f t="shared" ca="1" si="43"/>
        <v>-16.885490751701315</v>
      </c>
      <c r="T23" s="43">
        <f t="shared" ca="1" si="43"/>
        <v>-25.745644328942774</v>
      </c>
      <c r="U23" s="43">
        <f t="shared" ca="1" si="43"/>
        <v>-200.02824564194333</v>
      </c>
      <c r="W23" s="15" cm="1">
        <f t="array" aca="1" ref="W23" ca="1">INDIRECT("'"&amp;$C$6&amp;"'!"&amp;ADDRESS(ROW(),COLUMN()+44))</f>
        <v>0.16418504566936254</v>
      </c>
      <c r="X23" s="15" cm="1">
        <f t="array" aca="1" ref="X23" ca="1">INDIRECT("'"&amp;$C$6&amp;"'!"&amp;ADDRESS(ROW(),COLUMN()+44))</f>
        <v>0.16256959853166819</v>
      </c>
      <c r="Y23" s="15" cm="1">
        <f t="array" aca="1" ref="Y23" ca="1">INDIRECT("'"&amp;$C$6&amp;"'!"&amp;ADDRESS(ROW(),COLUMN()+44))</f>
        <v>0.16450709638744132</v>
      </c>
      <c r="Z23" s="15" cm="1">
        <f t="array" aca="1" ref="Z23" ca="1">INDIRECT("'"&amp;$C$6&amp;"'!"&amp;ADDRESS(ROW(),COLUMN()+44))</f>
        <v>0.16499509194385786</v>
      </c>
      <c r="AA23" s="15" cm="1">
        <f t="array" aca="1" ref="AA23" ca="1">INDIRECT("'"&amp;$C$6&amp;"'!"&amp;ADDRESS(ROW(),COLUMN()+44))</f>
        <v>0.16756622258955245</v>
      </c>
      <c r="AB23" s="15" cm="1">
        <f t="array" aca="1" ref="AB23" ca="1">INDIRECT("'"&amp;$C$6&amp;"'!"&amp;ADDRESS(ROW(),COLUMN()+44))</f>
        <v>0.18367536511313953</v>
      </c>
      <c r="AD23" s="44"/>
      <c r="AE23" s="44"/>
      <c r="AF23" s="44"/>
      <c r="AG23" s="44"/>
      <c r="AH23" s="44"/>
      <c r="AJ23" s="43">
        <f t="shared" ca="1" si="44"/>
        <v>16.15447137694348</v>
      </c>
      <c r="AK23" s="43">
        <f t="shared" ca="1" si="44"/>
        <v>-3.2205071807878127</v>
      </c>
      <c r="AL23" s="43">
        <f t="shared" ca="1" si="44"/>
        <v>-8.1004627449532407</v>
      </c>
      <c r="AM23" s="43">
        <f t="shared" ca="1" si="44"/>
        <v>-33.811769201899097</v>
      </c>
      <c r="AN23" s="43">
        <f t="shared" ca="1" si="44"/>
        <v>-194.90319443776994</v>
      </c>
    </row>
    <row r="26" spans="1:40" hidden="1" outlineLevel="1" x14ac:dyDescent="0.25">
      <c r="A26" s="11"/>
      <c r="C26" s="2" t="s">
        <v>0</v>
      </c>
      <c r="D26" s="14">
        <f ca="1">-IFERROR(((1-D44/D14)^(360/D$4))-1,0)</f>
        <v>-6.097376688847933E-2</v>
      </c>
      <c r="E26" s="14">
        <f t="shared" ref="E26:I29" ca="1" si="47">-IFERROR(((1-E44/E14)^(360/E$4))-1,0)</f>
        <v>-6.3250996200431953E-2</v>
      </c>
      <c r="F26" s="14">
        <f t="shared" ca="1" si="47"/>
        <v>-6.1716171810352494E-2</v>
      </c>
      <c r="G26" s="14">
        <f t="shared" ca="1" si="47"/>
        <v>-6.8847076705795374E-2</v>
      </c>
      <c r="H26" s="14">
        <f t="shared" ca="1" si="47"/>
        <v>-7.7250828889851464E-2</v>
      </c>
      <c r="I26" s="14">
        <f t="shared" ca="1" si="47"/>
        <v>-7.3901929344797779E-2</v>
      </c>
      <c r="K26" s="44"/>
      <c r="L26" s="44"/>
      <c r="M26" s="44"/>
      <c r="N26" s="44"/>
      <c r="O26" s="44"/>
      <c r="Q26" s="42">
        <f ca="1">($D26-E26)*10000</f>
        <v>22.772293119526221</v>
      </c>
      <c r="R26" s="42">
        <f t="shared" ref="R26:R29" ca="1" si="48">($D26-F26)*10000</f>
        <v>7.424049218731632</v>
      </c>
      <c r="S26" s="42">
        <f t="shared" ref="S26:S29" ca="1" si="49">($D26-G26)*10000</f>
        <v>78.733098173160428</v>
      </c>
      <c r="T26" s="42">
        <f t="shared" ref="T26:T29" ca="1" si="50">($D26-H26)*10000</f>
        <v>162.77062001372133</v>
      </c>
      <c r="U26" s="42">
        <f t="shared" ref="U26:U29" ca="1" si="51">($D26-I26)*10000</f>
        <v>129.28162456318449</v>
      </c>
      <c r="W26" s="14" cm="1">
        <f t="array" aca="1" ref="W26" ca="1">INDIRECT("'"&amp;$C$6&amp;"'!"&amp;ADDRESS(ROW(),COLUMN()+44))</f>
        <v>-6.1733010985863368E-2</v>
      </c>
      <c r="X26" s="14" cm="1">
        <f t="array" aca="1" ref="X26" ca="1">INDIRECT("'"&amp;$C$6&amp;"'!"&amp;ADDRESS(ROW(),COLUMN()+44))</f>
        <v>-6.3725702431868037E-2</v>
      </c>
      <c r="Y26" s="14" cm="1">
        <f t="array" aca="1" ref="Y26" ca="1">INDIRECT("'"&amp;$C$6&amp;"'!"&amp;ADDRESS(ROW(),COLUMN()+44))</f>
        <v>-6.2110866253112684E-2</v>
      </c>
      <c r="Z26" s="14" cm="1">
        <f t="array" aca="1" ref="Z26" ca="1">INDIRECT("'"&amp;$C$6&amp;"'!"&amp;ADDRESS(ROW(),COLUMN()+44))</f>
        <v>-7.0187759593030918E-2</v>
      </c>
      <c r="AA26" s="14" cm="1">
        <f t="array" aca="1" ref="AA26" ca="1">INDIRECT("'"&amp;$C$6&amp;"'!"&amp;ADDRESS(ROW(),COLUMN()+44))</f>
        <v>-7.7652318835438328E-2</v>
      </c>
      <c r="AB26" s="14" cm="1">
        <f t="array" aca="1" ref="AB26" ca="1">INDIRECT("'"&amp;$C$6&amp;"'!"&amp;ADDRESS(ROW(),COLUMN()+44))</f>
        <v>-7.1837695307832128E-2</v>
      </c>
      <c r="AD26" s="44"/>
      <c r="AE26" s="44"/>
      <c r="AF26" s="44"/>
      <c r="AG26" s="44"/>
      <c r="AH26" s="44"/>
      <c r="AJ26" s="42">
        <f t="shared" ref="AJ26:AN29" ca="1" si="52">($W26-X26)*10000</f>
        <v>19.926914460046685</v>
      </c>
      <c r="AK26" s="42">
        <f t="shared" ca="1" si="52"/>
        <v>3.7785526724931628</v>
      </c>
      <c r="AL26" s="42">
        <f t="shared" ca="1" si="52"/>
        <v>84.547486071675507</v>
      </c>
      <c r="AM26" s="42">
        <f t="shared" ca="1" si="52"/>
        <v>159.1930784957496</v>
      </c>
      <c r="AN26" s="42">
        <f t="shared" ca="1" si="52"/>
        <v>101.0468432196876</v>
      </c>
    </row>
    <row r="27" spans="1:40" hidden="1" outlineLevel="1" x14ac:dyDescent="0.25">
      <c r="A27" s="11"/>
      <c r="C27" s="2" t="s">
        <v>1</v>
      </c>
      <c r="D27" s="14">
        <f t="shared" ref="D27:I29" ca="1" si="53">-IFERROR(((1-D45/D15)^(360/D$4))-1,0)</f>
        <v>-6.2075308674422347E-2</v>
      </c>
      <c r="E27" s="14">
        <f t="shared" ca="1" si="53"/>
        <v>-1.0266522128817623E-2</v>
      </c>
      <c r="F27" s="14">
        <f t="shared" ca="1" si="53"/>
        <v>-6.2335947898884969E-2</v>
      </c>
      <c r="G27" s="14">
        <f t="shared" ca="1" si="53"/>
        <v>-6.5807270002748108E-2</v>
      </c>
      <c r="H27" s="14">
        <f t="shared" ca="1" si="53"/>
        <v>-7.4922107119187675E-2</v>
      </c>
      <c r="I27" s="14">
        <f t="shared" ca="1" si="53"/>
        <v>-7.7408171969443496E-2</v>
      </c>
      <c r="K27" s="44"/>
      <c r="L27" s="44"/>
      <c r="M27" s="44"/>
      <c r="N27" s="44"/>
      <c r="O27" s="44"/>
      <c r="Q27" s="42">
        <f t="shared" ref="Q27:Q29" ca="1" si="54">($D27-E27)*10000</f>
        <v>-518.08786545604721</v>
      </c>
      <c r="R27" s="42">
        <f t="shared" ca="1" si="48"/>
        <v>2.6063922446262211</v>
      </c>
      <c r="S27" s="42">
        <f t="shared" ca="1" si="49"/>
        <v>37.31961328325761</v>
      </c>
      <c r="T27" s="42">
        <f t="shared" ca="1" si="50"/>
        <v>128.46798444765329</v>
      </c>
      <c r="U27" s="42">
        <f t="shared" ca="1" si="51"/>
        <v>153.3286329502115</v>
      </c>
      <c r="W27" s="14" cm="1">
        <f t="array" aca="1" ref="W27" ca="1">INDIRECT("'"&amp;$C$6&amp;"'!"&amp;ADDRESS(ROW(),COLUMN()+44))</f>
        <v>-6.2334564033221129E-2</v>
      </c>
      <c r="X27" s="14" cm="1">
        <f t="array" aca="1" ref="X27" ca="1">INDIRECT("'"&amp;$C$6&amp;"'!"&amp;ADDRESS(ROW(),COLUMN()+44))</f>
        <v>-9.8278780846166036E-3</v>
      </c>
      <c r="Y27" s="14" cm="1">
        <f t="array" aca="1" ref="Y27" ca="1">INDIRECT("'"&amp;$C$6&amp;"'!"&amp;ADDRESS(ROW(),COLUMN()+44))</f>
        <v>-6.2503812147285176E-2</v>
      </c>
      <c r="Z27" s="14" cm="1">
        <f t="array" aca="1" ref="Z27" ca="1">INDIRECT("'"&amp;$C$6&amp;"'!"&amp;ADDRESS(ROW(),COLUMN()+44))</f>
        <v>-6.6453035616620637E-2</v>
      </c>
      <c r="AA27" s="14" cm="1">
        <f t="array" aca="1" ref="AA27" ca="1">INDIRECT("'"&amp;$C$6&amp;"'!"&amp;ADDRESS(ROW(),COLUMN()+44))</f>
        <v>-7.5895307483060392E-2</v>
      </c>
      <c r="AB27" s="14" cm="1">
        <f t="array" aca="1" ref="AB27" ca="1">INDIRECT("'"&amp;$C$6&amp;"'!"&amp;ADDRESS(ROW(),COLUMN()+44))</f>
        <v>-7.5197445311519839E-2</v>
      </c>
      <c r="AD27" s="44"/>
      <c r="AE27" s="44"/>
      <c r="AF27" s="44"/>
      <c r="AG27" s="44"/>
      <c r="AH27" s="44"/>
      <c r="AJ27" s="42">
        <f t="shared" ca="1" si="52"/>
        <v>-525.06685948604525</v>
      </c>
      <c r="AK27" s="42">
        <f t="shared" ca="1" si="52"/>
        <v>1.6924811406404672</v>
      </c>
      <c r="AL27" s="42">
        <f t="shared" ca="1" si="52"/>
        <v>41.184715833995078</v>
      </c>
      <c r="AM27" s="42">
        <f t="shared" ca="1" si="52"/>
        <v>135.60743449839262</v>
      </c>
      <c r="AN27" s="42">
        <f t="shared" ca="1" si="52"/>
        <v>128.6288127829871</v>
      </c>
    </row>
    <row r="28" spans="1:40" hidden="1" outlineLevel="1" x14ac:dyDescent="0.25">
      <c r="A28" s="11"/>
      <c r="C28" s="2" t="s">
        <v>45</v>
      </c>
      <c r="D28" s="14">
        <f t="shared" ca="1" si="53"/>
        <v>-6.8924424621724212E-2</v>
      </c>
      <c r="E28" s="14">
        <f t="shared" ca="1" si="47"/>
        <v>-4.9994587494456288E-2</v>
      </c>
      <c r="F28" s="14">
        <f t="shared" ca="1" si="47"/>
        <v>-6.966888573215213E-2</v>
      </c>
      <c r="G28" s="14">
        <f t="shared" ca="1" si="47"/>
        <v>-8.0503367595661235E-2</v>
      </c>
      <c r="H28" s="14">
        <f t="shared" ca="1" si="47"/>
        <v>-7.4043533924106564E-2</v>
      </c>
      <c r="I28" s="14">
        <f t="shared" ca="1" si="47"/>
        <v>-4.4435646792925887E-2</v>
      </c>
      <c r="K28" s="44"/>
      <c r="L28" s="44"/>
      <c r="M28" s="44"/>
      <c r="N28" s="44"/>
      <c r="O28" s="44"/>
      <c r="Q28" s="42">
        <f t="shared" ca="1" si="54"/>
        <v>-189.29837127267922</v>
      </c>
      <c r="R28" s="42">
        <f t="shared" ca="1" si="48"/>
        <v>7.4446111042791863</v>
      </c>
      <c r="S28" s="42">
        <f t="shared" ca="1" si="49"/>
        <v>115.78942973937023</v>
      </c>
      <c r="T28" s="42">
        <f t="shared" ca="1" si="50"/>
        <v>51.19109302382352</v>
      </c>
      <c r="U28" s="42">
        <f t="shared" ca="1" si="51"/>
        <v>-244.88777828798325</v>
      </c>
      <c r="W28" s="14" cm="1">
        <f t="array" aca="1" ref="W28" ca="1">INDIRECT("'"&amp;$C$6&amp;"'!"&amp;ADDRESS(ROW(),COLUMN()+44))</f>
        <v>-6.9561900398332099E-2</v>
      </c>
      <c r="X28" s="14" cm="1">
        <f t="array" aca="1" ref="X28" ca="1">INDIRECT("'"&amp;$C$6&amp;"'!"&amp;ADDRESS(ROW(),COLUMN()+44))</f>
        <v>-4.9273724139488939E-2</v>
      </c>
      <c r="Y28" s="14" cm="1">
        <f t="array" aca="1" ref="Y28" ca="1">INDIRECT("'"&amp;$C$6&amp;"'!"&amp;ADDRESS(ROW(),COLUMN()+44))</f>
        <v>-6.9947201518835156E-2</v>
      </c>
      <c r="Z28" s="14" cm="1">
        <f t="array" aca="1" ref="Z28" ca="1">INDIRECT("'"&amp;$C$6&amp;"'!"&amp;ADDRESS(ROW(),COLUMN()+44))</f>
        <v>-7.6444819241828998E-2</v>
      </c>
      <c r="AA28" s="14" cm="1">
        <f t="array" aca="1" ref="AA28" ca="1">INDIRECT("'"&amp;$C$6&amp;"'!"&amp;ADDRESS(ROW(),COLUMN()+44))</f>
        <v>-7.2862044930364522E-2</v>
      </c>
      <c r="AB28" s="14" cm="1">
        <f t="array" aca="1" ref="AB28" ca="1">INDIRECT("'"&amp;$C$6&amp;"'!"&amp;ADDRESS(ROW(),COLUMN()+44))</f>
        <v>-4.3699913064573215E-2</v>
      </c>
      <c r="AD28" s="44"/>
      <c r="AE28" s="44"/>
      <c r="AF28" s="44"/>
      <c r="AG28" s="44"/>
      <c r="AH28" s="44"/>
      <c r="AJ28" s="42">
        <f t="shared" ca="1" si="52"/>
        <v>-202.8817625884316</v>
      </c>
      <c r="AK28" s="42">
        <f t="shared" ca="1" si="52"/>
        <v>3.8530112050305654</v>
      </c>
      <c r="AL28" s="42">
        <f t="shared" ca="1" si="52"/>
        <v>68.829188434968984</v>
      </c>
      <c r="AM28" s="42">
        <f t="shared" ca="1" si="52"/>
        <v>33.00144532032423</v>
      </c>
      <c r="AN28" s="42">
        <f t="shared" ca="1" si="52"/>
        <v>-258.61987333758884</v>
      </c>
    </row>
    <row r="29" spans="1:40" collapsed="1" x14ac:dyDescent="0.25">
      <c r="C29" s="3" t="s">
        <v>60</v>
      </c>
      <c r="D29" s="15">
        <f t="shared" ca="1" si="53"/>
        <v>-6.1218063169022008E-2</v>
      </c>
      <c r="E29" s="15">
        <f t="shared" ca="1" si="47"/>
        <v>-6.2270295433018541E-2</v>
      </c>
      <c r="F29" s="15">
        <f t="shared" ca="1" si="47"/>
        <v>-6.1972801733356508E-2</v>
      </c>
      <c r="G29" s="15">
        <f t="shared" ca="1" si="47"/>
        <v>-6.9273379161589377E-2</v>
      </c>
      <c r="H29" s="15">
        <f t="shared" ca="1" si="47"/>
        <v>-7.7089510427544417E-2</v>
      </c>
      <c r="I29" s="15">
        <f t="shared" ca="1" si="47"/>
        <v>-7.3231813658673595E-2</v>
      </c>
      <c r="K29" s="44"/>
      <c r="L29" s="44"/>
      <c r="M29" s="44"/>
      <c r="N29" s="44"/>
      <c r="O29" s="44"/>
      <c r="Q29" s="43">
        <f t="shared" ca="1" si="54"/>
        <v>10.522322639965331</v>
      </c>
      <c r="R29" s="43">
        <f t="shared" ca="1" si="48"/>
        <v>7.5473856433450059</v>
      </c>
      <c r="S29" s="43">
        <f t="shared" ca="1" si="49"/>
        <v>80.553159925673697</v>
      </c>
      <c r="T29" s="43">
        <f t="shared" ca="1" si="50"/>
        <v>158.71447258522409</v>
      </c>
      <c r="U29" s="43">
        <f t="shared" ca="1" si="51"/>
        <v>120.13750489651586</v>
      </c>
      <c r="W29" s="15" cm="1">
        <f t="array" aca="1" ref="W29" ca="1">INDIRECT("'"&amp;$C$6&amp;"'!"&amp;ADDRESS(ROW(),COLUMN()+44))</f>
        <v>-6.1982088305645666E-2</v>
      </c>
      <c r="X29" s="15" cm="1">
        <f t="array" aca="1" ref="X29" ca="1">INDIRECT("'"&amp;$C$6&amp;"'!"&amp;ADDRESS(ROW(),COLUMN()+44))</f>
        <v>-6.2649114463934952E-2</v>
      </c>
      <c r="Y29" s="15" cm="1">
        <f t="array" aca="1" ref="Y29" ca="1">INDIRECT("'"&amp;$C$6&amp;"'!"&amp;ADDRESS(ROW(),COLUMN()+44))</f>
        <v>-6.2364839588315402E-2</v>
      </c>
      <c r="Z29" s="15" cm="1">
        <f t="array" aca="1" ref="Z29" ca="1">INDIRECT("'"&amp;$C$6&amp;"'!"&amp;ADDRESS(ROW(),COLUMN()+44))</f>
        <v>-7.0409997735469965E-2</v>
      </c>
      <c r="AA29" s="15" cm="1">
        <f t="array" aca="1" ref="AA29" ca="1">INDIRECT("'"&amp;$C$6&amp;"'!"&amp;ADDRESS(ROW(),COLUMN()+44))</f>
        <v>-7.7418735738611577E-2</v>
      </c>
      <c r="AB29" s="15" cm="1">
        <f t="array" aca="1" ref="AB29" ca="1">INDIRECT("'"&amp;$C$6&amp;"'!"&amp;ADDRESS(ROW(),COLUMN()+44))</f>
        <v>-7.1128209358071626E-2</v>
      </c>
      <c r="AD29" s="44"/>
      <c r="AE29" s="44"/>
      <c r="AF29" s="44"/>
      <c r="AG29" s="44"/>
      <c r="AH29" s="44"/>
      <c r="AJ29" s="43">
        <f t="shared" ca="1" si="52"/>
        <v>6.6702615828928558</v>
      </c>
      <c r="AK29" s="43">
        <f t="shared" ca="1" si="52"/>
        <v>3.8275128266973546</v>
      </c>
      <c r="AL29" s="43">
        <f t="shared" ca="1" si="52"/>
        <v>84.279094298242981</v>
      </c>
      <c r="AM29" s="43">
        <f t="shared" ca="1" si="52"/>
        <v>154.3664743296591</v>
      </c>
      <c r="AN29" s="43">
        <f t="shared" ca="1" si="52"/>
        <v>91.461210524259599</v>
      </c>
    </row>
    <row r="32" spans="1:40" hidden="1" outlineLevel="1" x14ac:dyDescent="0.25">
      <c r="A32" s="11"/>
      <c r="C32" s="2" t="s">
        <v>0</v>
      </c>
      <c r="D32" s="14">
        <f ca="1">D20+D26</f>
        <v>0.1057909700334061</v>
      </c>
      <c r="E32" s="14">
        <f t="shared" ref="E32:I32" ca="1" si="55">E20+E26</f>
        <v>0.10354644915550293</v>
      </c>
      <c r="F32" s="14">
        <f t="shared" ca="1" si="55"/>
        <v>0.1064771559459774</v>
      </c>
      <c r="G32" s="14">
        <f t="shared" ca="1" si="55"/>
        <v>0.10032176572516294</v>
      </c>
      <c r="H32" s="14">
        <f t="shared" ca="1" si="55"/>
        <v>9.4410943300800243E-2</v>
      </c>
      <c r="I32" s="14">
        <f t="shared" ca="1" si="55"/>
        <v>0.11319653362777471</v>
      </c>
      <c r="K32" s="44"/>
      <c r="L32" s="44"/>
      <c r="M32" s="44"/>
      <c r="N32" s="44"/>
      <c r="O32" s="44"/>
      <c r="Q32" s="42">
        <f ca="1">($D32-E32)*10000</f>
        <v>22.445208779031667</v>
      </c>
      <c r="R32" s="42">
        <f t="shared" ref="R32:R35" ca="1" si="56">($D32-F32)*10000</f>
        <v>-6.8618591257130213</v>
      </c>
      <c r="S32" s="42">
        <f t="shared" ref="S32:S35" ca="1" si="57">($D32-G32)*10000</f>
        <v>54.692043082431582</v>
      </c>
      <c r="T32" s="42">
        <f t="shared" ref="T32:T35" ca="1" si="58">($D32-H32)*10000</f>
        <v>113.80026732605853</v>
      </c>
      <c r="U32" s="42">
        <f t="shared" ref="U32:U35" ca="1" si="59">($D32-I32)*10000</f>
        <v>-74.055635943686141</v>
      </c>
      <c r="W32" s="14">
        <f ca="1">W20+W26</f>
        <v>0.10591633271906309</v>
      </c>
      <c r="X32" s="14">
        <f t="shared" ref="X32:AB32" ca="1" si="60">X20+X26</f>
        <v>0.10256137484992389</v>
      </c>
      <c r="Y32" s="14">
        <f t="shared" ca="1" si="60"/>
        <v>0.10592140946856476</v>
      </c>
      <c r="Z32" s="14">
        <f t="shared" ca="1" si="60"/>
        <v>9.9836833431917071E-2</v>
      </c>
      <c r="AA32" s="14">
        <f t="shared" ca="1" si="60"/>
        <v>9.5649789854941103E-2</v>
      </c>
      <c r="AB32" s="14">
        <f t="shared" ca="1" si="60"/>
        <v>0.11590914877198388</v>
      </c>
      <c r="AD32" s="44"/>
      <c r="AE32" s="44"/>
      <c r="AF32" s="44"/>
      <c r="AG32" s="44"/>
      <c r="AH32" s="44"/>
      <c r="AJ32" s="42">
        <f t="shared" ref="AJ32:AN35" ca="1" si="61">($W32-X32)*10000</f>
        <v>33.549578691391972</v>
      </c>
      <c r="AK32" s="42">
        <f t="shared" ca="1" si="61"/>
        <v>-5.0767495016756925E-2</v>
      </c>
      <c r="AL32" s="42">
        <f t="shared" ca="1" si="61"/>
        <v>60.794992871460174</v>
      </c>
      <c r="AM32" s="42">
        <f t="shared" ca="1" si="61"/>
        <v>102.66542864121986</v>
      </c>
      <c r="AN32" s="42">
        <f t="shared" ca="1" si="61"/>
        <v>-99.928160529207943</v>
      </c>
    </row>
    <row r="33" spans="1:40" hidden="1" outlineLevel="1" x14ac:dyDescent="0.25">
      <c r="A33" s="11"/>
      <c r="C33" s="2" t="s">
        <v>1</v>
      </c>
      <c r="D33" s="14">
        <f t="shared" ref="D33:I35" ca="1" si="62">D21+D27</f>
        <v>1.6343387567000489E-2</v>
      </c>
      <c r="E33" s="14">
        <f t="shared" ca="1" si="62"/>
        <v>6.2294942973938783E-2</v>
      </c>
      <c r="F33" s="14">
        <f t="shared" ca="1" si="62"/>
        <v>1.609675170616276E-2</v>
      </c>
      <c r="G33" s="14">
        <f t="shared" ca="1" si="62"/>
        <v>-5.993400731618248E-3</v>
      </c>
      <c r="H33" s="14">
        <f t="shared" ca="1" si="62"/>
        <v>-1.0322408546059592E-2</v>
      </c>
      <c r="I33" s="14">
        <f t="shared" ca="1" si="62"/>
        <v>-1.7092727335518809E-2</v>
      </c>
      <c r="K33" s="44"/>
      <c r="L33" s="44"/>
      <c r="M33" s="44"/>
      <c r="N33" s="44"/>
      <c r="O33" s="44"/>
      <c r="Q33" s="42">
        <f t="shared" ref="Q33:Q35" ca="1" si="63">($D33-E33)*10000</f>
        <v>-459.51555406938292</v>
      </c>
      <c r="R33" s="42">
        <f t="shared" ca="1" si="56"/>
        <v>2.4663586083772948</v>
      </c>
      <c r="S33" s="42">
        <f t="shared" ca="1" si="57"/>
        <v>223.36788298618737</v>
      </c>
      <c r="T33" s="42">
        <f t="shared" ca="1" si="58"/>
        <v>266.65796113060082</v>
      </c>
      <c r="U33" s="42">
        <f t="shared" ca="1" si="59"/>
        <v>334.36114902519296</v>
      </c>
      <c r="W33" s="14">
        <f t="shared" ref="W33:AB33" ca="1" si="64">W21+W27</f>
        <v>1.5160059228590983E-2</v>
      </c>
      <c r="X33" s="14">
        <f t="shared" ca="1" si="64"/>
        <v>6.2547188768290241E-2</v>
      </c>
      <c r="Y33" s="14">
        <f t="shared" ca="1" si="64"/>
        <v>1.4569428889488645E-2</v>
      </c>
      <c r="Z33" s="14">
        <f t="shared" ca="1" si="64"/>
        <v>-4.7909845672511331E-4</v>
      </c>
      <c r="AA33" s="14">
        <f t="shared" ca="1" si="64"/>
        <v>-1.6005961863900797E-3</v>
      </c>
      <c r="AB33" s="14">
        <f t="shared" ca="1" si="64"/>
        <v>-4.8868324000912455E-3</v>
      </c>
      <c r="AD33" s="44"/>
      <c r="AE33" s="44"/>
      <c r="AF33" s="44"/>
      <c r="AG33" s="44"/>
      <c r="AH33" s="44"/>
      <c r="AJ33" s="42">
        <f t="shared" ca="1" si="61"/>
        <v>-473.87129539699259</v>
      </c>
      <c r="AK33" s="42">
        <f t="shared" ca="1" si="61"/>
        <v>5.906303391023382</v>
      </c>
      <c r="AL33" s="42">
        <f t="shared" ca="1" si="61"/>
        <v>156.39157685316096</v>
      </c>
      <c r="AM33" s="42">
        <f t="shared" ca="1" si="61"/>
        <v>167.60655414981062</v>
      </c>
      <c r="AN33" s="42">
        <f t="shared" ca="1" si="61"/>
        <v>200.46891628682229</v>
      </c>
    </row>
    <row r="34" spans="1:40" hidden="1" outlineLevel="1" x14ac:dyDescent="0.25">
      <c r="A34" s="11"/>
      <c r="C34" s="2" t="s">
        <v>45</v>
      </c>
      <c r="D34" s="14">
        <f t="shared" ca="1" si="62"/>
        <v>2.0797145062031897E-2</v>
      </c>
      <c r="E34" s="14">
        <f t="shared" ca="1" si="62"/>
        <v>3.7270998211279327E-2</v>
      </c>
      <c r="F34" s="14">
        <f t="shared" ca="1" si="62"/>
        <v>2.8287798596525304E-2</v>
      </c>
      <c r="G34" s="14">
        <f t="shared" ca="1" si="62"/>
        <v>3.1578873698038468E-2</v>
      </c>
      <c r="H34" s="14">
        <f t="shared" ca="1" si="62"/>
        <v>-9.394520266529538E-3</v>
      </c>
      <c r="I34" s="14">
        <f t="shared" ca="1" si="62"/>
        <v>1.0767025672918873E-2</v>
      </c>
      <c r="K34" s="44"/>
      <c r="L34" s="44"/>
      <c r="M34" s="44"/>
      <c r="N34" s="44"/>
      <c r="O34" s="44"/>
      <c r="Q34" s="42">
        <f t="shared" ca="1" si="63"/>
        <v>-164.73853149247429</v>
      </c>
      <c r="R34" s="42">
        <f t="shared" ca="1" si="56"/>
        <v>-74.906535344934071</v>
      </c>
      <c r="S34" s="42">
        <f t="shared" ca="1" si="57"/>
        <v>-107.81728636006571</v>
      </c>
      <c r="T34" s="42">
        <f t="shared" ca="1" si="58"/>
        <v>301.91665328561436</v>
      </c>
      <c r="U34" s="42">
        <f t="shared" ca="1" si="59"/>
        <v>100.30119389113024</v>
      </c>
      <c r="W34" s="14">
        <f t="shared" ref="W34:AB34" ca="1" si="65">W22+W28</f>
        <v>2.3155735909636155E-2</v>
      </c>
      <c r="X34" s="14">
        <f t="shared" ca="1" si="65"/>
        <v>4.1025877784367726E-2</v>
      </c>
      <c r="Y34" s="14">
        <f t="shared" ca="1" si="65"/>
        <v>2.4351686520455385E-2</v>
      </c>
      <c r="Z34" s="14">
        <f t="shared" ca="1" si="65"/>
        <v>1.8566983700545103E-2</v>
      </c>
      <c r="AA34" s="14">
        <f t="shared" ca="1" si="65"/>
        <v>-1.0640437939249514E-2</v>
      </c>
      <c r="AB34" s="14">
        <f t="shared" ca="1" si="65"/>
        <v>8.2732182765710149E-3</v>
      </c>
      <c r="AD34" s="44"/>
      <c r="AE34" s="44"/>
      <c r="AF34" s="44"/>
      <c r="AG34" s="44"/>
      <c r="AH34" s="44"/>
      <c r="AJ34" s="42">
        <f t="shared" ca="1" si="61"/>
        <v>-178.7014187473157</v>
      </c>
      <c r="AK34" s="42">
        <f t="shared" ca="1" si="61"/>
        <v>-11.959506108192297</v>
      </c>
      <c r="AL34" s="42">
        <f t="shared" ca="1" si="61"/>
        <v>45.887522090910515</v>
      </c>
      <c r="AM34" s="42">
        <f t="shared" ca="1" si="61"/>
        <v>337.96173848885667</v>
      </c>
      <c r="AN34" s="42">
        <f t="shared" ca="1" si="61"/>
        <v>148.8251763306514</v>
      </c>
    </row>
    <row r="35" spans="1:40" collapsed="1" x14ac:dyDescent="0.25">
      <c r="C35" s="3" t="s">
        <v>63</v>
      </c>
      <c r="D35" s="15">
        <f t="shared" ca="1" si="62"/>
        <v>0.10221575555154794</v>
      </c>
      <c r="E35" s="15">
        <f t="shared" ca="1" si="62"/>
        <v>0.10081284524409728</v>
      </c>
      <c r="F35" s="15">
        <f t="shared" ca="1" si="62"/>
        <v>0.10288117603594671</v>
      </c>
      <c r="G35" s="15">
        <f t="shared" ca="1" si="62"/>
        <v>9.58489886341507E-2</v>
      </c>
      <c r="H35" s="15">
        <f t="shared" ca="1" si="62"/>
        <v>8.8918872725919806E-2</v>
      </c>
      <c r="I35" s="15">
        <f t="shared" ca="1" si="62"/>
        <v>0.11020482962609068</v>
      </c>
      <c r="K35" s="44"/>
      <c r="L35" s="44"/>
      <c r="M35" s="44"/>
      <c r="N35" s="44"/>
      <c r="O35" s="44"/>
      <c r="Q35" s="43">
        <f t="shared" ca="1" si="63"/>
        <v>14.029103074506555</v>
      </c>
      <c r="R35" s="43">
        <f t="shared" ca="1" si="56"/>
        <v>-6.6542048439877099</v>
      </c>
      <c r="S35" s="43">
        <f t="shared" ca="1" si="57"/>
        <v>63.667669173972371</v>
      </c>
      <c r="T35" s="43">
        <f t="shared" ca="1" si="58"/>
        <v>132.96882825628131</v>
      </c>
      <c r="U35" s="43">
        <f t="shared" ca="1" si="59"/>
        <v>-79.890740745427451</v>
      </c>
      <c r="W35" s="15">
        <f t="shared" ref="W35:AB35" ca="1" si="66">W23+W29</f>
        <v>0.10220295736371687</v>
      </c>
      <c r="X35" s="15">
        <f t="shared" ca="1" si="66"/>
        <v>9.992048406773324E-2</v>
      </c>
      <c r="Y35" s="15">
        <f t="shared" ca="1" si="66"/>
        <v>0.10214225679912592</v>
      </c>
      <c r="Z35" s="15">
        <f t="shared" ca="1" si="66"/>
        <v>9.4585094208387899E-2</v>
      </c>
      <c r="AA35" s="15">
        <f t="shared" ca="1" si="66"/>
        <v>9.0147486850940872E-2</v>
      </c>
      <c r="AB35" s="15">
        <f t="shared" ca="1" si="66"/>
        <v>0.11254715575506791</v>
      </c>
      <c r="AD35" s="44"/>
      <c r="AE35" s="44"/>
      <c r="AF35" s="44"/>
      <c r="AG35" s="44"/>
      <c r="AH35" s="44"/>
      <c r="AJ35" s="43">
        <f t="shared" ca="1" si="61"/>
        <v>22.824732959836336</v>
      </c>
      <c r="AK35" s="43">
        <f t="shared" ca="1" si="61"/>
        <v>0.60700564590954187</v>
      </c>
      <c r="AL35" s="43">
        <f t="shared" ca="1" si="61"/>
        <v>76.178631553289748</v>
      </c>
      <c r="AM35" s="43">
        <f t="shared" ca="1" si="61"/>
        <v>120.55470512776</v>
      </c>
      <c r="AN35" s="43">
        <f t="shared" ca="1" si="61"/>
        <v>-103.44198391351034</v>
      </c>
    </row>
    <row r="38" spans="1:40" hidden="1" outlineLevel="1" x14ac:dyDescent="0.25">
      <c r="A38" s="11" t="s">
        <v>55</v>
      </c>
      <c r="C38" s="2" t="s">
        <v>0</v>
      </c>
      <c r="D38" s="8" cm="1">
        <f t="array" aca="1" ref="D38" ca="1">_xlfn.XLOOKUP(1,
 (INDIRECT("'"&amp;$C$6&amp;"'!$6:$6")=D$6)*
 (INDIRECT("'"&amp;$C$6&amp;"'!$5:$5")=D$5),
 INDIRECT("'"&amp;$C$6&amp;"'!"&amp;ROW()&amp;":"&amp;ROW())
)</f>
        <v>42322.03923848999</v>
      </c>
      <c r="E38" s="8" cm="1">
        <f t="array" aca="1" ref="E38" ca="1">_xlfn.XLOOKUP(1,
 (INDIRECT("'"&amp;$C$6&amp;"'!$6:$6")=E$6)*
 (INDIRECT("'"&amp;$C$6&amp;"'!$5:$5")=E$5),
 INDIRECT("'"&amp;$C$6&amp;"'!"&amp;ROW()&amp;":"&amp;ROW())
)</f>
        <v>41169.410217267803</v>
      </c>
      <c r="F38" s="8" cm="1">
        <f t="array" aca="1" ref="F38" ca="1">_xlfn.XLOOKUP(1,
 (INDIRECT("'"&amp;$C$6&amp;"'!$6:$6")=F$6)*
 (INDIRECT("'"&amp;$C$6&amp;"'!$5:$5")=F$5),
 INDIRECT("'"&amp;$C$6&amp;"'!"&amp;ROW()&amp;":"&amp;ROW())
)</f>
        <v>37668.512927210002</v>
      </c>
      <c r="G38" s="8" cm="1">
        <f t="array" aca="1" ref="G38" ca="1">_xlfn.XLOOKUP(1,
 (INDIRECT("'"&amp;$C$6&amp;"'!$6:$6")=G$6)*
 (INDIRECT("'"&amp;$C$6&amp;"'!$5:$5")=G$5),
 INDIRECT("'"&amp;$C$6&amp;"'!"&amp;ROW()&amp;":"&amp;ROW())
)</f>
        <v>38502.529453529998</v>
      </c>
      <c r="H38" s="8" cm="1">
        <f t="array" aca="1" ref="H38" ca="1">_xlfn.XLOOKUP(1,
 (INDIRECT("'"&amp;$C$6&amp;"'!$6:$6")=H$6)*
 (INDIRECT("'"&amp;$C$6&amp;"'!$5:$5")=H$5),
 INDIRECT("'"&amp;$C$6&amp;"'!"&amp;ROW()&amp;":"&amp;ROW())
)</f>
        <v>47399.031740440005</v>
      </c>
      <c r="I38" s="8" cm="1">
        <f t="array" aca="1" ref="I38" ca="1">_xlfn.XLOOKUP(1,
 (INDIRECT("'"&amp;$C$6&amp;"'!$6:$6")=I$6)*
 (INDIRECT("'"&amp;$C$6&amp;"'!$5:$5")=I$5),
 INDIRECT("'"&amp;$C$6&amp;"'!"&amp;ROW()&amp;":"&amp;ROW())
)</f>
        <v>49752.553095449992</v>
      </c>
      <c r="K38" s="34">
        <f ca="1">$D38-E38</f>
        <v>1152.6290212221866</v>
      </c>
      <c r="L38" s="34">
        <f t="shared" ref="L38:L41" ca="1" si="67">$D38-F38</f>
        <v>4653.5263112799876</v>
      </c>
      <c r="M38" s="34">
        <f t="shared" ref="M38:M41" ca="1" si="68">$D38-G38</f>
        <v>3819.5097849599915</v>
      </c>
      <c r="N38" s="34">
        <f t="shared" ref="N38:N41" ca="1" si="69">$D38-H38</f>
        <v>-5076.9925019500151</v>
      </c>
      <c r="O38" s="34">
        <f t="shared" ref="O38:O41" ca="1" si="70">$D38-I38</f>
        <v>-7430.5138569600022</v>
      </c>
      <c r="Q38" s="36">
        <f ca="1">IFERROR($D38/E38-1,0)</f>
        <v>2.7997219662348583E-2</v>
      </c>
      <c r="R38" s="36">
        <f t="shared" ref="R38:R41" ca="1" si="71">IFERROR($D38/F38-1,0)</f>
        <v>0.12353889096371762</v>
      </c>
      <c r="S38" s="36">
        <f t="shared" ref="S38:S41" ca="1" si="72">IFERROR($D38/G38-1,0)</f>
        <v>9.9201528813058548E-2</v>
      </c>
      <c r="T38" s="36">
        <f t="shared" ref="T38:T41" ca="1" si="73">IFERROR($D38/H38-1,0)</f>
        <v>-0.10711173447069422</v>
      </c>
      <c r="U38" s="36">
        <f t="shared" ref="U38:U41" ca="1" si="74">IFERROR($D38/I38-1,0)</f>
        <v>-0.1493493980641476</v>
      </c>
      <c r="W38" s="8" cm="1">
        <f t="array" aca="1" ref="W38" ca="1">INDIRECT("'"&amp;$C$6&amp;"'!"&amp;ADDRESS(ROW(),COLUMN()+44))</f>
        <v>120956.70805558999</v>
      </c>
      <c r="X38" s="8" cm="1">
        <f t="array" aca="1" ref="X38" ca="1">INDIRECT("'"&amp;$C$6&amp;"'!"&amp;ADDRESS(ROW(),COLUMN()+44))</f>
        <v>118424.28447922441</v>
      </c>
      <c r="Y38" s="8" cm="1">
        <f t="array" aca="1" ref="Y38" ca="1">INDIRECT("'"&amp;$C$6&amp;"'!"&amp;ADDRESS(ROW(),COLUMN()+44))</f>
        <v>78634.668817099999</v>
      </c>
      <c r="Z38" s="8" cm="1">
        <f t="array" aca="1" ref="Z38" ca="1">INDIRECT("'"&amp;$C$6&amp;"'!"&amp;ADDRESS(ROW(),COLUMN()+44))</f>
        <v>111842.19730721001</v>
      </c>
      <c r="AA38" s="8" cm="1">
        <f t="array" aca="1" ref="AA38" ca="1">INDIRECT("'"&amp;$C$6&amp;"'!"&amp;ADDRESS(ROW(),COLUMN()+44))</f>
        <v>143334.29193067001</v>
      </c>
      <c r="AB38" s="8" cm="1">
        <f t="array" aca="1" ref="AB38" ca="1">INDIRECT("'"&amp;$C$6&amp;"'!"&amp;ADDRESS(ROW(),COLUMN()+44))</f>
        <v>140450.33668870002</v>
      </c>
      <c r="AD38" s="34">
        <f t="shared" ref="AD38:AH41" ca="1" si="75">$W38-X38</f>
        <v>2532.4235763655743</v>
      </c>
      <c r="AE38" s="34">
        <f t="shared" ca="1" si="75"/>
        <v>42322.03923848999</v>
      </c>
      <c r="AF38" s="34">
        <f t="shared" ca="1" si="75"/>
        <v>9114.5107483799802</v>
      </c>
      <c r="AG38" s="34">
        <f t="shared" ca="1" si="75"/>
        <v>-22377.583875080018</v>
      </c>
      <c r="AH38" s="34">
        <f t="shared" ca="1" si="75"/>
        <v>-19493.628633110027</v>
      </c>
      <c r="AJ38" s="36">
        <f t="shared" ref="AJ38:AN41" ca="1" si="76">IFERROR($W38/X38-1,0)</f>
        <v>2.138432659738676E-2</v>
      </c>
      <c r="AK38" s="36">
        <f t="shared" ca="1" si="76"/>
        <v>0.53821094277040538</v>
      </c>
      <c r="AL38" s="36">
        <f t="shared" ca="1" si="76"/>
        <v>8.1494381975919961E-2</v>
      </c>
      <c r="AM38" s="36">
        <f t="shared" ca="1" si="76"/>
        <v>-0.1561216340741679</v>
      </c>
      <c r="AN38" s="36">
        <f t="shared" ca="1" si="76"/>
        <v>-0.13879374797311106</v>
      </c>
    </row>
    <row r="39" spans="1:40" hidden="1" outlineLevel="1" x14ac:dyDescent="0.25">
      <c r="A39" s="11" t="s">
        <v>55</v>
      </c>
      <c r="C39" s="2" t="s">
        <v>1</v>
      </c>
      <c r="D39" s="8" cm="1">
        <f t="array" aca="1" ref="D39" ca="1">_xlfn.XLOOKUP(1,
 (INDIRECT("'"&amp;$C$6&amp;"'!$6:$6")=D$6)*
 (INDIRECT("'"&amp;$C$6&amp;"'!$5:$5")=D$5),
 INDIRECT("'"&amp;$C$6&amp;"'!"&amp;ROW()&amp;":"&amp;ROW())
)</f>
        <v>236.54399000999999</v>
      </c>
      <c r="E39" s="8" cm="1">
        <f t="array" aca="1" ref="E39" ca="1">_xlfn.XLOOKUP(1,
 (INDIRECT("'"&amp;$C$6&amp;"'!$6:$6")=E$6)*
 (INDIRECT("'"&amp;$C$6&amp;"'!$5:$5")=E$5),
 INDIRECT("'"&amp;$C$6&amp;"'!"&amp;ROW()&amp;":"&amp;ROW())
)</f>
        <v>191.60212278771667</v>
      </c>
      <c r="F39" s="8" cm="1">
        <f t="array" aca="1" ref="F39" ca="1">_xlfn.XLOOKUP(1,
 (INDIRECT("'"&amp;$C$6&amp;"'!$6:$6")=F$6)*
 (INDIRECT("'"&amp;$C$6&amp;"'!$5:$5")=F$5),
 INDIRECT("'"&amp;$C$6&amp;"'!"&amp;ROW()&amp;":"&amp;ROW())
)</f>
        <v>218.80858000999999</v>
      </c>
      <c r="G39" s="8" cm="1">
        <f t="array" aca="1" ref="G39" ca="1">_xlfn.XLOOKUP(1,
 (INDIRECT("'"&amp;$C$6&amp;"'!$6:$6")=G$6)*
 (INDIRECT("'"&amp;$C$6&amp;"'!$5:$5")=G$5),
 INDIRECT("'"&amp;$C$6&amp;"'!"&amp;ROW()&amp;":"&amp;ROW())
)</f>
        <v>221.84931996999998</v>
      </c>
      <c r="H39" s="8" cm="1">
        <f t="array" aca="1" ref="H39" ca="1">_xlfn.XLOOKUP(1,
 (INDIRECT("'"&amp;$C$6&amp;"'!$6:$6")=H$6)*
 (INDIRECT("'"&amp;$C$6&amp;"'!$5:$5")=H$5),
 INDIRECT("'"&amp;$C$6&amp;"'!"&amp;ROW()&amp;":"&amp;ROW())
)</f>
        <v>33.306750000000001</v>
      </c>
      <c r="I39" s="8" cm="1">
        <f t="array" aca="1" ref="I39" ca="1">_xlfn.XLOOKUP(1,
 (INDIRECT("'"&amp;$C$6&amp;"'!$6:$6")=I$6)*
 (INDIRECT("'"&amp;$C$6&amp;"'!$5:$5")=I$5),
 INDIRECT("'"&amp;$C$6&amp;"'!"&amp;ROW()&amp;":"&amp;ROW())
)</f>
        <v>62.902324</v>
      </c>
      <c r="K39" s="34">
        <f t="shared" ref="K39:K41" ca="1" si="77">$D39-E39</f>
        <v>44.941867222283321</v>
      </c>
      <c r="L39" s="34">
        <f t="shared" ca="1" si="67"/>
        <v>17.735410000000002</v>
      </c>
      <c r="M39" s="34">
        <f t="shared" ca="1" si="68"/>
        <v>14.694670040000005</v>
      </c>
      <c r="N39" s="34">
        <f t="shared" ca="1" si="69"/>
        <v>203.23724000999999</v>
      </c>
      <c r="O39" s="34">
        <f t="shared" ca="1" si="70"/>
        <v>173.64166600999999</v>
      </c>
      <c r="Q39" s="36">
        <f t="shared" ref="Q39:Q41" ca="1" si="78">IFERROR($D39/E39-1,0)</f>
        <v>0.23455829491031333</v>
      </c>
      <c r="R39" s="36">
        <f t="shared" ca="1" si="71"/>
        <v>8.1054454076661342E-2</v>
      </c>
      <c r="S39" s="36">
        <f t="shared" ca="1" si="72"/>
        <v>6.6237165126253883E-2</v>
      </c>
      <c r="T39" s="36">
        <f t="shared" ca="1" si="73"/>
        <v>6.1019835321669023</v>
      </c>
      <c r="U39" s="36">
        <f t="shared" ca="1" si="74"/>
        <v>2.7604968301330168</v>
      </c>
      <c r="W39" s="8" cm="1">
        <f t="array" aca="1" ref="W39" ca="1">INDIRECT("'"&amp;$C$6&amp;"'!"&amp;ADDRESS(ROW(),COLUMN()+44))</f>
        <v>695.13913002000004</v>
      </c>
      <c r="X39" s="8" cm="1">
        <f t="array" aca="1" ref="X39" ca="1">INDIRECT("'"&amp;$C$6&amp;"'!"&amp;ADDRESS(ROW(),COLUMN()+44))</f>
        <v>584.43966414270358</v>
      </c>
      <c r="Y39" s="8" cm="1">
        <f t="array" aca="1" ref="Y39" ca="1">INDIRECT("'"&amp;$C$6&amp;"'!"&amp;ADDRESS(ROW(),COLUMN()+44))</f>
        <v>458.59514001000002</v>
      </c>
      <c r="Z39" s="8" cm="1">
        <f t="array" aca="1" ref="Z39" ca="1">INDIRECT("'"&amp;$C$6&amp;"'!"&amp;ADDRESS(ROW(),COLUMN()+44))</f>
        <v>711.22117993000006</v>
      </c>
      <c r="AA39" s="8" cm="1">
        <f t="array" aca="1" ref="AA39" ca="1">INDIRECT("'"&amp;$C$6&amp;"'!"&amp;ADDRESS(ROW(),COLUMN()+44))</f>
        <v>103.81815</v>
      </c>
      <c r="AB39" s="8" cm="1">
        <f t="array" aca="1" ref="AB39" ca="1">INDIRECT("'"&amp;$C$6&amp;"'!"&amp;ADDRESS(ROW(),COLUMN()+44))</f>
        <v>204.45737399999999</v>
      </c>
      <c r="AD39" s="34">
        <f t="shared" ca="1" si="75"/>
        <v>110.69946587729646</v>
      </c>
      <c r="AE39" s="34">
        <f t="shared" ca="1" si="75"/>
        <v>236.54399001000002</v>
      </c>
      <c r="AF39" s="34">
        <f t="shared" ca="1" si="75"/>
        <v>-16.082049910000023</v>
      </c>
      <c r="AG39" s="34">
        <f t="shared" ca="1" si="75"/>
        <v>591.32098001999998</v>
      </c>
      <c r="AH39" s="34">
        <f t="shared" ca="1" si="75"/>
        <v>490.68175602000008</v>
      </c>
      <c r="AJ39" s="36">
        <f t="shared" ca="1" si="76"/>
        <v>0.1894112817268796</v>
      </c>
      <c r="AK39" s="36">
        <f t="shared" ca="1" si="76"/>
        <v>0.51580134496157548</v>
      </c>
      <c r="AL39" s="36">
        <f t="shared" ca="1" si="76"/>
        <v>-2.2611882722028631E-2</v>
      </c>
      <c r="AM39" s="36">
        <f t="shared" ca="1" si="76"/>
        <v>5.69573798049763</v>
      </c>
      <c r="AN39" s="36">
        <f t="shared" ca="1" si="76"/>
        <v>2.3999220298114565</v>
      </c>
    </row>
    <row r="40" spans="1:40" hidden="1" outlineLevel="1" x14ac:dyDescent="0.25">
      <c r="A40" s="11" t="s">
        <v>55</v>
      </c>
      <c r="C40" s="2" t="s">
        <v>45</v>
      </c>
      <c r="D40" s="8" cm="1">
        <f t="array" aca="1" ref="D40" ca="1">_xlfn.XLOOKUP(1,
 (INDIRECT("'"&amp;$C$6&amp;"'!$6:$6")=D$6)*
 (INDIRECT("'"&amp;$C$6&amp;"'!$5:$5")=D$5),
 INDIRECT("'"&amp;$C$6&amp;"'!"&amp;ROW()&amp;":"&amp;ROW())
)</f>
        <v>717.70826150000016</v>
      </c>
      <c r="E40" s="8" cm="1">
        <f t="array" aca="1" ref="E40" ca="1">_xlfn.XLOOKUP(1,
 (INDIRECT("'"&amp;$C$6&amp;"'!$6:$6")=E$6)*
 (INDIRECT("'"&amp;$C$6&amp;"'!$5:$5")=E$5),
 INDIRECT("'"&amp;$C$6&amp;"'!"&amp;ROW()&amp;":"&amp;ROW())
)</f>
        <v>781.06220016091413</v>
      </c>
      <c r="F40" s="8" cm="1">
        <f t="array" aca="1" ref="F40" ca="1">_xlfn.XLOOKUP(1,
 (INDIRECT("'"&amp;$C$6&amp;"'!$6:$6")=F$6)*
 (INDIRECT("'"&amp;$C$6&amp;"'!$5:$5")=F$5),
 INDIRECT("'"&amp;$C$6&amp;"'!"&amp;ROW()&amp;":"&amp;ROW())
)</f>
        <v>743.01558174000002</v>
      </c>
      <c r="G40" s="8" cm="1">
        <f t="array" aca="1" ref="G40" ca="1">_xlfn.XLOOKUP(1,
 (INDIRECT("'"&amp;$C$6&amp;"'!$6:$6")=G$6)*
 (INDIRECT("'"&amp;$C$6&amp;"'!$5:$5")=G$5),
 INDIRECT("'"&amp;$C$6&amp;"'!"&amp;ROW()&amp;":"&amp;ROW())
)</f>
        <v>1122.5149893400001</v>
      </c>
      <c r="H40" s="8" cm="1">
        <f t="array" aca="1" ref="H40" ca="1">_xlfn.XLOOKUP(1,
 (INDIRECT("'"&amp;$C$6&amp;"'!$6:$6")=H$6)*
 (INDIRECT("'"&amp;$C$6&amp;"'!$5:$5")=H$5),
 INDIRECT("'"&amp;$C$6&amp;"'!"&amp;ROW()&amp;":"&amp;ROW())
)</f>
        <v>963.50453789999983</v>
      </c>
      <c r="I40" s="8" cm="1">
        <f t="array" aca="1" ref="I40" ca="1">_xlfn.XLOOKUP(1,
 (INDIRECT("'"&amp;$C$6&amp;"'!$6:$6")=I$6)*
 (INDIRECT("'"&amp;$C$6&amp;"'!$5:$5")=I$5),
 INDIRECT("'"&amp;$C$6&amp;"'!"&amp;ROW()&amp;":"&amp;ROW())
)</f>
        <v>364.58819244</v>
      </c>
      <c r="K40" s="34">
        <f t="shared" ca="1" si="77"/>
        <v>-63.353938660913968</v>
      </c>
      <c r="L40" s="34">
        <f t="shared" ca="1" si="67"/>
        <v>-25.307320239999854</v>
      </c>
      <c r="M40" s="34">
        <f t="shared" ca="1" si="68"/>
        <v>-404.80672783999989</v>
      </c>
      <c r="N40" s="34">
        <f t="shared" ca="1" si="69"/>
        <v>-245.79627639999967</v>
      </c>
      <c r="O40" s="34">
        <f t="shared" ca="1" si="70"/>
        <v>353.12006906000016</v>
      </c>
      <c r="Q40" s="36">
        <f t="shared" ca="1" si="78"/>
        <v>-8.1112539625988522E-2</v>
      </c>
      <c r="R40" s="36">
        <f t="shared" ca="1" si="71"/>
        <v>-3.4060281993999353E-2</v>
      </c>
      <c r="S40" s="36">
        <f t="shared" ca="1" si="72"/>
        <v>-0.3606247860244719</v>
      </c>
      <c r="T40" s="36">
        <f t="shared" ca="1" si="73"/>
        <v>-0.25510650622956421</v>
      </c>
      <c r="U40" s="36">
        <f t="shared" ca="1" si="74"/>
        <v>0.96854499509912917</v>
      </c>
      <c r="W40" s="8" cm="1">
        <f t="array" aca="1" ref="W40" ca="1">INDIRECT("'"&amp;$C$6&amp;"'!"&amp;ADDRESS(ROW(),COLUMN()+44))</f>
        <v>2236.6684957799998</v>
      </c>
      <c r="X40" s="8" cm="1">
        <f t="array" aca="1" ref="X40" ca="1">INDIRECT("'"&amp;$C$6&amp;"'!"&amp;ADDRESS(ROW(),COLUMN()+44))</f>
        <v>2400.8775977390005</v>
      </c>
      <c r="Y40" s="8" cm="1">
        <f t="array" aca="1" ref="Y40" ca="1">INDIRECT("'"&amp;$C$6&amp;"'!"&amp;ADDRESS(ROW(),COLUMN()+44))</f>
        <v>1518.9602342799999</v>
      </c>
      <c r="Z40" s="8" cm="1">
        <f t="array" aca="1" ref="Z40" ca="1">INDIRECT("'"&amp;$C$6&amp;"'!"&amp;ADDRESS(ROW(),COLUMN()+44))</f>
        <v>3046.6137470100002</v>
      </c>
      <c r="AA40" s="8" cm="1">
        <f t="array" aca="1" ref="AA40" ca="1">INDIRECT("'"&amp;$C$6&amp;"'!"&amp;ADDRESS(ROW(),COLUMN()+44))</f>
        <v>2728.6286450799998</v>
      </c>
      <c r="AB40" s="8" cm="1">
        <f t="array" aca="1" ref="AB40" ca="1">INDIRECT("'"&amp;$C$6&amp;"'!"&amp;ADDRESS(ROW(),COLUMN()+44))</f>
        <v>1073.8700539900001</v>
      </c>
      <c r="AD40" s="34">
        <f t="shared" ca="1" si="75"/>
        <v>-164.20910195900069</v>
      </c>
      <c r="AE40" s="34">
        <f t="shared" ca="1" si="75"/>
        <v>717.70826149999994</v>
      </c>
      <c r="AF40" s="34">
        <f t="shared" ca="1" si="75"/>
        <v>-809.94525123000039</v>
      </c>
      <c r="AG40" s="34">
        <f t="shared" ca="1" si="75"/>
        <v>-491.96014930000001</v>
      </c>
      <c r="AH40" s="34">
        <f t="shared" ca="1" si="75"/>
        <v>1162.7984417899997</v>
      </c>
      <c r="AJ40" s="36">
        <f t="shared" ca="1" si="76"/>
        <v>-6.8395449278065179E-2</v>
      </c>
      <c r="AK40" s="36">
        <f t="shared" ca="1" si="76"/>
        <v>0.47249970427316668</v>
      </c>
      <c r="AL40" s="36">
        <f t="shared" ca="1" si="76"/>
        <v>-0.26585098029735299</v>
      </c>
      <c r="AM40" s="36">
        <f t="shared" ca="1" si="76"/>
        <v>-0.18029575046316948</v>
      </c>
      <c r="AN40" s="36">
        <f t="shared" ca="1" si="76"/>
        <v>1.0828111254891439</v>
      </c>
    </row>
    <row r="41" spans="1:40" collapsed="1" x14ac:dyDescent="0.25">
      <c r="C41" s="3" t="s">
        <v>57</v>
      </c>
      <c r="D41" s="10">
        <f ca="1">SUM(D38:D40)</f>
        <v>43276.291489999996</v>
      </c>
      <c r="E41" s="10">
        <f t="shared" ref="E41:I41" ca="1" si="79">SUM(E38:E40)</f>
        <v>42142.074540216432</v>
      </c>
      <c r="F41" s="10">
        <f t="shared" ca="1" si="79"/>
        <v>38630.337088960005</v>
      </c>
      <c r="G41" s="10">
        <f t="shared" ca="1" si="79"/>
        <v>39846.893762840002</v>
      </c>
      <c r="H41" s="10">
        <f t="shared" ca="1" si="79"/>
        <v>48395.843028340008</v>
      </c>
      <c r="I41" s="10">
        <f t="shared" ca="1" si="79"/>
        <v>50180.043611889996</v>
      </c>
      <c r="K41" s="35">
        <f t="shared" ca="1" si="77"/>
        <v>1134.2169497835639</v>
      </c>
      <c r="L41" s="35">
        <f t="shared" ca="1" si="67"/>
        <v>4645.9544010399914</v>
      </c>
      <c r="M41" s="35">
        <f t="shared" ca="1" si="68"/>
        <v>3429.3977271599942</v>
      </c>
      <c r="N41" s="35">
        <f t="shared" ca="1" si="69"/>
        <v>-5119.5515383400125</v>
      </c>
      <c r="O41" s="35">
        <f t="shared" ca="1" si="70"/>
        <v>-6903.7521218900001</v>
      </c>
      <c r="Q41" s="37">
        <f t="shared" ca="1" si="78"/>
        <v>2.6914122338737023E-2</v>
      </c>
      <c r="R41" s="37">
        <f t="shared" ca="1" si="71"/>
        <v>0.12026699094913518</v>
      </c>
      <c r="S41" s="37">
        <f t="shared" ca="1" si="72"/>
        <v>8.6064367967325639E-2</v>
      </c>
      <c r="T41" s="37">
        <f t="shared" ca="1" si="73"/>
        <v>-0.10578494387094495</v>
      </c>
      <c r="U41" s="37">
        <f t="shared" ca="1" si="74"/>
        <v>-0.1375796357469522</v>
      </c>
      <c r="W41" s="10">
        <f ca="1">SUM(W38:W40)</f>
        <v>123888.51568139</v>
      </c>
      <c r="X41" s="10">
        <f t="shared" ref="X41" ca="1" si="80">SUM(X38:X40)</f>
        <v>121409.60174110612</v>
      </c>
      <c r="Y41" s="10">
        <f t="shared" ref="Y41" ca="1" si="81">SUM(Y38:Y40)</f>
        <v>80612.224191390007</v>
      </c>
      <c r="Z41" s="10">
        <f t="shared" ref="Z41" ca="1" si="82">SUM(Z38:Z40)</f>
        <v>115600.03223415001</v>
      </c>
      <c r="AA41" s="10">
        <f t="shared" ref="AA41" ca="1" si="83">SUM(AA38:AA40)</f>
        <v>146166.73872575001</v>
      </c>
      <c r="AB41" s="10">
        <f t="shared" ref="AB41" ca="1" si="84">SUM(AB38:AB40)</f>
        <v>141728.66411668999</v>
      </c>
      <c r="AD41" s="35">
        <f t="shared" ca="1" si="75"/>
        <v>2478.9139402838773</v>
      </c>
      <c r="AE41" s="35">
        <f t="shared" ca="1" si="75"/>
        <v>43276.291489999989</v>
      </c>
      <c r="AF41" s="35">
        <f t="shared" ca="1" si="75"/>
        <v>8288.4834472399816</v>
      </c>
      <c r="AG41" s="35">
        <f t="shared" ca="1" si="75"/>
        <v>-22278.223044360013</v>
      </c>
      <c r="AH41" s="35">
        <f t="shared" ca="1" si="75"/>
        <v>-17840.148435299998</v>
      </c>
      <c r="AJ41" s="37">
        <f t="shared" ca="1" si="76"/>
        <v>2.0417775074906386E-2</v>
      </c>
      <c r="AK41" s="37">
        <f t="shared" ca="1" si="76"/>
        <v>0.53684527283669992</v>
      </c>
      <c r="AL41" s="37">
        <f t="shared" ca="1" si="76"/>
        <v>7.1699663806767067E-2</v>
      </c>
      <c r="AM41" s="37">
        <f t="shared" ca="1" si="76"/>
        <v>-0.15241650213021607</v>
      </c>
      <c r="AN41" s="37">
        <f t="shared" ca="1" si="76"/>
        <v>-0.12587537282233607</v>
      </c>
    </row>
    <row r="44" spans="1:40" hidden="1" outlineLevel="1" x14ac:dyDescent="0.25">
      <c r="A44" s="11" t="s">
        <v>50</v>
      </c>
      <c r="C44" s="2" t="s">
        <v>0</v>
      </c>
      <c r="D44" s="8" cm="1">
        <f t="array" aca="1" ref="D44" ca="1">_xlfn.XLOOKUP(1,
 (INDIRECT("'"&amp;$C$6&amp;"'!$6:$6")=D$6)*
 (INDIRECT("'"&amp;$C$6&amp;"'!$5:$5")=D$5),
 INDIRECT("'"&amp;$C$6&amp;"'!"&amp;ROW()&amp;":"&amp;ROW())
)</f>
        <v>-16174.531368500002</v>
      </c>
      <c r="E44" s="8" cm="1">
        <f t="array" aca="1" ref="E44" ca="1">_xlfn.XLOOKUP(1,
 (INDIRECT("'"&amp;$C$6&amp;"'!$6:$6")=E$6)*
 (INDIRECT("'"&amp;$C$6&amp;"'!$5:$5")=E$5),
 INDIRECT("'"&amp;$C$6&amp;"'!"&amp;ROW()&amp;":"&amp;ROW())
)</f>
        <v>-16302.51208781294</v>
      </c>
      <c r="F44" s="8" cm="1">
        <f t="array" aca="1" ref="F44" ca="1">_xlfn.XLOOKUP(1,
 (INDIRECT("'"&amp;$C$6&amp;"'!$6:$6")=F$6)*
 (INDIRECT("'"&amp;$C$6&amp;"'!$5:$5")=F$5),
 INDIRECT("'"&amp;$C$6&amp;"'!"&amp;ROW()&amp;":"&amp;ROW())
)</f>
        <v>-14456.98689819</v>
      </c>
      <c r="G44" s="8" cm="1">
        <f t="array" aca="1" ref="G44" ca="1">_xlfn.XLOOKUP(1,
 (INDIRECT("'"&amp;$C$6&amp;"'!$6:$6")=G$6)*
 (INDIRECT("'"&amp;$C$6&amp;"'!$5:$5")=G$5),
 INDIRECT("'"&amp;$C$6&amp;"'!"&amp;ROW()&amp;":"&amp;ROW())
)</f>
        <v>-16338.671697749998</v>
      </c>
      <c r="H44" s="8" cm="1">
        <f t="array" aca="1" ref="H44" ca="1">_xlfn.XLOOKUP(1,
 (INDIRECT("'"&amp;$C$6&amp;"'!$6:$6")=H$6)*
 (INDIRECT("'"&amp;$C$6&amp;"'!$5:$5")=H$5),
 INDIRECT("'"&amp;$C$6&amp;"'!"&amp;ROW()&amp;":"&amp;ROW())
)</f>
        <v>-22183.092249299996</v>
      </c>
      <c r="I44" s="8" cm="1">
        <f t="array" aca="1" ref="I44" ca="1">_xlfn.XLOOKUP(1,
 (INDIRECT("'"&amp;$C$6&amp;"'!$6:$6")=I$6)*
 (INDIRECT("'"&amp;$C$6&amp;"'!$5:$5")=I$5),
 INDIRECT("'"&amp;$C$6&amp;"'!"&amp;ROW()&amp;":"&amp;ROW())
)</f>
        <v>-20593.257328999996</v>
      </c>
      <c r="K44" s="34">
        <f ca="1">$D44-E44</f>
        <v>127.98071931293816</v>
      </c>
      <c r="L44" s="34">
        <f t="shared" ref="L44:L47" ca="1" si="85">$D44-F44</f>
        <v>-1717.544470310002</v>
      </c>
      <c r="M44" s="34">
        <f t="shared" ref="M44:M47" ca="1" si="86">$D44-G44</f>
        <v>164.14032924999628</v>
      </c>
      <c r="N44" s="34">
        <f t="shared" ref="N44:N47" ca="1" si="87">$D44-H44</f>
        <v>6008.5608807999943</v>
      </c>
      <c r="O44" s="34">
        <f t="shared" ref="O44:O47" ca="1" si="88">$D44-I44</f>
        <v>4418.7259604999945</v>
      </c>
      <c r="Q44" s="36">
        <f ca="1">IFERROR($D44/E44-1,0)</f>
        <v>-7.8503680060824088E-3</v>
      </c>
      <c r="R44" s="36">
        <f t="shared" ref="R44:R47" ca="1" si="89">IFERROR($D44/F44-1,0)</f>
        <v>0.11880376474056553</v>
      </c>
      <c r="S44" s="36">
        <f t="shared" ref="S44:S47" ca="1" si="90">IFERROR($D44/G44-1,0)</f>
        <v>-1.0046124451634553E-2</v>
      </c>
      <c r="T44" s="36">
        <f t="shared" ref="T44:T47" ca="1" si="91">IFERROR($D44/H44-1,0)</f>
        <v>-0.27086218698791187</v>
      </c>
      <c r="U44" s="36">
        <f t="shared" ref="U44:U47" ca="1" si="92">IFERROR($D44/I44-1,0)</f>
        <v>-0.21457149249902407</v>
      </c>
      <c r="W44" s="8" cm="1">
        <f t="array" aca="1" ref="W44" ca="1">INDIRECT("'"&amp;$C$6&amp;"'!"&amp;ADDRESS(ROW(),COLUMN()+44))</f>
        <v>-46562.954266450004</v>
      </c>
      <c r="X44" s="8" cm="1">
        <f t="array" aca="1" ref="X44" ca="1">INDIRECT("'"&amp;$C$6&amp;"'!"&amp;ADDRESS(ROW(),COLUMN()+44))</f>
        <v>-47377.887430946095</v>
      </c>
      <c r="Y44" s="8" cm="1">
        <f t="array" aca="1" ref="Y44" ca="1">INDIRECT("'"&amp;$C$6&amp;"'!"&amp;ADDRESS(ROW(),COLUMN()+44))</f>
        <v>-30388.42289795</v>
      </c>
      <c r="Z44" s="8" cm="1">
        <f t="array" aca="1" ref="Z44" ca="1">INDIRECT("'"&amp;$C$6&amp;"'!"&amp;ADDRESS(ROW(),COLUMN()+44))</f>
        <v>-48135.909031110001</v>
      </c>
      <c r="AA44" s="8" cm="1">
        <f t="array" aca="1" ref="AA44" ca="1">INDIRECT("'"&amp;$C$6&amp;"'!"&amp;ADDRESS(ROW(),COLUMN()+44))</f>
        <v>-66829.581013660005</v>
      </c>
      <c r="AB44" s="8" cm="1">
        <f t="array" aca="1" ref="AB44" ca="1">INDIRECT("'"&amp;$C$6&amp;"'!"&amp;ADDRESS(ROW(),COLUMN()+44))</f>
        <v>-56388.066992270004</v>
      </c>
      <c r="AD44" s="34">
        <f t="shared" ref="AD44:AH47" ca="1" si="93">$W44-X44</f>
        <v>814.93316449609119</v>
      </c>
      <c r="AE44" s="34">
        <f t="shared" ca="1" si="93"/>
        <v>-16174.531368500004</v>
      </c>
      <c r="AF44" s="34">
        <f t="shared" ca="1" si="93"/>
        <v>1572.9547646599967</v>
      </c>
      <c r="AG44" s="34">
        <f t="shared" ca="1" si="93"/>
        <v>20266.626747210001</v>
      </c>
      <c r="AH44" s="34">
        <f t="shared" ca="1" si="93"/>
        <v>9825.1127258199995</v>
      </c>
      <c r="AJ44" s="36">
        <f t="shared" ref="AJ44:AN47" ca="1" si="94">IFERROR($W44/X44-1,0)</f>
        <v>-1.7200707095348378E-2</v>
      </c>
      <c r="AK44" s="36">
        <f t="shared" ca="1" si="94"/>
        <v>0.53225965107886974</v>
      </c>
      <c r="AL44" s="36">
        <f t="shared" ca="1" si="94"/>
        <v>-3.2677366986949452E-2</v>
      </c>
      <c r="AM44" s="36">
        <f t="shared" ca="1" si="94"/>
        <v>-0.30325832423021615</v>
      </c>
      <c r="AN44" s="36">
        <f t="shared" ca="1" si="94"/>
        <v>-0.17424099193126941</v>
      </c>
    </row>
    <row r="45" spans="1:40" hidden="1" outlineLevel="1" x14ac:dyDescent="0.25">
      <c r="A45" s="11" t="s">
        <v>50</v>
      </c>
      <c r="C45" s="2" t="s">
        <v>1</v>
      </c>
      <c r="D45" s="8" cm="1">
        <f t="array" aca="1" ref="D45" ca="1">_xlfn.XLOOKUP(1,
 (INDIRECT("'"&amp;$C$6&amp;"'!$6:$6")=D$6)*
 (INDIRECT("'"&amp;$C$6&amp;"'!$5:$5")=D$5),
 INDIRECT("'"&amp;$C$6&amp;"'!"&amp;ROW()&amp;":"&amp;ROW())
)</f>
        <v>-188.57274000000001</v>
      </c>
      <c r="E45" s="8" cm="1">
        <f t="array" aca="1" ref="E45" ca="1">_xlfn.XLOOKUP(1,
 (INDIRECT("'"&amp;$C$6&amp;"'!$6:$6")=E$6)*
 (INDIRECT("'"&amp;$C$6&amp;"'!$5:$5")=E$5),
 INDIRECT("'"&amp;$C$6&amp;"'!"&amp;ROW()&amp;":"&amp;ROW())
)</f>
        <v>-27.866225151430516</v>
      </c>
      <c r="F45" s="8" cm="1">
        <f t="array" aca="1" ref="F45" ca="1">_xlfn.XLOOKUP(1,
 (INDIRECT("'"&amp;$C$6&amp;"'!$6:$6")=F$6)*
 (INDIRECT("'"&amp;$C$6&amp;"'!$5:$5")=F$5),
 INDIRECT("'"&amp;$C$6&amp;"'!"&amp;ROW()&amp;":"&amp;ROW())
)</f>
        <v>-175.12741000000003</v>
      </c>
      <c r="G45" s="8" cm="1">
        <f t="array" aca="1" ref="G45" ca="1">_xlfn.XLOOKUP(1,
 (INDIRECT("'"&amp;$C$6&amp;"'!$6:$6")=G$6)*
 (INDIRECT("'"&amp;$C$6&amp;"'!$5:$5")=G$5),
 INDIRECT("'"&amp;$C$6&amp;"'!"&amp;ROW()&amp;":"&amp;ROW())
)</f>
        <v>-243.44376</v>
      </c>
      <c r="H45" s="8" cm="1">
        <f t="array" aca="1" ref="H45" ca="1">_xlfn.XLOOKUP(1,
 (INDIRECT("'"&amp;$C$6&amp;"'!$6:$6")=H$6)*
 (INDIRECT("'"&amp;$C$6&amp;"'!$5:$5")=H$5),
 INDIRECT("'"&amp;$C$6&amp;"'!"&amp;ROW()&amp;":"&amp;ROW())
)</f>
        <v>-38.456829999999997</v>
      </c>
      <c r="I45" s="8" cm="1">
        <f t="array" aca="1" ref="I45" ca="1">_xlfn.XLOOKUP(1,
 (INDIRECT("'"&amp;$C$6&amp;"'!$6:$6")=I$6)*
 (INDIRECT("'"&amp;$C$6&amp;"'!$5:$5")=I$5),
 INDIRECT("'"&amp;$C$6&amp;"'!"&amp;ROW()&amp;":"&amp;ROW())
)</f>
        <v>-80.133326800000006</v>
      </c>
      <c r="K45" s="34">
        <f t="shared" ref="K45:K47" ca="1" si="95">$D45-E45</f>
        <v>-160.7065148485695</v>
      </c>
      <c r="L45" s="34">
        <f t="shared" ca="1" si="85"/>
        <v>-13.445329999999984</v>
      </c>
      <c r="M45" s="34">
        <f t="shared" ca="1" si="86"/>
        <v>54.871019999999987</v>
      </c>
      <c r="N45" s="34">
        <f t="shared" ca="1" si="87"/>
        <v>-150.11591000000001</v>
      </c>
      <c r="O45" s="34">
        <f t="shared" ca="1" si="88"/>
        <v>-108.4394132</v>
      </c>
      <c r="Q45" s="36">
        <f t="shared" ref="Q45:Q47" ca="1" si="96">IFERROR($D45/E45-1,0)</f>
        <v>5.7670715705216216</v>
      </c>
      <c r="R45" s="36">
        <f t="shared" ca="1" si="89"/>
        <v>7.6774560875422004E-2</v>
      </c>
      <c r="S45" s="36">
        <f t="shared" ca="1" si="90"/>
        <v>-0.22539505633662571</v>
      </c>
      <c r="T45" s="36">
        <f t="shared" ca="1" si="91"/>
        <v>3.9034915254325444</v>
      </c>
      <c r="U45" s="36">
        <f t="shared" ca="1" si="92"/>
        <v>1.3532373798812505</v>
      </c>
      <c r="W45" s="8" cm="1">
        <f t="array" aca="1" ref="W45" ca="1">INDIRECT("'"&amp;$C$6&amp;"'!"&amp;ADDRESS(ROW(),COLUMN()+44))</f>
        <v>-562.83874000000003</v>
      </c>
      <c r="X45" s="8" cm="1">
        <f t="array" aca="1" ref="X45" ca="1">INDIRECT("'"&amp;$C$6&amp;"'!"&amp;ADDRESS(ROW(),COLUMN()+44))</f>
        <v>-81.594086830832509</v>
      </c>
      <c r="Y45" s="8" cm="1">
        <f t="array" aca="1" ref="Y45" ca="1">INDIRECT("'"&amp;$C$6&amp;"'!"&amp;ADDRESS(ROW(),COLUMN()+44))</f>
        <v>-374.26600000000002</v>
      </c>
      <c r="Z45" s="8" cm="1">
        <f t="array" aca="1" ref="Z45" ca="1">INDIRECT("'"&amp;$C$6&amp;"'!"&amp;ADDRESS(ROW(),COLUMN()+44))</f>
        <v>-716.23679000000004</v>
      </c>
      <c r="AA45" s="8" cm="1">
        <f t="array" aca="1" ref="AA45" ca="1">INDIRECT("'"&amp;$C$6&amp;"'!"&amp;ADDRESS(ROW(),COLUMN()+44))</f>
        <v>-105.98157999999999</v>
      </c>
      <c r="AB45" s="8" cm="1">
        <f t="array" aca="1" ref="AB45" ca="1">INDIRECT("'"&amp;$C$6&amp;"'!"&amp;ADDRESS(ROW(),COLUMN()+44))</f>
        <v>-218.20601679999999</v>
      </c>
      <c r="AD45" s="34">
        <f t="shared" ca="1" si="93"/>
        <v>-481.24465316916752</v>
      </c>
      <c r="AE45" s="34">
        <f t="shared" ca="1" si="93"/>
        <v>-188.57274000000001</v>
      </c>
      <c r="AF45" s="34">
        <f t="shared" ca="1" si="93"/>
        <v>153.39805000000001</v>
      </c>
      <c r="AG45" s="34">
        <f t="shared" ca="1" si="93"/>
        <v>-456.85716000000002</v>
      </c>
      <c r="AH45" s="34">
        <f t="shared" ca="1" si="93"/>
        <v>-344.63272320000004</v>
      </c>
      <c r="AJ45" s="36">
        <f t="shared" ca="1" si="94"/>
        <v>5.8980334465526045</v>
      </c>
      <c r="AK45" s="36">
        <f t="shared" ca="1" si="94"/>
        <v>0.50384683620740334</v>
      </c>
      <c r="AL45" s="36">
        <f t="shared" ca="1" si="94"/>
        <v>-0.21417225719443989</v>
      </c>
      <c r="AM45" s="36">
        <f t="shared" ca="1" si="94"/>
        <v>4.3107222972142898</v>
      </c>
      <c r="AN45" s="36">
        <f t="shared" ca="1" si="94"/>
        <v>1.5793914771648043</v>
      </c>
    </row>
    <row r="46" spans="1:40" hidden="1" outlineLevel="1" x14ac:dyDescent="0.25">
      <c r="A46" s="11" t="s">
        <v>50</v>
      </c>
      <c r="C46" s="2" t="s">
        <v>45</v>
      </c>
      <c r="D46" s="8" cm="1">
        <f t="array" aca="1" ref="D46" ca="1">_xlfn.XLOOKUP(1,
 (INDIRECT("'"&amp;$C$6&amp;"'!$6:$6")=D$6)*
 (INDIRECT("'"&amp;$C$6&amp;"'!$5:$5")=D$5),
 INDIRECT("'"&amp;$C$6&amp;"'!"&amp;ROW()&amp;":"&amp;ROW())
)</f>
        <v>-556.28966849999995</v>
      </c>
      <c r="E46" s="8" cm="1">
        <f t="array" aca="1" ref="E46" ca="1">_xlfn.XLOOKUP(1,
 (INDIRECT("'"&amp;$C$6&amp;"'!$6:$6")=E$6)*
 (INDIRECT("'"&amp;$C$6&amp;"'!$5:$5")=E$5),
 INDIRECT("'"&amp;$C$6&amp;"'!"&amp;ROW()&amp;":"&amp;ROW())
)</f>
        <v>-454.74783218463165</v>
      </c>
      <c r="F46" s="8" cm="1">
        <f t="array" aca="1" ref="F46" ca="1">_xlfn.XLOOKUP(1,
 (INDIRECT("'"&amp;$C$6&amp;"'!$6:$6")=F$6)*
 (INDIRECT("'"&amp;$C$6&amp;"'!$5:$5")=F$5),
 INDIRECT("'"&amp;$C$6&amp;"'!"&amp;ROW()&amp;":"&amp;ROW())
)</f>
        <v>-534.94024867999997</v>
      </c>
      <c r="G46" s="8" cm="1">
        <f t="array" aca="1" ref="G46" ca="1">_xlfn.XLOOKUP(1,
 (INDIRECT("'"&amp;$C$6&amp;"'!$6:$6")=G$6)*
 (INDIRECT("'"&amp;$C$6&amp;"'!$5:$5")=G$5),
 INDIRECT("'"&amp;$C$6&amp;"'!"&amp;ROW()&amp;":"&amp;ROW())
)</f>
        <v>-817.11115156999995</v>
      </c>
      <c r="H46" s="8" cm="1">
        <f t="array" aca="1" ref="H46" ca="1">_xlfn.XLOOKUP(1,
 (INDIRECT("'"&amp;$C$6&amp;"'!$6:$6")=H$6)*
 (INDIRECT("'"&amp;$C$6&amp;"'!$5:$5")=H$5),
 INDIRECT("'"&amp;$C$6&amp;"'!"&amp;ROW()&amp;":"&amp;ROW())
)</f>
        <v>-1099.0422936800001</v>
      </c>
      <c r="I46" s="8" cm="1">
        <f t="array" aca="1" ref="I46" ca="1">_xlfn.XLOOKUP(1,
 (INDIRECT("'"&amp;$C$6&amp;"'!$6:$6")=I$6)*
 (INDIRECT("'"&amp;$C$6&amp;"'!$5:$5")=I$5),
 INDIRECT("'"&amp;$C$6&amp;"'!"&amp;ROW()&amp;":"&amp;ROW())
)</f>
        <v>-294.86771840000006</v>
      </c>
      <c r="K46" s="34">
        <f t="shared" ca="1" si="95"/>
        <v>-101.5418363153683</v>
      </c>
      <c r="L46" s="34">
        <f t="shared" ca="1" si="85"/>
        <v>-21.34941981999998</v>
      </c>
      <c r="M46" s="34">
        <f t="shared" ca="1" si="86"/>
        <v>260.82148307</v>
      </c>
      <c r="N46" s="34">
        <f t="shared" ca="1" si="87"/>
        <v>542.75262518000011</v>
      </c>
      <c r="O46" s="34">
        <f t="shared" ca="1" si="88"/>
        <v>-261.42195009999989</v>
      </c>
      <c r="Q46" s="36">
        <f t="shared" ca="1" si="96"/>
        <v>0.22329262313919385</v>
      </c>
      <c r="R46" s="36">
        <f t="shared" ca="1" si="89"/>
        <v>3.990991493476348E-2</v>
      </c>
      <c r="S46" s="36">
        <f t="shared" ca="1" si="90"/>
        <v>-0.3191995147402612</v>
      </c>
      <c r="T46" s="36">
        <f t="shared" ca="1" si="91"/>
        <v>-0.49384143658626967</v>
      </c>
      <c r="U46" s="36">
        <f t="shared" ca="1" si="92"/>
        <v>0.88657365247887321</v>
      </c>
      <c r="W46" s="8" cm="1">
        <f t="array" aca="1" ref="W46" ca="1">INDIRECT("'"&amp;$C$6&amp;"'!"&amp;ADDRESS(ROW(),COLUMN()+44))</f>
        <v>-1694.8612177199998</v>
      </c>
      <c r="X46" s="8" cm="1">
        <f t="array" aca="1" ref="X46" ca="1">INDIRECT("'"&amp;$C$6&amp;"'!"&amp;ADDRESS(ROW(),COLUMN()+44))</f>
        <v>-1333.6036742514673</v>
      </c>
      <c r="Y46" s="8" cm="1">
        <f t="array" aca="1" ref="Y46" ca="1">INDIRECT("'"&amp;$C$6&amp;"'!"&amp;ADDRESS(ROW(),COLUMN()+44))</f>
        <v>-1138.57154922</v>
      </c>
      <c r="Z46" s="8" cm="1">
        <f t="array" aca="1" ref="Z46" ca="1">INDIRECT("'"&amp;$C$6&amp;"'!"&amp;ADDRESS(ROW(),COLUMN()+44))</f>
        <v>-2470.8277813799996</v>
      </c>
      <c r="AA46" s="8" cm="1">
        <f t="array" aca="1" ref="AA46" ca="1">INDIRECT("'"&amp;$C$6&amp;"'!"&amp;ADDRESS(ROW(),COLUMN()+44))</f>
        <v>-3180.5275138399998</v>
      </c>
      <c r="AB46" s="8" cm="1">
        <f t="array" aca="1" ref="AB46" ca="1">INDIRECT("'"&amp;$C$6&amp;"'!"&amp;ADDRESS(ROW(),COLUMN()+44))</f>
        <v>-906.22972522999999</v>
      </c>
      <c r="AD46" s="34">
        <f t="shared" ca="1" si="93"/>
        <v>-361.2575434685325</v>
      </c>
      <c r="AE46" s="34">
        <f t="shared" ca="1" si="93"/>
        <v>-556.28966849999983</v>
      </c>
      <c r="AF46" s="34">
        <f t="shared" ca="1" si="93"/>
        <v>775.96656365999979</v>
      </c>
      <c r="AG46" s="34">
        <f t="shared" ca="1" si="93"/>
        <v>1485.66629612</v>
      </c>
      <c r="AH46" s="34">
        <f t="shared" ca="1" si="93"/>
        <v>-788.6314924899998</v>
      </c>
      <c r="AJ46" s="36">
        <f t="shared" ca="1" si="94"/>
        <v>0.27088823347108826</v>
      </c>
      <c r="AK46" s="36">
        <f t="shared" ca="1" si="94"/>
        <v>0.48858560437514598</v>
      </c>
      <c r="AL46" s="36">
        <f t="shared" ca="1" si="94"/>
        <v>-0.31405125420218849</v>
      </c>
      <c r="AM46" s="36">
        <f t="shared" ca="1" si="94"/>
        <v>-0.46711317215623938</v>
      </c>
      <c r="AN46" s="36">
        <f t="shared" ca="1" si="94"/>
        <v>0.87023352968238399</v>
      </c>
    </row>
    <row r="47" spans="1:40" collapsed="1" x14ac:dyDescent="0.25">
      <c r="C47" s="3" t="s">
        <v>58</v>
      </c>
      <c r="D47" s="10">
        <f ca="1">SUM(D44:D46)</f>
        <v>-16919.393777000001</v>
      </c>
      <c r="E47" s="10">
        <f t="shared" ref="E47:I47" ca="1" si="97">SUM(E44:E46)</f>
        <v>-16785.126145149003</v>
      </c>
      <c r="F47" s="10">
        <f t="shared" ca="1" si="97"/>
        <v>-15167.05455687</v>
      </c>
      <c r="G47" s="10">
        <f t="shared" ca="1" si="97"/>
        <v>-17399.226609319998</v>
      </c>
      <c r="H47" s="10">
        <f t="shared" ca="1" si="97"/>
        <v>-23320.591372979994</v>
      </c>
      <c r="I47" s="10">
        <f t="shared" ca="1" si="97"/>
        <v>-20968.258374199999</v>
      </c>
      <c r="K47" s="35">
        <f t="shared" ca="1" si="95"/>
        <v>-134.26763185099844</v>
      </c>
      <c r="L47" s="35">
        <f t="shared" ca="1" si="85"/>
        <v>-1752.3392201300012</v>
      </c>
      <c r="M47" s="35">
        <f t="shared" ca="1" si="86"/>
        <v>479.83283231999667</v>
      </c>
      <c r="N47" s="35">
        <f t="shared" ca="1" si="87"/>
        <v>6401.1975959799929</v>
      </c>
      <c r="O47" s="35">
        <f t="shared" ca="1" si="88"/>
        <v>4048.8645971999977</v>
      </c>
      <c r="Q47" s="37">
        <f t="shared" ca="1" si="96"/>
        <v>7.9992030259363744E-3</v>
      </c>
      <c r="R47" s="37">
        <f t="shared" ca="1" si="89"/>
        <v>0.11553589482779758</v>
      </c>
      <c r="S47" s="37">
        <f t="shared" ca="1" si="90"/>
        <v>-2.7577825330636907E-2</v>
      </c>
      <c r="T47" s="37">
        <f t="shared" ca="1" si="91"/>
        <v>-0.27448693275405667</v>
      </c>
      <c r="U47" s="37">
        <f t="shared" ca="1" si="92"/>
        <v>-0.19309494021600992</v>
      </c>
      <c r="W47" s="10">
        <f ca="1">SUM(W44:W46)</f>
        <v>-48820.654224170001</v>
      </c>
      <c r="X47" s="10">
        <f t="shared" ref="X47" ca="1" si="98">SUM(X44:X46)</f>
        <v>-48793.085192028397</v>
      </c>
      <c r="Y47" s="10">
        <f t="shared" ref="Y47" ca="1" si="99">SUM(Y44:Y46)</f>
        <v>-31901.26044717</v>
      </c>
      <c r="Z47" s="10">
        <f t="shared" ref="Z47" ca="1" si="100">SUM(Z44:Z46)</f>
        <v>-51322.973602490005</v>
      </c>
      <c r="AA47" s="10">
        <f t="shared" ref="AA47" ca="1" si="101">SUM(AA44:AA46)</f>
        <v>-70116.090107500015</v>
      </c>
      <c r="AB47" s="10">
        <f t="shared" ref="AB47" ca="1" si="102">SUM(AB44:AB46)</f>
        <v>-57512.502734300004</v>
      </c>
      <c r="AD47" s="35">
        <f t="shared" ca="1" si="93"/>
        <v>-27.569032141604112</v>
      </c>
      <c r="AE47" s="35">
        <f t="shared" ca="1" si="93"/>
        <v>-16919.393777000001</v>
      </c>
      <c r="AF47" s="35">
        <f t="shared" ca="1" si="93"/>
        <v>2502.319378320004</v>
      </c>
      <c r="AG47" s="35">
        <f t="shared" ca="1" si="93"/>
        <v>21295.435883330014</v>
      </c>
      <c r="AH47" s="35">
        <f t="shared" ca="1" si="93"/>
        <v>8691.848510130003</v>
      </c>
      <c r="AJ47" s="37">
        <f t="shared" ca="1" si="94"/>
        <v>5.6501924469642972E-4</v>
      </c>
      <c r="AK47" s="37">
        <f t="shared" ca="1" si="94"/>
        <v>0.53036756353308734</v>
      </c>
      <c r="AL47" s="37">
        <f t="shared" ca="1" si="94"/>
        <v>-4.8756321052266571E-2</v>
      </c>
      <c r="AM47" s="37">
        <f t="shared" ca="1" si="94"/>
        <v>-0.30371681950149321</v>
      </c>
      <c r="AN47" s="37">
        <f t="shared" ca="1" si="94"/>
        <v>-0.15112972131094993</v>
      </c>
    </row>
    <row r="50" spans="1:40" hidden="1" outlineLevel="1" x14ac:dyDescent="0.25">
      <c r="A50" s="11"/>
      <c r="C50" s="2" t="s">
        <v>0</v>
      </c>
      <c r="D50" s="8">
        <f ca="1">D38+D44</f>
        <v>26147.50786998999</v>
      </c>
      <c r="E50" s="8">
        <f t="shared" ref="E50:I50" ca="1" si="103">E38+E44</f>
        <v>24866.898129454865</v>
      </c>
      <c r="F50" s="8">
        <f t="shared" ca="1" si="103"/>
        <v>23211.526029020002</v>
      </c>
      <c r="G50" s="8">
        <f t="shared" ca="1" si="103"/>
        <v>22163.857755780002</v>
      </c>
      <c r="H50" s="8">
        <f t="shared" ca="1" si="103"/>
        <v>25215.939491140009</v>
      </c>
      <c r="I50" s="8">
        <f t="shared" ca="1" si="103"/>
        <v>29159.295766449995</v>
      </c>
      <c r="K50" s="34">
        <f ca="1">$D50-E50</f>
        <v>1280.6097405351247</v>
      </c>
      <c r="L50" s="34">
        <f t="shared" ref="L50:L53" ca="1" si="104">$D50-F50</f>
        <v>2935.9818409699874</v>
      </c>
      <c r="M50" s="34">
        <f t="shared" ref="M50:M53" ca="1" si="105">$D50-G50</f>
        <v>3983.6501142099878</v>
      </c>
      <c r="N50" s="34">
        <f t="shared" ref="N50:N53" ca="1" si="106">$D50-H50</f>
        <v>931.56837884998095</v>
      </c>
      <c r="O50" s="34">
        <f t="shared" ref="O50:O53" ca="1" si="107">$D50-I50</f>
        <v>-3011.7878964600059</v>
      </c>
      <c r="Q50" s="36">
        <f ca="1">IFERROR($D50/E50-1,0)</f>
        <v>5.1498571871263721E-2</v>
      </c>
      <c r="R50" s="36">
        <f t="shared" ref="R50:R53" ca="1" si="108">IFERROR($D50/F50-1,0)</f>
        <v>0.12648810066599259</v>
      </c>
      <c r="S50" s="36">
        <f t="shared" ref="S50:S53" ca="1" si="109">IFERROR($D50/G50-1,0)</f>
        <v>0.17973631477449414</v>
      </c>
      <c r="T50" s="36">
        <f t="shared" ref="T50:T53" ca="1" si="110">IFERROR($D50/H50-1,0)</f>
        <v>3.6943631593710835E-2</v>
      </c>
      <c r="U50" s="36">
        <f t="shared" ref="U50:U53" ca="1" si="111">IFERROR($D50/I50-1,0)</f>
        <v>-0.10328740174600848</v>
      </c>
      <c r="W50" s="8">
        <f ca="1">W38+W44</f>
        <v>74393.753789139984</v>
      </c>
      <c r="X50" s="8">
        <f t="shared" ref="X50:AB50" ca="1" si="112">X38+X44</f>
        <v>71046.397048278319</v>
      </c>
      <c r="Y50" s="8">
        <f t="shared" ca="1" si="112"/>
        <v>48246.245919149995</v>
      </c>
      <c r="Z50" s="8">
        <f t="shared" ca="1" si="112"/>
        <v>63706.288276100007</v>
      </c>
      <c r="AA50" s="8">
        <f t="shared" ca="1" si="112"/>
        <v>76504.710917010001</v>
      </c>
      <c r="AB50" s="8">
        <f t="shared" ca="1" si="112"/>
        <v>84062.269696430012</v>
      </c>
      <c r="AD50" s="34">
        <f t="shared" ref="AD50:AH53" ca="1" si="113">$W50-X50</f>
        <v>3347.3567408616655</v>
      </c>
      <c r="AE50" s="34">
        <f t="shared" ca="1" si="113"/>
        <v>26147.50786998999</v>
      </c>
      <c r="AF50" s="34">
        <f t="shared" ca="1" si="113"/>
        <v>10687.465513039977</v>
      </c>
      <c r="AG50" s="34">
        <f t="shared" ca="1" si="113"/>
        <v>-2110.9571278700168</v>
      </c>
      <c r="AH50" s="34">
        <f t="shared" ca="1" si="113"/>
        <v>-9668.5159072900278</v>
      </c>
      <c r="AJ50" s="36">
        <f t="shared" ref="AJ50:AN53" ca="1" si="114">IFERROR($W50/X50-1,0)</f>
        <v>4.711508084761884E-2</v>
      </c>
      <c r="AK50" s="36">
        <f t="shared" ca="1" si="114"/>
        <v>0.5419594285907221</v>
      </c>
      <c r="AL50" s="36">
        <f t="shared" ca="1" si="114"/>
        <v>0.16776154759983841</v>
      </c>
      <c r="AM50" s="36">
        <f t="shared" ca="1" si="114"/>
        <v>-2.7592511658006469E-2</v>
      </c>
      <c r="AN50" s="36">
        <f t="shared" ca="1" si="114"/>
        <v>-0.11501611772089271</v>
      </c>
    </row>
    <row r="51" spans="1:40" hidden="1" outlineLevel="1" x14ac:dyDescent="0.25">
      <c r="A51" s="11"/>
      <c r="C51" s="2" t="s">
        <v>1</v>
      </c>
      <c r="D51" s="8">
        <f t="shared" ref="D51:I53" ca="1" si="115">D39+D45</f>
        <v>47.971250009999977</v>
      </c>
      <c r="E51" s="8">
        <f t="shared" ca="1" si="115"/>
        <v>163.73589763628615</v>
      </c>
      <c r="F51" s="8">
        <f t="shared" ca="1" si="115"/>
        <v>43.68117000999996</v>
      </c>
      <c r="G51" s="8">
        <f t="shared" ca="1" si="115"/>
        <v>-21.594440030000015</v>
      </c>
      <c r="H51" s="8">
        <f t="shared" ca="1" si="115"/>
        <v>-5.1500799999999956</v>
      </c>
      <c r="I51" s="8">
        <f t="shared" ca="1" si="115"/>
        <v>-17.231002800000006</v>
      </c>
      <c r="K51" s="34">
        <f t="shared" ref="K51:K53" ca="1" si="116">$D51-E51</f>
        <v>-115.76464762628618</v>
      </c>
      <c r="L51" s="34">
        <f t="shared" ca="1" si="104"/>
        <v>4.2900800000000174</v>
      </c>
      <c r="M51" s="34">
        <f t="shared" ca="1" si="105"/>
        <v>69.565690039999993</v>
      </c>
      <c r="N51" s="34">
        <f t="shared" ca="1" si="106"/>
        <v>53.121330009999973</v>
      </c>
      <c r="O51" s="34">
        <f t="shared" ca="1" si="107"/>
        <v>65.202252809999976</v>
      </c>
      <c r="Q51" s="36">
        <f t="shared" ref="Q51:Q53" ca="1" si="117">IFERROR($D51/E51-1,0)</f>
        <v>-0.70702056969473692</v>
      </c>
      <c r="R51" s="36">
        <f t="shared" ca="1" si="108"/>
        <v>9.8213486475245304E-2</v>
      </c>
      <c r="S51" s="36">
        <f t="shared" ca="1" si="109"/>
        <v>-3.2214630221184737</v>
      </c>
      <c r="T51" s="36">
        <f t="shared" ca="1" si="110"/>
        <v>-10.314661133419291</v>
      </c>
      <c r="U51" s="36">
        <f t="shared" ca="1" si="111"/>
        <v>-3.7840080212859091</v>
      </c>
      <c r="W51" s="8">
        <f t="shared" ref="W51:AB51" ca="1" si="118">W39+W45</f>
        <v>132.30039002000001</v>
      </c>
      <c r="X51" s="8">
        <f t="shared" ca="1" si="118"/>
        <v>502.84557731187107</v>
      </c>
      <c r="Y51" s="8">
        <f t="shared" ca="1" si="118"/>
        <v>84.329140010000003</v>
      </c>
      <c r="Z51" s="8">
        <f t="shared" ca="1" si="118"/>
        <v>-5.0156100699999797</v>
      </c>
      <c r="AA51" s="8">
        <f t="shared" ca="1" si="118"/>
        <v>-2.1634299999999911</v>
      </c>
      <c r="AB51" s="8">
        <f t="shared" ca="1" si="118"/>
        <v>-13.748642799999999</v>
      </c>
      <c r="AD51" s="34">
        <f t="shared" ca="1" si="113"/>
        <v>-370.54518729187106</v>
      </c>
      <c r="AE51" s="34">
        <f t="shared" ca="1" si="113"/>
        <v>47.971250010000006</v>
      </c>
      <c r="AF51" s="34">
        <f t="shared" ca="1" si="113"/>
        <v>137.31600008999999</v>
      </c>
      <c r="AG51" s="34">
        <f t="shared" ca="1" si="113"/>
        <v>134.46382002000001</v>
      </c>
      <c r="AH51" s="34">
        <f t="shared" ca="1" si="113"/>
        <v>146.04903282000001</v>
      </c>
      <c r="AJ51" s="36">
        <f t="shared" ca="1" si="114"/>
        <v>-0.73689658219277598</v>
      </c>
      <c r="AK51" s="36">
        <f t="shared" ca="1" si="114"/>
        <v>0.56885733691001028</v>
      </c>
      <c r="AL51" s="36">
        <f t="shared" ca="1" si="114"/>
        <v>-27.377726372975509</v>
      </c>
      <c r="AM51" s="36">
        <f t="shared" ca="1" si="114"/>
        <v>-62.153071751801797</v>
      </c>
      <c r="AN51" s="36">
        <f t="shared" ca="1" si="114"/>
        <v>-10.622796369398731</v>
      </c>
    </row>
    <row r="52" spans="1:40" hidden="1" outlineLevel="1" x14ac:dyDescent="0.25">
      <c r="A52" s="11"/>
      <c r="C52" s="2" t="s">
        <v>45</v>
      </c>
      <c r="D52" s="8">
        <f t="shared" ca="1" si="115"/>
        <v>161.41859300000021</v>
      </c>
      <c r="E52" s="8">
        <f t="shared" ca="1" si="115"/>
        <v>326.31436797628248</v>
      </c>
      <c r="F52" s="8">
        <f t="shared" ca="1" si="115"/>
        <v>208.07533306000005</v>
      </c>
      <c r="G52" s="8">
        <f t="shared" ca="1" si="115"/>
        <v>305.40383777000011</v>
      </c>
      <c r="H52" s="8">
        <f t="shared" ca="1" si="115"/>
        <v>-135.53775578000023</v>
      </c>
      <c r="I52" s="8">
        <f t="shared" ca="1" si="115"/>
        <v>69.720474039999942</v>
      </c>
      <c r="K52" s="34">
        <f t="shared" ca="1" si="116"/>
        <v>-164.89577497628227</v>
      </c>
      <c r="L52" s="34">
        <f t="shared" ca="1" si="104"/>
        <v>-46.656740059999834</v>
      </c>
      <c r="M52" s="34">
        <f t="shared" ca="1" si="105"/>
        <v>-143.98524476999989</v>
      </c>
      <c r="N52" s="34">
        <f t="shared" ca="1" si="106"/>
        <v>296.95634878000044</v>
      </c>
      <c r="O52" s="34">
        <f t="shared" ca="1" si="107"/>
        <v>91.698118960000272</v>
      </c>
      <c r="Q52" s="36">
        <f t="shared" ca="1" si="117"/>
        <v>-0.50532796333463126</v>
      </c>
      <c r="R52" s="36">
        <f t="shared" ca="1" si="108"/>
        <v>-0.224230039062564</v>
      </c>
      <c r="S52" s="36">
        <f t="shared" ca="1" si="109"/>
        <v>-0.47145853117417369</v>
      </c>
      <c r="T52" s="36">
        <f t="shared" ca="1" si="110"/>
        <v>-2.1909492825158532</v>
      </c>
      <c r="U52" s="36">
        <f t="shared" ca="1" si="111"/>
        <v>1.3152251217826105</v>
      </c>
      <c r="W52" s="8">
        <f t="shared" ref="W52:AB52" ca="1" si="119">W40+W46</f>
        <v>541.80727806000004</v>
      </c>
      <c r="X52" s="8">
        <f t="shared" ca="1" si="119"/>
        <v>1067.2739234875332</v>
      </c>
      <c r="Y52" s="8">
        <f t="shared" ca="1" si="119"/>
        <v>380.38868505999994</v>
      </c>
      <c r="Z52" s="8">
        <f t="shared" ca="1" si="119"/>
        <v>575.78596563000065</v>
      </c>
      <c r="AA52" s="8">
        <f t="shared" ca="1" si="119"/>
        <v>-451.89886875999991</v>
      </c>
      <c r="AB52" s="8">
        <f t="shared" ca="1" si="119"/>
        <v>167.6403287600001</v>
      </c>
      <c r="AD52" s="34">
        <f t="shared" ca="1" si="113"/>
        <v>-525.46664542753319</v>
      </c>
      <c r="AE52" s="34">
        <f t="shared" ca="1" si="113"/>
        <v>161.4185930000001</v>
      </c>
      <c r="AF52" s="34">
        <f t="shared" ca="1" si="113"/>
        <v>-33.978687570000602</v>
      </c>
      <c r="AG52" s="34">
        <f t="shared" ca="1" si="113"/>
        <v>993.70614681999996</v>
      </c>
      <c r="AH52" s="34">
        <f t="shared" ca="1" si="113"/>
        <v>374.16694929999994</v>
      </c>
      <c r="AJ52" s="36">
        <f t="shared" ca="1" si="114"/>
        <v>-0.49234468664845177</v>
      </c>
      <c r="AK52" s="36">
        <f t="shared" ca="1" si="114"/>
        <v>0.42435172059478843</v>
      </c>
      <c r="AL52" s="36">
        <f t="shared" ca="1" si="114"/>
        <v>-5.9012705411849664E-2</v>
      </c>
      <c r="AM52" s="36">
        <f t="shared" ca="1" si="114"/>
        <v>-2.1989569249126619</v>
      </c>
      <c r="AN52" s="36">
        <f t="shared" ca="1" si="114"/>
        <v>2.2319626313526904</v>
      </c>
    </row>
    <row r="53" spans="1:40" collapsed="1" x14ac:dyDescent="0.25">
      <c r="C53" s="3" t="s">
        <v>66</v>
      </c>
      <c r="D53" s="10">
        <f t="shared" ca="1" si="115"/>
        <v>26356.897712999995</v>
      </c>
      <c r="E53" s="10">
        <f t="shared" ca="1" si="115"/>
        <v>25356.948395067429</v>
      </c>
      <c r="F53" s="10">
        <f t="shared" ca="1" si="115"/>
        <v>23463.282532090005</v>
      </c>
      <c r="G53" s="10">
        <f t="shared" ca="1" si="115"/>
        <v>22447.667153520004</v>
      </c>
      <c r="H53" s="10">
        <f t="shared" ca="1" si="115"/>
        <v>25075.251655360014</v>
      </c>
      <c r="I53" s="10">
        <f t="shared" ca="1" si="115"/>
        <v>29211.785237689997</v>
      </c>
      <c r="K53" s="35">
        <f t="shared" ca="1" si="116"/>
        <v>999.94931793256546</v>
      </c>
      <c r="L53" s="35">
        <f t="shared" ca="1" si="104"/>
        <v>2893.6151809099902</v>
      </c>
      <c r="M53" s="35">
        <f t="shared" ca="1" si="105"/>
        <v>3909.2305594799909</v>
      </c>
      <c r="N53" s="35">
        <f t="shared" ca="1" si="106"/>
        <v>1281.6460576399804</v>
      </c>
      <c r="O53" s="35">
        <f t="shared" ca="1" si="107"/>
        <v>-2854.8875246900025</v>
      </c>
      <c r="Q53" s="37">
        <f t="shared" ca="1" si="117"/>
        <v>3.9434923412435596E-2</v>
      </c>
      <c r="R53" s="37">
        <f t="shared" ca="1" si="108"/>
        <v>0.12332524986444171</v>
      </c>
      <c r="S53" s="37">
        <f t="shared" ca="1" si="109"/>
        <v>0.1741486334746809</v>
      </c>
      <c r="T53" s="37">
        <f t="shared" ca="1" si="110"/>
        <v>5.1111991825853575E-2</v>
      </c>
      <c r="U53" s="37">
        <f t="shared" ca="1" si="111"/>
        <v>-9.7730676213740431E-2</v>
      </c>
      <c r="W53" s="10">
        <f t="shared" ref="W53:AB53" ca="1" si="120">W41+W47</f>
        <v>75067.861457219988</v>
      </c>
      <c r="X53" s="10">
        <f t="shared" ca="1" si="120"/>
        <v>72616.516549077729</v>
      </c>
      <c r="Y53" s="10">
        <f t="shared" ca="1" si="120"/>
        <v>48710.963744220004</v>
      </c>
      <c r="Z53" s="10">
        <f t="shared" ca="1" si="120"/>
        <v>64277.058631660009</v>
      </c>
      <c r="AA53" s="10">
        <f t="shared" ca="1" si="120"/>
        <v>76050.648618249994</v>
      </c>
      <c r="AB53" s="10">
        <f t="shared" ca="1" si="120"/>
        <v>84216.161382389982</v>
      </c>
      <c r="AD53" s="35">
        <f t="shared" ca="1" si="113"/>
        <v>2451.3449081422586</v>
      </c>
      <c r="AE53" s="35">
        <f t="shared" ca="1" si="113"/>
        <v>26356.897712999984</v>
      </c>
      <c r="AF53" s="35">
        <f t="shared" ca="1" si="113"/>
        <v>10790.802825559978</v>
      </c>
      <c r="AG53" s="35">
        <f t="shared" ca="1" si="113"/>
        <v>-982.78716103000625</v>
      </c>
      <c r="AH53" s="35">
        <f t="shared" ca="1" si="113"/>
        <v>-9148.2999251699948</v>
      </c>
      <c r="AJ53" s="37">
        <f t="shared" ca="1" si="114"/>
        <v>3.3757401547697796E-2</v>
      </c>
      <c r="AK53" s="37">
        <f t="shared" ca="1" si="114"/>
        <v>0.54108758454050232</v>
      </c>
      <c r="AL53" s="37">
        <f t="shared" ca="1" si="114"/>
        <v>0.16787953673170897</v>
      </c>
      <c r="AM53" s="37">
        <f t="shared" ca="1" si="114"/>
        <v>-1.292279788385875E-2</v>
      </c>
      <c r="AN53" s="37">
        <f t="shared" ca="1" si="114"/>
        <v>-0.10862879256193392</v>
      </c>
    </row>
    <row r="54" spans="1:40" x14ac:dyDescent="0.25">
      <c r="D54" s="17"/>
      <c r="E54" s="17"/>
      <c r="F54" s="17"/>
      <c r="G54" s="17"/>
      <c r="H54" s="17"/>
      <c r="I54" s="17"/>
      <c r="W54" s="17"/>
      <c r="X54" s="17"/>
      <c r="Y54" s="17"/>
      <c r="Z54" s="17"/>
      <c r="AA54" s="17"/>
      <c r="AB54" s="17"/>
    </row>
    <row r="55" spans="1:40" x14ac:dyDescent="0.25">
      <c r="D55" s="19"/>
      <c r="E55" s="19"/>
      <c r="F55" s="19"/>
      <c r="G55" s="19"/>
      <c r="H55" s="19"/>
      <c r="I55" s="19"/>
      <c r="W55" s="19"/>
      <c r="X55" s="19"/>
      <c r="Y55" s="19"/>
      <c r="Z55" s="19"/>
      <c r="AA55" s="19"/>
      <c r="AB55" s="19"/>
    </row>
    <row r="56" spans="1:40" hidden="1" outlineLevel="1" x14ac:dyDescent="0.25">
      <c r="A56" s="11" t="s">
        <v>64</v>
      </c>
      <c r="C56" s="2" t="s">
        <v>67</v>
      </c>
      <c r="D56" s="8" cm="1">
        <f t="array" aca="1" ref="D56" ca="1">_xlfn.XLOOKUP(1,
 (INDIRECT("'"&amp;$C$6&amp;"'!$6:$6")=D$6)*
 (INDIRECT("'"&amp;$C$6&amp;"'!$5:$5")=D$5),
 INDIRECT("'"&amp;$C$6&amp;"'!"&amp;ROW()&amp;":"&amp;ROW())
)</f>
        <v>-14835.834723160198</v>
      </c>
      <c r="E56" s="8" cm="1">
        <f t="array" aca="1" ref="E56" ca="1">_xlfn.XLOOKUP(1,
 (INDIRECT("'"&amp;$C$6&amp;"'!$6:$6")=E$6)*
 (INDIRECT("'"&amp;$C$6&amp;"'!$5:$5")=E$5),
 INDIRECT("'"&amp;$C$6&amp;"'!"&amp;ROW()&amp;":"&amp;ROW())
)</f>
        <v>-21748.988205913018</v>
      </c>
      <c r="F56" s="8" cm="1">
        <f t="array" aca="1" ref="F56" ca="1">_xlfn.XLOOKUP(1,
 (INDIRECT("'"&amp;$C$6&amp;"'!$6:$6")=F$6)*
 (INDIRECT("'"&amp;$C$6&amp;"'!$5:$5")=F$5),
 INDIRECT("'"&amp;$C$6&amp;"'!"&amp;ROW()&amp;":"&amp;ROW())
)</f>
        <v>-15838.700527198838</v>
      </c>
      <c r="G56" s="8" cm="1">
        <f t="array" aca="1" ref="G56" ca="1">_xlfn.XLOOKUP(1,
 (INDIRECT("'"&amp;$C$6&amp;"'!$6:$6")=G$6)*
 (INDIRECT("'"&amp;$C$6&amp;"'!$5:$5")=G$5),
 INDIRECT("'"&amp;$C$6&amp;"'!"&amp;ROW()&amp;":"&amp;ROW())
)</f>
        <v>-28069.949833832139</v>
      </c>
      <c r="H56" s="8" cm="1">
        <f t="array" aca="1" ref="H56" ca="1">_xlfn.XLOOKUP(1,
 (INDIRECT("'"&amp;$C$6&amp;"'!$6:$6")=H$6)*
 (INDIRECT("'"&amp;$C$6&amp;"'!$5:$5")=H$5),
 INDIRECT("'"&amp;$C$6&amp;"'!"&amp;ROW()&amp;":"&amp;ROW())
)</f>
        <v>-78548.727619655954</v>
      </c>
      <c r="I56" s="8" cm="1">
        <f t="array" aca="1" ref="I56" ca="1">_xlfn.XLOOKUP(1,
 (INDIRECT("'"&amp;$C$6&amp;"'!$6:$6")=I$6)*
 (INDIRECT("'"&amp;$C$6&amp;"'!$5:$5")=I$5),
 INDIRECT("'"&amp;$C$6&amp;"'!"&amp;ROW()&amp;":"&amp;ROW())
)</f>
        <v>-25857.675469787704</v>
      </c>
      <c r="K56" s="34">
        <f t="shared" ref="K56:K58" ca="1" si="121">$D56-E56</f>
        <v>6913.1534827528194</v>
      </c>
      <c r="L56" s="34">
        <f t="shared" ref="L56:L58" ca="1" si="122">$D56-F56</f>
        <v>1002.8658040386399</v>
      </c>
      <c r="M56" s="34">
        <f t="shared" ref="M56:M58" ca="1" si="123">$D56-G56</f>
        <v>13234.115110671941</v>
      </c>
      <c r="N56" s="34">
        <f t="shared" ref="N56:N58" ca="1" si="124">$D56-H56</f>
        <v>63712.892896495759</v>
      </c>
      <c r="O56" s="34">
        <f t="shared" ref="O56:O58" ca="1" si="125">$D56-I56</f>
        <v>11021.840746627506</v>
      </c>
      <c r="Q56" s="36">
        <f t="shared" ref="Q56:Q58" ca="1" si="126">IFERROR($D56/E56-1,0)</f>
        <v>-0.3178609237956781</v>
      </c>
      <c r="R56" s="36">
        <f t="shared" ref="R56:R58" ca="1" si="127">IFERROR($D56/F56-1,0)</f>
        <v>-6.3317429502280143E-2</v>
      </c>
      <c r="S56" s="36">
        <f t="shared" ref="S56:S58" ca="1" si="128">IFERROR($D56/G56-1,0)</f>
        <v>-0.47146914009518937</v>
      </c>
      <c r="T56" s="36">
        <f t="shared" ref="T56:T58" ca="1" si="129">IFERROR($D56/H56-1,0)</f>
        <v>-0.81112571555585966</v>
      </c>
      <c r="U56" s="36">
        <f t="shared" ref="U56:U58" ca="1" si="130">IFERROR($D56/I56-1,0)</f>
        <v>-0.42625025437826014</v>
      </c>
      <c r="W56" s="8" cm="1">
        <f t="array" aca="1" ref="W56" ca="1">INDIRECT("'"&amp;$C$6&amp;"'!"&amp;ADDRESS(ROW(),COLUMN()+44))</f>
        <v>-45656.08524637435</v>
      </c>
      <c r="X56" s="8" cm="1">
        <f t="array" aca="1" ref="X56" ca="1">INDIRECT("'"&amp;$C$6&amp;"'!"&amp;ADDRESS(ROW(),COLUMN()+44))</f>
        <v>-61138.285485169428</v>
      </c>
      <c r="Y56" s="8" cm="1">
        <f t="array" aca="1" ref="Y56" ca="1">INDIRECT("'"&amp;$C$6&amp;"'!"&amp;ADDRESS(ROW(),COLUMN()+44))</f>
        <v>-30820.250523214156</v>
      </c>
      <c r="Z56" s="8" cm="1">
        <f t="array" aca="1" ref="Z56" ca="1">INDIRECT("'"&amp;$C$6&amp;"'!"&amp;ADDRESS(ROW(),COLUMN()+44))</f>
        <v>-89731.923449992406</v>
      </c>
      <c r="AA56" s="8" cm="1">
        <f t="array" aca="1" ref="AA56" ca="1">INDIRECT("'"&amp;$C$6&amp;"'!"&amp;ADDRESS(ROW(),COLUMN()+44))</f>
        <v>-223843.63812655842</v>
      </c>
      <c r="AB56" s="8" cm="1">
        <f t="array" aca="1" ref="AB56" ca="1">INDIRECT("'"&amp;$C$6&amp;"'!"&amp;ADDRESS(ROW(),COLUMN()+44))</f>
        <v>-65923.13089670417</v>
      </c>
      <c r="AD56" s="34">
        <f t="shared" ref="AD56:AH58" ca="1" si="131">$W56-X56</f>
        <v>15482.200238795078</v>
      </c>
      <c r="AE56" s="34">
        <f t="shared" ca="1" si="131"/>
        <v>-14835.834723160195</v>
      </c>
      <c r="AF56" s="34">
        <f t="shared" ca="1" si="131"/>
        <v>44075.838203618056</v>
      </c>
      <c r="AG56" s="34">
        <f t="shared" ca="1" si="131"/>
        <v>178187.55288018408</v>
      </c>
      <c r="AH56" s="34">
        <f t="shared" ca="1" si="131"/>
        <v>20267.045650329819</v>
      </c>
      <c r="AJ56" s="36">
        <f t="shared" ref="AJ56:AN58" ca="1" si="132">IFERROR($W56/X56-1,0)</f>
        <v>-0.25323248952656119</v>
      </c>
      <c r="AK56" s="36">
        <f t="shared" ca="1" si="132"/>
        <v>0.48136645456485438</v>
      </c>
      <c r="AL56" s="36">
        <f t="shared" ca="1" si="132"/>
        <v>-0.49119462181351226</v>
      </c>
      <c r="AM56" s="36">
        <f t="shared" ca="1" si="132"/>
        <v>-0.79603581487287589</v>
      </c>
      <c r="AN56" s="36">
        <f t="shared" ca="1" si="132"/>
        <v>-0.30743451311629177</v>
      </c>
    </row>
    <row r="57" spans="1:40" hidden="1" outlineLevel="1" x14ac:dyDescent="0.25">
      <c r="A57" s="11" t="s">
        <v>65</v>
      </c>
      <c r="C57" s="2" t="s">
        <v>69</v>
      </c>
      <c r="D57" s="8" cm="1">
        <f t="array" aca="1" ref="D57" ca="1">_xlfn.XLOOKUP(1,
 (INDIRECT("'"&amp;$C$6&amp;"'!$6:$6")=D$6)*
 (INDIRECT("'"&amp;$C$6&amp;"'!$5:$5")=D$5),
 INDIRECT("'"&amp;$C$6&amp;"'!"&amp;ROW()&amp;":"&amp;ROW())
)</f>
        <v>1988.2336</v>
      </c>
      <c r="E57" s="8" cm="1">
        <f t="array" aca="1" ref="E57" ca="1">_xlfn.XLOOKUP(1,
 (INDIRECT("'"&amp;$C$6&amp;"'!$6:$6")=E$6)*
 (INDIRECT("'"&amp;$C$6&amp;"'!$5:$5")=E$5),
 INDIRECT("'"&amp;$C$6&amp;"'!"&amp;ROW()&amp;":"&amp;ROW())
)</f>
        <v>1182.7462798407269</v>
      </c>
      <c r="F57" s="8" cm="1">
        <f t="array" aca="1" ref="F57" ca="1">_xlfn.XLOOKUP(1,
 (INDIRECT("'"&amp;$C$6&amp;"'!$6:$6")=F$6)*
 (INDIRECT("'"&amp;$C$6&amp;"'!$5:$5")=F$5),
 INDIRECT("'"&amp;$C$6&amp;"'!"&amp;ROW()&amp;":"&amp;ROW())
)</f>
        <v>1726.7254399999997</v>
      </c>
      <c r="G57" s="8" cm="1">
        <f t="array" aca="1" ref="G57" ca="1">_xlfn.XLOOKUP(1,
 (INDIRECT("'"&amp;$C$6&amp;"'!$6:$6")=G$6)*
 (INDIRECT("'"&amp;$C$6&amp;"'!$5:$5")=G$5),
 INDIRECT("'"&amp;$C$6&amp;"'!"&amp;ROW()&amp;":"&amp;ROW())
)</f>
        <v>3529.5581900000002</v>
      </c>
      <c r="H57" s="8" cm="1">
        <f t="array" aca="1" ref="H57" ca="1">_xlfn.XLOOKUP(1,
 (INDIRECT("'"&amp;$C$6&amp;"'!$6:$6")=H$6)*
 (INDIRECT("'"&amp;$C$6&amp;"'!$5:$5")=H$5),
 INDIRECT("'"&amp;$C$6&amp;"'!"&amp;ROW()&amp;":"&amp;ROW())
)</f>
        <v>1476.24785</v>
      </c>
      <c r="I57" s="8" cm="1">
        <f t="array" aca="1" ref="I57" ca="1">_xlfn.XLOOKUP(1,
 (INDIRECT("'"&amp;$C$6&amp;"'!$6:$6")=I$6)*
 (INDIRECT("'"&amp;$C$6&amp;"'!$5:$5")=I$5),
 INDIRECT("'"&amp;$C$6&amp;"'!"&amp;ROW()&amp;":"&amp;ROW())
)</f>
        <v>1415.9338099999993</v>
      </c>
      <c r="K57" s="34">
        <f t="shared" ca="1" si="121"/>
        <v>805.48732015927317</v>
      </c>
      <c r="L57" s="34">
        <f t="shared" ca="1" si="122"/>
        <v>261.50816000000032</v>
      </c>
      <c r="M57" s="34">
        <f t="shared" ca="1" si="123"/>
        <v>-1541.3245900000002</v>
      </c>
      <c r="N57" s="34">
        <f t="shared" ca="1" si="124"/>
        <v>511.98575000000005</v>
      </c>
      <c r="O57" s="34">
        <f t="shared" ca="1" si="125"/>
        <v>572.29979000000071</v>
      </c>
      <c r="Q57" s="36">
        <f t="shared" ca="1" si="126"/>
        <v>0.68103137070762387</v>
      </c>
      <c r="R57" s="36">
        <f t="shared" ca="1" si="127"/>
        <v>0.15144744725600412</v>
      </c>
      <c r="S57" s="36">
        <f t="shared" ca="1" si="128"/>
        <v>-0.43669051678108195</v>
      </c>
      <c r="T57" s="36">
        <f t="shared" ca="1" si="129"/>
        <v>0.34681557707264399</v>
      </c>
      <c r="U57" s="36">
        <f t="shared" ca="1" si="130"/>
        <v>0.40418541174604838</v>
      </c>
      <c r="W57" s="8" cm="1">
        <f t="array" aca="1" ref="W57" ca="1">INDIRECT("'"&amp;$C$6&amp;"'!"&amp;ADDRESS(ROW(),COLUMN()+44))</f>
        <v>5556.1376199999995</v>
      </c>
      <c r="X57" s="8" cm="1">
        <f t="array" aca="1" ref="X57" ca="1">INDIRECT("'"&amp;$C$6&amp;"'!"&amp;ADDRESS(ROW(),COLUMN()+44))</f>
        <v>3480.4536445432786</v>
      </c>
      <c r="Y57" s="8" cm="1">
        <f t="array" aca="1" ref="Y57" ca="1">INDIRECT("'"&amp;$C$6&amp;"'!"&amp;ADDRESS(ROW(),COLUMN()+44))</f>
        <v>3567.9040199999995</v>
      </c>
      <c r="Z57" s="8" cm="1">
        <f t="array" aca="1" ref="Z57" ca="1">INDIRECT("'"&amp;$C$6&amp;"'!"&amp;ADDRESS(ROW(),COLUMN()+44))</f>
        <v>9433.4780100000007</v>
      </c>
      <c r="AA57" s="8" cm="1">
        <f t="array" aca="1" ref="AA57" ca="1">INDIRECT("'"&amp;$C$6&amp;"'!"&amp;ADDRESS(ROW(),COLUMN()+44))</f>
        <v>4206.3885799999998</v>
      </c>
      <c r="AB57" s="8" cm="1">
        <f t="array" aca="1" ref="AB57" ca="1">INDIRECT("'"&amp;$C$6&amp;"'!"&amp;ADDRESS(ROW(),COLUMN()+44))</f>
        <v>3651.5433099999991</v>
      </c>
      <c r="AD57" s="34">
        <f t="shared" ca="1" si="131"/>
        <v>2075.6839754567209</v>
      </c>
      <c r="AE57" s="34">
        <f t="shared" ca="1" si="131"/>
        <v>1988.2336</v>
      </c>
      <c r="AF57" s="34">
        <f t="shared" ca="1" si="131"/>
        <v>-3877.3403900000012</v>
      </c>
      <c r="AG57" s="34">
        <f t="shared" ca="1" si="131"/>
        <v>1349.7490399999997</v>
      </c>
      <c r="AH57" s="34">
        <f t="shared" ca="1" si="131"/>
        <v>1904.5943100000004</v>
      </c>
      <c r="AJ57" s="36">
        <f t="shared" ca="1" si="132"/>
        <v>0.59638316939259273</v>
      </c>
      <c r="AK57" s="36">
        <f t="shared" ca="1" si="132"/>
        <v>0.55725534903822904</v>
      </c>
      <c r="AL57" s="36">
        <f t="shared" ca="1" si="132"/>
        <v>-0.41101917934083365</v>
      </c>
      <c r="AM57" s="36">
        <f t="shared" ca="1" si="132"/>
        <v>0.3208807304245771</v>
      </c>
      <c r="AN57" s="36">
        <f t="shared" ca="1" si="132"/>
        <v>0.52158612080107059</v>
      </c>
    </row>
    <row r="58" spans="1:40" collapsed="1" x14ac:dyDescent="0.25">
      <c r="C58" s="3" t="s">
        <v>68</v>
      </c>
      <c r="D58" s="10">
        <f t="shared" ref="D58:I58" ca="1" si="133">SUM(D56:D57)</f>
        <v>-12847.601123160199</v>
      </c>
      <c r="E58" s="10">
        <f t="shared" ca="1" si="133"/>
        <v>-20566.241926072289</v>
      </c>
      <c r="F58" s="10">
        <f t="shared" ca="1" si="133"/>
        <v>-14111.975087198838</v>
      </c>
      <c r="G58" s="10">
        <f t="shared" ca="1" si="133"/>
        <v>-24540.391643832139</v>
      </c>
      <c r="H58" s="10">
        <f t="shared" ca="1" si="133"/>
        <v>-77072.479769655954</v>
      </c>
      <c r="I58" s="10">
        <f t="shared" ca="1" si="133"/>
        <v>-24441.741659787705</v>
      </c>
      <c r="K58" s="35">
        <f t="shared" ca="1" si="121"/>
        <v>7718.6408029120903</v>
      </c>
      <c r="L58" s="35">
        <f t="shared" ca="1" si="122"/>
        <v>1264.3739640386393</v>
      </c>
      <c r="M58" s="35">
        <f t="shared" ca="1" si="123"/>
        <v>11692.790520671941</v>
      </c>
      <c r="N58" s="35">
        <f t="shared" ca="1" si="124"/>
        <v>64224.878646495752</v>
      </c>
      <c r="O58" s="35">
        <f t="shared" ca="1" si="125"/>
        <v>11594.140536627507</v>
      </c>
      <c r="Q58" s="37">
        <f t="shared" ca="1" si="126"/>
        <v>-0.37530633115459933</v>
      </c>
      <c r="R58" s="37">
        <f t="shared" ca="1" si="127"/>
        <v>-8.9595818886157863E-2</v>
      </c>
      <c r="S58" s="37">
        <f t="shared" ca="1" si="128"/>
        <v>-0.47647122712529111</v>
      </c>
      <c r="T58" s="37">
        <f t="shared" ca="1" si="129"/>
        <v>-0.83330494670007493</v>
      </c>
      <c r="U58" s="37">
        <f t="shared" ca="1" si="130"/>
        <v>-0.47435819828267556</v>
      </c>
      <c r="W58" s="10">
        <f t="shared" ref="W58:AB58" ca="1" si="134">SUM(W56:W57)</f>
        <v>-40099.947626374349</v>
      </c>
      <c r="X58" s="10">
        <f t="shared" ca="1" si="134"/>
        <v>-57657.831840626153</v>
      </c>
      <c r="Y58" s="10">
        <f t="shared" ca="1" si="134"/>
        <v>-27252.346503214158</v>
      </c>
      <c r="Z58" s="10">
        <f t="shared" ca="1" si="134"/>
        <v>-80298.4454399924</v>
      </c>
      <c r="AA58" s="10">
        <f t="shared" ca="1" si="134"/>
        <v>-219637.24954655842</v>
      </c>
      <c r="AB58" s="10">
        <f t="shared" ca="1" si="134"/>
        <v>-62271.587586704169</v>
      </c>
      <c r="AD58" s="35">
        <f t="shared" ca="1" si="131"/>
        <v>17557.884214251804</v>
      </c>
      <c r="AE58" s="35">
        <f t="shared" ca="1" si="131"/>
        <v>-12847.601123160191</v>
      </c>
      <c r="AF58" s="35">
        <f t="shared" ca="1" si="131"/>
        <v>40198.497813618051</v>
      </c>
      <c r="AG58" s="35">
        <f t="shared" ca="1" si="131"/>
        <v>179537.30192018408</v>
      </c>
      <c r="AH58" s="35">
        <f t="shared" ca="1" si="131"/>
        <v>22171.63996032982</v>
      </c>
      <c r="AJ58" s="37">
        <f t="shared" ca="1" si="132"/>
        <v>-0.30451863439444116</v>
      </c>
      <c r="AK58" s="37">
        <f t="shared" ca="1" si="132"/>
        <v>0.47143100582714736</v>
      </c>
      <c r="AL58" s="37">
        <f t="shared" ca="1" si="132"/>
        <v>-0.5006136494094231</v>
      </c>
      <c r="AM58" s="37">
        <f t="shared" ca="1" si="132"/>
        <v>-0.81742647156089976</v>
      </c>
      <c r="AN58" s="37">
        <f t="shared" ca="1" si="132"/>
        <v>-0.35604744988168191</v>
      </c>
    </row>
    <row r="60" spans="1:40" x14ac:dyDescent="0.25">
      <c r="C60" s="3" t="s">
        <v>70</v>
      </c>
      <c r="D60" s="10">
        <f ca="1">D53+D58</f>
        <v>13509.296589839796</v>
      </c>
      <c r="E60" s="10">
        <f t="shared" ref="E60:I60" ca="1" si="135">E53+E58</f>
        <v>4790.7064689951403</v>
      </c>
      <c r="F60" s="10">
        <f t="shared" ca="1" si="135"/>
        <v>9351.3074448911666</v>
      </c>
      <c r="G60" s="10">
        <f t="shared" ca="1" si="135"/>
        <v>-2092.7244903121355</v>
      </c>
      <c r="H60" s="10">
        <f t="shared" ca="1" si="135"/>
        <v>-51997.22811429594</v>
      </c>
      <c r="I60" s="10">
        <f t="shared" ca="1" si="135"/>
        <v>4770.0435779022919</v>
      </c>
      <c r="K60" s="35">
        <f t="shared" ref="K60" ca="1" si="136">$D60-E60</f>
        <v>8718.5901208446558</v>
      </c>
      <c r="L60" s="35">
        <f t="shared" ref="L60" ca="1" si="137">$D60-F60</f>
        <v>4157.9891449486295</v>
      </c>
      <c r="M60" s="35">
        <f t="shared" ref="M60" ca="1" si="138">$D60-G60</f>
        <v>15602.021080151932</v>
      </c>
      <c r="N60" s="35">
        <f t="shared" ref="N60" ca="1" si="139">$D60-H60</f>
        <v>65506.524704135736</v>
      </c>
      <c r="O60" s="35">
        <f t="shared" ref="O60" ca="1" si="140">$D60-I60</f>
        <v>8739.2530119375042</v>
      </c>
      <c r="Q60" s="37">
        <f t="shared" ref="Q60" ca="1" si="141">IFERROR($D60/E60-1,0)</f>
        <v>1.8198965386984765</v>
      </c>
      <c r="R60" s="37">
        <f t="shared" ref="R60" ca="1" si="142">IFERROR($D60/F60-1,0)</f>
        <v>0.44464254538227532</v>
      </c>
      <c r="S60" s="37">
        <f t="shared" ref="S60" ca="1" si="143">IFERROR($D60/G60-1,0)</f>
        <v>-7.4553631652797492</v>
      </c>
      <c r="T60" s="37">
        <f t="shared" ref="T60" ca="1" si="144">IFERROR($D60/H60-1,0)</f>
        <v>-1.259808014383859</v>
      </c>
      <c r="U60" s="37">
        <f t="shared" ref="U60" ca="1" si="145">IFERROR($D60/I60-1,0)</f>
        <v>1.8321117761739067</v>
      </c>
      <c r="W60" s="10">
        <f ca="1">W53+W58</f>
        <v>34967.913830845639</v>
      </c>
      <c r="X60" s="10">
        <f t="shared" ref="X60:AB60" ca="1" si="146">X53+X58</f>
        <v>14958.684708451576</v>
      </c>
      <c r="Y60" s="10">
        <f t="shared" ca="1" si="146"/>
        <v>21458.617241005846</v>
      </c>
      <c r="Z60" s="10">
        <f t="shared" ca="1" si="146"/>
        <v>-16021.386808332391</v>
      </c>
      <c r="AA60" s="10">
        <f t="shared" ca="1" si="146"/>
        <v>-143586.60092830844</v>
      </c>
      <c r="AB60" s="10">
        <f t="shared" ca="1" si="146"/>
        <v>21944.573795685814</v>
      </c>
      <c r="AD60" s="35">
        <f ca="1">$W60-X60</f>
        <v>20009.229122394063</v>
      </c>
      <c r="AE60" s="35">
        <f ca="1">$W60-Y60</f>
        <v>13509.296589839792</v>
      </c>
      <c r="AF60" s="35">
        <f ca="1">$W60-Z60</f>
        <v>50989.300639178029</v>
      </c>
      <c r="AG60" s="35">
        <f ca="1">$W60-AA60</f>
        <v>178554.51475915409</v>
      </c>
      <c r="AH60" s="35">
        <f ca="1">$W60-AB60</f>
        <v>13023.340035159825</v>
      </c>
      <c r="AJ60" s="37">
        <f ca="1">IFERROR($W60/X60-1,0)</f>
        <v>1.3376329211009415</v>
      </c>
      <c r="AK60" s="37">
        <f ca="1">IFERROR($W60/Y60-1,0)</f>
        <v>0.62955112336057306</v>
      </c>
      <c r="AL60" s="37">
        <f ca="1">IFERROR($W60/Z60-1,0)</f>
        <v>-3.1825772168898356</v>
      </c>
      <c r="AM60" s="37">
        <f ca="1">IFERROR($W60/AA60-1,0)</f>
        <v>-1.2435318727845979</v>
      </c>
      <c r="AN60" s="37">
        <f ca="1">IFERROR($W60/AB60-1,0)</f>
        <v>0.59346516165741825</v>
      </c>
    </row>
    <row r="63" spans="1:40" hidden="1" outlineLevel="1" x14ac:dyDescent="0.25">
      <c r="A63" s="11" t="s">
        <v>71</v>
      </c>
      <c r="C63" s="2" t="s">
        <v>75</v>
      </c>
      <c r="D63" s="8" cm="1">
        <f t="array" aca="1" ref="D63" ca="1">_xlfn.XLOOKUP(1,
 (INDIRECT("'"&amp;$C$6&amp;"'!$6:$6")=D$6)*
 (INDIRECT("'"&amp;$C$6&amp;"'!$5:$5")=D$5),
 INDIRECT("'"&amp;$C$6&amp;"'!"&amp;ROW()&amp;":"&amp;ROW())
)</f>
        <v>285.92705749999988</v>
      </c>
      <c r="E63" s="8" cm="1">
        <f t="array" aca="1" ref="E63" ca="1">_xlfn.XLOOKUP(1,
 (INDIRECT("'"&amp;$C$6&amp;"'!$6:$6")=E$6)*
 (INDIRECT("'"&amp;$C$6&amp;"'!$5:$5")=E$5),
 INDIRECT("'"&amp;$C$6&amp;"'!"&amp;ROW()&amp;":"&amp;ROW())
)</f>
        <v>313.71389414872004</v>
      </c>
      <c r="F63" s="8" cm="1">
        <f t="array" aca="1" ref="F63" ca="1">_xlfn.XLOOKUP(1,
 (INDIRECT("'"&amp;$C$6&amp;"'!$6:$6")=F$6)*
 (INDIRECT("'"&amp;$C$6&amp;"'!$5:$5")=F$5),
 INDIRECT("'"&amp;$C$6&amp;"'!"&amp;ROW()&amp;":"&amp;ROW())
)</f>
        <v>271.77459234000003</v>
      </c>
      <c r="G63" s="8" cm="1">
        <f t="array" aca="1" ref="G63" ca="1">_xlfn.XLOOKUP(1,
 (INDIRECT("'"&amp;$C$6&amp;"'!$6:$6")=G$6)*
 (INDIRECT("'"&amp;$C$6&amp;"'!$5:$5")=G$5),
 INDIRECT("'"&amp;$C$6&amp;"'!"&amp;ROW()&amp;":"&amp;ROW())
)</f>
        <v>150.23105409388998</v>
      </c>
      <c r="H63" s="8" cm="1">
        <f t="array" aca="1" ref="H63" ca="1">_xlfn.XLOOKUP(1,
 (INDIRECT("'"&amp;$C$6&amp;"'!$6:$6")=H$6)*
 (INDIRECT("'"&amp;$C$6&amp;"'!$5:$5")=H$5),
 INDIRECT("'"&amp;$C$6&amp;"'!"&amp;ROW()&amp;":"&amp;ROW())
)</f>
        <v>428.11719231533993</v>
      </c>
      <c r="I63" s="8" cm="1">
        <f t="array" aca="1" ref="I63" ca="1">_xlfn.XLOOKUP(1,
 (INDIRECT("'"&amp;$C$6&amp;"'!$6:$6")=I$6)*
 (INDIRECT("'"&amp;$C$6&amp;"'!$5:$5")=I$5),
 INDIRECT("'"&amp;$C$6&amp;"'!"&amp;ROW()&amp;":"&amp;ROW())
)</f>
        <v>293.71882655406</v>
      </c>
      <c r="K63" s="34">
        <f t="shared" ref="K63:K83" ca="1" si="147">$D63-E63</f>
        <v>-27.786836648720168</v>
      </c>
      <c r="L63" s="34">
        <f t="shared" ref="L63:L83" ca="1" si="148">$D63-F63</f>
        <v>14.152465159999849</v>
      </c>
      <c r="M63" s="34">
        <f t="shared" ref="M63:M83" ca="1" si="149">$D63-G63</f>
        <v>135.6960034061099</v>
      </c>
      <c r="N63" s="34">
        <f t="shared" ref="N63:N83" ca="1" si="150">$D63-H63</f>
        <v>-142.19013481534006</v>
      </c>
      <c r="O63" s="34">
        <f t="shared" ref="O63:O83" ca="1" si="151">$D63-I63</f>
        <v>-7.7917690540601257</v>
      </c>
      <c r="Q63" s="36">
        <f t="shared" ref="Q63:Q83" ca="1" si="152">IFERROR($D63/E63-1,0)</f>
        <v>-8.8573815718686277E-2</v>
      </c>
      <c r="R63" s="36">
        <f t="shared" ref="R63:R83" ca="1" si="153">IFERROR($D63/F63-1,0)</f>
        <v>5.2074276105599226E-2</v>
      </c>
      <c r="S63" s="36">
        <f t="shared" ref="S63:S83" ca="1" si="154">IFERROR($D63/G63-1,0)</f>
        <v>0.90324869398376118</v>
      </c>
      <c r="T63" s="36">
        <f t="shared" ref="T63:T83" ca="1" si="155">IFERROR($D63/H63-1,0)</f>
        <v>-0.33212899964691567</v>
      </c>
      <c r="U63" s="36">
        <f t="shared" ref="U63:U83" ca="1" si="156">IFERROR($D63/I63-1,0)</f>
        <v>-2.6527986460636477E-2</v>
      </c>
      <c r="W63" s="8" cm="1">
        <f t="array" aca="1" ref="W63" ca="1">INDIRECT("'"&amp;$C$6&amp;"'!"&amp;ADDRESS(ROW(),COLUMN()+44))</f>
        <v>913.56677453999987</v>
      </c>
      <c r="X63" s="8" cm="1">
        <f t="array" aca="1" ref="X63" ca="1">INDIRECT("'"&amp;$C$6&amp;"'!"&amp;ADDRESS(ROW(),COLUMN()+44))</f>
        <v>935.3842245269052</v>
      </c>
      <c r="Y63" s="8" cm="1">
        <f t="array" aca="1" ref="Y63" ca="1">INDIRECT("'"&amp;$C$6&amp;"'!"&amp;ADDRESS(ROW(),COLUMN()+44))</f>
        <v>627.63971704000005</v>
      </c>
      <c r="Z63" s="8" cm="1">
        <f t="array" aca="1" ref="Z63" ca="1">INDIRECT("'"&amp;$C$6&amp;"'!"&amp;ADDRESS(ROW(),COLUMN()+44))</f>
        <v>780.06137243785997</v>
      </c>
      <c r="AA63" s="8" cm="1">
        <f t="array" aca="1" ref="AA63" ca="1">INDIRECT("'"&amp;$C$6&amp;"'!"&amp;ADDRESS(ROW(),COLUMN()+44))</f>
        <v>1241.74155007846</v>
      </c>
      <c r="AB63" s="8" cm="1">
        <f t="array" aca="1" ref="AB63" ca="1">INDIRECT("'"&amp;$C$6&amp;"'!"&amp;ADDRESS(ROW(),COLUMN()+44))</f>
        <v>1031.4181220600899</v>
      </c>
      <c r="AD63" s="34">
        <f t="shared" ref="AD63:AD83" ca="1" si="157">$W63-X63</f>
        <v>-21.817449986905331</v>
      </c>
      <c r="AE63" s="34">
        <f t="shared" ref="AE63:AE83" ca="1" si="158">$W63-Y63</f>
        <v>285.92705749999982</v>
      </c>
      <c r="AF63" s="34">
        <f t="shared" ref="AF63:AF83" ca="1" si="159">$W63-Z63</f>
        <v>133.5054021021399</v>
      </c>
      <c r="AG63" s="34">
        <f t="shared" ref="AG63:AG83" ca="1" si="160">$W63-AA63</f>
        <v>-328.17477553846015</v>
      </c>
      <c r="AH63" s="34">
        <f t="shared" ref="AH63:AH83" ca="1" si="161">$W63-AB63</f>
        <v>-117.85134752009003</v>
      </c>
      <c r="AJ63" s="36">
        <f t="shared" ref="AJ63:AJ83" ca="1" si="162">IFERROR($W63/X63-1,0)</f>
        <v>-2.3324586212623011E-2</v>
      </c>
      <c r="AK63" s="36">
        <f t="shared" ref="AK63:AK83" ca="1" si="163">IFERROR($W63/Y63-1,0)</f>
        <v>0.4555592161191695</v>
      </c>
      <c r="AL63" s="36">
        <f t="shared" ref="AL63:AL83" ca="1" si="164">IFERROR($W63/Z63-1,0)</f>
        <v>0.17114730560866853</v>
      </c>
      <c r="AM63" s="36">
        <f t="shared" ref="AM63:AM83" ca="1" si="165">IFERROR($W63/AA63-1,0)</f>
        <v>-0.26428589388647283</v>
      </c>
      <c r="AN63" s="36">
        <f t="shared" ref="AN63:AN83" ca="1" si="166">IFERROR($W63/AB63-1,0)</f>
        <v>-0.11426146680911631</v>
      </c>
    </row>
    <row r="64" spans="1:40" hidden="1" outlineLevel="1" x14ac:dyDescent="0.25">
      <c r="A64" s="11" t="s">
        <v>71</v>
      </c>
      <c r="C64" s="2" t="s">
        <v>72</v>
      </c>
      <c r="D64" s="8" cm="1">
        <f t="array" aca="1" ref="D64" ca="1">_xlfn.XLOOKUP(1,
 (INDIRECT("'"&amp;$C$6&amp;"'!$6:$6")=D$6)*
 (INDIRECT("'"&amp;$C$6&amp;"'!$5:$5")=D$5),
 INDIRECT("'"&amp;$C$6&amp;"'!"&amp;ROW()&amp;":"&amp;ROW())
)</f>
        <v>0.66832999999999998</v>
      </c>
      <c r="E64" s="8" cm="1">
        <f t="array" aca="1" ref="E64" ca="1">_xlfn.XLOOKUP(1,
 (INDIRECT("'"&amp;$C$6&amp;"'!$6:$6")=E$6)*
 (INDIRECT("'"&amp;$C$6&amp;"'!$5:$5")=E$5),
 INDIRECT("'"&amp;$C$6&amp;"'!"&amp;ROW()&amp;":"&amp;ROW())
)</f>
        <v>0.90652285714285707</v>
      </c>
      <c r="F64" s="8" cm="1">
        <f t="array" aca="1" ref="F64" ca="1">_xlfn.XLOOKUP(1,
 (INDIRECT("'"&amp;$C$6&amp;"'!$6:$6")=F$6)*
 (INDIRECT("'"&amp;$C$6&amp;"'!$5:$5")=F$5),
 INDIRECT("'"&amp;$C$6&amp;"'!"&amp;ROW()&amp;":"&amp;ROW())
)</f>
        <v>0.58767000000000003</v>
      </c>
      <c r="G64" s="8" cm="1">
        <f t="array" aca="1" ref="G64" ca="1">_xlfn.XLOOKUP(1,
 (INDIRECT("'"&amp;$C$6&amp;"'!$6:$6")=G$6)*
 (INDIRECT("'"&amp;$C$6&amp;"'!$5:$5")=G$5),
 INDIRECT("'"&amp;$C$6&amp;"'!"&amp;ROW()&amp;":"&amp;ROW())
)</f>
        <v>1.11633</v>
      </c>
      <c r="H64" s="8" cm="1">
        <f t="array" aca="1" ref="H64" ca="1">_xlfn.XLOOKUP(1,
 (INDIRECT("'"&amp;$C$6&amp;"'!$6:$6")=H$6)*
 (INDIRECT("'"&amp;$C$6&amp;"'!$5:$5")=H$5),
 INDIRECT("'"&amp;$C$6&amp;"'!"&amp;ROW()&amp;":"&amp;ROW())
)</f>
        <v>1.3</v>
      </c>
      <c r="I64" s="8" cm="1">
        <f t="array" aca="1" ref="I64" ca="1">_xlfn.XLOOKUP(1,
 (INDIRECT("'"&amp;$C$6&amp;"'!$6:$6")=I$6)*
 (INDIRECT("'"&amp;$C$6&amp;"'!$5:$5")=I$5),
 INDIRECT("'"&amp;$C$6&amp;"'!"&amp;ROW()&amp;":"&amp;ROW())
)</f>
        <v>2.1863299999999999</v>
      </c>
      <c r="K64" s="34">
        <f t="shared" ca="1" si="147"/>
        <v>-0.2381928571428571</v>
      </c>
      <c r="L64" s="34">
        <f t="shared" ca="1" si="148"/>
        <v>8.0659999999999954E-2</v>
      </c>
      <c r="M64" s="34">
        <f t="shared" ca="1" si="149"/>
        <v>-0.44800000000000006</v>
      </c>
      <c r="N64" s="34">
        <f t="shared" ca="1" si="150"/>
        <v>-0.63167000000000006</v>
      </c>
      <c r="O64" s="34">
        <f t="shared" ca="1" si="151"/>
        <v>-1.5179999999999998</v>
      </c>
      <c r="Q64" s="36">
        <f t="shared" ca="1" si="152"/>
        <v>-0.26275438646255866</v>
      </c>
      <c r="R64" s="36">
        <f t="shared" ca="1" si="153"/>
        <v>0.13725390099885981</v>
      </c>
      <c r="S64" s="36">
        <f t="shared" ca="1" si="154"/>
        <v>-0.40131502333539371</v>
      </c>
      <c r="T64" s="36">
        <f t="shared" ca="1" si="155"/>
        <v>-0.4859</v>
      </c>
      <c r="U64" s="36">
        <f t="shared" ca="1" si="156"/>
        <v>-0.69431421606070454</v>
      </c>
      <c r="W64" s="8" cm="1">
        <f t="array" aca="1" ref="W64" ca="1">INDIRECT("'"&amp;$C$6&amp;"'!"&amp;ADDRESS(ROW(),COLUMN()+44))</f>
        <v>1.8926600000000002</v>
      </c>
      <c r="X64" s="8" cm="1">
        <f t="array" aca="1" ref="X64" ca="1">INDIRECT("'"&amp;$C$6&amp;"'!"&amp;ADDRESS(ROW(),COLUMN()+44))</f>
        <v>2.7195685714285713</v>
      </c>
      <c r="Y64" s="8" cm="1">
        <f t="array" aca="1" ref="Y64" ca="1">INDIRECT("'"&amp;$C$6&amp;"'!"&amp;ADDRESS(ROW(),COLUMN()+44))</f>
        <v>1.2243300000000001</v>
      </c>
      <c r="Z64" s="8" cm="1">
        <f t="array" aca="1" ref="Z64" ca="1">INDIRECT("'"&amp;$C$6&amp;"'!"&amp;ADDRESS(ROW(),COLUMN()+44))</f>
        <v>3.2070000000000003</v>
      </c>
      <c r="AA64" s="8" cm="1">
        <f t="array" aca="1" ref="AA64" ca="1">INDIRECT("'"&amp;$C$6&amp;"'!"&amp;ADDRESS(ROW(),COLUMN()+44))</f>
        <v>4.2256599999999995</v>
      </c>
      <c r="AB64" s="8" cm="1">
        <f t="array" aca="1" ref="AB64" ca="1">INDIRECT("'"&amp;$C$6&amp;"'!"&amp;ADDRESS(ROW(),COLUMN()+44))</f>
        <v>7.1596700000000002</v>
      </c>
      <c r="AD64" s="34">
        <f t="shared" ca="1" si="157"/>
        <v>-0.8269085714285711</v>
      </c>
      <c r="AE64" s="34">
        <f t="shared" ca="1" si="158"/>
        <v>0.66833000000000009</v>
      </c>
      <c r="AF64" s="34">
        <f t="shared" ca="1" si="159"/>
        <v>-1.3143400000000001</v>
      </c>
      <c r="AG64" s="34">
        <f t="shared" ca="1" si="160"/>
        <v>-2.3329999999999993</v>
      </c>
      <c r="AH64" s="34">
        <f t="shared" ca="1" si="161"/>
        <v>-5.26701</v>
      </c>
      <c r="AJ64" s="36">
        <f t="shared" ca="1" si="162"/>
        <v>-0.30405873200476119</v>
      </c>
      <c r="AK64" s="36">
        <f t="shared" ca="1" si="163"/>
        <v>0.54587406989945531</v>
      </c>
      <c r="AL64" s="36">
        <f t="shared" ca="1" si="164"/>
        <v>-0.40983473651387592</v>
      </c>
      <c r="AM64" s="36">
        <f t="shared" ca="1" si="165"/>
        <v>-0.55210310342053059</v>
      </c>
      <c r="AN64" s="36">
        <f t="shared" ca="1" si="166"/>
        <v>-0.73564982743618068</v>
      </c>
    </row>
    <row r="65" spans="1:40" hidden="1" outlineLevel="1" x14ac:dyDescent="0.25">
      <c r="A65" s="11" t="s">
        <v>71</v>
      </c>
      <c r="C65" s="2" t="s">
        <v>73</v>
      </c>
      <c r="D65" s="8" cm="1">
        <f t="array" aca="1" ref="D65" ca="1">_xlfn.XLOOKUP(1,
 (INDIRECT("'"&amp;$C$6&amp;"'!$6:$6")=D$6)*
 (INDIRECT("'"&amp;$C$6&amp;"'!$5:$5")=D$5),
 INDIRECT("'"&amp;$C$6&amp;"'!"&amp;ROW()&amp;":"&amp;ROW())
)</f>
        <v>0.28999999999999998</v>
      </c>
      <c r="E65" s="8" cm="1">
        <f t="array" aca="1" ref="E65" ca="1">_xlfn.XLOOKUP(1,
 (INDIRECT("'"&amp;$C$6&amp;"'!$6:$6")=E$6)*
 (INDIRECT("'"&amp;$C$6&amp;"'!$5:$5")=E$5),
 INDIRECT("'"&amp;$C$6&amp;"'!"&amp;ROW()&amp;":"&amp;ROW())
)</f>
        <v>0</v>
      </c>
      <c r="F65" s="8" cm="1">
        <f t="array" aca="1" ref="F65" ca="1">_xlfn.XLOOKUP(1,
 (INDIRECT("'"&amp;$C$6&amp;"'!$6:$6")=F$6)*
 (INDIRECT("'"&amp;$C$6&amp;"'!$5:$5")=F$5),
 INDIRECT("'"&amp;$C$6&amp;"'!"&amp;ROW()&amp;":"&amp;ROW())
)</f>
        <v>0</v>
      </c>
      <c r="G65" s="8" cm="1">
        <f t="array" aca="1" ref="G65" ca="1">_xlfn.XLOOKUP(1,
 (INDIRECT("'"&amp;$C$6&amp;"'!$6:$6")=G$6)*
 (INDIRECT("'"&amp;$C$6&amp;"'!$5:$5")=G$5),
 INDIRECT("'"&amp;$C$6&amp;"'!"&amp;ROW()&amp;":"&amp;ROW())
)</f>
        <v>0</v>
      </c>
      <c r="H65" s="8" cm="1">
        <f t="array" aca="1" ref="H65" ca="1">_xlfn.XLOOKUP(1,
 (INDIRECT("'"&amp;$C$6&amp;"'!$6:$6")=H$6)*
 (INDIRECT("'"&amp;$C$6&amp;"'!$5:$5")=H$5),
 INDIRECT("'"&amp;$C$6&amp;"'!"&amp;ROW()&amp;":"&amp;ROW())
)</f>
        <v>0</v>
      </c>
      <c r="I65" s="8" cm="1">
        <f t="array" aca="1" ref="I65" ca="1">_xlfn.XLOOKUP(1,
 (INDIRECT("'"&amp;$C$6&amp;"'!$6:$6")=I$6)*
 (INDIRECT("'"&amp;$C$6&amp;"'!$5:$5")=I$5),
 INDIRECT("'"&amp;$C$6&amp;"'!"&amp;ROW()&amp;":"&amp;ROW())
)</f>
        <v>0</v>
      </c>
      <c r="K65" s="34">
        <f t="shared" ca="1" si="147"/>
        <v>0.28999999999999998</v>
      </c>
      <c r="L65" s="34">
        <f t="shared" ca="1" si="148"/>
        <v>0.28999999999999998</v>
      </c>
      <c r="M65" s="34">
        <f t="shared" ca="1" si="149"/>
        <v>0.28999999999999998</v>
      </c>
      <c r="N65" s="34">
        <f t="shared" ca="1" si="150"/>
        <v>0.28999999999999998</v>
      </c>
      <c r="O65" s="34">
        <f t="shared" ca="1" si="151"/>
        <v>0.28999999999999998</v>
      </c>
      <c r="Q65" s="36">
        <f t="shared" ca="1" si="152"/>
        <v>0</v>
      </c>
      <c r="R65" s="36">
        <f t="shared" ca="1" si="153"/>
        <v>0</v>
      </c>
      <c r="S65" s="36">
        <f t="shared" ca="1" si="154"/>
        <v>0</v>
      </c>
      <c r="T65" s="36">
        <f t="shared" ca="1" si="155"/>
        <v>0</v>
      </c>
      <c r="U65" s="36">
        <f t="shared" ca="1" si="156"/>
        <v>0</v>
      </c>
      <c r="W65" s="8" cm="1">
        <f t="array" aca="1" ref="W65" ca="1">INDIRECT("'"&amp;$C$6&amp;"'!"&amp;ADDRESS(ROW(),COLUMN()+44))</f>
        <v>0.54999999999999993</v>
      </c>
      <c r="X65" s="8" cm="1">
        <f t="array" aca="1" ref="X65" ca="1">INDIRECT("'"&amp;$C$6&amp;"'!"&amp;ADDRESS(ROW(),COLUMN()+44))</f>
        <v>0</v>
      </c>
      <c r="Y65" s="8" cm="1">
        <f t="array" aca="1" ref="Y65" ca="1">INDIRECT("'"&amp;$C$6&amp;"'!"&amp;ADDRESS(ROW(),COLUMN()+44))</f>
        <v>0.25999999999999995</v>
      </c>
      <c r="Z65" s="8" cm="1">
        <f t="array" aca="1" ref="Z65" ca="1">INDIRECT("'"&amp;$C$6&amp;"'!"&amp;ADDRESS(ROW(),COLUMN()+44))</f>
        <v>0.17999999999800001</v>
      </c>
      <c r="AA65" s="8" cm="1">
        <f t="array" aca="1" ref="AA65" ca="1">INDIRECT("'"&amp;$C$6&amp;"'!"&amp;ADDRESS(ROW(),COLUMN()+44))</f>
        <v>-0.14967999996599998</v>
      </c>
      <c r="AB65" s="8" cm="1">
        <f t="array" aca="1" ref="AB65" ca="1">INDIRECT("'"&amp;$C$6&amp;"'!"&amp;ADDRESS(ROW(),COLUMN()+44))</f>
        <v>0.180000000035</v>
      </c>
      <c r="AD65" s="34">
        <f t="shared" ca="1" si="157"/>
        <v>0.54999999999999993</v>
      </c>
      <c r="AE65" s="34">
        <f t="shared" ca="1" si="158"/>
        <v>0.28999999999999998</v>
      </c>
      <c r="AF65" s="34">
        <f t="shared" ca="1" si="159"/>
        <v>0.37000000000199995</v>
      </c>
      <c r="AG65" s="34">
        <f t="shared" ca="1" si="160"/>
        <v>0.69967999996599994</v>
      </c>
      <c r="AH65" s="34">
        <f t="shared" ca="1" si="161"/>
        <v>0.36999999996499994</v>
      </c>
      <c r="AJ65" s="36">
        <f t="shared" ca="1" si="162"/>
        <v>0</v>
      </c>
      <c r="AK65" s="36">
        <f t="shared" ca="1" si="163"/>
        <v>1.1153846153846154</v>
      </c>
      <c r="AL65" s="36">
        <f t="shared" ca="1" si="164"/>
        <v>2.0555555555895055</v>
      </c>
      <c r="AM65" s="36">
        <f t="shared" ca="1" si="165"/>
        <v>-4.6745056128068754</v>
      </c>
      <c r="AN65" s="36">
        <f t="shared" ca="1" si="166"/>
        <v>2.0555555549614195</v>
      </c>
    </row>
    <row r="66" spans="1:40" hidden="1" outlineLevel="1" x14ac:dyDescent="0.25">
      <c r="A66" s="11" t="s">
        <v>71</v>
      </c>
      <c r="C66" s="2"/>
      <c r="D66" s="8" cm="1">
        <f t="array" aca="1" ref="D66" ca="1">_xlfn.XLOOKUP(1,
 (INDIRECT("'"&amp;$C$6&amp;"'!$6:$6")=D$6)*
 (INDIRECT("'"&amp;$C$6&amp;"'!$5:$5")=D$5),
 INDIRECT("'"&amp;$C$6&amp;"'!"&amp;ROW()&amp;":"&amp;ROW())
)</f>
        <v>0</v>
      </c>
      <c r="E66" s="8" cm="1">
        <f t="array" aca="1" ref="E66" ca="1">_xlfn.XLOOKUP(1,
 (INDIRECT("'"&amp;$C$6&amp;"'!$6:$6")=E$6)*
 (INDIRECT("'"&amp;$C$6&amp;"'!$5:$5")=E$5),
 INDIRECT("'"&amp;$C$6&amp;"'!"&amp;ROW()&amp;":"&amp;ROW())
)</f>
        <v>0</v>
      </c>
      <c r="F66" s="8" cm="1">
        <f t="array" aca="1" ref="F66" ca="1">_xlfn.XLOOKUP(1,
 (INDIRECT("'"&amp;$C$6&amp;"'!$6:$6")=F$6)*
 (INDIRECT("'"&amp;$C$6&amp;"'!$5:$5")=F$5),
 INDIRECT("'"&amp;$C$6&amp;"'!"&amp;ROW()&amp;":"&amp;ROW())
)</f>
        <v>0</v>
      </c>
      <c r="G66" s="8" cm="1">
        <f t="array" aca="1" ref="G66" ca="1">_xlfn.XLOOKUP(1,
 (INDIRECT("'"&amp;$C$6&amp;"'!$6:$6")=G$6)*
 (INDIRECT("'"&amp;$C$6&amp;"'!$5:$5")=G$5),
 INDIRECT("'"&amp;$C$6&amp;"'!"&amp;ROW()&amp;":"&amp;ROW())
)</f>
        <v>0</v>
      </c>
      <c r="H66" s="8" cm="1">
        <f t="array" aca="1" ref="H66" ca="1">_xlfn.XLOOKUP(1,
 (INDIRECT("'"&amp;$C$6&amp;"'!$6:$6")=H$6)*
 (INDIRECT("'"&amp;$C$6&amp;"'!$5:$5")=H$5),
 INDIRECT("'"&amp;$C$6&amp;"'!"&amp;ROW()&amp;":"&amp;ROW())
)</f>
        <v>0</v>
      </c>
      <c r="I66" s="8" cm="1">
        <f t="array" aca="1" ref="I66" ca="1">_xlfn.XLOOKUP(1,
 (INDIRECT("'"&amp;$C$6&amp;"'!$6:$6")=I$6)*
 (INDIRECT("'"&amp;$C$6&amp;"'!$5:$5")=I$5),
 INDIRECT("'"&amp;$C$6&amp;"'!"&amp;ROW()&amp;":"&amp;ROW())
)</f>
        <v>0</v>
      </c>
      <c r="K66" s="34">
        <f t="shared" ca="1" si="147"/>
        <v>0</v>
      </c>
      <c r="L66" s="34">
        <f t="shared" ca="1" si="148"/>
        <v>0</v>
      </c>
      <c r="M66" s="34">
        <f t="shared" ca="1" si="149"/>
        <v>0</v>
      </c>
      <c r="N66" s="34">
        <f t="shared" ca="1" si="150"/>
        <v>0</v>
      </c>
      <c r="O66" s="34">
        <f t="shared" ca="1" si="151"/>
        <v>0</v>
      </c>
      <c r="Q66" s="36">
        <f t="shared" ca="1" si="152"/>
        <v>0</v>
      </c>
      <c r="R66" s="36">
        <f t="shared" ca="1" si="153"/>
        <v>0</v>
      </c>
      <c r="S66" s="36">
        <f t="shared" ca="1" si="154"/>
        <v>0</v>
      </c>
      <c r="T66" s="36">
        <f t="shared" ca="1" si="155"/>
        <v>0</v>
      </c>
      <c r="U66" s="36">
        <f t="shared" ca="1" si="156"/>
        <v>0</v>
      </c>
      <c r="W66" s="8" cm="1">
        <f t="array" aca="1" ref="W66" ca="1">INDIRECT("'"&amp;$C$6&amp;"'!"&amp;ADDRESS(ROW(),COLUMN()+44))</f>
        <v>0</v>
      </c>
      <c r="X66" s="8" cm="1">
        <f t="array" aca="1" ref="X66" ca="1">INDIRECT("'"&amp;$C$6&amp;"'!"&amp;ADDRESS(ROW(),COLUMN()+44))</f>
        <v>0</v>
      </c>
      <c r="Y66" s="8" cm="1">
        <f t="array" aca="1" ref="Y66" ca="1">INDIRECT("'"&amp;$C$6&amp;"'!"&amp;ADDRESS(ROW(),COLUMN()+44))</f>
        <v>0</v>
      </c>
      <c r="Z66" s="8" cm="1">
        <f t="array" aca="1" ref="Z66" ca="1">INDIRECT("'"&amp;$C$6&amp;"'!"&amp;ADDRESS(ROW(),COLUMN()+44))</f>
        <v>0</v>
      </c>
      <c r="AA66" s="8" cm="1">
        <f t="array" aca="1" ref="AA66" ca="1">INDIRECT("'"&amp;$C$6&amp;"'!"&amp;ADDRESS(ROW(),COLUMN()+44))</f>
        <v>0</v>
      </c>
      <c r="AB66" s="8" cm="1">
        <f t="array" aca="1" ref="AB66" ca="1">INDIRECT("'"&amp;$C$6&amp;"'!"&amp;ADDRESS(ROW(),COLUMN()+44))</f>
        <v>0</v>
      </c>
      <c r="AD66" s="34">
        <f t="shared" ca="1" si="157"/>
        <v>0</v>
      </c>
      <c r="AE66" s="34">
        <f t="shared" ca="1" si="158"/>
        <v>0</v>
      </c>
      <c r="AF66" s="34">
        <f t="shared" ca="1" si="159"/>
        <v>0</v>
      </c>
      <c r="AG66" s="34">
        <f t="shared" ca="1" si="160"/>
        <v>0</v>
      </c>
      <c r="AH66" s="34">
        <f t="shared" ca="1" si="161"/>
        <v>0</v>
      </c>
      <c r="AJ66" s="36">
        <f t="shared" ca="1" si="162"/>
        <v>0</v>
      </c>
      <c r="AK66" s="36">
        <f t="shared" ca="1" si="163"/>
        <v>0</v>
      </c>
      <c r="AL66" s="36">
        <f t="shared" ca="1" si="164"/>
        <v>0</v>
      </c>
      <c r="AM66" s="36">
        <f t="shared" ca="1" si="165"/>
        <v>0</v>
      </c>
      <c r="AN66" s="36">
        <f t="shared" ca="1" si="166"/>
        <v>0</v>
      </c>
    </row>
    <row r="67" spans="1:40" hidden="1" outlineLevel="1" x14ac:dyDescent="0.25">
      <c r="A67" s="11" t="s">
        <v>71</v>
      </c>
      <c r="C67" s="2"/>
      <c r="D67" s="8" cm="1">
        <f t="array" aca="1" ref="D67" ca="1">_xlfn.XLOOKUP(1,
 (INDIRECT("'"&amp;$C$6&amp;"'!$6:$6")=D$6)*
 (INDIRECT("'"&amp;$C$6&amp;"'!$5:$5")=D$5),
 INDIRECT("'"&amp;$C$6&amp;"'!"&amp;ROW()&amp;":"&amp;ROW())
)</f>
        <v>0</v>
      </c>
      <c r="E67" s="8" cm="1">
        <f t="array" aca="1" ref="E67" ca="1">_xlfn.XLOOKUP(1,
 (INDIRECT("'"&amp;$C$6&amp;"'!$6:$6")=E$6)*
 (INDIRECT("'"&amp;$C$6&amp;"'!$5:$5")=E$5),
 INDIRECT("'"&amp;$C$6&amp;"'!"&amp;ROW()&amp;":"&amp;ROW())
)</f>
        <v>0</v>
      </c>
      <c r="F67" s="8" cm="1">
        <f t="array" aca="1" ref="F67" ca="1">_xlfn.XLOOKUP(1,
 (INDIRECT("'"&amp;$C$6&amp;"'!$6:$6")=F$6)*
 (INDIRECT("'"&amp;$C$6&amp;"'!$5:$5")=F$5),
 INDIRECT("'"&amp;$C$6&amp;"'!"&amp;ROW()&amp;":"&amp;ROW())
)</f>
        <v>0</v>
      </c>
      <c r="G67" s="8" cm="1">
        <f t="array" aca="1" ref="G67" ca="1">_xlfn.XLOOKUP(1,
 (INDIRECT("'"&amp;$C$6&amp;"'!$6:$6")=G$6)*
 (INDIRECT("'"&amp;$C$6&amp;"'!$5:$5")=G$5),
 INDIRECT("'"&amp;$C$6&amp;"'!"&amp;ROW()&amp;":"&amp;ROW())
)</f>
        <v>0</v>
      </c>
      <c r="H67" s="8" cm="1">
        <f t="array" aca="1" ref="H67" ca="1">_xlfn.XLOOKUP(1,
 (INDIRECT("'"&amp;$C$6&amp;"'!$6:$6")=H$6)*
 (INDIRECT("'"&amp;$C$6&amp;"'!$5:$5")=H$5),
 INDIRECT("'"&amp;$C$6&amp;"'!"&amp;ROW()&amp;":"&amp;ROW())
)</f>
        <v>0</v>
      </c>
      <c r="I67" s="8" cm="1">
        <f t="array" aca="1" ref="I67" ca="1">_xlfn.XLOOKUP(1,
 (INDIRECT("'"&amp;$C$6&amp;"'!$6:$6")=I$6)*
 (INDIRECT("'"&amp;$C$6&amp;"'!$5:$5")=I$5),
 INDIRECT("'"&amp;$C$6&amp;"'!"&amp;ROW()&amp;":"&amp;ROW())
)</f>
        <v>0</v>
      </c>
      <c r="K67" s="34">
        <f t="shared" ca="1" si="147"/>
        <v>0</v>
      </c>
      <c r="L67" s="34">
        <f t="shared" ca="1" si="148"/>
        <v>0</v>
      </c>
      <c r="M67" s="34">
        <f t="shared" ca="1" si="149"/>
        <v>0</v>
      </c>
      <c r="N67" s="34">
        <f t="shared" ca="1" si="150"/>
        <v>0</v>
      </c>
      <c r="O67" s="34">
        <f t="shared" ca="1" si="151"/>
        <v>0</v>
      </c>
      <c r="Q67" s="36">
        <f t="shared" ca="1" si="152"/>
        <v>0</v>
      </c>
      <c r="R67" s="36">
        <f t="shared" ca="1" si="153"/>
        <v>0</v>
      </c>
      <c r="S67" s="36">
        <f t="shared" ca="1" si="154"/>
        <v>0</v>
      </c>
      <c r="T67" s="36">
        <f t="shared" ca="1" si="155"/>
        <v>0</v>
      </c>
      <c r="U67" s="36">
        <f t="shared" ca="1" si="156"/>
        <v>0</v>
      </c>
      <c r="W67" s="8" cm="1">
        <f t="array" aca="1" ref="W67" ca="1">INDIRECT("'"&amp;$C$6&amp;"'!"&amp;ADDRESS(ROW(),COLUMN()+44))</f>
        <v>0</v>
      </c>
      <c r="X67" s="8" cm="1">
        <f t="array" aca="1" ref="X67" ca="1">INDIRECT("'"&amp;$C$6&amp;"'!"&amp;ADDRESS(ROW(),COLUMN()+44))</f>
        <v>0</v>
      </c>
      <c r="Y67" s="8" cm="1">
        <f t="array" aca="1" ref="Y67" ca="1">INDIRECT("'"&amp;$C$6&amp;"'!"&amp;ADDRESS(ROW(),COLUMN()+44))</f>
        <v>0</v>
      </c>
      <c r="Z67" s="8" cm="1">
        <f t="array" aca="1" ref="Z67" ca="1">INDIRECT("'"&amp;$C$6&amp;"'!"&amp;ADDRESS(ROW(),COLUMN()+44))</f>
        <v>0</v>
      </c>
      <c r="AA67" s="8" cm="1">
        <f t="array" aca="1" ref="AA67" ca="1">INDIRECT("'"&amp;$C$6&amp;"'!"&amp;ADDRESS(ROW(),COLUMN()+44))</f>
        <v>0</v>
      </c>
      <c r="AB67" s="8" cm="1">
        <f t="array" aca="1" ref="AB67" ca="1">INDIRECT("'"&amp;$C$6&amp;"'!"&amp;ADDRESS(ROW(),COLUMN()+44))</f>
        <v>0</v>
      </c>
      <c r="AD67" s="34">
        <f t="shared" ca="1" si="157"/>
        <v>0</v>
      </c>
      <c r="AE67" s="34">
        <f t="shared" ca="1" si="158"/>
        <v>0</v>
      </c>
      <c r="AF67" s="34">
        <f t="shared" ca="1" si="159"/>
        <v>0</v>
      </c>
      <c r="AG67" s="34">
        <f t="shared" ca="1" si="160"/>
        <v>0</v>
      </c>
      <c r="AH67" s="34">
        <f t="shared" ca="1" si="161"/>
        <v>0</v>
      </c>
      <c r="AJ67" s="36">
        <f t="shared" ca="1" si="162"/>
        <v>0</v>
      </c>
      <c r="AK67" s="36">
        <f t="shared" ca="1" si="163"/>
        <v>0</v>
      </c>
      <c r="AL67" s="36">
        <f t="shared" ca="1" si="164"/>
        <v>0</v>
      </c>
      <c r="AM67" s="36">
        <f t="shared" ca="1" si="165"/>
        <v>0</v>
      </c>
      <c r="AN67" s="36">
        <f t="shared" ca="1" si="166"/>
        <v>0</v>
      </c>
    </row>
    <row r="68" spans="1:40" hidden="1" outlineLevel="1" x14ac:dyDescent="0.25">
      <c r="A68" s="11" t="s">
        <v>71</v>
      </c>
      <c r="C68" s="2"/>
      <c r="D68" s="8" cm="1">
        <f t="array" aca="1" ref="D68" ca="1">_xlfn.XLOOKUP(1,
 (INDIRECT("'"&amp;$C$6&amp;"'!$6:$6")=D$6)*
 (INDIRECT("'"&amp;$C$6&amp;"'!$5:$5")=D$5),
 INDIRECT("'"&amp;$C$6&amp;"'!"&amp;ROW()&amp;":"&amp;ROW())
)</f>
        <v>0</v>
      </c>
      <c r="E68" s="8" cm="1">
        <f t="array" aca="1" ref="E68" ca="1">_xlfn.XLOOKUP(1,
 (INDIRECT("'"&amp;$C$6&amp;"'!$6:$6")=E$6)*
 (INDIRECT("'"&amp;$C$6&amp;"'!$5:$5")=E$5),
 INDIRECT("'"&amp;$C$6&amp;"'!"&amp;ROW()&amp;":"&amp;ROW())
)</f>
        <v>0</v>
      </c>
      <c r="F68" s="8" cm="1">
        <f t="array" aca="1" ref="F68" ca="1">_xlfn.XLOOKUP(1,
 (INDIRECT("'"&amp;$C$6&amp;"'!$6:$6")=F$6)*
 (INDIRECT("'"&amp;$C$6&amp;"'!$5:$5")=F$5),
 INDIRECT("'"&amp;$C$6&amp;"'!"&amp;ROW()&amp;":"&amp;ROW())
)</f>
        <v>0</v>
      </c>
      <c r="G68" s="8" cm="1">
        <f t="array" aca="1" ref="G68" ca="1">_xlfn.XLOOKUP(1,
 (INDIRECT("'"&amp;$C$6&amp;"'!$6:$6")=G$6)*
 (INDIRECT("'"&amp;$C$6&amp;"'!$5:$5")=G$5),
 INDIRECT("'"&amp;$C$6&amp;"'!"&amp;ROW()&amp;":"&amp;ROW())
)</f>
        <v>0</v>
      </c>
      <c r="H68" s="8" cm="1">
        <f t="array" aca="1" ref="H68" ca="1">_xlfn.XLOOKUP(1,
 (INDIRECT("'"&amp;$C$6&amp;"'!$6:$6")=H$6)*
 (INDIRECT("'"&amp;$C$6&amp;"'!$5:$5")=H$5),
 INDIRECT("'"&amp;$C$6&amp;"'!"&amp;ROW()&amp;":"&amp;ROW())
)</f>
        <v>0</v>
      </c>
      <c r="I68" s="8" cm="1">
        <f t="array" aca="1" ref="I68" ca="1">_xlfn.XLOOKUP(1,
 (INDIRECT("'"&amp;$C$6&amp;"'!$6:$6")=I$6)*
 (INDIRECT("'"&amp;$C$6&amp;"'!$5:$5")=I$5),
 INDIRECT("'"&amp;$C$6&amp;"'!"&amp;ROW()&amp;":"&amp;ROW())
)</f>
        <v>0</v>
      </c>
      <c r="K68" s="34">
        <f t="shared" ca="1" si="147"/>
        <v>0</v>
      </c>
      <c r="L68" s="34">
        <f t="shared" ca="1" si="148"/>
        <v>0</v>
      </c>
      <c r="M68" s="34">
        <f t="shared" ca="1" si="149"/>
        <v>0</v>
      </c>
      <c r="N68" s="34">
        <f t="shared" ca="1" si="150"/>
        <v>0</v>
      </c>
      <c r="O68" s="34">
        <f t="shared" ca="1" si="151"/>
        <v>0</v>
      </c>
      <c r="Q68" s="36">
        <f t="shared" ca="1" si="152"/>
        <v>0</v>
      </c>
      <c r="R68" s="36">
        <f t="shared" ca="1" si="153"/>
        <v>0</v>
      </c>
      <c r="S68" s="36">
        <f t="shared" ca="1" si="154"/>
        <v>0</v>
      </c>
      <c r="T68" s="36">
        <f t="shared" ca="1" si="155"/>
        <v>0</v>
      </c>
      <c r="U68" s="36">
        <f t="shared" ca="1" si="156"/>
        <v>0</v>
      </c>
      <c r="W68" s="8" cm="1">
        <f t="array" aca="1" ref="W68" ca="1">INDIRECT("'"&amp;$C$6&amp;"'!"&amp;ADDRESS(ROW(),COLUMN()+44))</f>
        <v>0</v>
      </c>
      <c r="X68" s="8" cm="1">
        <f t="array" aca="1" ref="X68" ca="1">INDIRECT("'"&amp;$C$6&amp;"'!"&amp;ADDRESS(ROW(),COLUMN()+44))</f>
        <v>0</v>
      </c>
      <c r="Y68" s="8" cm="1">
        <f t="array" aca="1" ref="Y68" ca="1">INDIRECT("'"&amp;$C$6&amp;"'!"&amp;ADDRESS(ROW(),COLUMN()+44))</f>
        <v>0</v>
      </c>
      <c r="Z68" s="8" cm="1">
        <f t="array" aca="1" ref="Z68" ca="1">INDIRECT("'"&amp;$C$6&amp;"'!"&amp;ADDRESS(ROW(),COLUMN()+44))</f>
        <v>0</v>
      </c>
      <c r="AA68" s="8" cm="1">
        <f t="array" aca="1" ref="AA68" ca="1">INDIRECT("'"&amp;$C$6&amp;"'!"&amp;ADDRESS(ROW(),COLUMN()+44))</f>
        <v>0</v>
      </c>
      <c r="AB68" s="8" cm="1">
        <f t="array" aca="1" ref="AB68" ca="1">INDIRECT("'"&amp;$C$6&amp;"'!"&amp;ADDRESS(ROW(),COLUMN()+44))</f>
        <v>0</v>
      </c>
      <c r="AD68" s="34">
        <f t="shared" ca="1" si="157"/>
        <v>0</v>
      </c>
      <c r="AE68" s="34">
        <f t="shared" ca="1" si="158"/>
        <v>0</v>
      </c>
      <c r="AF68" s="34">
        <f t="shared" ca="1" si="159"/>
        <v>0</v>
      </c>
      <c r="AG68" s="34">
        <f t="shared" ca="1" si="160"/>
        <v>0</v>
      </c>
      <c r="AH68" s="34">
        <f t="shared" ca="1" si="161"/>
        <v>0</v>
      </c>
      <c r="AJ68" s="36">
        <f t="shared" ca="1" si="162"/>
        <v>0</v>
      </c>
      <c r="AK68" s="36">
        <f t="shared" ca="1" si="163"/>
        <v>0</v>
      </c>
      <c r="AL68" s="36">
        <f t="shared" ca="1" si="164"/>
        <v>0</v>
      </c>
      <c r="AM68" s="36">
        <f t="shared" ca="1" si="165"/>
        <v>0</v>
      </c>
      <c r="AN68" s="36">
        <f t="shared" ca="1" si="166"/>
        <v>0</v>
      </c>
    </row>
    <row r="69" spans="1:40" hidden="1" outlineLevel="1" x14ac:dyDescent="0.25">
      <c r="A69" s="11" t="s">
        <v>71</v>
      </c>
      <c r="C69" s="2"/>
      <c r="D69" s="8" cm="1">
        <f t="array" aca="1" ref="D69" ca="1">_xlfn.XLOOKUP(1,
 (INDIRECT("'"&amp;$C$6&amp;"'!$6:$6")=D$6)*
 (INDIRECT("'"&amp;$C$6&amp;"'!$5:$5")=D$5),
 INDIRECT("'"&amp;$C$6&amp;"'!"&amp;ROW()&amp;":"&amp;ROW())
)</f>
        <v>0</v>
      </c>
      <c r="E69" s="8" cm="1">
        <f t="array" aca="1" ref="E69" ca="1">_xlfn.XLOOKUP(1,
 (INDIRECT("'"&amp;$C$6&amp;"'!$6:$6")=E$6)*
 (INDIRECT("'"&amp;$C$6&amp;"'!$5:$5")=E$5),
 INDIRECT("'"&amp;$C$6&amp;"'!"&amp;ROW()&amp;":"&amp;ROW())
)</f>
        <v>0</v>
      </c>
      <c r="F69" s="8" cm="1">
        <f t="array" aca="1" ref="F69" ca="1">_xlfn.XLOOKUP(1,
 (INDIRECT("'"&amp;$C$6&amp;"'!$6:$6")=F$6)*
 (INDIRECT("'"&amp;$C$6&amp;"'!$5:$5")=F$5),
 INDIRECT("'"&amp;$C$6&amp;"'!"&amp;ROW()&amp;":"&amp;ROW())
)</f>
        <v>0</v>
      </c>
      <c r="G69" s="8" cm="1">
        <f t="array" aca="1" ref="G69" ca="1">_xlfn.XLOOKUP(1,
 (INDIRECT("'"&amp;$C$6&amp;"'!$6:$6")=G$6)*
 (INDIRECT("'"&amp;$C$6&amp;"'!$5:$5")=G$5),
 INDIRECT("'"&amp;$C$6&amp;"'!"&amp;ROW()&amp;":"&amp;ROW())
)</f>
        <v>0</v>
      </c>
      <c r="H69" s="8" cm="1">
        <f t="array" aca="1" ref="H69" ca="1">_xlfn.XLOOKUP(1,
 (INDIRECT("'"&amp;$C$6&amp;"'!$6:$6")=H$6)*
 (INDIRECT("'"&amp;$C$6&amp;"'!$5:$5")=H$5),
 INDIRECT("'"&amp;$C$6&amp;"'!"&amp;ROW()&amp;":"&amp;ROW())
)</f>
        <v>0</v>
      </c>
      <c r="I69" s="8" cm="1">
        <f t="array" aca="1" ref="I69" ca="1">_xlfn.XLOOKUP(1,
 (INDIRECT("'"&amp;$C$6&amp;"'!$6:$6")=I$6)*
 (INDIRECT("'"&amp;$C$6&amp;"'!$5:$5")=I$5),
 INDIRECT("'"&amp;$C$6&amp;"'!"&amp;ROW()&amp;":"&amp;ROW())
)</f>
        <v>0</v>
      </c>
      <c r="K69" s="34">
        <f t="shared" ca="1" si="147"/>
        <v>0</v>
      </c>
      <c r="L69" s="34">
        <f t="shared" ca="1" si="148"/>
        <v>0</v>
      </c>
      <c r="M69" s="34">
        <f t="shared" ca="1" si="149"/>
        <v>0</v>
      </c>
      <c r="N69" s="34">
        <f t="shared" ca="1" si="150"/>
        <v>0</v>
      </c>
      <c r="O69" s="34">
        <f t="shared" ca="1" si="151"/>
        <v>0</v>
      </c>
      <c r="Q69" s="36">
        <f t="shared" ca="1" si="152"/>
        <v>0</v>
      </c>
      <c r="R69" s="36">
        <f t="shared" ca="1" si="153"/>
        <v>0</v>
      </c>
      <c r="S69" s="36">
        <f t="shared" ca="1" si="154"/>
        <v>0</v>
      </c>
      <c r="T69" s="36">
        <f t="shared" ca="1" si="155"/>
        <v>0</v>
      </c>
      <c r="U69" s="36">
        <f t="shared" ca="1" si="156"/>
        <v>0</v>
      </c>
      <c r="W69" s="8" cm="1">
        <f t="array" aca="1" ref="W69" ca="1">INDIRECT("'"&amp;$C$6&amp;"'!"&amp;ADDRESS(ROW(),COLUMN()+44))</f>
        <v>0</v>
      </c>
      <c r="X69" s="8" cm="1">
        <f t="array" aca="1" ref="X69" ca="1">INDIRECT("'"&amp;$C$6&amp;"'!"&amp;ADDRESS(ROW(),COLUMN()+44))</f>
        <v>0</v>
      </c>
      <c r="Y69" s="8" cm="1">
        <f t="array" aca="1" ref="Y69" ca="1">INDIRECT("'"&amp;$C$6&amp;"'!"&amp;ADDRESS(ROW(),COLUMN()+44))</f>
        <v>0</v>
      </c>
      <c r="Z69" s="8" cm="1">
        <f t="array" aca="1" ref="Z69" ca="1">INDIRECT("'"&amp;$C$6&amp;"'!"&amp;ADDRESS(ROW(),COLUMN()+44))</f>
        <v>0</v>
      </c>
      <c r="AA69" s="8" cm="1">
        <f t="array" aca="1" ref="AA69" ca="1">INDIRECT("'"&amp;$C$6&amp;"'!"&amp;ADDRESS(ROW(),COLUMN()+44))</f>
        <v>0</v>
      </c>
      <c r="AB69" s="8" cm="1">
        <f t="array" aca="1" ref="AB69" ca="1">INDIRECT("'"&amp;$C$6&amp;"'!"&amp;ADDRESS(ROW(),COLUMN()+44))</f>
        <v>0</v>
      </c>
      <c r="AD69" s="34">
        <f t="shared" ca="1" si="157"/>
        <v>0</v>
      </c>
      <c r="AE69" s="34">
        <f t="shared" ca="1" si="158"/>
        <v>0</v>
      </c>
      <c r="AF69" s="34">
        <f t="shared" ca="1" si="159"/>
        <v>0</v>
      </c>
      <c r="AG69" s="34">
        <f t="shared" ca="1" si="160"/>
        <v>0</v>
      </c>
      <c r="AH69" s="34">
        <f t="shared" ca="1" si="161"/>
        <v>0</v>
      </c>
      <c r="AJ69" s="36">
        <f t="shared" ca="1" si="162"/>
        <v>0</v>
      </c>
      <c r="AK69" s="36">
        <f t="shared" ca="1" si="163"/>
        <v>0</v>
      </c>
      <c r="AL69" s="36">
        <f t="shared" ca="1" si="164"/>
        <v>0</v>
      </c>
      <c r="AM69" s="36">
        <f t="shared" ca="1" si="165"/>
        <v>0</v>
      </c>
      <c r="AN69" s="36">
        <f t="shared" ca="1" si="166"/>
        <v>0</v>
      </c>
    </row>
    <row r="70" spans="1:40" hidden="1" outlineLevel="1" x14ac:dyDescent="0.25">
      <c r="A70" s="11" t="s">
        <v>71</v>
      </c>
      <c r="C70" s="2"/>
      <c r="D70" s="8" cm="1">
        <f t="array" aca="1" ref="D70" ca="1">_xlfn.XLOOKUP(1,
 (INDIRECT("'"&amp;$C$6&amp;"'!$6:$6")=D$6)*
 (INDIRECT("'"&amp;$C$6&amp;"'!$5:$5")=D$5),
 INDIRECT("'"&amp;$C$6&amp;"'!"&amp;ROW()&amp;":"&amp;ROW())
)</f>
        <v>0</v>
      </c>
      <c r="E70" s="8" cm="1">
        <f t="array" aca="1" ref="E70" ca="1">_xlfn.XLOOKUP(1,
 (INDIRECT("'"&amp;$C$6&amp;"'!$6:$6")=E$6)*
 (INDIRECT("'"&amp;$C$6&amp;"'!$5:$5")=E$5),
 INDIRECT("'"&amp;$C$6&amp;"'!"&amp;ROW()&amp;":"&amp;ROW())
)</f>
        <v>0</v>
      </c>
      <c r="F70" s="8" cm="1">
        <f t="array" aca="1" ref="F70" ca="1">_xlfn.XLOOKUP(1,
 (INDIRECT("'"&amp;$C$6&amp;"'!$6:$6")=F$6)*
 (INDIRECT("'"&amp;$C$6&amp;"'!$5:$5")=F$5),
 INDIRECT("'"&amp;$C$6&amp;"'!"&amp;ROW()&amp;":"&amp;ROW())
)</f>
        <v>0</v>
      </c>
      <c r="G70" s="8" cm="1">
        <f t="array" aca="1" ref="G70" ca="1">_xlfn.XLOOKUP(1,
 (INDIRECT("'"&amp;$C$6&amp;"'!$6:$6")=G$6)*
 (INDIRECT("'"&amp;$C$6&amp;"'!$5:$5")=G$5),
 INDIRECT("'"&amp;$C$6&amp;"'!"&amp;ROW()&amp;":"&amp;ROW())
)</f>
        <v>0</v>
      </c>
      <c r="H70" s="8" cm="1">
        <f t="array" aca="1" ref="H70" ca="1">_xlfn.XLOOKUP(1,
 (INDIRECT("'"&amp;$C$6&amp;"'!$6:$6")=H$6)*
 (INDIRECT("'"&amp;$C$6&amp;"'!$5:$5")=H$5),
 INDIRECT("'"&amp;$C$6&amp;"'!"&amp;ROW()&amp;":"&amp;ROW())
)</f>
        <v>0</v>
      </c>
      <c r="I70" s="8" cm="1">
        <f t="array" aca="1" ref="I70" ca="1">_xlfn.XLOOKUP(1,
 (INDIRECT("'"&amp;$C$6&amp;"'!$6:$6")=I$6)*
 (INDIRECT("'"&amp;$C$6&amp;"'!$5:$5")=I$5),
 INDIRECT("'"&amp;$C$6&amp;"'!"&amp;ROW()&amp;":"&amp;ROW())
)</f>
        <v>0</v>
      </c>
      <c r="K70" s="34">
        <f t="shared" ca="1" si="147"/>
        <v>0</v>
      </c>
      <c r="L70" s="34">
        <f t="shared" ca="1" si="148"/>
        <v>0</v>
      </c>
      <c r="M70" s="34">
        <f t="shared" ca="1" si="149"/>
        <v>0</v>
      </c>
      <c r="N70" s="34">
        <f t="shared" ca="1" si="150"/>
        <v>0</v>
      </c>
      <c r="O70" s="34">
        <f t="shared" ca="1" si="151"/>
        <v>0</v>
      </c>
      <c r="Q70" s="36">
        <f t="shared" ca="1" si="152"/>
        <v>0</v>
      </c>
      <c r="R70" s="36">
        <f t="shared" ca="1" si="153"/>
        <v>0</v>
      </c>
      <c r="S70" s="36">
        <f t="shared" ca="1" si="154"/>
        <v>0</v>
      </c>
      <c r="T70" s="36">
        <f t="shared" ca="1" si="155"/>
        <v>0</v>
      </c>
      <c r="U70" s="36">
        <f t="shared" ca="1" si="156"/>
        <v>0</v>
      </c>
      <c r="W70" s="8" cm="1">
        <f t="array" aca="1" ref="W70" ca="1">INDIRECT("'"&amp;$C$6&amp;"'!"&amp;ADDRESS(ROW(),COLUMN()+44))</f>
        <v>0</v>
      </c>
      <c r="X70" s="8" cm="1">
        <f t="array" aca="1" ref="X70" ca="1">INDIRECT("'"&amp;$C$6&amp;"'!"&amp;ADDRESS(ROW(),COLUMN()+44))</f>
        <v>0</v>
      </c>
      <c r="Y70" s="8" cm="1">
        <f t="array" aca="1" ref="Y70" ca="1">INDIRECT("'"&amp;$C$6&amp;"'!"&amp;ADDRESS(ROW(),COLUMN()+44))</f>
        <v>0</v>
      </c>
      <c r="Z70" s="8" cm="1">
        <f t="array" aca="1" ref="Z70" ca="1">INDIRECT("'"&amp;$C$6&amp;"'!"&amp;ADDRESS(ROW(),COLUMN()+44))</f>
        <v>0</v>
      </c>
      <c r="AA70" s="8" cm="1">
        <f t="array" aca="1" ref="AA70" ca="1">INDIRECT("'"&amp;$C$6&amp;"'!"&amp;ADDRESS(ROW(),COLUMN()+44))</f>
        <v>0</v>
      </c>
      <c r="AB70" s="8" cm="1">
        <f t="array" aca="1" ref="AB70" ca="1">INDIRECT("'"&amp;$C$6&amp;"'!"&amp;ADDRESS(ROW(),COLUMN()+44))</f>
        <v>0</v>
      </c>
      <c r="AD70" s="34">
        <f t="shared" ca="1" si="157"/>
        <v>0</v>
      </c>
      <c r="AE70" s="34">
        <f t="shared" ca="1" si="158"/>
        <v>0</v>
      </c>
      <c r="AF70" s="34">
        <f t="shared" ca="1" si="159"/>
        <v>0</v>
      </c>
      <c r="AG70" s="34">
        <f t="shared" ca="1" si="160"/>
        <v>0</v>
      </c>
      <c r="AH70" s="34">
        <f t="shared" ca="1" si="161"/>
        <v>0</v>
      </c>
      <c r="AJ70" s="36">
        <f t="shared" ca="1" si="162"/>
        <v>0</v>
      </c>
      <c r="AK70" s="36">
        <f t="shared" ca="1" si="163"/>
        <v>0</v>
      </c>
      <c r="AL70" s="36">
        <f t="shared" ca="1" si="164"/>
        <v>0</v>
      </c>
      <c r="AM70" s="36">
        <f t="shared" ca="1" si="165"/>
        <v>0</v>
      </c>
      <c r="AN70" s="36">
        <f t="shared" ca="1" si="166"/>
        <v>0</v>
      </c>
    </row>
    <row r="71" spans="1:40" hidden="1" outlineLevel="1" x14ac:dyDescent="0.25">
      <c r="A71" s="11" t="s">
        <v>71</v>
      </c>
      <c r="C71" s="2"/>
      <c r="D71" s="8" cm="1">
        <f t="array" aca="1" ref="D71" ca="1">_xlfn.XLOOKUP(1,
 (INDIRECT("'"&amp;$C$6&amp;"'!$6:$6")=D$6)*
 (INDIRECT("'"&amp;$C$6&amp;"'!$5:$5")=D$5),
 INDIRECT("'"&amp;$C$6&amp;"'!"&amp;ROW()&amp;":"&amp;ROW())
)</f>
        <v>0</v>
      </c>
      <c r="E71" s="8" cm="1">
        <f t="array" aca="1" ref="E71" ca="1">_xlfn.XLOOKUP(1,
 (INDIRECT("'"&amp;$C$6&amp;"'!$6:$6")=E$6)*
 (INDIRECT("'"&amp;$C$6&amp;"'!$5:$5")=E$5),
 INDIRECT("'"&amp;$C$6&amp;"'!"&amp;ROW()&amp;":"&amp;ROW())
)</f>
        <v>0</v>
      </c>
      <c r="F71" s="8" cm="1">
        <f t="array" aca="1" ref="F71" ca="1">_xlfn.XLOOKUP(1,
 (INDIRECT("'"&amp;$C$6&amp;"'!$6:$6")=F$6)*
 (INDIRECT("'"&amp;$C$6&amp;"'!$5:$5")=F$5),
 INDIRECT("'"&amp;$C$6&amp;"'!"&amp;ROW()&amp;":"&amp;ROW())
)</f>
        <v>0</v>
      </c>
      <c r="G71" s="8" cm="1">
        <f t="array" aca="1" ref="G71" ca="1">_xlfn.XLOOKUP(1,
 (INDIRECT("'"&amp;$C$6&amp;"'!$6:$6")=G$6)*
 (INDIRECT("'"&amp;$C$6&amp;"'!$5:$5")=G$5),
 INDIRECT("'"&amp;$C$6&amp;"'!"&amp;ROW()&amp;":"&amp;ROW())
)</f>
        <v>0</v>
      </c>
      <c r="H71" s="8" cm="1">
        <f t="array" aca="1" ref="H71" ca="1">_xlfn.XLOOKUP(1,
 (INDIRECT("'"&amp;$C$6&amp;"'!$6:$6")=H$6)*
 (INDIRECT("'"&amp;$C$6&amp;"'!$5:$5")=H$5),
 INDIRECT("'"&amp;$C$6&amp;"'!"&amp;ROW()&amp;":"&amp;ROW())
)</f>
        <v>0</v>
      </c>
      <c r="I71" s="8" cm="1">
        <f t="array" aca="1" ref="I71" ca="1">_xlfn.XLOOKUP(1,
 (INDIRECT("'"&amp;$C$6&amp;"'!$6:$6")=I$6)*
 (INDIRECT("'"&amp;$C$6&amp;"'!$5:$5")=I$5),
 INDIRECT("'"&amp;$C$6&amp;"'!"&amp;ROW()&amp;":"&amp;ROW())
)</f>
        <v>0</v>
      </c>
      <c r="K71" s="34">
        <f t="shared" ca="1" si="147"/>
        <v>0</v>
      </c>
      <c r="L71" s="34">
        <f t="shared" ca="1" si="148"/>
        <v>0</v>
      </c>
      <c r="M71" s="34">
        <f t="shared" ca="1" si="149"/>
        <v>0</v>
      </c>
      <c r="N71" s="34">
        <f t="shared" ca="1" si="150"/>
        <v>0</v>
      </c>
      <c r="O71" s="34">
        <f t="shared" ca="1" si="151"/>
        <v>0</v>
      </c>
      <c r="Q71" s="36">
        <f t="shared" ca="1" si="152"/>
        <v>0</v>
      </c>
      <c r="R71" s="36">
        <f t="shared" ca="1" si="153"/>
        <v>0</v>
      </c>
      <c r="S71" s="36">
        <f t="shared" ca="1" si="154"/>
        <v>0</v>
      </c>
      <c r="T71" s="36">
        <f t="shared" ca="1" si="155"/>
        <v>0</v>
      </c>
      <c r="U71" s="36">
        <f t="shared" ca="1" si="156"/>
        <v>0</v>
      </c>
      <c r="W71" s="8" cm="1">
        <f t="array" aca="1" ref="W71" ca="1">INDIRECT("'"&amp;$C$6&amp;"'!"&amp;ADDRESS(ROW(),COLUMN()+44))</f>
        <v>0</v>
      </c>
      <c r="X71" s="8" cm="1">
        <f t="array" aca="1" ref="X71" ca="1">INDIRECT("'"&amp;$C$6&amp;"'!"&amp;ADDRESS(ROW(),COLUMN()+44))</f>
        <v>0</v>
      </c>
      <c r="Y71" s="8" cm="1">
        <f t="array" aca="1" ref="Y71" ca="1">INDIRECT("'"&amp;$C$6&amp;"'!"&amp;ADDRESS(ROW(),COLUMN()+44))</f>
        <v>0</v>
      </c>
      <c r="Z71" s="8" cm="1">
        <f t="array" aca="1" ref="Z71" ca="1">INDIRECT("'"&amp;$C$6&amp;"'!"&amp;ADDRESS(ROW(),COLUMN()+44))</f>
        <v>0</v>
      </c>
      <c r="AA71" s="8" cm="1">
        <f t="array" aca="1" ref="AA71" ca="1">INDIRECT("'"&amp;$C$6&amp;"'!"&amp;ADDRESS(ROW(),COLUMN()+44))</f>
        <v>0</v>
      </c>
      <c r="AB71" s="8" cm="1">
        <f t="array" aca="1" ref="AB71" ca="1">INDIRECT("'"&amp;$C$6&amp;"'!"&amp;ADDRESS(ROW(),COLUMN()+44))</f>
        <v>0</v>
      </c>
      <c r="AD71" s="34">
        <f t="shared" ca="1" si="157"/>
        <v>0</v>
      </c>
      <c r="AE71" s="34">
        <f t="shared" ca="1" si="158"/>
        <v>0</v>
      </c>
      <c r="AF71" s="34">
        <f t="shared" ca="1" si="159"/>
        <v>0</v>
      </c>
      <c r="AG71" s="34">
        <f t="shared" ca="1" si="160"/>
        <v>0</v>
      </c>
      <c r="AH71" s="34">
        <f t="shared" ca="1" si="161"/>
        <v>0</v>
      </c>
      <c r="AJ71" s="36">
        <f t="shared" ca="1" si="162"/>
        <v>0</v>
      </c>
      <c r="AK71" s="36">
        <f t="shared" ca="1" si="163"/>
        <v>0</v>
      </c>
      <c r="AL71" s="36">
        <f t="shared" ca="1" si="164"/>
        <v>0</v>
      </c>
      <c r="AM71" s="36">
        <f t="shared" ca="1" si="165"/>
        <v>0</v>
      </c>
      <c r="AN71" s="36">
        <f t="shared" ca="1" si="166"/>
        <v>0</v>
      </c>
    </row>
    <row r="72" spans="1:40" hidden="1" outlineLevel="1" x14ac:dyDescent="0.25">
      <c r="A72" s="11" t="s">
        <v>71</v>
      </c>
      <c r="C72" s="2"/>
      <c r="D72" s="8" cm="1">
        <f t="array" aca="1" ref="D72" ca="1">_xlfn.XLOOKUP(1,
 (INDIRECT("'"&amp;$C$6&amp;"'!$6:$6")=D$6)*
 (INDIRECT("'"&amp;$C$6&amp;"'!$5:$5")=D$5),
 INDIRECT("'"&amp;$C$6&amp;"'!"&amp;ROW()&amp;":"&amp;ROW())
)</f>
        <v>0</v>
      </c>
      <c r="E72" s="8" cm="1">
        <f t="array" aca="1" ref="E72" ca="1">_xlfn.XLOOKUP(1,
 (INDIRECT("'"&amp;$C$6&amp;"'!$6:$6")=E$6)*
 (INDIRECT("'"&amp;$C$6&amp;"'!$5:$5")=E$5),
 INDIRECT("'"&amp;$C$6&amp;"'!"&amp;ROW()&amp;":"&amp;ROW())
)</f>
        <v>0</v>
      </c>
      <c r="F72" s="8" cm="1">
        <f t="array" aca="1" ref="F72" ca="1">_xlfn.XLOOKUP(1,
 (INDIRECT("'"&amp;$C$6&amp;"'!$6:$6")=F$6)*
 (INDIRECT("'"&amp;$C$6&amp;"'!$5:$5")=F$5),
 INDIRECT("'"&amp;$C$6&amp;"'!"&amp;ROW()&amp;":"&amp;ROW())
)</f>
        <v>0</v>
      </c>
      <c r="G72" s="8" cm="1">
        <f t="array" aca="1" ref="G72" ca="1">_xlfn.XLOOKUP(1,
 (INDIRECT("'"&amp;$C$6&amp;"'!$6:$6")=G$6)*
 (INDIRECT("'"&amp;$C$6&amp;"'!$5:$5")=G$5),
 INDIRECT("'"&amp;$C$6&amp;"'!"&amp;ROW()&amp;":"&amp;ROW())
)</f>
        <v>0</v>
      </c>
      <c r="H72" s="8" cm="1">
        <f t="array" aca="1" ref="H72" ca="1">_xlfn.XLOOKUP(1,
 (INDIRECT("'"&amp;$C$6&amp;"'!$6:$6")=H$6)*
 (INDIRECT("'"&amp;$C$6&amp;"'!$5:$5")=H$5),
 INDIRECT("'"&amp;$C$6&amp;"'!"&amp;ROW()&amp;":"&amp;ROW())
)</f>
        <v>0</v>
      </c>
      <c r="I72" s="8" cm="1">
        <f t="array" aca="1" ref="I72" ca="1">_xlfn.XLOOKUP(1,
 (INDIRECT("'"&amp;$C$6&amp;"'!$6:$6")=I$6)*
 (INDIRECT("'"&amp;$C$6&amp;"'!$5:$5")=I$5),
 INDIRECT("'"&amp;$C$6&amp;"'!"&amp;ROW()&amp;":"&amp;ROW())
)</f>
        <v>0</v>
      </c>
      <c r="K72" s="34">
        <f t="shared" ca="1" si="147"/>
        <v>0</v>
      </c>
      <c r="L72" s="34">
        <f t="shared" ca="1" si="148"/>
        <v>0</v>
      </c>
      <c r="M72" s="34">
        <f t="shared" ca="1" si="149"/>
        <v>0</v>
      </c>
      <c r="N72" s="34">
        <f t="shared" ca="1" si="150"/>
        <v>0</v>
      </c>
      <c r="O72" s="34">
        <f t="shared" ca="1" si="151"/>
        <v>0</v>
      </c>
      <c r="Q72" s="36">
        <f t="shared" ca="1" si="152"/>
        <v>0</v>
      </c>
      <c r="R72" s="36">
        <f t="shared" ca="1" si="153"/>
        <v>0</v>
      </c>
      <c r="S72" s="36">
        <f t="shared" ca="1" si="154"/>
        <v>0</v>
      </c>
      <c r="T72" s="36">
        <f t="shared" ca="1" si="155"/>
        <v>0</v>
      </c>
      <c r="U72" s="36">
        <f t="shared" ca="1" si="156"/>
        <v>0</v>
      </c>
      <c r="W72" s="8" cm="1">
        <f t="array" aca="1" ref="W72" ca="1">INDIRECT("'"&amp;$C$6&amp;"'!"&amp;ADDRESS(ROW(),COLUMN()+44))</f>
        <v>0</v>
      </c>
      <c r="X72" s="8" cm="1">
        <f t="array" aca="1" ref="X72" ca="1">INDIRECT("'"&amp;$C$6&amp;"'!"&amp;ADDRESS(ROW(),COLUMN()+44))</f>
        <v>0</v>
      </c>
      <c r="Y72" s="8" cm="1">
        <f t="array" aca="1" ref="Y72" ca="1">INDIRECT("'"&amp;$C$6&amp;"'!"&amp;ADDRESS(ROW(),COLUMN()+44))</f>
        <v>0</v>
      </c>
      <c r="Z72" s="8" cm="1">
        <f t="array" aca="1" ref="Z72" ca="1">INDIRECT("'"&amp;$C$6&amp;"'!"&amp;ADDRESS(ROW(),COLUMN()+44))</f>
        <v>0</v>
      </c>
      <c r="AA72" s="8" cm="1">
        <f t="array" aca="1" ref="AA72" ca="1">INDIRECT("'"&amp;$C$6&amp;"'!"&amp;ADDRESS(ROW(),COLUMN()+44))</f>
        <v>0</v>
      </c>
      <c r="AB72" s="8" cm="1">
        <f t="array" aca="1" ref="AB72" ca="1">INDIRECT("'"&amp;$C$6&amp;"'!"&amp;ADDRESS(ROW(),COLUMN()+44))</f>
        <v>0</v>
      </c>
      <c r="AD72" s="34">
        <f t="shared" ca="1" si="157"/>
        <v>0</v>
      </c>
      <c r="AE72" s="34">
        <f t="shared" ca="1" si="158"/>
        <v>0</v>
      </c>
      <c r="AF72" s="34">
        <f t="shared" ca="1" si="159"/>
        <v>0</v>
      </c>
      <c r="AG72" s="34">
        <f t="shared" ca="1" si="160"/>
        <v>0</v>
      </c>
      <c r="AH72" s="34">
        <f t="shared" ca="1" si="161"/>
        <v>0</v>
      </c>
      <c r="AJ72" s="36">
        <f t="shared" ca="1" si="162"/>
        <v>0</v>
      </c>
      <c r="AK72" s="36">
        <f t="shared" ca="1" si="163"/>
        <v>0</v>
      </c>
      <c r="AL72" s="36">
        <f t="shared" ca="1" si="164"/>
        <v>0</v>
      </c>
      <c r="AM72" s="36">
        <f t="shared" ca="1" si="165"/>
        <v>0</v>
      </c>
      <c r="AN72" s="36">
        <f t="shared" ca="1" si="166"/>
        <v>0</v>
      </c>
    </row>
    <row r="73" spans="1:40" hidden="1" outlineLevel="1" x14ac:dyDescent="0.25">
      <c r="A73" s="11" t="s">
        <v>71</v>
      </c>
      <c r="C73" s="2"/>
      <c r="D73" s="8" cm="1">
        <f t="array" aca="1" ref="D73" ca="1">_xlfn.XLOOKUP(1,
 (INDIRECT("'"&amp;$C$6&amp;"'!$6:$6")=D$6)*
 (INDIRECT("'"&amp;$C$6&amp;"'!$5:$5")=D$5),
 INDIRECT("'"&amp;$C$6&amp;"'!"&amp;ROW()&amp;":"&amp;ROW())
)</f>
        <v>0</v>
      </c>
      <c r="E73" s="8" cm="1">
        <f t="array" aca="1" ref="E73" ca="1">_xlfn.XLOOKUP(1,
 (INDIRECT("'"&amp;$C$6&amp;"'!$6:$6")=E$6)*
 (INDIRECT("'"&amp;$C$6&amp;"'!$5:$5")=E$5),
 INDIRECT("'"&amp;$C$6&amp;"'!"&amp;ROW()&amp;":"&amp;ROW())
)</f>
        <v>0</v>
      </c>
      <c r="F73" s="8" cm="1">
        <f t="array" aca="1" ref="F73" ca="1">_xlfn.XLOOKUP(1,
 (INDIRECT("'"&amp;$C$6&amp;"'!$6:$6")=F$6)*
 (INDIRECT("'"&amp;$C$6&amp;"'!$5:$5")=F$5),
 INDIRECT("'"&amp;$C$6&amp;"'!"&amp;ROW()&amp;":"&amp;ROW())
)</f>
        <v>0</v>
      </c>
      <c r="G73" s="8" cm="1">
        <f t="array" aca="1" ref="G73" ca="1">_xlfn.XLOOKUP(1,
 (INDIRECT("'"&amp;$C$6&amp;"'!$6:$6")=G$6)*
 (INDIRECT("'"&amp;$C$6&amp;"'!$5:$5")=G$5),
 INDIRECT("'"&amp;$C$6&amp;"'!"&amp;ROW()&amp;":"&amp;ROW())
)</f>
        <v>0</v>
      </c>
      <c r="H73" s="8" cm="1">
        <f t="array" aca="1" ref="H73" ca="1">_xlfn.XLOOKUP(1,
 (INDIRECT("'"&amp;$C$6&amp;"'!$6:$6")=H$6)*
 (INDIRECT("'"&amp;$C$6&amp;"'!$5:$5")=H$5),
 INDIRECT("'"&amp;$C$6&amp;"'!"&amp;ROW()&amp;":"&amp;ROW())
)</f>
        <v>0</v>
      </c>
      <c r="I73" s="8" cm="1">
        <f t="array" aca="1" ref="I73" ca="1">_xlfn.XLOOKUP(1,
 (INDIRECT("'"&amp;$C$6&amp;"'!$6:$6")=I$6)*
 (INDIRECT("'"&amp;$C$6&amp;"'!$5:$5")=I$5),
 INDIRECT("'"&amp;$C$6&amp;"'!"&amp;ROW()&amp;":"&amp;ROW())
)</f>
        <v>0</v>
      </c>
      <c r="K73" s="34">
        <f t="shared" ca="1" si="147"/>
        <v>0</v>
      </c>
      <c r="L73" s="34">
        <f t="shared" ca="1" si="148"/>
        <v>0</v>
      </c>
      <c r="M73" s="34">
        <f t="shared" ca="1" si="149"/>
        <v>0</v>
      </c>
      <c r="N73" s="34">
        <f t="shared" ca="1" si="150"/>
        <v>0</v>
      </c>
      <c r="O73" s="34">
        <f t="shared" ca="1" si="151"/>
        <v>0</v>
      </c>
      <c r="Q73" s="36">
        <f t="shared" ca="1" si="152"/>
        <v>0</v>
      </c>
      <c r="R73" s="36">
        <f t="shared" ca="1" si="153"/>
        <v>0</v>
      </c>
      <c r="S73" s="36">
        <f t="shared" ca="1" si="154"/>
        <v>0</v>
      </c>
      <c r="T73" s="36">
        <f t="shared" ca="1" si="155"/>
        <v>0</v>
      </c>
      <c r="U73" s="36">
        <f t="shared" ca="1" si="156"/>
        <v>0</v>
      </c>
      <c r="W73" s="8" cm="1">
        <f t="array" aca="1" ref="W73" ca="1">INDIRECT("'"&amp;$C$6&amp;"'!"&amp;ADDRESS(ROW(),COLUMN()+44))</f>
        <v>0</v>
      </c>
      <c r="X73" s="8" cm="1">
        <f t="array" aca="1" ref="X73" ca="1">INDIRECT("'"&amp;$C$6&amp;"'!"&amp;ADDRESS(ROW(),COLUMN()+44))</f>
        <v>0</v>
      </c>
      <c r="Y73" s="8" cm="1">
        <f t="array" aca="1" ref="Y73" ca="1">INDIRECT("'"&amp;$C$6&amp;"'!"&amp;ADDRESS(ROW(),COLUMN()+44))</f>
        <v>0</v>
      </c>
      <c r="Z73" s="8" cm="1">
        <f t="array" aca="1" ref="Z73" ca="1">INDIRECT("'"&amp;$C$6&amp;"'!"&amp;ADDRESS(ROW(),COLUMN()+44))</f>
        <v>0</v>
      </c>
      <c r="AA73" s="8" cm="1">
        <f t="array" aca="1" ref="AA73" ca="1">INDIRECT("'"&amp;$C$6&amp;"'!"&amp;ADDRESS(ROW(),COLUMN()+44))</f>
        <v>0</v>
      </c>
      <c r="AB73" s="8" cm="1">
        <f t="array" aca="1" ref="AB73" ca="1">INDIRECT("'"&amp;$C$6&amp;"'!"&amp;ADDRESS(ROW(),COLUMN()+44))</f>
        <v>0</v>
      </c>
      <c r="AD73" s="34">
        <f t="shared" ca="1" si="157"/>
        <v>0</v>
      </c>
      <c r="AE73" s="34">
        <f t="shared" ca="1" si="158"/>
        <v>0</v>
      </c>
      <c r="AF73" s="34">
        <f t="shared" ca="1" si="159"/>
        <v>0</v>
      </c>
      <c r="AG73" s="34">
        <f t="shared" ca="1" si="160"/>
        <v>0</v>
      </c>
      <c r="AH73" s="34">
        <f t="shared" ca="1" si="161"/>
        <v>0</v>
      </c>
      <c r="AJ73" s="36">
        <f t="shared" ca="1" si="162"/>
        <v>0</v>
      </c>
      <c r="AK73" s="36">
        <f t="shared" ca="1" si="163"/>
        <v>0</v>
      </c>
      <c r="AL73" s="36">
        <f t="shared" ca="1" si="164"/>
        <v>0</v>
      </c>
      <c r="AM73" s="36">
        <f t="shared" ca="1" si="165"/>
        <v>0</v>
      </c>
      <c r="AN73" s="36">
        <f t="shared" ca="1" si="166"/>
        <v>0</v>
      </c>
    </row>
    <row r="74" spans="1:40" hidden="1" outlineLevel="1" x14ac:dyDescent="0.25">
      <c r="A74" s="11" t="s">
        <v>71</v>
      </c>
      <c r="C74" s="2"/>
      <c r="D74" s="8" cm="1">
        <f t="array" aca="1" ref="D74" ca="1">_xlfn.XLOOKUP(1,
 (INDIRECT("'"&amp;$C$6&amp;"'!$6:$6")=D$6)*
 (INDIRECT("'"&amp;$C$6&amp;"'!$5:$5")=D$5),
 INDIRECT("'"&amp;$C$6&amp;"'!"&amp;ROW()&amp;":"&amp;ROW())
)</f>
        <v>0</v>
      </c>
      <c r="E74" s="8" cm="1">
        <f t="array" aca="1" ref="E74" ca="1">_xlfn.XLOOKUP(1,
 (INDIRECT("'"&amp;$C$6&amp;"'!$6:$6")=E$6)*
 (INDIRECT("'"&amp;$C$6&amp;"'!$5:$5")=E$5),
 INDIRECT("'"&amp;$C$6&amp;"'!"&amp;ROW()&amp;":"&amp;ROW())
)</f>
        <v>0</v>
      </c>
      <c r="F74" s="8" cm="1">
        <f t="array" aca="1" ref="F74" ca="1">_xlfn.XLOOKUP(1,
 (INDIRECT("'"&amp;$C$6&amp;"'!$6:$6")=F$6)*
 (INDIRECT("'"&amp;$C$6&amp;"'!$5:$5")=F$5),
 INDIRECT("'"&amp;$C$6&amp;"'!"&amp;ROW()&amp;":"&amp;ROW())
)</f>
        <v>0</v>
      </c>
      <c r="G74" s="8" cm="1">
        <f t="array" aca="1" ref="G74" ca="1">_xlfn.XLOOKUP(1,
 (INDIRECT("'"&amp;$C$6&amp;"'!$6:$6")=G$6)*
 (INDIRECT("'"&amp;$C$6&amp;"'!$5:$5")=G$5),
 INDIRECT("'"&amp;$C$6&amp;"'!"&amp;ROW()&amp;":"&amp;ROW())
)</f>
        <v>0</v>
      </c>
      <c r="H74" s="8" cm="1">
        <f t="array" aca="1" ref="H74" ca="1">_xlfn.XLOOKUP(1,
 (INDIRECT("'"&amp;$C$6&amp;"'!$6:$6")=H$6)*
 (INDIRECT("'"&amp;$C$6&amp;"'!$5:$5")=H$5),
 INDIRECT("'"&amp;$C$6&amp;"'!"&amp;ROW()&amp;":"&amp;ROW())
)</f>
        <v>0</v>
      </c>
      <c r="I74" s="8" cm="1">
        <f t="array" aca="1" ref="I74" ca="1">_xlfn.XLOOKUP(1,
 (INDIRECT("'"&amp;$C$6&amp;"'!$6:$6")=I$6)*
 (INDIRECT("'"&amp;$C$6&amp;"'!$5:$5")=I$5),
 INDIRECT("'"&amp;$C$6&amp;"'!"&amp;ROW()&amp;":"&amp;ROW())
)</f>
        <v>0</v>
      </c>
      <c r="K74" s="34">
        <f t="shared" ca="1" si="147"/>
        <v>0</v>
      </c>
      <c r="L74" s="34">
        <f t="shared" ca="1" si="148"/>
        <v>0</v>
      </c>
      <c r="M74" s="34">
        <f t="shared" ca="1" si="149"/>
        <v>0</v>
      </c>
      <c r="N74" s="34">
        <f t="shared" ca="1" si="150"/>
        <v>0</v>
      </c>
      <c r="O74" s="34">
        <f t="shared" ca="1" si="151"/>
        <v>0</v>
      </c>
      <c r="Q74" s="36">
        <f t="shared" ca="1" si="152"/>
        <v>0</v>
      </c>
      <c r="R74" s="36">
        <f t="shared" ca="1" si="153"/>
        <v>0</v>
      </c>
      <c r="S74" s="36">
        <f t="shared" ca="1" si="154"/>
        <v>0</v>
      </c>
      <c r="T74" s="36">
        <f t="shared" ca="1" si="155"/>
        <v>0</v>
      </c>
      <c r="U74" s="36">
        <f t="shared" ca="1" si="156"/>
        <v>0</v>
      </c>
      <c r="W74" s="8" cm="1">
        <f t="array" aca="1" ref="W74" ca="1">INDIRECT("'"&amp;$C$6&amp;"'!"&amp;ADDRESS(ROW(),COLUMN()+44))</f>
        <v>0</v>
      </c>
      <c r="X74" s="8" cm="1">
        <f t="array" aca="1" ref="X74" ca="1">INDIRECT("'"&amp;$C$6&amp;"'!"&amp;ADDRESS(ROW(),COLUMN()+44))</f>
        <v>0</v>
      </c>
      <c r="Y74" s="8" cm="1">
        <f t="array" aca="1" ref="Y74" ca="1">INDIRECT("'"&amp;$C$6&amp;"'!"&amp;ADDRESS(ROW(),COLUMN()+44))</f>
        <v>0</v>
      </c>
      <c r="Z74" s="8" cm="1">
        <f t="array" aca="1" ref="Z74" ca="1">INDIRECT("'"&amp;$C$6&amp;"'!"&amp;ADDRESS(ROW(),COLUMN()+44))</f>
        <v>0</v>
      </c>
      <c r="AA74" s="8" cm="1">
        <f t="array" aca="1" ref="AA74" ca="1">INDIRECT("'"&amp;$C$6&amp;"'!"&amp;ADDRESS(ROW(),COLUMN()+44))</f>
        <v>0</v>
      </c>
      <c r="AB74" s="8" cm="1">
        <f t="array" aca="1" ref="AB74" ca="1">INDIRECT("'"&amp;$C$6&amp;"'!"&amp;ADDRESS(ROW(),COLUMN()+44))</f>
        <v>0</v>
      </c>
      <c r="AD74" s="34">
        <f t="shared" ca="1" si="157"/>
        <v>0</v>
      </c>
      <c r="AE74" s="34">
        <f t="shared" ca="1" si="158"/>
        <v>0</v>
      </c>
      <c r="AF74" s="34">
        <f t="shared" ca="1" si="159"/>
        <v>0</v>
      </c>
      <c r="AG74" s="34">
        <f t="shared" ca="1" si="160"/>
        <v>0</v>
      </c>
      <c r="AH74" s="34">
        <f t="shared" ca="1" si="161"/>
        <v>0</v>
      </c>
      <c r="AJ74" s="36">
        <f t="shared" ca="1" si="162"/>
        <v>0</v>
      </c>
      <c r="AK74" s="36">
        <f t="shared" ca="1" si="163"/>
        <v>0</v>
      </c>
      <c r="AL74" s="36">
        <f t="shared" ca="1" si="164"/>
        <v>0</v>
      </c>
      <c r="AM74" s="36">
        <f t="shared" ca="1" si="165"/>
        <v>0</v>
      </c>
      <c r="AN74" s="36">
        <f t="shared" ca="1" si="166"/>
        <v>0</v>
      </c>
    </row>
    <row r="75" spans="1:40" hidden="1" outlineLevel="1" x14ac:dyDescent="0.25">
      <c r="A75" s="11" t="s">
        <v>71</v>
      </c>
      <c r="C75" s="2"/>
      <c r="D75" s="8" cm="1">
        <f t="array" aca="1" ref="D75" ca="1">_xlfn.XLOOKUP(1,
 (INDIRECT("'"&amp;$C$6&amp;"'!$6:$6")=D$6)*
 (INDIRECT("'"&amp;$C$6&amp;"'!$5:$5")=D$5),
 INDIRECT("'"&amp;$C$6&amp;"'!"&amp;ROW()&amp;":"&amp;ROW())
)</f>
        <v>0</v>
      </c>
      <c r="E75" s="8" cm="1">
        <f t="array" aca="1" ref="E75" ca="1">_xlfn.XLOOKUP(1,
 (INDIRECT("'"&amp;$C$6&amp;"'!$6:$6")=E$6)*
 (INDIRECT("'"&amp;$C$6&amp;"'!$5:$5")=E$5),
 INDIRECT("'"&amp;$C$6&amp;"'!"&amp;ROW()&amp;":"&amp;ROW())
)</f>
        <v>0</v>
      </c>
      <c r="F75" s="8" cm="1">
        <f t="array" aca="1" ref="F75" ca="1">_xlfn.XLOOKUP(1,
 (INDIRECT("'"&amp;$C$6&amp;"'!$6:$6")=F$6)*
 (INDIRECT("'"&amp;$C$6&amp;"'!$5:$5")=F$5),
 INDIRECT("'"&amp;$C$6&amp;"'!"&amp;ROW()&amp;":"&amp;ROW())
)</f>
        <v>0</v>
      </c>
      <c r="G75" s="8" cm="1">
        <f t="array" aca="1" ref="G75" ca="1">_xlfn.XLOOKUP(1,
 (INDIRECT("'"&amp;$C$6&amp;"'!$6:$6")=G$6)*
 (INDIRECT("'"&amp;$C$6&amp;"'!$5:$5")=G$5),
 INDIRECT("'"&amp;$C$6&amp;"'!"&amp;ROW()&amp;":"&amp;ROW())
)</f>
        <v>0</v>
      </c>
      <c r="H75" s="8" cm="1">
        <f t="array" aca="1" ref="H75" ca="1">_xlfn.XLOOKUP(1,
 (INDIRECT("'"&amp;$C$6&amp;"'!$6:$6")=H$6)*
 (INDIRECT("'"&amp;$C$6&amp;"'!$5:$5")=H$5),
 INDIRECT("'"&amp;$C$6&amp;"'!"&amp;ROW()&amp;":"&amp;ROW())
)</f>
        <v>0</v>
      </c>
      <c r="I75" s="8" cm="1">
        <f t="array" aca="1" ref="I75" ca="1">_xlfn.XLOOKUP(1,
 (INDIRECT("'"&amp;$C$6&amp;"'!$6:$6")=I$6)*
 (INDIRECT("'"&amp;$C$6&amp;"'!$5:$5")=I$5),
 INDIRECT("'"&amp;$C$6&amp;"'!"&amp;ROW()&amp;":"&amp;ROW())
)</f>
        <v>0</v>
      </c>
      <c r="K75" s="34">
        <f t="shared" ca="1" si="147"/>
        <v>0</v>
      </c>
      <c r="L75" s="34">
        <f t="shared" ca="1" si="148"/>
        <v>0</v>
      </c>
      <c r="M75" s="34">
        <f t="shared" ca="1" si="149"/>
        <v>0</v>
      </c>
      <c r="N75" s="34">
        <f t="shared" ca="1" si="150"/>
        <v>0</v>
      </c>
      <c r="O75" s="34">
        <f t="shared" ca="1" si="151"/>
        <v>0</v>
      </c>
      <c r="Q75" s="36">
        <f t="shared" ca="1" si="152"/>
        <v>0</v>
      </c>
      <c r="R75" s="36">
        <f t="shared" ca="1" si="153"/>
        <v>0</v>
      </c>
      <c r="S75" s="36">
        <f t="shared" ca="1" si="154"/>
        <v>0</v>
      </c>
      <c r="T75" s="36">
        <f t="shared" ca="1" si="155"/>
        <v>0</v>
      </c>
      <c r="U75" s="36">
        <f t="shared" ca="1" si="156"/>
        <v>0</v>
      </c>
      <c r="W75" s="8" cm="1">
        <f t="array" aca="1" ref="W75" ca="1">INDIRECT("'"&amp;$C$6&amp;"'!"&amp;ADDRESS(ROW(),COLUMN()+44))</f>
        <v>0</v>
      </c>
      <c r="X75" s="8" cm="1">
        <f t="array" aca="1" ref="X75" ca="1">INDIRECT("'"&amp;$C$6&amp;"'!"&amp;ADDRESS(ROW(),COLUMN()+44))</f>
        <v>0</v>
      </c>
      <c r="Y75" s="8" cm="1">
        <f t="array" aca="1" ref="Y75" ca="1">INDIRECT("'"&amp;$C$6&amp;"'!"&amp;ADDRESS(ROW(),COLUMN()+44))</f>
        <v>0</v>
      </c>
      <c r="Z75" s="8" cm="1">
        <f t="array" aca="1" ref="Z75" ca="1">INDIRECT("'"&amp;$C$6&amp;"'!"&amp;ADDRESS(ROW(),COLUMN()+44))</f>
        <v>0</v>
      </c>
      <c r="AA75" s="8" cm="1">
        <f t="array" aca="1" ref="AA75" ca="1">INDIRECT("'"&amp;$C$6&amp;"'!"&amp;ADDRESS(ROW(),COLUMN()+44))</f>
        <v>0</v>
      </c>
      <c r="AB75" s="8" cm="1">
        <f t="array" aca="1" ref="AB75" ca="1">INDIRECT("'"&amp;$C$6&amp;"'!"&amp;ADDRESS(ROW(),COLUMN()+44))</f>
        <v>0</v>
      </c>
      <c r="AD75" s="34">
        <f t="shared" ca="1" si="157"/>
        <v>0</v>
      </c>
      <c r="AE75" s="34">
        <f t="shared" ca="1" si="158"/>
        <v>0</v>
      </c>
      <c r="AF75" s="34">
        <f t="shared" ca="1" si="159"/>
        <v>0</v>
      </c>
      <c r="AG75" s="34">
        <f t="shared" ca="1" si="160"/>
        <v>0</v>
      </c>
      <c r="AH75" s="34">
        <f t="shared" ca="1" si="161"/>
        <v>0</v>
      </c>
      <c r="AJ75" s="36">
        <f t="shared" ca="1" si="162"/>
        <v>0</v>
      </c>
      <c r="AK75" s="36">
        <f t="shared" ca="1" si="163"/>
        <v>0</v>
      </c>
      <c r="AL75" s="36">
        <f t="shared" ca="1" si="164"/>
        <v>0</v>
      </c>
      <c r="AM75" s="36">
        <f t="shared" ca="1" si="165"/>
        <v>0</v>
      </c>
      <c r="AN75" s="36">
        <f t="shared" ca="1" si="166"/>
        <v>0</v>
      </c>
    </row>
    <row r="76" spans="1:40" hidden="1" outlineLevel="1" x14ac:dyDescent="0.25">
      <c r="A76" s="11" t="s">
        <v>71</v>
      </c>
      <c r="C76" s="2"/>
      <c r="D76" s="8" cm="1">
        <f t="array" aca="1" ref="D76" ca="1">_xlfn.XLOOKUP(1,
 (INDIRECT("'"&amp;$C$6&amp;"'!$6:$6")=D$6)*
 (INDIRECT("'"&amp;$C$6&amp;"'!$5:$5")=D$5),
 INDIRECT("'"&amp;$C$6&amp;"'!"&amp;ROW()&amp;":"&amp;ROW())
)</f>
        <v>0</v>
      </c>
      <c r="E76" s="8" cm="1">
        <f t="array" aca="1" ref="E76" ca="1">_xlfn.XLOOKUP(1,
 (INDIRECT("'"&amp;$C$6&amp;"'!$6:$6")=E$6)*
 (INDIRECT("'"&amp;$C$6&amp;"'!$5:$5")=E$5),
 INDIRECT("'"&amp;$C$6&amp;"'!"&amp;ROW()&amp;":"&amp;ROW())
)</f>
        <v>0</v>
      </c>
      <c r="F76" s="8" cm="1">
        <f t="array" aca="1" ref="F76" ca="1">_xlfn.XLOOKUP(1,
 (INDIRECT("'"&amp;$C$6&amp;"'!$6:$6")=F$6)*
 (INDIRECT("'"&amp;$C$6&amp;"'!$5:$5")=F$5),
 INDIRECT("'"&amp;$C$6&amp;"'!"&amp;ROW()&amp;":"&amp;ROW())
)</f>
        <v>0</v>
      </c>
      <c r="G76" s="8" cm="1">
        <f t="array" aca="1" ref="G76" ca="1">_xlfn.XLOOKUP(1,
 (INDIRECT("'"&amp;$C$6&amp;"'!$6:$6")=G$6)*
 (INDIRECT("'"&amp;$C$6&amp;"'!$5:$5")=G$5),
 INDIRECT("'"&amp;$C$6&amp;"'!"&amp;ROW()&amp;":"&amp;ROW())
)</f>
        <v>0</v>
      </c>
      <c r="H76" s="8" cm="1">
        <f t="array" aca="1" ref="H76" ca="1">_xlfn.XLOOKUP(1,
 (INDIRECT("'"&amp;$C$6&amp;"'!$6:$6")=H$6)*
 (INDIRECT("'"&amp;$C$6&amp;"'!$5:$5")=H$5),
 INDIRECT("'"&amp;$C$6&amp;"'!"&amp;ROW()&amp;":"&amp;ROW())
)</f>
        <v>0</v>
      </c>
      <c r="I76" s="8" cm="1">
        <f t="array" aca="1" ref="I76" ca="1">_xlfn.XLOOKUP(1,
 (INDIRECT("'"&amp;$C$6&amp;"'!$6:$6")=I$6)*
 (INDIRECT("'"&amp;$C$6&amp;"'!$5:$5")=I$5),
 INDIRECT("'"&amp;$C$6&amp;"'!"&amp;ROW()&amp;":"&amp;ROW())
)</f>
        <v>0</v>
      </c>
      <c r="K76" s="34">
        <f t="shared" ca="1" si="147"/>
        <v>0</v>
      </c>
      <c r="L76" s="34">
        <f t="shared" ca="1" si="148"/>
        <v>0</v>
      </c>
      <c r="M76" s="34">
        <f t="shared" ca="1" si="149"/>
        <v>0</v>
      </c>
      <c r="N76" s="34">
        <f t="shared" ca="1" si="150"/>
        <v>0</v>
      </c>
      <c r="O76" s="34">
        <f t="shared" ca="1" si="151"/>
        <v>0</v>
      </c>
      <c r="Q76" s="36">
        <f t="shared" ca="1" si="152"/>
        <v>0</v>
      </c>
      <c r="R76" s="36">
        <f t="shared" ca="1" si="153"/>
        <v>0</v>
      </c>
      <c r="S76" s="36">
        <f t="shared" ca="1" si="154"/>
        <v>0</v>
      </c>
      <c r="T76" s="36">
        <f t="shared" ca="1" si="155"/>
        <v>0</v>
      </c>
      <c r="U76" s="36">
        <f t="shared" ca="1" si="156"/>
        <v>0</v>
      </c>
      <c r="W76" s="8" cm="1">
        <f t="array" aca="1" ref="W76" ca="1">INDIRECT("'"&amp;$C$6&amp;"'!"&amp;ADDRESS(ROW(),COLUMN()+44))</f>
        <v>0</v>
      </c>
      <c r="X76" s="8" cm="1">
        <f t="array" aca="1" ref="X76" ca="1">INDIRECT("'"&amp;$C$6&amp;"'!"&amp;ADDRESS(ROW(),COLUMN()+44))</f>
        <v>0</v>
      </c>
      <c r="Y76" s="8" cm="1">
        <f t="array" aca="1" ref="Y76" ca="1">INDIRECT("'"&amp;$C$6&amp;"'!"&amp;ADDRESS(ROW(),COLUMN()+44))</f>
        <v>0</v>
      </c>
      <c r="Z76" s="8" cm="1">
        <f t="array" aca="1" ref="Z76" ca="1">INDIRECT("'"&amp;$C$6&amp;"'!"&amp;ADDRESS(ROW(),COLUMN()+44))</f>
        <v>0</v>
      </c>
      <c r="AA76" s="8" cm="1">
        <f t="array" aca="1" ref="AA76" ca="1">INDIRECT("'"&amp;$C$6&amp;"'!"&amp;ADDRESS(ROW(),COLUMN()+44))</f>
        <v>0</v>
      </c>
      <c r="AB76" s="8" cm="1">
        <f t="array" aca="1" ref="AB76" ca="1">INDIRECT("'"&amp;$C$6&amp;"'!"&amp;ADDRESS(ROW(),COLUMN()+44))</f>
        <v>0</v>
      </c>
      <c r="AD76" s="34">
        <f t="shared" ca="1" si="157"/>
        <v>0</v>
      </c>
      <c r="AE76" s="34">
        <f t="shared" ca="1" si="158"/>
        <v>0</v>
      </c>
      <c r="AF76" s="34">
        <f t="shared" ca="1" si="159"/>
        <v>0</v>
      </c>
      <c r="AG76" s="34">
        <f t="shared" ca="1" si="160"/>
        <v>0</v>
      </c>
      <c r="AH76" s="34">
        <f t="shared" ca="1" si="161"/>
        <v>0</v>
      </c>
      <c r="AJ76" s="36">
        <f t="shared" ca="1" si="162"/>
        <v>0</v>
      </c>
      <c r="AK76" s="36">
        <f t="shared" ca="1" si="163"/>
        <v>0</v>
      </c>
      <c r="AL76" s="36">
        <f t="shared" ca="1" si="164"/>
        <v>0</v>
      </c>
      <c r="AM76" s="36">
        <f t="shared" ca="1" si="165"/>
        <v>0</v>
      </c>
      <c r="AN76" s="36">
        <f t="shared" ca="1" si="166"/>
        <v>0</v>
      </c>
    </row>
    <row r="77" spans="1:40" hidden="1" outlineLevel="1" x14ac:dyDescent="0.25">
      <c r="A77" s="11" t="s">
        <v>71</v>
      </c>
      <c r="C77" s="2"/>
      <c r="D77" s="8" cm="1">
        <f t="array" aca="1" ref="D77" ca="1">_xlfn.XLOOKUP(1,
 (INDIRECT("'"&amp;$C$6&amp;"'!$6:$6")=D$6)*
 (INDIRECT("'"&amp;$C$6&amp;"'!$5:$5")=D$5),
 INDIRECT("'"&amp;$C$6&amp;"'!"&amp;ROW()&amp;":"&amp;ROW())
)</f>
        <v>0</v>
      </c>
      <c r="E77" s="8" cm="1">
        <f t="array" aca="1" ref="E77" ca="1">_xlfn.XLOOKUP(1,
 (INDIRECT("'"&amp;$C$6&amp;"'!$6:$6")=E$6)*
 (INDIRECT("'"&amp;$C$6&amp;"'!$5:$5")=E$5),
 INDIRECT("'"&amp;$C$6&amp;"'!"&amp;ROW()&amp;":"&amp;ROW())
)</f>
        <v>0</v>
      </c>
      <c r="F77" s="8" cm="1">
        <f t="array" aca="1" ref="F77" ca="1">_xlfn.XLOOKUP(1,
 (INDIRECT("'"&amp;$C$6&amp;"'!$6:$6")=F$6)*
 (INDIRECT("'"&amp;$C$6&amp;"'!$5:$5")=F$5),
 INDIRECT("'"&amp;$C$6&amp;"'!"&amp;ROW()&amp;":"&amp;ROW())
)</f>
        <v>0</v>
      </c>
      <c r="G77" s="8" cm="1">
        <f t="array" aca="1" ref="G77" ca="1">_xlfn.XLOOKUP(1,
 (INDIRECT("'"&amp;$C$6&amp;"'!$6:$6")=G$6)*
 (INDIRECT("'"&amp;$C$6&amp;"'!$5:$5")=G$5),
 INDIRECT("'"&amp;$C$6&amp;"'!"&amp;ROW()&amp;":"&amp;ROW())
)</f>
        <v>0</v>
      </c>
      <c r="H77" s="8" cm="1">
        <f t="array" aca="1" ref="H77" ca="1">_xlfn.XLOOKUP(1,
 (INDIRECT("'"&amp;$C$6&amp;"'!$6:$6")=H$6)*
 (INDIRECT("'"&amp;$C$6&amp;"'!$5:$5")=H$5),
 INDIRECT("'"&amp;$C$6&amp;"'!"&amp;ROW()&amp;":"&amp;ROW())
)</f>
        <v>0</v>
      </c>
      <c r="I77" s="8" cm="1">
        <f t="array" aca="1" ref="I77" ca="1">_xlfn.XLOOKUP(1,
 (INDIRECT("'"&amp;$C$6&amp;"'!$6:$6")=I$6)*
 (INDIRECT("'"&amp;$C$6&amp;"'!$5:$5")=I$5),
 INDIRECT("'"&amp;$C$6&amp;"'!"&amp;ROW()&amp;":"&amp;ROW())
)</f>
        <v>0</v>
      </c>
      <c r="K77" s="34">
        <f t="shared" ca="1" si="147"/>
        <v>0</v>
      </c>
      <c r="L77" s="34">
        <f t="shared" ca="1" si="148"/>
        <v>0</v>
      </c>
      <c r="M77" s="34">
        <f t="shared" ca="1" si="149"/>
        <v>0</v>
      </c>
      <c r="N77" s="34">
        <f t="shared" ca="1" si="150"/>
        <v>0</v>
      </c>
      <c r="O77" s="34">
        <f t="shared" ca="1" si="151"/>
        <v>0</v>
      </c>
      <c r="Q77" s="36">
        <f t="shared" ca="1" si="152"/>
        <v>0</v>
      </c>
      <c r="R77" s="36">
        <f t="shared" ca="1" si="153"/>
        <v>0</v>
      </c>
      <c r="S77" s="36">
        <f t="shared" ca="1" si="154"/>
        <v>0</v>
      </c>
      <c r="T77" s="36">
        <f t="shared" ca="1" si="155"/>
        <v>0</v>
      </c>
      <c r="U77" s="36">
        <f t="shared" ca="1" si="156"/>
        <v>0</v>
      </c>
      <c r="W77" s="8" cm="1">
        <f t="array" aca="1" ref="W77" ca="1">INDIRECT("'"&amp;$C$6&amp;"'!"&amp;ADDRESS(ROW(),COLUMN()+44))</f>
        <v>0</v>
      </c>
      <c r="X77" s="8" cm="1">
        <f t="array" aca="1" ref="X77" ca="1">INDIRECT("'"&amp;$C$6&amp;"'!"&amp;ADDRESS(ROW(),COLUMN()+44))</f>
        <v>0</v>
      </c>
      <c r="Y77" s="8" cm="1">
        <f t="array" aca="1" ref="Y77" ca="1">INDIRECT("'"&amp;$C$6&amp;"'!"&amp;ADDRESS(ROW(),COLUMN()+44))</f>
        <v>0</v>
      </c>
      <c r="Z77" s="8" cm="1">
        <f t="array" aca="1" ref="Z77" ca="1">INDIRECT("'"&amp;$C$6&amp;"'!"&amp;ADDRESS(ROW(),COLUMN()+44))</f>
        <v>0</v>
      </c>
      <c r="AA77" s="8" cm="1">
        <f t="array" aca="1" ref="AA77" ca="1">INDIRECT("'"&amp;$C$6&amp;"'!"&amp;ADDRESS(ROW(),COLUMN()+44))</f>
        <v>0</v>
      </c>
      <c r="AB77" s="8" cm="1">
        <f t="array" aca="1" ref="AB77" ca="1">INDIRECT("'"&amp;$C$6&amp;"'!"&amp;ADDRESS(ROW(),COLUMN()+44))</f>
        <v>0</v>
      </c>
      <c r="AD77" s="34">
        <f t="shared" ca="1" si="157"/>
        <v>0</v>
      </c>
      <c r="AE77" s="34">
        <f t="shared" ca="1" si="158"/>
        <v>0</v>
      </c>
      <c r="AF77" s="34">
        <f t="shared" ca="1" si="159"/>
        <v>0</v>
      </c>
      <c r="AG77" s="34">
        <f t="shared" ca="1" si="160"/>
        <v>0</v>
      </c>
      <c r="AH77" s="34">
        <f t="shared" ca="1" si="161"/>
        <v>0</v>
      </c>
      <c r="AJ77" s="36">
        <f t="shared" ca="1" si="162"/>
        <v>0</v>
      </c>
      <c r="AK77" s="36">
        <f t="shared" ca="1" si="163"/>
        <v>0</v>
      </c>
      <c r="AL77" s="36">
        <f t="shared" ca="1" si="164"/>
        <v>0</v>
      </c>
      <c r="AM77" s="36">
        <f t="shared" ca="1" si="165"/>
        <v>0</v>
      </c>
      <c r="AN77" s="36">
        <f t="shared" ca="1" si="166"/>
        <v>0</v>
      </c>
    </row>
    <row r="78" spans="1:40" hidden="1" outlineLevel="1" x14ac:dyDescent="0.25">
      <c r="A78" s="11" t="s">
        <v>71</v>
      </c>
      <c r="C78" s="2"/>
      <c r="D78" s="8" cm="1">
        <f t="array" aca="1" ref="D78" ca="1">_xlfn.XLOOKUP(1,
 (INDIRECT("'"&amp;$C$6&amp;"'!$6:$6")=D$6)*
 (INDIRECT("'"&amp;$C$6&amp;"'!$5:$5")=D$5),
 INDIRECT("'"&amp;$C$6&amp;"'!"&amp;ROW()&amp;":"&amp;ROW())
)</f>
        <v>0</v>
      </c>
      <c r="E78" s="8" cm="1">
        <f t="array" aca="1" ref="E78" ca="1">_xlfn.XLOOKUP(1,
 (INDIRECT("'"&amp;$C$6&amp;"'!$6:$6")=E$6)*
 (INDIRECT("'"&amp;$C$6&amp;"'!$5:$5")=E$5),
 INDIRECT("'"&amp;$C$6&amp;"'!"&amp;ROW()&amp;":"&amp;ROW())
)</f>
        <v>0</v>
      </c>
      <c r="F78" s="8" cm="1">
        <f t="array" aca="1" ref="F78" ca="1">_xlfn.XLOOKUP(1,
 (INDIRECT("'"&amp;$C$6&amp;"'!$6:$6")=F$6)*
 (INDIRECT("'"&amp;$C$6&amp;"'!$5:$5")=F$5),
 INDIRECT("'"&amp;$C$6&amp;"'!"&amp;ROW()&amp;":"&amp;ROW())
)</f>
        <v>0</v>
      </c>
      <c r="G78" s="8" cm="1">
        <f t="array" aca="1" ref="G78" ca="1">_xlfn.XLOOKUP(1,
 (INDIRECT("'"&amp;$C$6&amp;"'!$6:$6")=G$6)*
 (INDIRECT("'"&amp;$C$6&amp;"'!$5:$5")=G$5),
 INDIRECT("'"&amp;$C$6&amp;"'!"&amp;ROW()&amp;":"&amp;ROW())
)</f>
        <v>0</v>
      </c>
      <c r="H78" s="8" cm="1">
        <f t="array" aca="1" ref="H78" ca="1">_xlfn.XLOOKUP(1,
 (INDIRECT("'"&amp;$C$6&amp;"'!$6:$6")=H$6)*
 (INDIRECT("'"&amp;$C$6&amp;"'!$5:$5")=H$5),
 INDIRECT("'"&amp;$C$6&amp;"'!"&amp;ROW()&amp;":"&amp;ROW())
)</f>
        <v>0</v>
      </c>
      <c r="I78" s="8" cm="1">
        <f t="array" aca="1" ref="I78" ca="1">_xlfn.XLOOKUP(1,
 (INDIRECT("'"&amp;$C$6&amp;"'!$6:$6")=I$6)*
 (INDIRECT("'"&amp;$C$6&amp;"'!$5:$5")=I$5),
 INDIRECT("'"&amp;$C$6&amp;"'!"&amp;ROW()&amp;":"&amp;ROW())
)</f>
        <v>0</v>
      </c>
      <c r="K78" s="34">
        <f t="shared" ca="1" si="147"/>
        <v>0</v>
      </c>
      <c r="L78" s="34">
        <f t="shared" ca="1" si="148"/>
        <v>0</v>
      </c>
      <c r="M78" s="34">
        <f t="shared" ca="1" si="149"/>
        <v>0</v>
      </c>
      <c r="N78" s="34">
        <f t="shared" ca="1" si="150"/>
        <v>0</v>
      </c>
      <c r="O78" s="34">
        <f t="shared" ca="1" si="151"/>
        <v>0</v>
      </c>
      <c r="Q78" s="36">
        <f t="shared" ca="1" si="152"/>
        <v>0</v>
      </c>
      <c r="R78" s="36">
        <f t="shared" ca="1" si="153"/>
        <v>0</v>
      </c>
      <c r="S78" s="36">
        <f t="shared" ca="1" si="154"/>
        <v>0</v>
      </c>
      <c r="T78" s="36">
        <f t="shared" ca="1" si="155"/>
        <v>0</v>
      </c>
      <c r="U78" s="36">
        <f t="shared" ca="1" si="156"/>
        <v>0</v>
      </c>
      <c r="W78" s="8" cm="1">
        <f t="array" aca="1" ref="W78" ca="1">INDIRECT("'"&amp;$C$6&amp;"'!"&amp;ADDRESS(ROW(),COLUMN()+44))</f>
        <v>0</v>
      </c>
      <c r="X78" s="8" cm="1">
        <f t="array" aca="1" ref="X78" ca="1">INDIRECT("'"&amp;$C$6&amp;"'!"&amp;ADDRESS(ROW(),COLUMN()+44))</f>
        <v>0</v>
      </c>
      <c r="Y78" s="8" cm="1">
        <f t="array" aca="1" ref="Y78" ca="1">INDIRECT("'"&amp;$C$6&amp;"'!"&amp;ADDRESS(ROW(),COLUMN()+44))</f>
        <v>0</v>
      </c>
      <c r="Z78" s="8" cm="1">
        <f t="array" aca="1" ref="Z78" ca="1">INDIRECT("'"&amp;$C$6&amp;"'!"&amp;ADDRESS(ROW(),COLUMN()+44))</f>
        <v>0</v>
      </c>
      <c r="AA78" s="8" cm="1">
        <f t="array" aca="1" ref="AA78" ca="1">INDIRECT("'"&amp;$C$6&amp;"'!"&amp;ADDRESS(ROW(),COLUMN()+44))</f>
        <v>0</v>
      </c>
      <c r="AB78" s="8" cm="1">
        <f t="array" aca="1" ref="AB78" ca="1">INDIRECT("'"&amp;$C$6&amp;"'!"&amp;ADDRESS(ROW(),COLUMN()+44))</f>
        <v>0</v>
      </c>
      <c r="AD78" s="34">
        <f t="shared" ca="1" si="157"/>
        <v>0</v>
      </c>
      <c r="AE78" s="34">
        <f t="shared" ca="1" si="158"/>
        <v>0</v>
      </c>
      <c r="AF78" s="34">
        <f t="shared" ca="1" si="159"/>
        <v>0</v>
      </c>
      <c r="AG78" s="34">
        <f t="shared" ca="1" si="160"/>
        <v>0</v>
      </c>
      <c r="AH78" s="34">
        <f t="shared" ca="1" si="161"/>
        <v>0</v>
      </c>
      <c r="AJ78" s="36">
        <f t="shared" ca="1" si="162"/>
        <v>0</v>
      </c>
      <c r="AK78" s="36">
        <f t="shared" ca="1" si="163"/>
        <v>0</v>
      </c>
      <c r="AL78" s="36">
        <f t="shared" ca="1" si="164"/>
        <v>0</v>
      </c>
      <c r="AM78" s="36">
        <f t="shared" ca="1" si="165"/>
        <v>0</v>
      </c>
      <c r="AN78" s="36">
        <f t="shared" ca="1" si="166"/>
        <v>0</v>
      </c>
    </row>
    <row r="79" spans="1:40" hidden="1" outlineLevel="1" x14ac:dyDescent="0.25">
      <c r="A79" s="11" t="s">
        <v>71</v>
      </c>
      <c r="C79" s="2"/>
      <c r="D79" s="8" cm="1">
        <f t="array" aca="1" ref="D79" ca="1">_xlfn.XLOOKUP(1,
 (INDIRECT("'"&amp;$C$6&amp;"'!$6:$6")=D$6)*
 (INDIRECT("'"&amp;$C$6&amp;"'!$5:$5")=D$5),
 INDIRECT("'"&amp;$C$6&amp;"'!"&amp;ROW()&amp;":"&amp;ROW())
)</f>
        <v>0</v>
      </c>
      <c r="E79" s="8" cm="1">
        <f t="array" aca="1" ref="E79" ca="1">_xlfn.XLOOKUP(1,
 (INDIRECT("'"&amp;$C$6&amp;"'!$6:$6")=E$6)*
 (INDIRECT("'"&amp;$C$6&amp;"'!$5:$5")=E$5),
 INDIRECT("'"&amp;$C$6&amp;"'!"&amp;ROW()&amp;":"&amp;ROW())
)</f>
        <v>0</v>
      </c>
      <c r="F79" s="8" cm="1">
        <f t="array" aca="1" ref="F79" ca="1">_xlfn.XLOOKUP(1,
 (INDIRECT("'"&amp;$C$6&amp;"'!$6:$6")=F$6)*
 (INDIRECT("'"&amp;$C$6&amp;"'!$5:$5")=F$5),
 INDIRECT("'"&amp;$C$6&amp;"'!"&amp;ROW()&amp;":"&amp;ROW())
)</f>
        <v>0</v>
      </c>
      <c r="G79" s="8" cm="1">
        <f t="array" aca="1" ref="G79" ca="1">_xlfn.XLOOKUP(1,
 (INDIRECT("'"&amp;$C$6&amp;"'!$6:$6")=G$6)*
 (INDIRECT("'"&amp;$C$6&amp;"'!$5:$5")=G$5),
 INDIRECT("'"&amp;$C$6&amp;"'!"&amp;ROW()&amp;":"&amp;ROW())
)</f>
        <v>0</v>
      </c>
      <c r="H79" s="8" cm="1">
        <f t="array" aca="1" ref="H79" ca="1">_xlfn.XLOOKUP(1,
 (INDIRECT("'"&amp;$C$6&amp;"'!$6:$6")=H$6)*
 (INDIRECT("'"&amp;$C$6&amp;"'!$5:$5")=H$5),
 INDIRECT("'"&amp;$C$6&amp;"'!"&amp;ROW()&amp;":"&amp;ROW())
)</f>
        <v>0</v>
      </c>
      <c r="I79" s="8" cm="1">
        <f t="array" aca="1" ref="I79" ca="1">_xlfn.XLOOKUP(1,
 (INDIRECT("'"&amp;$C$6&amp;"'!$6:$6")=I$6)*
 (INDIRECT("'"&amp;$C$6&amp;"'!$5:$5")=I$5),
 INDIRECT("'"&amp;$C$6&amp;"'!"&amp;ROW()&amp;":"&amp;ROW())
)</f>
        <v>0</v>
      </c>
      <c r="K79" s="34">
        <f t="shared" ca="1" si="147"/>
        <v>0</v>
      </c>
      <c r="L79" s="34">
        <f t="shared" ca="1" si="148"/>
        <v>0</v>
      </c>
      <c r="M79" s="34">
        <f t="shared" ca="1" si="149"/>
        <v>0</v>
      </c>
      <c r="N79" s="34">
        <f t="shared" ca="1" si="150"/>
        <v>0</v>
      </c>
      <c r="O79" s="34">
        <f t="shared" ca="1" si="151"/>
        <v>0</v>
      </c>
      <c r="Q79" s="36">
        <f t="shared" ca="1" si="152"/>
        <v>0</v>
      </c>
      <c r="R79" s="36">
        <f t="shared" ca="1" si="153"/>
        <v>0</v>
      </c>
      <c r="S79" s="36">
        <f t="shared" ca="1" si="154"/>
        <v>0</v>
      </c>
      <c r="T79" s="36">
        <f t="shared" ca="1" si="155"/>
        <v>0</v>
      </c>
      <c r="U79" s="36">
        <f t="shared" ca="1" si="156"/>
        <v>0</v>
      </c>
      <c r="W79" s="8" cm="1">
        <f t="array" aca="1" ref="W79" ca="1">INDIRECT("'"&amp;$C$6&amp;"'!"&amp;ADDRESS(ROW(),COLUMN()+44))</f>
        <v>0</v>
      </c>
      <c r="X79" s="8" cm="1">
        <f t="array" aca="1" ref="X79" ca="1">INDIRECT("'"&amp;$C$6&amp;"'!"&amp;ADDRESS(ROW(),COLUMN()+44))</f>
        <v>0</v>
      </c>
      <c r="Y79" s="8" cm="1">
        <f t="array" aca="1" ref="Y79" ca="1">INDIRECT("'"&amp;$C$6&amp;"'!"&amp;ADDRESS(ROW(),COLUMN()+44))</f>
        <v>0</v>
      </c>
      <c r="Z79" s="8" cm="1">
        <f t="array" aca="1" ref="Z79" ca="1">INDIRECT("'"&amp;$C$6&amp;"'!"&amp;ADDRESS(ROW(),COLUMN()+44))</f>
        <v>0</v>
      </c>
      <c r="AA79" s="8" cm="1">
        <f t="array" aca="1" ref="AA79" ca="1">INDIRECT("'"&amp;$C$6&amp;"'!"&amp;ADDRESS(ROW(),COLUMN()+44))</f>
        <v>0</v>
      </c>
      <c r="AB79" s="8" cm="1">
        <f t="array" aca="1" ref="AB79" ca="1">INDIRECT("'"&amp;$C$6&amp;"'!"&amp;ADDRESS(ROW(),COLUMN()+44))</f>
        <v>0</v>
      </c>
      <c r="AD79" s="34">
        <f t="shared" ca="1" si="157"/>
        <v>0</v>
      </c>
      <c r="AE79" s="34">
        <f t="shared" ca="1" si="158"/>
        <v>0</v>
      </c>
      <c r="AF79" s="34">
        <f t="shared" ca="1" si="159"/>
        <v>0</v>
      </c>
      <c r="AG79" s="34">
        <f t="shared" ca="1" si="160"/>
        <v>0</v>
      </c>
      <c r="AH79" s="34">
        <f t="shared" ca="1" si="161"/>
        <v>0</v>
      </c>
      <c r="AJ79" s="36">
        <f t="shared" ca="1" si="162"/>
        <v>0</v>
      </c>
      <c r="AK79" s="36">
        <f t="shared" ca="1" si="163"/>
        <v>0</v>
      </c>
      <c r="AL79" s="36">
        <f t="shared" ca="1" si="164"/>
        <v>0</v>
      </c>
      <c r="AM79" s="36">
        <f t="shared" ca="1" si="165"/>
        <v>0</v>
      </c>
      <c r="AN79" s="36">
        <f t="shared" ca="1" si="166"/>
        <v>0</v>
      </c>
    </row>
    <row r="80" spans="1:40" hidden="1" outlineLevel="1" x14ac:dyDescent="0.25">
      <c r="A80" s="11" t="s">
        <v>71</v>
      </c>
      <c r="C80" s="2"/>
      <c r="D80" s="8" cm="1">
        <f t="array" aca="1" ref="D80" ca="1">_xlfn.XLOOKUP(1,
 (INDIRECT("'"&amp;$C$6&amp;"'!$6:$6")=D$6)*
 (INDIRECT("'"&amp;$C$6&amp;"'!$5:$5")=D$5),
 INDIRECT("'"&amp;$C$6&amp;"'!"&amp;ROW()&amp;":"&amp;ROW())
)</f>
        <v>0</v>
      </c>
      <c r="E80" s="8" cm="1">
        <f t="array" aca="1" ref="E80" ca="1">_xlfn.XLOOKUP(1,
 (INDIRECT("'"&amp;$C$6&amp;"'!$6:$6")=E$6)*
 (INDIRECT("'"&amp;$C$6&amp;"'!$5:$5")=E$5),
 INDIRECT("'"&amp;$C$6&amp;"'!"&amp;ROW()&amp;":"&amp;ROW())
)</f>
        <v>0</v>
      </c>
      <c r="F80" s="8" cm="1">
        <f t="array" aca="1" ref="F80" ca="1">_xlfn.XLOOKUP(1,
 (INDIRECT("'"&amp;$C$6&amp;"'!$6:$6")=F$6)*
 (INDIRECT("'"&amp;$C$6&amp;"'!$5:$5")=F$5),
 INDIRECT("'"&amp;$C$6&amp;"'!"&amp;ROW()&amp;":"&amp;ROW())
)</f>
        <v>0</v>
      </c>
      <c r="G80" s="8" cm="1">
        <f t="array" aca="1" ref="G80" ca="1">_xlfn.XLOOKUP(1,
 (INDIRECT("'"&amp;$C$6&amp;"'!$6:$6")=G$6)*
 (INDIRECT("'"&amp;$C$6&amp;"'!$5:$5")=G$5),
 INDIRECT("'"&amp;$C$6&amp;"'!"&amp;ROW()&amp;":"&amp;ROW())
)</f>
        <v>0</v>
      </c>
      <c r="H80" s="8" cm="1">
        <f t="array" aca="1" ref="H80" ca="1">_xlfn.XLOOKUP(1,
 (INDIRECT("'"&amp;$C$6&amp;"'!$6:$6")=H$6)*
 (INDIRECT("'"&amp;$C$6&amp;"'!$5:$5")=H$5),
 INDIRECT("'"&amp;$C$6&amp;"'!"&amp;ROW()&amp;":"&amp;ROW())
)</f>
        <v>0</v>
      </c>
      <c r="I80" s="8" cm="1">
        <f t="array" aca="1" ref="I80" ca="1">_xlfn.XLOOKUP(1,
 (INDIRECT("'"&amp;$C$6&amp;"'!$6:$6")=I$6)*
 (INDIRECT("'"&amp;$C$6&amp;"'!$5:$5")=I$5),
 INDIRECT("'"&amp;$C$6&amp;"'!"&amp;ROW()&amp;":"&amp;ROW())
)</f>
        <v>0</v>
      </c>
      <c r="K80" s="34">
        <f t="shared" ca="1" si="147"/>
        <v>0</v>
      </c>
      <c r="L80" s="34">
        <f t="shared" ca="1" si="148"/>
        <v>0</v>
      </c>
      <c r="M80" s="34">
        <f t="shared" ca="1" si="149"/>
        <v>0</v>
      </c>
      <c r="N80" s="34">
        <f t="shared" ca="1" si="150"/>
        <v>0</v>
      </c>
      <c r="O80" s="34">
        <f t="shared" ca="1" si="151"/>
        <v>0</v>
      </c>
      <c r="Q80" s="36">
        <f t="shared" ca="1" si="152"/>
        <v>0</v>
      </c>
      <c r="R80" s="36">
        <f t="shared" ca="1" si="153"/>
        <v>0</v>
      </c>
      <c r="S80" s="36">
        <f t="shared" ca="1" si="154"/>
        <v>0</v>
      </c>
      <c r="T80" s="36">
        <f t="shared" ca="1" si="155"/>
        <v>0</v>
      </c>
      <c r="U80" s="36">
        <f t="shared" ca="1" si="156"/>
        <v>0</v>
      </c>
      <c r="W80" s="8" cm="1">
        <f t="array" aca="1" ref="W80" ca="1">INDIRECT("'"&amp;$C$6&amp;"'!"&amp;ADDRESS(ROW(),COLUMN()+44))</f>
        <v>0</v>
      </c>
      <c r="X80" s="8" cm="1">
        <f t="array" aca="1" ref="X80" ca="1">INDIRECT("'"&amp;$C$6&amp;"'!"&amp;ADDRESS(ROW(),COLUMN()+44))</f>
        <v>0</v>
      </c>
      <c r="Y80" s="8" cm="1">
        <f t="array" aca="1" ref="Y80" ca="1">INDIRECT("'"&amp;$C$6&amp;"'!"&amp;ADDRESS(ROW(),COLUMN()+44))</f>
        <v>0</v>
      </c>
      <c r="Z80" s="8" cm="1">
        <f t="array" aca="1" ref="Z80" ca="1">INDIRECT("'"&amp;$C$6&amp;"'!"&amp;ADDRESS(ROW(),COLUMN()+44))</f>
        <v>0</v>
      </c>
      <c r="AA80" s="8" cm="1">
        <f t="array" aca="1" ref="AA80" ca="1">INDIRECT("'"&amp;$C$6&amp;"'!"&amp;ADDRESS(ROW(),COLUMN()+44))</f>
        <v>0</v>
      </c>
      <c r="AB80" s="8" cm="1">
        <f t="array" aca="1" ref="AB80" ca="1">INDIRECT("'"&amp;$C$6&amp;"'!"&amp;ADDRESS(ROW(),COLUMN()+44))</f>
        <v>0</v>
      </c>
      <c r="AD80" s="34">
        <f t="shared" ca="1" si="157"/>
        <v>0</v>
      </c>
      <c r="AE80" s="34">
        <f t="shared" ca="1" si="158"/>
        <v>0</v>
      </c>
      <c r="AF80" s="34">
        <f t="shared" ca="1" si="159"/>
        <v>0</v>
      </c>
      <c r="AG80" s="34">
        <f t="shared" ca="1" si="160"/>
        <v>0</v>
      </c>
      <c r="AH80" s="34">
        <f t="shared" ca="1" si="161"/>
        <v>0</v>
      </c>
      <c r="AJ80" s="36">
        <f t="shared" ca="1" si="162"/>
        <v>0</v>
      </c>
      <c r="AK80" s="36">
        <f t="shared" ca="1" si="163"/>
        <v>0</v>
      </c>
      <c r="AL80" s="36">
        <f t="shared" ca="1" si="164"/>
        <v>0</v>
      </c>
      <c r="AM80" s="36">
        <f t="shared" ca="1" si="165"/>
        <v>0</v>
      </c>
      <c r="AN80" s="36">
        <f t="shared" ca="1" si="166"/>
        <v>0</v>
      </c>
    </row>
    <row r="81" spans="1:40" hidden="1" outlineLevel="1" x14ac:dyDescent="0.25">
      <c r="A81" s="11" t="s">
        <v>71</v>
      </c>
      <c r="C81" s="2"/>
      <c r="D81" s="8" cm="1">
        <f t="array" aca="1" ref="D81" ca="1">_xlfn.XLOOKUP(1,
 (INDIRECT("'"&amp;$C$6&amp;"'!$6:$6")=D$6)*
 (INDIRECT("'"&amp;$C$6&amp;"'!$5:$5")=D$5),
 INDIRECT("'"&amp;$C$6&amp;"'!"&amp;ROW()&amp;":"&amp;ROW())
)</f>
        <v>0</v>
      </c>
      <c r="E81" s="8" cm="1">
        <f t="array" aca="1" ref="E81" ca="1">_xlfn.XLOOKUP(1,
 (INDIRECT("'"&amp;$C$6&amp;"'!$6:$6")=E$6)*
 (INDIRECT("'"&amp;$C$6&amp;"'!$5:$5")=E$5),
 INDIRECT("'"&amp;$C$6&amp;"'!"&amp;ROW()&amp;":"&amp;ROW())
)</f>
        <v>0</v>
      </c>
      <c r="F81" s="8" cm="1">
        <f t="array" aca="1" ref="F81" ca="1">_xlfn.XLOOKUP(1,
 (INDIRECT("'"&amp;$C$6&amp;"'!$6:$6")=F$6)*
 (INDIRECT("'"&amp;$C$6&amp;"'!$5:$5")=F$5),
 INDIRECT("'"&amp;$C$6&amp;"'!"&amp;ROW()&amp;":"&amp;ROW())
)</f>
        <v>0</v>
      </c>
      <c r="G81" s="8" cm="1">
        <f t="array" aca="1" ref="G81" ca="1">_xlfn.XLOOKUP(1,
 (INDIRECT("'"&amp;$C$6&amp;"'!$6:$6")=G$6)*
 (INDIRECT("'"&amp;$C$6&amp;"'!$5:$5")=G$5),
 INDIRECT("'"&amp;$C$6&amp;"'!"&amp;ROW()&amp;":"&amp;ROW())
)</f>
        <v>0</v>
      </c>
      <c r="H81" s="8" cm="1">
        <f t="array" aca="1" ref="H81" ca="1">_xlfn.XLOOKUP(1,
 (INDIRECT("'"&amp;$C$6&amp;"'!$6:$6")=H$6)*
 (INDIRECT("'"&amp;$C$6&amp;"'!$5:$5")=H$5),
 INDIRECT("'"&amp;$C$6&amp;"'!"&amp;ROW()&amp;":"&amp;ROW())
)</f>
        <v>0</v>
      </c>
      <c r="I81" s="8" cm="1">
        <f t="array" aca="1" ref="I81" ca="1">_xlfn.XLOOKUP(1,
 (INDIRECT("'"&amp;$C$6&amp;"'!$6:$6")=I$6)*
 (INDIRECT("'"&amp;$C$6&amp;"'!$5:$5")=I$5),
 INDIRECT("'"&amp;$C$6&amp;"'!"&amp;ROW()&amp;":"&amp;ROW())
)</f>
        <v>0</v>
      </c>
      <c r="K81" s="34">
        <f t="shared" ca="1" si="147"/>
        <v>0</v>
      </c>
      <c r="L81" s="34">
        <f t="shared" ca="1" si="148"/>
        <v>0</v>
      </c>
      <c r="M81" s="34">
        <f t="shared" ca="1" si="149"/>
        <v>0</v>
      </c>
      <c r="N81" s="34">
        <f t="shared" ca="1" si="150"/>
        <v>0</v>
      </c>
      <c r="O81" s="34">
        <f t="shared" ca="1" si="151"/>
        <v>0</v>
      </c>
      <c r="Q81" s="36">
        <f t="shared" ca="1" si="152"/>
        <v>0</v>
      </c>
      <c r="R81" s="36">
        <f t="shared" ca="1" si="153"/>
        <v>0</v>
      </c>
      <c r="S81" s="36">
        <f t="shared" ca="1" si="154"/>
        <v>0</v>
      </c>
      <c r="T81" s="36">
        <f t="shared" ca="1" si="155"/>
        <v>0</v>
      </c>
      <c r="U81" s="36">
        <f t="shared" ca="1" si="156"/>
        <v>0</v>
      </c>
      <c r="W81" s="8" cm="1">
        <f t="array" aca="1" ref="W81" ca="1">INDIRECT("'"&amp;$C$6&amp;"'!"&amp;ADDRESS(ROW(),COLUMN()+44))</f>
        <v>0</v>
      </c>
      <c r="X81" s="8" cm="1">
        <f t="array" aca="1" ref="X81" ca="1">INDIRECT("'"&amp;$C$6&amp;"'!"&amp;ADDRESS(ROW(),COLUMN()+44))</f>
        <v>0</v>
      </c>
      <c r="Y81" s="8" cm="1">
        <f t="array" aca="1" ref="Y81" ca="1">INDIRECT("'"&amp;$C$6&amp;"'!"&amp;ADDRESS(ROW(),COLUMN()+44))</f>
        <v>0</v>
      </c>
      <c r="Z81" s="8" cm="1">
        <f t="array" aca="1" ref="Z81" ca="1">INDIRECT("'"&amp;$C$6&amp;"'!"&amp;ADDRESS(ROW(),COLUMN()+44))</f>
        <v>0</v>
      </c>
      <c r="AA81" s="8" cm="1">
        <f t="array" aca="1" ref="AA81" ca="1">INDIRECT("'"&amp;$C$6&amp;"'!"&amp;ADDRESS(ROW(),COLUMN()+44))</f>
        <v>0</v>
      </c>
      <c r="AB81" s="8" cm="1">
        <f t="array" aca="1" ref="AB81" ca="1">INDIRECT("'"&amp;$C$6&amp;"'!"&amp;ADDRESS(ROW(),COLUMN()+44))</f>
        <v>0</v>
      </c>
      <c r="AD81" s="34">
        <f t="shared" ca="1" si="157"/>
        <v>0</v>
      </c>
      <c r="AE81" s="34">
        <f t="shared" ca="1" si="158"/>
        <v>0</v>
      </c>
      <c r="AF81" s="34">
        <f t="shared" ca="1" si="159"/>
        <v>0</v>
      </c>
      <c r="AG81" s="34">
        <f t="shared" ca="1" si="160"/>
        <v>0</v>
      </c>
      <c r="AH81" s="34">
        <f t="shared" ca="1" si="161"/>
        <v>0</v>
      </c>
      <c r="AJ81" s="36">
        <f t="shared" ca="1" si="162"/>
        <v>0</v>
      </c>
      <c r="AK81" s="36">
        <f t="shared" ca="1" si="163"/>
        <v>0</v>
      </c>
      <c r="AL81" s="36">
        <f t="shared" ca="1" si="164"/>
        <v>0</v>
      </c>
      <c r="AM81" s="36">
        <f t="shared" ca="1" si="165"/>
        <v>0</v>
      </c>
      <c r="AN81" s="36">
        <f t="shared" ca="1" si="166"/>
        <v>0</v>
      </c>
    </row>
    <row r="82" spans="1:40" hidden="1" outlineLevel="1" x14ac:dyDescent="0.25">
      <c r="A82" s="11" t="s">
        <v>71</v>
      </c>
      <c r="C82" s="2"/>
      <c r="D82" s="8" cm="1">
        <f t="array" aca="1" ref="D82" ca="1">_xlfn.XLOOKUP(1,
 (INDIRECT("'"&amp;$C$6&amp;"'!$6:$6")=D$6)*
 (INDIRECT("'"&amp;$C$6&amp;"'!$5:$5")=D$5),
 INDIRECT("'"&amp;$C$6&amp;"'!"&amp;ROW()&amp;":"&amp;ROW())
)</f>
        <v>0</v>
      </c>
      <c r="E82" s="8" cm="1">
        <f t="array" aca="1" ref="E82" ca="1">_xlfn.XLOOKUP(1,
 (INDIRECT("'"&amp;$C$6&amp;"'!$6:$6")=E$6)*
 (INDIRECT("'"&amp;$C$6&amp;"'!$5:$5")=E$5),
 INDIRECT("'"&amp;$C$6&amp;"'!"&amp;ROW()&amp;":"&amp;ROW())
)</f>
        <v>0</v>
      </c>
      <c r="F82" s="8" cm="1">
        <f t="array" aca="1" ref="F82" ca="1">_xlfn.XLOOKUP(1,
 (INDIRECT("'"&amp;$C$6&amp;"'!$6:$6")=F$6)*
 (INDIRECT("'"&amp;$C$6&amp;"'!$5:$5")=F$5),
 INDIRECT("'"&amp;$C$6&amp;"'!"&amp;ROW()&amp;":"&amp;ROW())
)</f>
        <v>0</v>
      </c>
      <c r="G82" s="8" cm="1">
        <f t="array" aca="1" ref="G82" ca="1">_xlfn.XLOOKUP(1,
 (INDIRECT("'"&amp;$C$6&amp;"'!$6:$6")=G$6)*
 (INDIRECT("'"&amp;$C$6&amp;"'!$5:$5")=G$5),
 INDIRECT("'"&amp;$C$6&amp;"'!"&amp;ROW()&amp;":"&amp;ROW())
)</f>
        <v>0</v>
      </c>
      <c r="H82" s="8" cm="1">
        <f t="array" aca="1" ref="H82" ca="1">_xlfn.XLOOKUP(1,
 (INDIRECT("'"&amp;$C$6&amp;"'!$6:$6")=H$6)*
 (INDIRECT("'"&amp;$C$6&amp;"'!$5:$5")=H$5),
 INDIRECT("'"&amp;$C$6&amp;"'!"&amp;ROW()&amp;":"&amp;ROW())
)</f>
        <v>0</v>
      </c>
      <c r="I82" s="8" cm="1">
        <f t="array" aca="1" ref="I82" ca="1">_xlfn.XLOOKUP(1,
 (INDIRECT("'"&amp;$C$6&amp;"'!$6:$6")=I$6)*
 (INDIRECT("'"&amp;$C$6&amp;"'!$5:$5")=I$5),
 INDIRECT("'"&amp;$C$6&amp;"'!"&amp;ROW()&amp;":"&amp;ROW())
)</f>
        <v>0</v>
      </c>
      <c r="K82" s="34">
        <f t="shared" ca="1" si="147"/>
        <v>0</v>
      </c>
      <c r="L82" s="34">
        <f t="shared" ca="1" si="148"/>
        <v>0</v>
      </c>
      <c r="M82" s="34">
        <f t="shared" ca="1" si="149"/>
        <v>0</v>
      </c>
      <c r="N82" s="34">
        <f t="shared" ca="1" si="150"/>
        <v>0</v>
      </c>
      <c r="O82" s="34">
        <f t="shared" ca="1" si="151"/>
        <v>0</v>
      </c>
      <c r="Q82" s="36">
        <f t="shared" ca="1" si="152"/>
        <v>0</v>
      </c>
      <c r="R82" s="36">
        <f t="shared" ca="1" si="153"/>
        <v>0</v>
      </c>
      <c r="S82" s="36">
        <f t="shared" ca="1" si="154"/>
        <v>0</v>
      </c>
      <c r="T82" s="36">
        <f t="shared" ca="1" si="155"/>
        <v>0</v>
      </c>
      <c r="U82" s="36">
        <f t="shared" ca="1" si="156"/>
        <v>0</v>
      </c>
      <c r="W82" s="8" cm="1">
        <f t="array" aca="1" ref="W82" ca="1">INDIRECT("'"&amp;$C$6&amp;"'!"&amp;ADDRESS(ROW(),COLUMN()+44))</f>
        <v>0</v>
      </c>
      <c r="X82" s="8" cm="1">
        <f t="array" aca="1" ref="X82" ca="1">INDIRECT("'"&amp;$C$6&amp;"'!"&amp;ADDRESS(ROW(),COLUMN()+44))</f>
        <v>0</v>
      </c>
      <c r="Y82" s="8" cm="1">
        <f t="array" aca="1" ref="Y82" ca="1">INDIRECT("'"&amp;$C$6&amp;"'!"&amp;ADDRESS(ROW(),COLUMN()+44))</f>
        <v>0</v>
      </c>
      <c r="Z82" s="8" cm="1">
        <f t="array" aca="1" ref="Z82" ca="1">INDIRECT("'"&amp;$C$6&amp;"'!"&amp;ADDRESS(ROW(),COLUMN()+44))</f>
        <v>0</v>
      </c>
      <c r="AA82" s="8" cm="1">
        <f t="array" aca="1" ref="AA82" ca="1">INDIRECT("'"&amp;$C$6&amp;"'!"&amp;ADDRESS(ROW(),COLUMN()+44))</f>
        <v>0</v>
      </c>
      <c r="AB82" s="8" cm="1">
        <f t="array" aca="1" ref="AB82" ca="1">INDIRECT("'"&amp;$C$6&amp;"'!"&amp;ADDRESS(ROW(),COLUMN()+44))</f>
        <v>0</v>
      </c>
      <c r="AD82" s="34">
        <f t="shared" ca="1" si="157"/>
        <v>0</v>
      </c>
      <c r="AE82" s="34">
        <f t="shared" ca="1" si="158"/>
        <v>0</v>
      </c>
      <c r="AF82" s="34">
        <f t="shared" ca="1" si="159"/>
        <v>0</v>
      </c>
      <c r="AG82" s="34">
        <f t="shared" ca="1" si="160"/>
        <v>0</v>
      </c>
      <c r="AH82" s="34">
        <f t="shared" ca="1" si="161"/>
        <v>0</v>
      </c>
      <c r="AJ82" s="36">
        <f t="shared" ca="1" si="162"/>
        <v>0</v>
      </c>
      <c r="AK82" s="36">
        <f t="shared" ca="1" si="163"/>
        <v>0</v>
      </c>
      <c r="AL82" s="36">
        <f t="shared" ca="1" si="164"/>
        <v>0</v>
      </c>
      <c r="AM82" s="36">
        <f t="shared" ca="1" si="165"/>
        <v>0</v>
      </c>
      <c r="AN82" s="36">
        <f t="shared" ca="1" si="166"/>
        <v>0</v>
      </c>
    </row>
    <row r="83" spans="1:40" collapsed="1" x14ac:dyDescent="0.25">
      <c r="C83" s="3" t="s">
        <v>71</v>
      </c>
      <c r="D83" s="10">
        <f t="shared" ref="D83:I83" ca="1" si="167">SUM(D63:D82)</f>
        <v>286.88538749999992</v>
      </c>
      <c r="E83" s="10">
        <f t="shared" ca="1" si="167"/>
        <v>314.62041700586292</v>
      </c>
      <c r="F83" s="10">
        <f t="shared" ca="1" si="167"/>
        <v>272.36226234000003</v>
      </c>
      <c r="G83" s="10">
        <f t="shared" ca="1" si="167"/>
        <v>151.34738409388999</v>
      </c>
      <c r="H83" s="10">
        <f t="shared" ca="1" si="167"/>
        <v>429.41719231533995</v>
      </c>
      <c r="I83" s="10">
        <f t="shared" ca="1" si="167"/>
        <v>295.90515655406</v>
      </c>
      <c r="K83" s="35">
        <f t="shared" ca="1" si="147"/>
        <v>-27.735029505862997</v>
      </c>
      <c r="L83" s="35">
        <f t="shared" ca="1" si="148"/>
        <v>14.523125159999893</v>
      </c>
      <c r="M83" s="35">
        <f t="shared" ca="1" si="149"/>
        <v>135.53800340610994</v>
      </c>
      <c r="N83" s="35">
        <f t="shared" ca="1" si="150"/>
        <v>-142.53180481534002</v>
      </c>
      <c r="O83" s="35">
        <f t="shared" ca="1" si="151"/>
        <v>-9.0197690540600775</v>
      </c>
      <c r="Q83" s="37">
        <f t="shared" ca="1" si="152"/>
        <v>-8.8153940452460056E-2</v>
      </c>
      <c r="R83" s="37">
        <f t="shared" ca="1" si="153"/>
        <v>5.3322824664564283E-2</v>
      </c>
      <c r="S83" s="37">
        <f t="shared" ca="1" si="154"/>
        <v>0.89554242524619698</v>
      </c>
      <c r="T83" s="37">
        <f t="shared" ca="1" si="155"/>
        <v>-0.33191918573831258</v>
      </c>
      <c r="U83" s="37">
        <f t="shared" ca="1" si="156"/>
        <v>-3.0481959689716454E-2</v>
      </c>
      <c r="W83" s="10">
        <f t="shared" ref="W83:AB83" ca="1" si="168">SUM(W63:W82)</f>
        <v>916.0094345399998</v>
      </c>
      <c r="X83" s="10">
        <f t="shared" ca="1" si="168"/>
        <v>938.10379309833377</v>
      </c>
      <c r="Y83" s="10">
        <f t="shared" ca="1" si="168"/>
        <v>629.12404704000005</v>
      </c>
      <c r="Z83" s="10">
        <f t="shared" ca="1" si="168"/>
        <v>783.44837243785798</v>
      </c>
      <c r="AA83" s="10">
        <f t="shared" ca="1" si="168"/>
        <v>1245.817530078494</v>
      </c>
      <c r="AB83" s="10">
        <f t="shared" ca="1" si="168"/>
        <v>1038.757792060125</v>
      </c>
      <c r="AD83" s="35">
        <f t="shared" ca="1" si="157"/>
        <v>-22.094358558333965</v>
      </c>
      <c r="AE83" s="35">
        <f t="shared" ca="1" si="158"/>
        <v>286.88538749999975</v>
      </c>
      <c r="AF83" s="35">
        <f t="shared" ca="1" si="159"/>
        <v>132.56106210214182</v>
      </c>
      <c r="AG83" s="35">
        <f t="shared" ca="1" si="160"/>
        <v>-329.80809553849417</v>
      </c>
      <c r="AH83" s="35">
        <f t="shared" ca="1" si="161"/>
        <v>-122.74835752012518</v>
      </c>
      <c r="AJ83" s="37">
        <f t="shared" ca="1" si="162"/>
        <v>-2.3552147130075585E-2</v>
      </c>
      <c r="AK83" s="37">
        <f t="shared" ca="1" si="163"/>
        <v>0.45600766470425413</v>
      </c>
      <c r="AL83" s="37">
        <f t="shared" ca="1" si="164"/>
        <v>0.16920203904394016</v>
      </c>
      <c r="AM83" s="37">
        <f t="shared" ca="1" si="165"/>
        <v>-0.26473226421666607</v>
      </c>
      <c r="AN83" s="37">
        <f t="shared" ca="1" si="166"/>
        <v>-0.1181684108252834</v>
      </c>
    </row>
    <row r="86" spans="1:40" hidden="1" outlineLevel="1" x14ac:dyDescent="0.25">
      <c r="A86" s="11" t="s">
        <v>76</v>
      </c>
      <c r="C86" s="2" t="s">
        <v>79</v>
      </c>
      <c r="D86" s="8" cm="1">
        <f t="array" aca="1" ref="D86" ca="1">_xlfn.XLOOKUP(1,
 (INDIRECT("'"&amp;$C$6&amp;"'!$6:$6")=D$6)*
 (INDIRECT("'"&amp;$C$6&amp;"'!$5:$5")=D$5),
 INDIRECT("'"&amp;$C$6&amp;"'!"&amp;ROW()&amp;":"&amp;ROW())
)</f>
        <v>-1877.3931138141998</v>
      </c>
      <c r="E86" s="8" cm="1">
        <f t="array" aca="1" ref="E86" ca="1">_xlfn.XLOOKUP(1,
 (INDIRECT("'"&amp;$C$6&amp;"'!$6:$6")=E$6)*
 (INDIRECT("'"&amp;$C$6&amp;"'!$5:$5")=E$5),
 INDIRECT("'"&amp;$C$6&amp;"'!"&amp;ROW()&amp;":"&amp;ROW())
)</f>
        <v>-1679.1421071730999</v>
      </c>
      <c r="F86" s="8" cm="1">
        <f t="array" aca="1" ref="F86" ca="1">_xlfn.XLOOKUP(1,
 (INDIRECT("'"&amp;$C$6&amp;"'!$6:$6")=F$6)*
 (INDIRECT("'"&amp;$C$6&amp;"'!$5:$5")=F$5),
 INDIRECT("'"&amp;$C$6&amp;"'!"&amp;ROW()&amp;":"&amp;ROW())
)</f>
        <v>-1700.9688967539</v>
      </c>
      <c r="G86" s="8" cm="1">
        <f t="array" aca="1" ref="G86" ca="1">_xlfn.XLOOKUP(1,
 (INDIRECT("'"&amp;$C$6&amp;"'!$6:$6")=G$6)*
 (INDIRECT("'"&amp;$C$6&amp;"'!$5:$5")=G$5),
 INDIRECT("'"&amp;$C$6&amp;"'!"&amp;ROW()&amp;":"&amp;ROW())
)</f>
        <v>-1551.1616114467001</v>
      </c>
      <c r="H86" s="8" cm="1">
        <f t="array" aca="1" ref="H86" ca="1">_xlfn.XLOOKUP(1,
 (INDIRECT("'"&amp;$C$6&amp;"'!$6:$6")=H$6)*
 (INDIRECT("'"&amp;$C$6&amp;"'!$5:$5")=H$5),
 INDIRECT("'"&amp;$C$6&amp;"'!"&amp;ROW()&amp;":"&amp;ROW())
)</f>
        <v>-1318.8706763528</v>
      </c>
      <c r="I86" s="8" cm="1">
        <f t="array" aca="1" ref="I86" ca="1">_xlfn.XLOOKUP(1,
 (INDIRECT("'"&amp;$C$6&amp;"'!$6:$6")=I$6)*
 (INDIRECT("'"&amp;$C$6&amp;"'!$5:$5")=I$5),
 INDIRECT("'"&amp;$C$6&amp;"'!"&amp;ROW()&amp;":"&amp;ROW())
)</f>
        <v>-1604.1167516743003</v>
      </c>
      <c r="K86" s="34">
        <f t="shared" ref="K86:K89" ca="1" si="169">$D86-E86</f>
        <v>-198.25100664109982</v>
      </c>
      <c r="L86" s="34">
        <f t="shared" ref="L86:L89" ca="1" si="170">$D86-F86</f>
        <v>-176.42421706029972</v>
      </c>
      <c r="M86" s="34">
        <f t="shared" ref="M86:M89" ca="1" si="171">$D86-G86</f>
        <v>-326.23150236749962</v>
      </c>
      <c r="N86" s="34">
        <f t="shared" ref="N86:N89" ca="1" si="172">$D86-H86</f>
        <v>-558.5224374613997</v>
      </c>
      <c r="O86" s="34">
        <f t="shared" ref="O86:O89" ca="1" si="173">$D86-I86</f>
        <v>-273.27636213989945</v>
      </c>
      <c r="Q86" s="36">
        <f t="shared" ref="Q86:Q89" ca="1" si="174">IFERROR($D86/E86-1,0)</f>
        <v>0.11806684246329979</v>
      </c>
      <c r="R86" s="36">
        <f t="shared" ref="R86:R89" ca="1" si="175">IFERROR($D86/F86-1,0)</f>
        <v>0.10371983720395161</v>
      </c>
      <c r="S86" s="36">
        <f t="shared" ref="S86:S89" ca="1" si="176">IFERROR($D86/G86-1,0)</f>
        <v>0.21031432183474275</v>
      </c>
      <c r="T86" s="36">
        <f t="shared" ref="T86:T89" ca="1" si="177">IFERROR($D86/H86-1,0)</f>
        <v>0.42348537083706761</v>
      </c>
      <c r="U86" s="36">
        <f t="shared" ref="U86:U89" ca="1" si="178">IFERROR($D86/I86-1,0)</f>
        <v>0.17035939675504697</v>
      </c>
      <c r="W86" s="8" cm="1">
        <f t="array" aca="1" ref="W86" ca="1">INDIRECT("'"&amp;$C$6&amp;"'!"&amp;ADDRESS(ROW(),COLUMN()+44))</f>
        <v>-5158.2413143519998</v>
      </c>
      <c r="X86" s="8" cm="1">
        <f t="array" aca="1" ref="X86" ca="1">INDIRECT("'"&amp;$C$6&amp;"'!"&amp;ADDRESS(ROW(),COLUMN()+44))</f>
        <v>-4987.0605797009002</v>
      </c>
      <c r="Y86" s="8" cm="1">
        <f t="array" aca="1" ref="Y86" ca="1">INDIRECT("'"&amp;$C$6&amp;"'!"&amp;ADDRESS(ROW(),COLUMN()+44))</f>
        <v>-3280.8482005378</v>
      </c>
      <c r="Z86" s="8" cm="1">
        <f t="array" aca="1" ref="Z86" ca="1">INDIRECT("'"&amp;$C$6&amp;"'!"&amp;ADDRESS(ROW(),COLUMN()+44))</f>
        <v>-4076.5968297078002</v>
      </c>
      <c r="AA86" s="8" cm="1">
        <f t="array" aca="1" ref="AA86" ca="1">INDIRECT("'"&amp;$C$6&amp;"'!"&amp;ADDRESS(ROW(),COLUMN()+44))</f>
        <v>-4103.9796030089001</v>
      </c>
      <c r="AB86" s="8" cm="1">
        <f t="array" aca="1" ref="AB86" ca="1">INDIRECT("'"&amp;$C$6&amp;"'!"&amp;ADDRESS(ROW(),COLUMN()+44))</f>
        <v>-4747.7988493336998</v>
      </c>
      <c r="AD86" s="34">
        <f t="shared" ref="AD86:AH89" ca="1" si="179">$W86-X86</f>
        <v>-171.18073465109956</v>
      </c>
      <c r="AE86" s="34">
        <f t="shared" ca="1" si="179"/>
        <v>-1877.3931138141998</v>
      </c>
      <c r="AF86" s="34">
        <f t="shared" ca="1" si="179"/>
        <v>-1081.6444846441996</v>
      </c>
      <c r="AG86" s="34">
        <f t="shared" ca="1" si="179"/>
        <v>-1054.2617113430997</v>
      </c>
      <c r="AH86" s="34">
        <f t="shared" ca="1" si="179"/>
        <v>-410.44246501830003</v>
      </c>
      <c r="AJ86" s="36">
        <f t="shared" ref="AJ86:AN89" ca="1" si="180">IFERROR($W86/X86-1,0)</f>
        <v>3.4324975988434092E-2</v>
      </c>
      <c r="AK86" s="36">
        <f t="shared" ca="1" si="180"/>
        <v>0.57222797248176716</v>
      </c>
      <c r="AL86" s="36">
        <f t="shared" ca="1" si="180"/>
        <v>0.26533025703248869</v>
      </c>
      <c r="AM86" s="36">
        <f t="shared" ca="1" si="180"/>
        <v>0.25688765864483099</v>
      </c>
      <c r="AN86" s="36">
        <f t="shared" ca="1" si="180"/>
        <v>8.6449000482802907E-2</v>
      </c>
    </row>
    <row r="87" spans="1:40" hidden="1" outlineLevel="1" x14ac:dyDescent="0.25">
      <c r="A87" s="11" t="s">
        <v>76</v>
      </c>
      <c r="C87" s="2" t="s">
        <v>78</v>
      </c>
      <c r="D87" s="8" cm="1">
        <f t="array" aca="1" ref="D87" ca="1">_xlfn.XLOOKUP(1,
 (INDIRECT("'"&amp;$C$6&amp;"'!$6:$6")=D$6)*
 (INDIRECT("'"&amp;$C$6&amp;"'!$5:$5")=D$5),
 INDIRECT("'"&amp;$C$6&amp;"'!"&amp;ROW()&amp;":"&amp;ROW())
)</f>
        <v>-1140.0579918296</v>
      </c>
      <c r="E87" s="8" cm="1">
        <f t="array" aca="1" ref="E87" ca="1">_xlfn.XLOOKUP(1,
 (INDIRECT("'"&amp;$C$6&amp;"'!$6:$6")=E$6)*
 (INDIRECT("'"&amp;$C$6&amp;"'!$5:$5")=E$5),
 INDIRECT("'"&amp;$C$6&amp;"'!"&amp;ROW()&amp;":"&amp;ROW())
)</f>
        <v>-1098.7537074939999</v>
      </c>
      <c r="F87" s="8" cm="1">
        <f t="array" aca="1" ref="F87" ca="1">_xlfn.XLOOKUP(1,
 (INDIRECT("'"&amp;$C$6&amp;"'!$6:$6")=F$6)*
 (INDIRECT("'"&amp;$C$6&amp;"'!$5:$5")=F$5),
 INDIRECT("'"&amp;$C$6&amp;"'!"&amp;ROW()&amp;":"&amp;ROW())
)</f>
        <v>-1131.4858148684002</v>
      </c>
      <c r="G87" s="8" cm="1">
        <f t="array" aca="1" ref="G87" ca="1">_xlfn.XLOOKUP(1,
 (INDIRECT("'"&amp;$C$6&amp;"'!$6:$6")=G$6)*
 (INDIRECT("'"&amp;$C$6&amp;"'!$5:$5")=G$5),
 INDIRECT("'"&amp;$C$6&amp;"'!"&amp;ROW()&amp;":"&amp;ROW())
)</f>
        <v>-1011.9328746947001</v>
      </c>
      <c r="H87" s="8" cm="1">
        <f t="array" aca="1" ref="H87" ca="1">_xlfn.XLOOKUP(1,
 (INDIRECT("'"&amp;$C$6&amp;"'!$6:$6")=H$6)*
 (INDIRECT("'"&amp;$C$6&amp;"'!$5:$5")=H$5),
 INDIRECT("'"&amp;$C$6&amp;"'!"&amp;ROW()&amp;":"&amp;ROW())
)</f>
        <v>-1017.2740078141999</v>
      </c>
      <c r="I87" s="8" cm="1">
        <f t="array" aca="1" ref="I87" ca="1">_xlfn.XLOOKUP(1,
 (INDIRECT("'"&amp;$C$6&amp;"'!$6:$6")=I$6)*
 (INDIRECT("'"&amp;$C$6&amp;"'!$5:$5")=I$5),
 INDIRECT("'"&amp;$C$6&amp;"'!"&amp;ROW()&amp;":"&amp;ROW())
)</f>
        <v>-1206.6795354897001</v>
      </c>
      <c r="K87" s="34">
        <f t="shared" ca="1" si="169"/>
        <v>-41.304284335600187</v>
      </c>
      <c r="L87" s="34">
        <f t="shared" ca="1" si="170"/>
        <v>-8.5721769611998297</v>
      </c>
      <c r="M87" s="34">
        <f t="shared" ca="1" si="171"/>
        <v>-128.12511713489994</v>
      </c>
      <c r="N87" s="34">
        <f t="shared" ca="1" si="172"/>
        <v>-122.78398401540016</v>
      </c>
      <c r="O87" s="34">
        <f t="shared" ca="1" si="173"/>
        <v>66.621543660100087</v>
      </c>
      <c r="Q87" s="36">
        <f t="shared" ca="1" si="174"/>
        <v>3.7591940808832991E-2</v>
      </c>
      <c r="R87" s="36">
        <f t="shared" ca="1" si="175"/>
        <v>7.5760357297955938E-3</v>
      </c>
      <c r="S87" s="36">
        <f t="shared" ca="1" si="176"/>
        <v>0.12661424521221853</v>
      </c>
      <c r="T87" s="36">
        <f t="shared" ca="1" si="177"/>
        <v>0.12069902806149946</v>
      </c>
      <c r="U87" s="36">
        <f t="shared" ca="1" si="178"/>
        <v>-5.5210635218955195E-2</v>
      </c>
      <c r="W87" s="8" cm="1">
        <f t="array" aca="1" ref="W87" ca="1">INDIRECT("'"&amp;$C$6&amp;"'!"&amp;ADDRESS(ROW(),COLUMN()+44))</f>
        <v>-3244.5213215725998</v>
      </c>
      <c r="X87" s="8" cm="1">
        <f t="array" aca="1" ref="X87" ca="1">INDIRECT("'"&amp;$C$6&amp;"'!"&amp;ADDRESS(ROW(),COLUMN()+44))</f>
        <v>-3193.5368795131999</v>
      </c>
      <c r="Y87" s="8" cm="1">
        <f t="array" aca="1" ref="Y87" ca="1">INDIRECT("'"&amp;$C$6&amp;"'!"&amp;ADDRESS(ROW(),COLUMN()+44))</f>
        <v>-2104.463329743</v>
      </c>
      <c r="Z87" s="8" cm="1">
        <f t="array" aca="1" ref="Z87" ca="1">INDIRECT("'"&amp;$C$6&amp;"'!"&amp;ADDRESS(ROW(),COLUMN()+44))</f>
        <v>-2977.0086658874006</v>
      </c>
      <c r="AA87" s="8" cm="1">
        <f t="array" aca="1" ref="AA87" ca="1">INDIRECT("'"&amp;$C$6&amp;"'!"&amp;ADDRESS(ROW(),COLUMN()+44))</f>
        <v>-3097.5991130261</v>
      </c>
      <c r="AB87" s="8" cm="1">
        <f t="array" aca="1" ref="AB87" ca="1">INDIRECT("'"&amp;$C$6&amp;"'!"&amp;ADDRESS(ROW(),COLUMN()+44))</f>
        <v>-3268.6198077858999</v>
      </c>
      <c r="AD87" s="34">
        <f t="shared" ca="1" si="179"/>
        <v>-50.984442059399953</v>
      </c>
      <c r="AE87" s="34">
        <f t="shared" ca="1" si="179"/>
        <v>-1140.0579918295998</v>
      </c>
      <c r="AF87" s="34">
        <f t="shared" ca="1" si="179"/>
        <v>-267.51265568519921</v>
      </c>
      <c r="AG87" s="34">
        <f t="shared" ca="1" si="179"/>
        <v>-146.92220854649986</v>
      </c>
      <c r="AH87" s="34">
        <f t="shared" ca="1" si="179"/>
        <v>24.098486213300021</v>
      </c>
      <c r="AJ87" s="36">
        <f t="shared" ca="1" si="180"/>
        <v>1.5964882818942705E-2</v>
      </c>
      <c r="AK87" s="36">
        <f t="shared" ca="1" si="180"/>
        <v>0.54173336057550836</v>
      </c>
      <c r="AL87" s="36">
        <f t="shared" ca="1" si="180"/>
        <v>8.9859548865457439E-2</v>
      </c>
      <c r="AM87" s="36">
        <f t="shared" ca="1" si="180"/>
        <v>4.7430995162885736E-2</v>
      </c>
      <c r="AN87" s="36">
        <f t="shared" ca="1" si="180"/>
        <v>-7.3726794887239988E-3</v>
      </c>
    </row>
    <row r="88" spans="1:40" hidden="1" outlineLevel="1" x14ac:dyDescent="0.25">
      <c r="A88" s="11" t="s">
        <v>76</v>
      </c>
      <c r="C88" s="2" t="s">
        <v>80</v>
      </c>
      <c r="D88" s="8" cm="1">
        <f t="array" aca="1" ref="D88" ca="1">_xlfn.XLOOKUP(1,
 (INDIRECT("'"&amp;$C$6&amp;"'!$6:$6")=D$6)*
 (INDIRECT("'"&amp;$C$6&amp;"'!$5:$5")=D$5),
 INDIRECT("'"&amp;$C$6&amp;"'!"&amp;ROW()&amp;":"&amp;ROW())
)</f>
        <v>-2551.3516253045</v>
      </c>
      <c r="E88" s="8" cm="1">
        <f t="array" aca="1" ref="E88" ca="1">_xlfn.XLOOKUP(1,
 (INDIRECT("'"&amp;$C$6&amp;"'!$6:$6")=E$6)*
 (INDIRECT("'"&amp;$C$6&amp;"'!$5:$5")=E$5),
 INDIRECT("'"&amp;$C$6&amp;"'!"&amp;ROW()&amp;":"&amp;ROW())
)</f>
        <v>-2537.0327490956997</v>
      </c>
      <c r="F88" s="8" cm="1">
        <f t="array" aca="1" ref="F88" ca="1">_xlfn.XLOOKUP(1,
 (INDIRECT("'"&amp;$C$6&amp;"'!$6:$6")=F$6)*
 (INDIRECT("'"&amp;$C$6&amp;"'!$5:$5")=F$5),
 INDIRECT("'"&amp;$C$6&amp;"'!"&amp;ROW()&amp;":"&amp;ROW())
)</f>
        <v>-2465.9749832319999</v>
      </c>
      <c r="G88" s="8" cm="1">
        <f t="array" aca="1" ref="G88" ca="1">_xlfn.XLOOKUP(1,
 (INDIRECT("'"&amp;$C$6&amp;"'!$6:$6")=G$6)*
 (INDIRECT("'"&amp;$C$6&amp;"'!$5:$5")=G$5),
 INDIRECT("'"&amp;$C$6&amp;"'!"&amp;ROW()&amp;":"&amp;ROW())
)</f>
        <v>-2089.8883320753002</v>
      </c>
      <c r="H88" s="8" cm="1">
        <f t="array" aca="1" ref="H88" ca="1">_xlfn.XLOOKUP(1,
 (INDIRECT("'"&amp;$C$6&amp;"'!$6:$6")=H$6)*
 (INDIRECT("'"&amp;$C$6&amp;"'!$5:$5")=H$5),
 INDIRECT("'"&amp;$C$6&amp;"'!"&amp;ROW()&amp;":"&amp;ROW())
)</f>
        <v>-1849.5380798900001</v>
      </c>
      <c r="I88" s="8" cm="1">
        <f t="array" aca="1" ref="I88" ca="1">_xlfn.XLOOKUP(1,
 (INDIRECT("'"&amp;$C$6&amp;"'!$6:$6")=I$6)*
 (INDIRECT("'"&amp;$C$6&amp;"'!$5:$5")=I$5),
 INDIRECT("'"&amp;$C$6&amp;"'!"&amp;ROW()&amp;":"&amp;ROW())
)</f>
        <v>-1952.7376119901</v>
      </c>
      <c r="K88" s="34">
        <f t="shared" ca="1" si="169"/>
        <v>-14.318876208800248</v>
      </c>
      <c r="L88" s="34">
        <f t="shared" ca="1" si="170"/>
        <v>-85.37664207250009</v>
      </c>
      <c r="M88" s="34">
        <f t="shared" ca="1" si="171"/>
        <v>-461.46329322919973</v>
      </c>
      <c r="N88" s="34">
        <f t="shared" ca="1" si="172"/>
        <v>-701.81354541449991</v>
      </c>
      <c r="O88" s="34">
        <f t="shared" ca="1" si="173"/>
        <v>-598.61401331439993</v>
      </c>
      <c r="Q88" s="36">
        <f t="shared" ca="1" si="174"/>
        <v>5.6439461468931196E-3</v>
      </c>
      <c r="R88" s="36">
        <f t="shared" ca="1" si="175"/>
        <v>3.4621860583760711E-2</v>
      </c>
      <c r="S88" s="36">
        <f t="shared" ca="1" si="176"/>
        <v>0.2208076317508112</v>
      </c>
      <c r="T88" s="36">
        <f t="shared" ca="1" si="177"/>
        <v>0.37945341761021734</v>
      </c>
      <c r="U88" s="36">
        <f t="shared" ca="1" si="178"/>
        <v>0.30655117699317125</v>
      </c>
      <c r="W88" s="8" cm="1">
        <f t="array" aca="1" ref="W88" ca="1">INDIRECT("'"&amp;$C$6&amp;"'!"&amp;ADDRESS(ROW(),COLUMN()+44))</f>
        <v>-7675.7591731229004</v>
      </c>
      <c r="X88" s="8" cm="1">
        <f t="array" aca="1" ref="X88" ca="1">INDIRECT("'"&amp;$C$6&amp;"'!"&amp;ADDRESS(ROW(),COLUMN()+44))</f>
        <v>-7517.1328392439</v>
      </c>
      <c r="Y88" s="8" cm="1">
        <f t="array" aca="1" ref="Y88" ca="1">INDIRECT("'"&amp;$C$6&amp;"'!"&amp;ADDRESS(ROW(),COLUMN()+44))</f>
        <v>-5124.4075478184004</v>
      </c>
      <c r="Z88" s="8" cm="1">
        <f t="array" aca="1" ref="Z88" ca="1">INDIRECT("'"&amp;$C$6&amp;"'!"&amp;ADDRESS(ROW(),COLUMN()+44))</f>
        <v>-6341.9348409363001</v>
      </c>
      <c r="AA88" s="8" cm="1">
        <f t="array" aca="1" ref="AA88" ca="1">INDIRECT("'"&amp;$C$6&amp;"'!"&amp;ADDRESS(ROW(),COLUMN()+44))</f>
        <v>-5673.7320985872993</v>
      </c>
      <c r="AB88" s="8" cm="1">
        <f t="array" aca="1" ref="AB88" ca="1">INDIRECT("'"&amp;$C$6&amp;"'!"&amp;ADDRESS(ROW(),COLUMN()+44))</f>
        <v>-5972.3105300538</v>
      </c>
      <c r="AD88" s="34">
        <f t="shared" ca="1" si="179"/>
        <v>-158.62633387900041</v>
      </c>
      <c r="AE88" s="34">
        <f t="shared" ca="1" si="179"/>
        <v>-2551.3516253045</v>
      </c>
      <c r="AF88" s="34">
        <f t="shared" ca="1" si="179"/>
        <v>-1333.8243321866003</v>
      </c>
      <c r="AG88" s="34">
        <f t="shared" ca="1" si="179"/>
        <v>-2002.0270745356011</v>
      </c>
      <c r="AH88" s="34">
        <f t="shared" ca="1" si="179"/>
        <v>-1703.4486430691004</v>
      </c>
      <c r="AJ88" s="36">
        <f t="shared" ca="1" si="180"/>
        <v>2.1101972955815951E-2</v>
      </c>
      <c r="AK88" s="36">
        <f t="shared" ca="1" si="180"/>
        <v>0.4978822627780024</v>
      </c>
      <c r="AL88" s="36">
        <f t="shared" ca="1" si="180"/>
        <v>0.21031820188011885</v>
      </c>
      <c r="AM88" s="36">
        <f t="shared" ca="1" si="180"/>
        <v>0.3528589365426833</v>
      </c>
      <c r="AN88" s="36">
        <f t="shared" ca="1" si="180"/>
        <v>0.28522439255243404</v>
      </c>
    </row>
    <row r="89" spans="1:40" collapsed="1" x14ac:dyDescent="0.25">
      <c r="C89" s="3" t="s">
        <v>76</v>
      </c>
      <c r="D89" s="10">
        <f ca="1">SUM(D86:D88)</f>
        <v>-5568.8027309482995</v>
      </c>
      <c r="E89" s="10">
        <f t="shared" ref="E89:I89" ca="1" si="181">SUM(E86:E88)</f>
        <v>-5314.9285637628</v>
      </c>
      <c r="F89" s="10">
        <f t="shared" ca="1" si="181"/>
        <v>-5298.4296948542997</v>
      </c>
      <c r="G89" s="10">
        <f t="shared" ca="1" si="181"/>
        <v>-4652.9828182167003</v>
      </c>
      <c r="H89" s="10">
        <f t="shared" ca="1" si="181"/>
        <v>-4185.682764057</v>
      </c>
      <c r="I89" s="10">
        <f t="shared" ca="1" si="181"/>
        <v>-4763.5338991541003</v>
      </c>
      <c r="K89" s="35">
        <f t="shared" ca="1" si="169"/>
        <v>-253.87416718549957</v>
      </c>
      <c r="L89" s="35">
        <f t="shared" ca="1" si="170"/>
        <v>-270.37303609399987</v>
      </c>
      <c r="M89" s="35">
        <f t="shared" ca="1" si="171"/>
        <v>-915.81991273159929</v>
      </c>
      <c r="N89" s="35">
        <f t="shared" ca="1" si="172"/>
        <v>-1383.1199668912996</v>
      </c>
      <c r="O89" s="35">
        <f t="shared" ca="1" si="173"/>
        <v>-805.26883179419929</v>
      </c>
      <c r="Q89" s="37">
        <f t="shared" ca="1" si="174"/>
        <v>4.7766242601342546E-2</v>
      </c>
      <c r="R89" s="37">
        <f t="shared" ca="1" si="175"/>
        <v>5.102889944101352E-2</v>
      </c>
      <c r="S89" s="37">
        <f t="shared" ca="1" si="176"/>
        <v>0.19682426273875553</v>
      </c>
      <c r="T89" s="37">
        <f t="shared" ca="1" si="177"/>
        <v>0.33044070581944962</v>
      </c>
      <c r="U89" s="37">
        <f t="shared" ca="1" si="178"/>
        <v>0.16904861996199871</v>
      </c>
      <c r="W89" s="10">
        <f ca="1">SUM(W86:W88)</f>
        <v>-16078.521809047499</v>
      </c>
      <c r="X89" s="10">
        <f t="shared" ref="X89:AB89" ca="1" si="182">SUM(X86:X88)</f>
        <v>-15697.730298458</v>
      </c>
      <c r="Y89" s="10">
        <f t="shared" ca="1" si="182"/>
        <v>-10509.7190780992</v>
      </c>
      <c r="Z89" s="10">
        <f t="shared" ca="1" si="182"/>
        <v>-13395.5403365315</v>
      </c>
      <c r="AA89" s="10">
        <f t="shared" ca="1" si="182"/>
        <v>-12875.310814622298</v>
      </c>
      <c r="AB89" s="10">
        <f t="shared" ca="1" si="182"/>
        <v>-13988.7291871734</v>
      </c>
      <c r="AD89" s="35">
        <f t="shared" ca="1" si="179"/>
        <v>-380.79151058949901</v>
      </c>
      <c r="AE89" s="35">
        <f t="shared" ca="1" si="179"/>
        <v>-5568.8027309482986</v>
      </c>
      <c r="AF89" s="35">
        <f t="shared" ca="1" si="179"/>
        <v>-2682.9814725159995</v>
      </c>
      <c r="AG89" s="35">
        <f t="shared" ca="1" si="179"/>
        <v>-3203.2109944252006</v>
      </c>
      <c r="AH89" s="35">
        <f t="shared" ca="1" si="179"/>
        <v>-2089.7926218740995</v>
      </c>
      <c r="AJ89" s="37">
        <f t="shared" ca="1" si="180"/>
        <v>2.4257743211890004E-2</v>
      </c>
      <c r="AK89" s="37">
        <f t="shared" ca="1" si="180"/>
        <v>0.52987170157125441</v>
      </c>
      <c r="AL89" s="37">
        <f t="shared" ca="1" si="180"/>
        <v>0.20028915632459676</v>
      </c>
      <c r="AM89" s="37">
        <f t="shared" ca="1" si="180"/>
        <v>0.24878708099126912</v>
      </c>
      <c r="AN89" s="37">
        <f t="shared" ca="1" si="180"/>
        <v>0.14939117012789693</v>
      </c>
    </row>
    <row r="91" spans="1:40" hidden="1" outlineLevel="1" x14ac:dyDescent="0.25">
      <c r="A91" s="11" t="s">
        <v>81</v>
      </c>
      <c r="C91" s="2" t="s">
        <v>85</v>
      </c>
      <c r="D91" s="8" cm="1">
        <f t="array" aca="1" ref="D91" ca="1">_xlfn.XLOOKUP(1,
 (INDIRECT("'"&amp;$C$6&amp;"'!$6:$6")=D$6)*
 (INDIRECT("'"&amp;$C$6&amp;"'!$5:$5")=D$5),
 INDIRECT("'"&amp;$C$6&amp;"'!"&amp;ROW()&amp;":"&amp;ROW())
)</f>
        <v>0</v>
      </c>
      <c r="E91" s="8" cm="1">
        <f t="array" aca="1" ref="E91" ca="1">_xlfn.XLOOKUP(1,
 (INDIRECT("'"&amp;$C$6&amp;"'!$6:$6")=E$6)*
 (INDIRECT("'"&amp;$C$6&amp;"'!$5:$5")=E$5),
 INDIRECT("'"&amp;$C$6&amp;"'!"&amp;ROW()&amp;":"&amp;ROW())
)</f>
        <v>0</v>
      </c>
      <c r="F91" s="8" cm="1">
        <f t="array" aca="1" ref="F91" ca="1">_xlfn.XLOOKUP(1,
 (INDIRECT("'"&amp;$C$6&amp;"'!$6:$6")=F$6)*
 (INDIRECT("'"&amp;$C$6&amp;"'!$5:$5")=F$5),
 INDIRECT("'"&amp;$C$6&amp;"'!"&amp;ROW()&amp;":"&amp;ROW())
)</f>
        <v>0</v>
      </c>
      <c r="G91" s="8" cm="1">
        <f t="array" aca="1" ref="G91" ca="1">_xlfn.XLOOKUP(1,
 (INDIRECT("'"&amp;$C$6&amp;"'!$6:$6")=G$6)*
 (INDIRECT("'"&amp;$C$6&amp;"'!$5:$5")=G$5),
 INDIRECT("'"&amp;$C$6&amp;"'!"&amp;ROW()&amp;":"&amp;ROW())
)</f>
        <v>0</v>
      </c>
      <c r="H91" s="8" cm="1">
        <f t="array" aca="1" ref="H91" ca="1">_xlfn.XLOOKUP(1,
 (INDIRECT("'"&amp;$C$6&amp;"'!$6:$6")=H$6)*
 (INDIRECT("'"&amp;$C$6&amp;"'!$5:$5")=H$5),
 INDIRECT("'"&amp;$C$6&amp;"'!"&amp;ROW()&amp;":"&amp;ROW())
)</f>
        <v>0</v>
      </c>
      <c r="I91" s="8" cm="1">
        <f t="array" aca="1" ref="I91" ca="1">_xlfn.XLOOKUP(1,
 (INDIRECT("'"&amp;$C$6&amp;"'!$6:$6")=I$6)*
 (INDIRECT("'"&amp;$C$6&amp;"'!$5:$5")=I$5),
 INDIRECT("'"&amp;$C$6&amp;"'!"&amp;ROW()&amp;":"&amp;ROW())
)</f>
        <v>0</v>
      </c>
      <c r="K91" s="34">
        <f t="shared" ref="K91:K93" ca="1" si="183">$D91-E91</f>
        <v>0</v>
      </c>
      <c r="L91" s="34">
        <f t="shared" ref="L91:L93" ca="1" si="184">$D91-F91</f>
        <v>0</v>
      </c>
      <c r="M91" s="34">
        <f t="shared" ref="M91:M93" ca="1" si="185">$D91-G91</f>
        <v>0</v>
      </c>
      <c r="N91" s="34">
        <f t="shared" ref="N91:N93" ca="1" si="186">$D91-H91</f>
        <v>0</v>
      </c>
      <c r="O91" s="34">
        <f t="shared" ref="O91:O93" ca="1" si="187">$D91-I91</f>
        <v>0</v>
      </c>
      <c r="Q91" s="36">
        <f t="shared" ref="Q91:Q93" ca="1" si="188">IFERROR($D91/E91-1,0)</f>
        <v>0</v>
      </c>
      <c r="R91" s="36">
        <f t="shared" ref="R91:R93" ca="1" si="189">IFERROR($D91/F91-1,0)</f>
        <v>0</v>
      </c>
      <c r="S91" s="36">
        <f t="shared" ref="S91:S93" ca="1" si="190">IFERROR($D91/G91-1,0)</f>
        <v>0</v>
      </c>
      <c r="T91" s="36">
        <f t="shared" ref="T91:T93" ca="1" si="191">IFERROR($D91/H91-1,0)</f>
        <v>0</v>
      </c>
      <c r="U91" s="36">
        <f t="shared" ref="U91:U93" ca="1" si="192">IFERROR($D91/I91-1,0)</f>
        <v>0</v>
      </c>
      <c r="W91" s="8" cm="1">
        <f t="array" aca="1" ref="W91" ca="1">INDIRECT("'"&amp;$C$6&amp;"'!"&amp;ADDRESS(ROW(),COLUMN()+44))</f>
        <v>0</v>
      </c>
      <c r="X91" s="8" cm="1">
        <f t="array" aca="1" ref="X91" ca="1">INDIRECT("'"&amp;$C$6&amp;"'!"&amp;ADDRESS(ROW(),COLUMN()+44))</f>
        <v>0</v>
      </c>
      <c r="Y91" s="8" cm="1">
        <f t="array" aca="1" ref="Y91" ca="1">INDIRECT("'"&amp;$C$6&amp;"'!"&amp;ADDRESS(ROW(),COLUMN()+44))</f>
        <v>0</v>
      </c>
      <c r="Z91" s="8" cm="1">
        <f t="array" aca="1" ref="Z91" ca="1">INDIRECT("'"&amp;$C$6&amp;"'!"&amp;ADDRESS(ROW(),COLUMN()+44))</f>
        <v>0</v>
      </c>
      <c r="AA91" s="8" cm="1">
        <f t="array" aca="1" ref="AA91" ca="1">INDIRECT("'"&amp;$C$6&amp;"'!"&amp;ADDRESS(ROW(),COLUMN()+44))</f>
        <v>0</v>
      </c>
      <c r="AB91" s="8" cm="1">
        <f t="array" aca="1" ref="AB91" ca="1">INDIRECT("'"&amp;$C$6&amp;"'!"&amp;ADDRESS(ROW(),COLUMN()+44))</f>
        <v>0</v>
      </c>
      <c r="AD91" s="34">
        <f t="shared" ref="AD91:AH93" ca="1" si="193">$W91-X91</f>
        <v>0</v>
      </c>
      <c r="AE91" s="34">
        <f t="shared" ca="1" si="193"/>
        <v>0</v>
      </c>
      <c r="AF91" s="34">
        <f t="shared" ca="1" si="193"/>
        <v>0</v>
      </c>
      <c r="AG91" s="34">
        <f t="shared" ca="1" si="193"/>
        <v>0</v>
      </c>
      <c r="AH91" s="34">
        <f t="shared" ca="1" si="193"/>
        <v>0</v>
      </c>
      <c r="AJ91" s="36">
        <f t="shared" ref="AJ91:AN93" ca="1" si="194">IFERROR($W91/X91-1,0)</f>
        <v>0</v>
      </c>
      <c r="AK91" s="36">
        <f t="shared" ca="1" si="194"/>
        <v>0</v>
      </c>
      <c r="AL91" s="36">
        <f t="shared" ca="1" si="194"/>
        <v>0</v>
      </c>
      <c r="AM91" s="36">
        <f t="shared" ca="1" si="194"/>
        <v>0</v>
      </c>
      <c r="AN91" s="36">
        <f t="shared" ca="1" si="194"/>
        <v>0</v>
      </c>
    </row>
    <row r="92" spans="1:40" hidden="1" outlineLevel="1" x14ac:dyDescent="0.25">
      <c r="A92" s="11" t="s">
        <v>81</v>
      </c>
      <c r="C92" s="2" t="s">
        <v>48</v>
      </c>
      <c r="D92" s="8" cm="1">
        <f t="array" aca="1" ref="D92" ca="1">_xlfn.XLOOKUP(1,
 (INDIRECT("'"&amp;$C$6&amp;"'!$6:$6")=D$6)*
 (INDIRECT("'"&amp;$C$6&amp;"'!$5:$5")=D$5),
 INDIRECT("'"&amp;$C$6&amp;"'!"&amp;ROW()&amp;":"&amp;ROW())
)</f>
        <v>-160.0727860651167</v>
      </c>
      <c r="E92" s="8" cm="1">
        <f t="array" aca="1" ref="E92" ca="1">_xlfn.XLOOKUP(1,
 (INDIRECT("'"&amp;$C$6&amp;"'!$6:$6")=E$6)*
 (INDIRECT("'"&amp;$C$6&amp;"'!$5:$5")=E$5),
 INDIRECT("'"&amp;$C$6&amp;"'!"&amp;ROW()&amp;":"&amp;ROW())
)</f>
        <v>-190.71378011092122</v>
      </c>
      <c r="F92" s="8" cm="1">
        <f t="array" aca="1" ref="F92" ca="1">_xlfn.XLOOKUP(1,
 (INDIRECT("'"&amp;$C$6&amp;"'!$6:$6")=F$6)*
 (INDIRECT("'"&amp;$C$6&amp;"'!$5:$5")=F$5),
 INDIRECT("'"&amp;$C$6&amp;"'!"&amp;ROW()&amp;":"&amp;ROW())
)</f>
        <v>-19.984786268692808</v>
      </c>
      <c r="G92" s="8" cm="1">
        <f t="array" aca="1" ref="G92" ca="1">_xlfn.XLOOKUP(1,
 (INDIRECT("'"&amp;$C$6&amp;"'!$6:$6")=G$6)*
 (INDIRECT("'"&amp;$C$6&amp;"'!$5:$5")=G$5),
 INDIRECT("'"&amp;$C$6&amp;"'!"&amp;ROW()&amp;":"&amp;ROW())
)</f>
        <v>-77.861820232411489</v>
      </c>
      <c r="H92" s="8" cm="1">
        <f t="array" aca="1" ref="H92" ca="1">_xlfn.XLOOKUP(1,
 (INDIRECT("'"&amp;$C$6&amp;"'!$6:$6")=H$6)*
 (INDIRECT("'"&amp;$C$6&amp;"'!$5:$5")=H$5),
 INDIRECT("'"&amp;$C$6&amp;"'!"&amp;ROW()&amp;":"&amp;ROW())
)</f>
        <v>-105.16542302070052</v>
      </c>
      <c r="I92" s="8" cm="1">
        <f t="array" aca="1" ref="I92" ca="1">_xlfn.XLOOKUP(1,
 (INDIRECT("'"&amp;$C$6&amp;"'!$6:$6")=I$6)*
 (INDIRECT("'"&amp;$C$6&amp;"'!$5:$5")=I$5),
 INDIRECT("'"&amp;$C$6&amp;"'!"&amp;ROW()&amp;":"&amp;ROW())
)</f>
        <v>-51.149913060445378</v>
      </c>
      <c r="K92" s="34">
        <f t="shared" ca="1" si="183"/>
        <v>30.640994045804518</v>
      </c>
      <c r="L92" s="34">
        <f t="shared" ca="1" si="184"/>
        <v>-140.0879997964239</v>
      </c>
      <c r="M92" s="34">
        <f t="shared" ca="1" si="185"/>
        <v>-82.210965832705213</v>
      </c>
      <c r="N92" s="34">
        <f t="shared" ca="1" si="186"/>
        <v>-54.907363044416186</v>
      </c>
      <c r="O92" s="34">
        <f t="shared" ca="1" si="187"/>
        <v>-108.92287300467132</v>
      </c>
      <c r="Q92" s="36">
        <f t="shared" ca="1" si="188"/>
        <v>-0.1606648141942516</v>
      </c>
      <c r="R92" s="36">
        <f t="shared" ca="1" si="189"/>
        <v>7.0097321989316903</v>
      </c>
      <c r="S92" s="36">
        <f t="shared" ca="1" si="190"/>
        <v>1.0558572299916937</v>
      </c>
      <c r="T92" s="36">
        <f t="shared" ca="1" si="191"/>
        <v>0.5221047133867216</v>
      </c>
      <c r="U92" s="36">
        <f t="shared" ca="1" si="192"/>
        <v>2.1294830526095696</v>
      </c>
      <c r="W92" s="8" cm="1">
        <f t="array" aca="1" ref="W92" ca="1">INDIRECT("'"&amp;$C$6&amp;"'!"&amp;ADDRESS(ROW(),COLUMN()+44))</f>
        <v>-218.11365938456456</v>
      </c>
      <c r="X92" s="8" cm="1">
        <f t="array" aca="1" ref="X92" ca="1">INDIRECT("'"&amp;$C$6&amp;"'!"&amp;ADDRESS(ROW(),COLUMN()+44))</f>
        <v>-556.11992079939705</v>
      </c>
      <c r="Y92" s="8" cm="1">
        <f t="array" aca="1" ref="Y92" ca="1">INDIRECT("'"&amp;$C$6&amp;"'!"&amp;ADDRESS(ROW(),COLUMN()+44))</f>
        <v>-58.040873319447847</v>
      </c>
      <c r="Z92" s="8" cm="1">
        <f t="array" aca="1" ref="Z92" ca="1">INDIRECT("'"&amp;$C$6&amp;"'!"&amp;ADDRESS(ROW(),COLUMN()+44))</f>
        <v>-255.74971511533937</v>
      </c>
      <c r="AA92" s="8" cm="1">
        <f t="array" aca="1" ref="AA92" ca="1">INDIRECT("'"&amp;$C$6&amp;"'!"&amp;ADDRESS(ROW(),COLUMN()+44))</f>
        <v>-492.06508397606871</v>
      </c>
      <c r="AB92" s="8" cm="1">
        <f t="array" aca="1" ref="AB92" ca="1">INDIRECT("'"&amp;$C$6&amp;"'!"&amp;ADDRESS(ROW(),COLUMN()+44))</f>
        <v>-381.62304640250562</v>
      </c>
      <c r="AD92" s="34">
        <f t="shared" ca="1" si="193"/>
        <v>338.00626141483247</v>
      </c>
      <c r="AE92" s="34">
        <f t="shared" ca="1" si="193"/>
        <v>-160.0727860651167</v>
      </c>
      <c r="AF92" s="34">
        <f t="shared" ca="1" si="193"/>
        <v>37.636055730774814</v>
      </c>
      <c r="AG92" s="34">
        <f t="shared" ca="1" si="193"/>
        <v>273.95142459150418</v>
      </c>
      <c r="AH92" s="34">
        <f t="shared" ca="1" si="193"/>
        <v>163.50938701794107</v>
      </c>
      <c r="AJ92" s="36">
        <f t="shared" ca="1" si="194"/>
        <v>-0.60779383865437486</v>
      </c>
      <c r="AK92" s="36">
        <f t="shared" ca="1" si="194"/>
        <v>2.7579320728704624</v>
      </c>
      <c r="AL92" s="36">
        <f t="shared" ca="1" si="194"/>
        <v>-0.14715971712344433</v>
      </c>
      <c r="AM92" s="36">
        <f t="shared" ca="1" si="194"/>
        <v>-0.55673819076508102</v>
      </c>
      <c r="AN92" s="36">
        <f t="shared" ca="1" si="194"/>
        <v>-0.42845784225904526</v>
      </c>
    </row>
    <row r="93" spans="1:40" collapsed="1" x14ac:dyDescent="0.25">
      <c r="C93" s="3" t="s">
        <v>81</v>
      </c>
      <c r="D93" s="10">
        <f ca="1">SUM(D91:D92)</f>
        <v>-160.0727860651167</v>
      </c>
      <c r="E93" s="10">
        <f t="shared" ref="E93:I93" ca="1" si="195">SUM(E91:E92)</f>
        <v>-190.71378011092122</v>
      </c>
      <c r="F93" s="10">
        <f t="shared" ca="1" si="195"/>
        <v>-19.984786268692808</v>
      </c>
      <c r="G93" s="10">
        <f t="shared" ca="1" si="195"/>
        <v>-77.861820232411489</v>
      </c>
      <c r="H93" s="10">
        <f t="shared" ca="1" si="195"/>
        <v>-105.16542302070052</v>
      </c>
      <c r="I93" s="10">
        <f t="shared" ca="1" si="195"/>
        <v>-51.149913060445378</v>
      </c>
      <c r="K93" s="35">
        <f t="shared" ca="1" si="183"/>
        <v>30.640994045804518</v>
      </c>
      <c r="L93" s="35">
        <f t="shared" ca="1" si="184"/>
        <v>-140.0879997964239</v>
      </c>
      <c r="M93" s="35">
        <f t="shared" ca="1" si="185"/>
        <v>-82.210965832705213</v>
      </c>
      <c r="N93" s="35">
        <f t="shared" ca="1" si="186"/>
        <v>-54.907363044416186</v>
      </c>
      <c r="O93" s="35">
        <f t="shared" ca="1" si="187"/>
        <v>-108.92287300467132</v>
      </c>
      <c r="Q93" s="37">
        <f t="shared" ca="1" si="188"/>
        <v>-0.1606648141942516</v>
      </c>
      <c r="R93" s="37">
        <f t="shared" ca="1" si="189"/>
        <v>7.0097321989316903</v>
      </c>
      <c r="S93" s="37">
        <f t="shared" ca="1" si="190"/>
        <v>1.0558572299916937</v>
      </c>
      <c r="T93" s="37">
        <f t="shared" ca="1" si="191"/>
        <v>0.5221047133867216</v>
      </c>
      <c r="U93" s="37">
        <f t="shared" ca="1" si="192"/>
        <v>2.1294830526095696</v>
      </c>
      <c r="W93" s="10">
        <f ca="1">SUM(W91:W92)</f>
        <v>-218.11365938456456</v>
      </c>
      <c r="X93" s="10">
        <f t="shared" ref="X93:AB93" ca="1" si="196">SUM(X91:X92)</f>
        <v>-556.11992079939705</v>
      </c>
      <c r="Y93" s="10">
        <f t="shared" ca="1" si="196"/>
        <v>-58.040873319447847</v>
      </c>
      <c r="Z93" s="10">
        <f t="shared" ca="1" si="196"/>
        <v>-255.74971511533937</v>
      </c>
      <c r="AA93" s="10">
        <f t="shared" ca="1" si="196"/>
        <v>-492.06508397606871</v>
      </c>
      <c r="AB93" s="10">
        <f t="shared" ca="1" si="196"/>
        <v>-381.62304640250562</v>
      </c>
      <c r="AD93" s="35">
        <f t="shared" ca="1" si="193"/>
        <v>338.00626141483247</v>
      </c>
      <c r="AE93" s="35">
        <f t="shared" ca="1" si="193"/>
        <v>-160.0727860651167</v>
      </c>
      <c r="AF93" s="35">
        <f t="shared" ca="1" si="193"/>
        <v>37.636055730774814</v>
      </c>
      <c r="AG93" s="35">
        <f t="shared" ca="1" si="193"/>
        <v>273.95142459150418</v>
      </c>
      <c r="AH93" s="35">
        <f t="shared" ca="1" si="193"/>
        <v>163.50938701794107</v>
      </c>
      <c r="AJ93" s="37">
        <f t="shared" ca="1" si="194"/>
        <v>-0.60779383865437486</v>
      </c>
      <c r="AK93" s="37">
        <f t="shared" ca="1" si="194"/>
        <v>2.7579320728704624</v>
      </c>
      <c r="AL93" s="37">
        <f t="shared" ca="1" si="194"/>
        <v>-0.14715971712344433</v>
      </c>
      <c r="AM93" s="37">
        <f t="shared" ca="1" si="194"/>
        <v>-0.55673819076508102</v>
      </c>
      <c r="AN93" s="37">
        <f t="shared" ca="1" si="194"/>
        <v>-0.42845784225904526</v>
      </c>
    </row>
    <row r="95" spans="1:40" hidden="1" outlineLevel="1" x14ac:dyDescent="0.25">
      <c r="A95" s="11" t="s">
        <v>82</v>
      </c>
      <c r="C95" s="2" t="s">
        <v>83</v>
      </c>
      <c r="D95" s="8" cm="1">
        <f t="array" aca="1" ref="D95" ca="1">_xlfn.XLOOKUP(1,
 (INDIRECT("'"&amp;$C$6&amp;"'!$6:$6")=D$6)*
 (INDIRECT("'"&amp;$C$6&amp;"'!$5:$5")=D$5),
 INDIRECT("'"&amp;$C$6&amp;"'!"&amp;ROW()&amp;":"&amp;ROW())
)</f>
        <v>0</v>
      </c>
      <c r="E95" s="8" cm="1">
        <f t="array" aca="1" ref="E95" ca="1">_xlfn.XLOOKUP(1,
 (INDIRECT("'"&amp;$C$6&amp;"'!$6:$6")=E$6)*
 (INDIRECT("'"&amp;$C$6&amp;"'!$5:$5")=E$5),
 INDIRECT("'"&amp;$C$6&amp;"'!"&amp;ROW()&amp;":"&amp;ROW())
)</f>
        <v>0</v>
      </c>
      <c r="F95" s="8" cm="1">
        <f t="array" aca="1" ref="F95" ca="1">_xlfn.XLOOKUP(1,
 (INDIRECT("'"&amp;$C$6&amp;"'!$6:$6")=F$6)*
 (INDIRECT("'"&amp;$C$6&amp;"'!$5:$5")=F$5),
 INDIRECT("'"&amp;$C$6&amp;"'!"&amp;ROW()&amp;":"&amp;ROW())
)</f>
        <v>0</v>
      </c>
      <c r="G95" s="8" cm="1">
        <f t="array" aca="1" ref="G95" ca="1">_xlfn.XLOOKUP(1,
 (INDIRECT("'"&amp;$C$6&amp;"'!$6:$6")=G$6)*
 (INDIRECT("'"&amp;$C$6&amp;"'!$5:$5")=G$5),
 INDIRECT("'"&amp;$C$6&amp;"'!"&amp;ROW()&amp;":"&amp;ROW())
)</f>
        <v>2363.9500023639498</v>
      </c>
      <c r="H95" s="8" cm="1">
        <f t="array" aca="1" ref="H95" ca="1">_xlfn.XLOOKUP(1,
 (INDIRECT("'"&amp;$C$6&amp;"'!$6:$6")=H$6)*
 (INDIRECT("'"&amp;$C$6&amp;"'!$5:$5")=H$5),
 INDIRECT("'"&amp;$C$6&amp;"'!"&amp;ROW()&amp;":"&amp;ROW())
)</f>
        <v>0</v>
      </c>
      <c r="I95" s="8" cm="1">
        <f t="array" aca="1" ref="I95" ca="1">_xlfn.XLOOKUP(1,
 (INDIRECT("'"&amp;$C$6&amp;"'!$6:$6")=I$6)*
 (INDIRECT("'"&amp;$C$6&amp;"'!$5:$5")=I$5),
 INDIRECT("'"&amp;$C$6&amp;"'!"&amp;ROW()&amp;":"&amp;ROW())
)</f>
        <v>0</v>
      </c>
      <c r="K95" s="34">
        <f t="shared" ref="K95:K96" ca="1" si="197">$D95-E95</f>
        <v>0</v>
      </c>
      <c r="L95" s="34">
        <f t="shared" ref="L95:L96" ca="1" si="198">$D95-F95</f>
        <v>0</v>
      </c>
      <c r="M95" s="34">
        <f t="shared" ref="M95:M96" ca="1" si="199">$D95-G95</f>
        <v>-2363.9500023639498</v>
      </c>
      <c r="N95" s="34">
        <f t="shared" ref="N95:N96" ca="1" si="200">$D95-H95</f>
        <v>0</v>
      </c>
      <c r="O95" s="34">
        <f t="shared" ref="O95:O96" ca="1" si="201">$D95-I95</f>
        <v>0</v>
      </c>
      <c r="Q95" s="36">
        <f t="shared" ref="Q95:Q96" ca="1" si="202">IFERROR($D95/E95-1,0)</f>
        <v>0</v>
      </c>
      <c r="R95" s="36">
        <f t="shared" ref="R95:R96" ca="1" si="203">IFERROR($D95/F95-1,0)</f>
        <v>0</v>
      </c>
      <c r="S95" s="36">
        <f t="shared" ref="S95:S96" ca="1" si="204">IFERROR($D95/G95-1,0)</f>
        <v>-1</v>
      </c>
      <c r="T95" s="36">
        <f t="shared" ref="T95:T96" ca="1" si="205">IFERROR($D95/H95-1,0)</f>
        <v>0</v>
      </c>
      <c r="U95" s="36">
        <f t="shared" ref="U95:U96" ca="1" si="206">IFERROR($D95/I95-1,0)</f>
        <v>0</v>
      </c>
      <c r="W95" s="8" cm="1">
        <f t="array" aca="1" ref="W95" ca="1">INDIRECT("'"&amp;$C$6&amp;"'!"&amp;ADDRESS(ROW(),COLUMN()+44))</f>
        <v>0</v>
      </c>
      <c r="X95" s="8" cm="1">
        <f t="array" aca="1" ref="X95" ca="1">INDIRECT("'"&amp;$C$6&amp;"'!"&amp;ADDRESS(ROW(),COLUMN()+44))</f>
        <v>0</v>
      </c>
      <c r="Y95" s="8" cm="1">
        <f t="array" aca="1" ref="Y95" ca="1">INDIRECT("'"&amp;$C$6&amp;"'!"&amp;ADDRESS(ROW(),COLUMN()+44))</f>
        <v>0</v>
      </c>
      <c r="Z95" s="8" cm="1">
        <f t="array" aca="1" ref="Z95" ca="1">INDIRECT("'"&amp;$C$6&amp;"'!"&amp;ADDRESS(ROW(),COLUMN()+44))</f>
        <v>2363.9500023639498</v>
      </c>
      <c r="AA95" s="8" cm="1">
        <f t="array" aca="1" ref="AA95" ca="1">INDIRECT("'"&amp;$C$6&amp;"'!"&amp;ADDRESS(ROW(),COLUMN()+44))</f>
        <v>0</v>
      </c>
      <c r="AB95" s="8" cm="1">
        <f t="array" aca="1" ref="AB95" ca="1">INDIRECT("'"&amp;$C$6&amp;"'!"&amp;ADDRESS(ROW(),COLUMN()+44))</f>
        <v>0</v>
      </c>
      <c r="AD95" s="34">
        <f t="shared" ref="AD95:AH96" ca="1" si="207">$W95-X95</f>
        <v>0</v>
      </c>
      <c r="AE95" s="34">
        <f t="shared" ca="1" si="207"/>
        <v>0</v>
      </c>
      <c r="AF95" s="34">
        <f t="shared" ca="1" si="207"/>
        <v>-2363.9500023639498</v>
      </c>
      <c r="AG95" s="34">
        <f t="shared" ca="1" si="207"/>
        <v>0</v>
      </c>
      <c r="AH95" s="34">
        <f t="shared" ca="1" si="207"/>
        <v>0</v>
      </c>
      <c r="AJ95" s="36">
        <f t="shared" ref="AJ95:AN96" ca="1" si="208">IFERROR($W95/X95-1,0)</f>
        <v>0</v>
      </c>
      <c r="AK95" s="36">
        <f t="shared" ca="1" si="208"/>
        <v>0</v>
      </c>
      <c r="AL95" s="36">
        <f t="shared" ca="1" si="208"/>
        <v>-1</v>
      </c>
      <c r="AM95" s="36">
        <f t="shared" ca="1" si="208"/>
        <v>0</v>
      </c>
      <c r="AN95" s="36">
        <f t="shared" ca="1" si="208"/>
        <v>0</v>
      </c>
    </row>
    <row r="96" spans="1:40" collapsed="1" x14ac:dyDescent="0.25">
      <c r="C96" s="3" t="s">
        <v>82</v>
      </c>
      <c r="D96" s="10">
        <f ca="1">SUM(D95:D95)</f>
        <v>0</v>
      </c>
      <c r="E96" s="10">
        <f t="shared" ref="E96:I96" ca="1" si="209">SUM(E95:E95)</f>
        <v>0</v>
      </c>
      <c r="F96" s="10">
        <f t="shared" ca="1" si="209"/>
        <v>0</v>
      </c>
      <c r="G96" s="10">
        <f t="shared" ca="1" si="209"/>
        <v>2363.9500023639498</v>
      </c>
      <c r="H96" s="10">
        <f t="shared" ca="1" si="209"/>
        <v>0</v>
      </c>
      <c r="I96" s="10">
        <f t="shared" ca="1" si="209"/>
        <v>0</v>
      </c>
      <c r="K96" s="35">
        <f t="shared" ca="1" si="197"/>
        <v>0</v>
      </c>
      <c r="L96" s="35">
        <f t="shared" ca="1" si="198"/>
        <v>0</v>
      </c>
      <c r="M96" s="35">
        <f t="shared" ca="1" si="199"/>
        <v>-2363.9500023639498</v>
      </c>
      <c r="N96" s="35">
        <f t="shared" ca="1" si="200"/>
        <v>0</v>
      </c>
      <c r="O96" s="35">
        <f t="shared" ca="1" si="201"/>
        <v>0</v>
      </c>
      <c r="Q96" s="37">
        <f t="shared" ca="1" si="202"/>
        <v>0</v>
      </c>
      <c r="R96" s="37">
        <f t="shared" ca="1" si="203"/>
        <v>0</v>
      </c>
      <c r="S96" s="37">
        <f t="shared" ca="1" si="204"/>
        <v>-1</v>
      </c>
      <c r="T96" s="37">
        <f t="shared" ca="1" si="205"/>
        <v>0</v>
      </c>
      <c r="U96" s="37">
        <f t="shared" ca="1" si="206"/>
        <v>0</v>
      </c>
      <c r="W96" s="10">
        <f ca="1">SUM(W95:W95)</f>
        <v>0</v>
      </c>
      <c r="X96" s="10">
        <f t="shared" ref="X96:AB96" ca="1" si="210">SUM(X95:X95)</f>
        <v>0</v>
      </c>
      <c r="Y96" s="10">
        <f t="shared" ca="1" si="210"/>
        <v>0</v>
      </c>
      <c r="Z96" s="10">
        <f t="shared" ca="1" si="210"/>
        <v>2363.9500023639498</v>
      </c>
      <c r="AA96" s="10">
        <f t="shared" ca="1" si="210"/>
        <v>0</v>
      </c>
      <c r="AB96" s="10">
        <f t="shared" ca="1" si="210"/>
        <v>0</v>
      </c>
      <c r="AD96" s="35">
        <f t="shared" ca="1" si="207"/>
        <v>0</v>
      </c>
      <c r="AE96" s="35">
        <f t="shared" ca="1" si="207"/>
        <v>0</v>
      </c>
      <c r="AF96" s="35">
        <f t="shared" ca="1" si="207"/>
        <v>-2363.9500023639498</v>
      </c>
      <c r="AG96" s="35">
        <f t="shared" ca="1" si="207"/>
        <v>0</v>
      </c>
      <c r="AH96" s="35">
        <f t="shared" ca="1" si="207"/>
        <v>0</v>
      </c>
      <c r="AJ96" s="37">
        <f t="shared" ca="1" si="208"/>
        <v>0</v>
      </c>
      <c r="AK96" s="37">
        <f t="shared" ca="1" si="208"/>
        <v>0</v>
      </c>
      <c r="AL96" s="37">
        <f t="shared" ca="1" si="208"/>
        <v>-1</v>
      </c>
      <c r="AM96" s="37">
        <f t="shared" ca="1" si="208"/>
        <v>0</v>
      </c>
      <c r="AN96" s="37">
        <f t="shared" ca="1" si="208"/>
        <v>0</v>
      </c>
    </row>
    <row r="98" spans="3:40" x14ac:dyDescent="0.25">
      <c r="C98" s="3" t="s">
        <v>84</v>
      </c>
      <c r="D98" s="10">
        <f t="shared" ref="D98:I98" ca="1" si="211">D60+D83+D89+D93+D96</f>
        <v>8067.3064603263811</v>
      </c>
      <c r="E98" s="10">
        <f t="shared" ca="1" si="211"/>
        <v>-400.31545787271818</v>
      </c>
      <c r="F98" s="10">
        <f t="shared" ca="1" si="211"/>
        <v>4305.2552261081746</v>
      </c>
      <c r="G98" s="10">
        <f t="shared" ca="1" si="211"/>
        <v>-4308.2717423034082</v>
      </c>
      <c r="H98" s="10">
        <f t="shared" ca="1" si="211"/>
        <v>-55858.659109058295</v>
      </c>
      <c r="I98" s="10">
        <f t="shared" ca="1" si="211"/>
        <v>251.26492224180657</v>
      </c>
      <c r="K98" s="35">
        <f t="shared" ref="K98" ca="1" si="212">$D98-E98</f>
        <v>8467.6219181991</v>
      </c>
      <c r="L98" s="35">
        <f t="shared" ref="L98" ca="1" si="213">$D98-F98</f>
        <v>3762.0512342182064</v>
      </c>
      <c r="M98" s="35">
        <f t="shared" ref="M98" ca="1" si="214">$D98-G98</f>
        <v>12375.578202629789</v>
      </c>
      <c r="N98" s="35">
        <f t="shared" ref="N98" ca="1" si="215">$D98-H98</f>
        <v>63925.965569384673</v>
      </c>
      <c r="O98" s="35">
        <f t="shared" ref="O98" ca="1" si="216">$D98-I98</f>
        <v>7816.0415380845743</v>
      </c>
      <c r="Q98" s="37">
        <f t="shared" ref="Q98" ca="1" si="217">IFERROR($D98/E98-1,0)</f>
        <v>-21.152373088953791</v>
      </c>
      <c r="R98" s="37">
        <f t="shared" ref="R98" ca="1" si="218">IFERROR($D98/F98-1,0)</f>
        <v>0.87382769119102632</v>
      </c>
      <c r="S98" s="37">
        <f t="shared" ref="S98" ca="1" si="219">IFERROR($D98/G98-1,0)</f>
        <v>-2.8725156960533815</v>
      </c>
      <c r="T98" s="37">
        <f t="shared" ref="T98" ca="1" si="220">IFERROR($D98/H98-1,0)</f>
        <v>-1.1444235609840865</v>
      </c>
      <c r="U98" s="37">
        <f t="shared" ref="U98" ca="1" si="221">IFERROR($D98/I98-1,0)</f>
        <v>31.106775543315798</v>
      </c>
      <c r="W98" s="10">
        <f t="shared" ref="W98:AB98" ca="1" si="222">W60+W83+W89+W93+W96</f>
        <v>19587.287796953573</v>
      </c>
      <c r="X98" s="10">
        <f t="shared" ca="1" si="222"/>
        <v>-357.06171770748847</v>
      </c>
      <c r="Y98" s="10">
        <f t="shared" ca="1" si="222"/>
        <v>11519.981336627199</v>
      </c>
      <c r="Z98" s="10">
        <f t="shared" ca="1" si="222"/>
        <v>-26525.278485177423</v>
      </c>
      <c r="AA98" s="10">
        <f t="shared" ca="1" si="222"/>
        <v>-155708.15929682832</v>
      </c>
      <c r="AB98" s="10">
        <f t="shared" ca="1" si="222"/>
        <v>8612.9793541700346</v>
      </c>
      <c r="AD98" s="35">
        <f ca="1">$W98-X98</f>
        <v>19944.349514661062</v>
      </c>
      <c r="AE98" s="35">
        <f ca="1">$W98-Y98</f>
        <v>8067.3064603263738</v>
      </c>
      <c r="AF98" s="35">
        <f ca="1">$W98-Z98</f>
        <v>46112.566282130996</v>
      </c>
      <c r="AG98" s="35">
        <f ca="1">$W98-AA98</f>
        <v>175295.4470937819</v>
      </c>
      <c r="AH98" s="35">
        <f ca="1">$W98-AB98</f>
        <v>10974.308442783538</v>
      </c>
      <c r="AJ98" s="37">
        <f ca="1">IFERROR($W98/X98-1,0)</f>
        <v>-55.856868786476404</v>
      </c>
      <c r="AK98" s="37">
        <f ca="1">IFERROR($W98/Y98-1,0)</f>
        <v>0.70028815365149777</v>
      </c>
      <c r="AL98" s="37">
        <f ca="1">IFERROR($W98/Z98-1,0)</f>
        <v>-1.7384385354483323</v>
      </c>
      <c r="AM98" s="37">
        <f ca="1">IFERROR($W98/AA98-1,0)</f>
        <v>-1.1257948709008505</v>
      </c>
      <c r="AN98" s="37">
        <f ca="1">IFERROR($W98/AB98-1,0)</f>
        <v>1.2741593810358141</v>
      </c>
    </row>
    <row r="102" spans="3:40" s="48" customFormat="1" x14ac:dyDescent="0.25">
      <c r="C102" s="46" t="s">
        <v>110</v>
      </c>
      <c r="D102" s="47" cm="1">
        <f t="array" aca="1" ref="D102" ca="1">_xlfn.XLOOKUP(1,
 (INDIRECT("'"&amp;$C$6&amp;"'!$6:$6")=D$6)*
 (INDIRECT("'"&amp;$C$6&amp;"'!$5:$5")=D$5),
 INDIRECT("'"&amp;$C$6&amp;"'!"&amp;ROW()&amp;":"&amp;ROW())
)</f>
        <v>3300761.6150000002</v>
      </c>
      <c r="E102" s="47" cm="1">
        <f t="array" aca="1" ref="E102" ca="1">_xlfn.XLOOKUP(1,
 (INDIRECT("'"&amp;$C$6&amp;"'!$6:$6")=E$6)*
 (INDIRECT("'"&amp;$C$6&amp;"'!$5:$5")=E$5),
 INDIRECT("'"&amp;$C$6&amp;"'!"&amp;ROW()&amp;":"&amp;ROW())
)</f>
        <v>3227708.5154567668</v>
      </c>
      <c r="F102" s="47" cm="1">
        <f t="array" aca="1" ref="F102" ca="1">_xlfn.XLOOKUP(1,
 (INDIRECT("'"&amp;$C$6&amp;"'!$6:$6")=F$6)*
 (INDIRECT("'"&amp;$C$6&amp;"'!$5:$5")=F$5),
 INDIRECT("'"&amp;$C$6&amp;"'!"&amp;ROW()&amp;":"&amp;ROW())
)</f>
        <v>3249119.625</v>
      </c>
      <c r="G102" s="47" cm="1">
        <f t="array" aca="1" ref="G102" ca="1">_xlfn.XLOOKUP(1,
 (INDIRECT("'"&amp;$C$6&amp;"'!$6:$6")=G$6)*
 (INDIRECT("'"&amp;$C$6&amp;"'!$5:$5")=G$5),
 INDIRECT("'"&amp;$C$6&amp;"'!"&amp;ROW()&amp;":"&amp;ROW())
)</f>
        <v>3006933.2425295003</v>
      </c>
      <c r="H102" s="47" cm="1">
        <f t="array" aca="1" ref="H102" ca="1">_xlfn.XLOOKUP(1,
 (INDIRECT("'"&amp;$C$6&amp;"'!$6:$6")=H$6)*
 (INDIRECT("'"&amp;$C$6&amp;"'!$5:$5")=H$5),
 INDIRECT("'"&amp;$C$6&amp;"'!"&amp;ROW()&amp;":"&amp;ROW())
)</f>
        <v>3634287.6656267298</v>
      </c>
      <c r="I102" s="47" cm="1">
        <f t="array" aca="1" ref="I102" ca="1">_xlfn.XLOOKUP(1,
 (INDIRECT("'"&amp;$C$6&amp;"'!$6:$6")=I$6)*
 (INDIRECT("'"&amp;$C$6&amp;"'!$5:$5")=I$5),
 INDIRECT("'"&amp;$C$6&amp;"'!"&amp;ROW()&amp;":"&amp;ROW())
)</f>
        <v>3443124.7735079001</v>
      </c>
      <c r="W102" s="47" cm="1">
        <f t="array" aca="1" ref="W102" ca="1">INDIRECT("'"&amp;$C$6&amp;"'!"&amp;ADDRESS(ROW(),COLUMN()+44))</f>
        <v>3250109.4691865048</v>
      </c>
      <c r="X102" s="47" cm="1">
        <f t="array" aca="1" ref="X102" ca="1">INDIRECT("'"&amp;$C$6&amp;"'!"&amp;ADDRESS(ROW(),COLUMN()+44))</f>
        <v>3220598.5792839564</v>
      </c>
      <c r="Y102" s="47" cm="1">
        <f t="array" aca="1" ref="Y102" ca="1">INDIRECT("'"&amp;$C$6&amp;"'!"&amp;ADDRESS(ROW(),COLUMN()+44))</f>
        <v>3226416.4022486731</v>
      </c>
      <c r="Z102" s="47" cm="1">
        <f t="array" aca="1" ref="Z102" ca="1">INDIRECT("'"&amp;$C$6&amp;"'!"&amp;ADDRESS(ROW(),COLUMN()+44))</f>
        <v>3013328.1252253801</v>
      </c>
      <c r="AA102" s="47" cm="1">
        <f t="array" aca="1" ref="AA102" ca="1">INDIRECT("'"&amp;$C$6&amp;"'!"&amp;ADDRESS(ROW(),COLUMN()+44))</f>
        <v>3707224.2777615073</v>
      </c>
      <c r="AB102" s="47" cm="1">
        <f t="array" aca="1" ref="AB102" ca="1">INDIRECT("'"&amp;$C$6&amp;"'!"&amp;ADDRESS(ROW(),COLUMN()+44))</f>
        <v>3394388.1092817667</v>
      </c>
    </row>
  </sheetData>
  <mergeCells count="6">
    <mergeCell ref="Q5:U5"/>
    <mergeCell ref="D1:U1"/>
    <mergeCell ref="W1:AN1"/>
    <mergeCell ref="AD5:AH5"/>
    <mergeCell ref="AJ5:AN5"/>
    <mergeCell ref="K5:O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ADF1F9-AAF1-4D33-A45A-BF0E1851906F}">
          <x14:formula1>
            <xm:f>Parametros!$C$6:$C$17</xm:f>
          </x14:formula1>
          <xm:sqref>B1</xm:sqref>
        </x14:dataValidation>
        <x14:dataValidation type="list" allowBlank="1" showInputMessage="1" showErrorMessage="1" xr:uid="{701C0967-4EBA-4540-93DA-39CE0B78DFDC}">
          <x14:formula1>
            <xm:f>Parametros!$F$6:$F$9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43CB-D986-45DD-B457-A054C33120EB}">
  <sheetPr codeName="Hoja4"/>
  <dimension ref="B1:AA19"/>
  <sheetViews>
    <sheetView showGridLines="0" zoomScale="80" zoomScaleNormal="80" workbookViewId="0">
      <pane xSplit="2" ySplit="3" topLeftCell="C4" activePane="bottomRight" state="frozen"/>
      <selection activeCell="AT11" sqref="AT11"/>
      <selection pane="topRight" activeCell="AT11" sqref="AT11"/>
      <selection pane="bottomLeft" activeCell="AT11" sqref="AT11"/>
      <selection pane="bottomRight" activeCell="AT11" sqref="AT11"/>
    </sheetView>
  </sheetViews>
  <sheetFormatPr baseColWidth="10" defaultRowHeight="15" x14ac:dyDescent="0.25"/>
  <cols>
    <col min="1" max="1" width="3.7109375" customWidth="1"/>
    <col min="2" max="2" width="28.140625" bestFit="1" customWidth="1"/>
    <col min="9" max="9" width="1.7109375" customWidth="1"/>
    <col min="10" max="10" width="11.28515625" bestFit="1" customWidth="1"/>
    <col min="15" max="15" width="3.42578125" customWidth="1"/>
    <col min="22" max="22" width="1.85546875" customWidth="1"/>
    <col min="23" max="23" width="11.28515625" bestFit="1" customWidth="1"/>
  </cols>
  <sheetData>
    <row r="1" spans="2:27" x14ac:dyDescent="0.25">
      <c r="C1" s="72" t="s">
        <v>94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P1" s="72" t="s">
        <v>90</v>
      </c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2:27" ht="15.75" thickBot="1" x14ac:dyDescent="0.3">
      <c r="J2" s="70" t="s">
        <v>101</v>
      </c>
      <c r="K2" s="70"/>
      <c r="L2" s="70"/>
      <c r="M2" s="70"/>
      <c r="N2" s="70"/>
      <c r="W2" s="70" t="s">
        <v>101</v>
      </c>
      <c r="X2" s="70"/>
      <c r="Y2" s="70"/>
      <c r="Z2" s="70"/>
      <c r="AA2" s="70"/>
    </row>
    <row r="3" spans="2:27" ht="16.5" thickTop="1" thickBot="1" x14ac:dyDescent="0.3">
      <c r="B3" s="45" t="str">
        <f>Desempeño_Financiero!C6</f>
        <v>Total_Producto</v>
      </c>
      <c r="C3" s="1">
        <f>Desempeño_Financiero!D6</f>
        <v>46112</v>
      </c>
      <c r="D3" s="30">
        <f>Desempeño_Financiero!E6</f>
        <v>46112</v>
      </c>
      <c r="E3" s="1">
        <f>Desempeño_Financiero!F6</f>
        <v>46081</v>
      </c>
      <c r="F3" s="1">
        <f>Desempeño_Financiero!G6</f>
        <v>45747</v>
      </c>
      <c r="G3" s="1">
        <f>Desempeño_Financiero!H6</f>
        <v>45382</v>
      </c>
      <c r="H3" s="1">
        <f>Desempeño_Financiero!I6</f>
        <v>45016</v>
      </c>
      <c r="J3" s="32">
        <f>D3</f>
        <v>46112</v>
      </c>
      <c r="K3" s="33">
        <f>E3</f>
        <v>46081</v>
      </c>
      <c r="L3" s="33">
        <f t="shared" ref="L3:N3" si="0">F3</f>
        <v>45747</v>
      </c>
      <c r="M3" s="33">
        <f t="shared" si="0"/>
        <v>45382</v>
      </c>
      <c r="N3" s="33">
        <f t="shared" si="0"/>
        <v>45016</v>
      </c>
      <c r="P3" s="1">
        <f>C3</f>
        <v>46112</v>
      </c>
      <c r="Q3" s="1">
        <f t="shared" ref="Q3:U3" si="1">D3</f>
        <v>46112</v>
      </c>
      <c r="R3" s="1">
        <f t="shared" si="1"/>
        <v>46081</v>
      </c>
      <c r="S3" s="1">
        <f t="shared" si="1"/>
        <v>45747</v>
      </c>
      <c r="T3" s="1">
        <f t="shared" si="1"/>
        <v>45382</v>
      </c>
      <c r="U3" s="1">
        <f t="shared" si="1"/>
        <v>45016</v>
      </c>
      <c r="W3" s="32">
        <f>Q3</f>
        <v>46112</v>
      </c>
      <c r="X3" s="33">
        <f>R3</f>
        <v>46081</v>
      </c>
      <c r="Y3" s="33">
        <f t="shared" ref="Y3" si="2">S3</f>
        <v>45747</v>
      </c>
      <c r="Z3" s="33">
        <f t="shared" ref="Z3" si="3">T3</f>
        <v>45382</v>
      </c>
      <c r="AA3" s="33">
        <f t="shared" ref="AA3" si="4">U3</f>
        <v>45016</v>
      </c>
    </row>
    <row r="4" spans="2:27" ht="15.75" thickTop="1" x14ac:dyDescent="0.25"/>
    <row r="5" spans="2:27" x14ac:dyDescent="0.25">
      <c r="B5" s="3" t="s">
        <v>104</v>
      </c>
      <c r="C5" s="49">
        <f ca="1">IFERROR((-Desempeño_Financiero!D89)/(Desempeño_Financiero!D53+Desempeño_Financiero!D83+Desempeño_Financiero!D96),0)</f>
        <v>0.20900946047874847</v>
      </c>
      <c r="D5" s="49">
        <f ca="1">IFERROR((-Desempeño_Financiero!E89)/(Desempeño_Financiero!E53+Desempeño_Financiero!E83+Desempeño_Financiero!E96),0)</f>
        <v>0.20703559656483475</v>
      </c>
      <c r="E5" s="49">
        <f ca="1">IFERROR((-Desempeño_Financiero!F89)/(Desempeño_Financiero!F53+Desempeño_Financiero!F83+Desempeño_Financiero!F96),0)</f>
        <v>0.22322670147548176</v>
      </c>
      <c r="F5" s="49">
        <f ca="1">IFERROR((-Desempeño_Financiero!G89)/(Desempeño_Financiero!G53+Desempeño_Financiero!G83+Desempeño_Financiero!G96),0)</f>
        <v>0.18639544236683159</v>
      </c>
      <c r="G5" s="49">
        <f ca="1">IFERROR((-Desempeño_Financiero!H89)/(Desempeño_Financiero!H53+Desempeño_Financiero!H83+Desempeño_Financiero!H96),0)</f>
        <v>0.16411437408012092</v>
      </c>
      <c r="H5" s="49">
        <f ca="1">IFERROR((-Desempeño_Financiero!I89)/(Desempeño_Financiero!I53+Desempeño_Financiero!I83+Desempeño_Financiero!I96),0)</f>
        <v>0.16143364104441407</v>
      </c>
      <c r="J5" s="50">
        <f ca="1">IFERROR(($C5-D5)*10000,0)</f>
        <v>19.738639139137149</v>
      </c>
      <c r="K5" s="50">
        <f t="shared" ref="K5:N5" ca="1" si="5">IFERROR(($C5-E5)*10000,0)</f>
        <v>-142.17240996733298</v>
      </c>
      <c r="L5" s="50">
        <f t="shared" ca="1" si="5"/>
        <v>226.14018111916877</v>
      </c>
      <c r="M5" s="50">
        <f t="shared" ca="1" si="5"/>
        <v>448.95086398627546</v>
      </c>
      <c r="N5" s="50">
        <f t="shared" ca="1" si="5"/>
        <v>475.75819434334392</v>
      </c>
      <c r="P5" s="49">
        <f ca="1">IFERROR((-Desempeño_Financiero!W89)/(Desempeño_Financiero!W53+Desempeño_Financiero!W83+Desempeño_Financiero!W96),0)</f>
        <v>0.21160440525531482</v>
      </c>
      <c r="Q5" s="49">
        <f ca="1">IFERROR((-Desempeño_Financiero!X89)/(Desempeño_Financiero!X53+Desempeño_Financiero!X83+Desempeño_Financiero!X96),0)</f>
        <v>0.21341596524368103</v>
      </c>
      <c r="R5" s="49">
        <f ca="1">IFERROR((-Desempeño_Financiero!Y89)/(Desempeño_Financiero!Y53+Desempeño_Financiero!Y83+Desempeño_Financiero!Y96),0)</f>
        <v>0.21300568257117836</v>
      </c>
      <c r="S5" s="49">
        <f ca="1">IFERROR((-Desempeño_Financiero!Z89)/(Desempeño_Financiero!Z53+Desempeño_Financiero!Z83+Desempeño_Financiero!Z96),0)</f>
        <v>0.19867479741435218</v>
      </c>
      <c r="T5" s="49">
        <f ca="1">IFERROR((-Desempeño_Financiero!AA89)/(Desempeño_Financiero!AA53+Desempeño_Financiero!AA83+Desempeño_Financiero!AA96),0)</f>
        <v>0.16657049741336361</v>
      </c>
      <c r="U5" s="49">
        <f ca="1">IFERROR((-Desempeño_Financiero!AB89)/(Desempeño_Financiero!AB53+Desempeño_Financiero!AB83+Desempeño_Financiero!AB96),0)</f>
        <v>0.16408119698699636</v>
      </c>
      <c r="W5" s="50">
        <f ca="1">IFERROR(($P5-Q5)*10000,0)</f>
        <v>-18.115599883662124</v>
      </c>
      <c r="X5" s="50">
        <f ca="1">IFERROR(($P5-R5)*10000,0)</f>
        <v>-14.012773158635362</v>
      </c>
      <c r="Y5" s="50">
        <f ca="1">IFERROR(($P5-S5)*10000,0)</f>
        <v>129.29607840962643</v>
      </c>
      <c r="Z5" s="50">
        <f ca="1">IFERROR(($P5-T5)*10000,0)</f>
        <v>450.33907841951213</v>
      </c>
      <c r="AA5" s="50">
        <f ca="1">IFERROR(($P5-U5)*10000,0)</f>
        <v>475.23208268318461</v>
      </c>
    </row>
    <row r="7" spans="2:27" x14ac:dyDescent="0.25">
      <c r="B7" s="3" t="s">
        <v>105</v>
      </c>
      <c r="C7" s="49">
        <f ca="1">Desempeño_Financiero!D23</f>
        <v>0.16343381872056995</v>
      </c>
      <c r="D7" s="49">
        <f ca="1">Desempeño_Financiero!E23</f>
        <v>0.16308314067711582</v>
      </c>
      <c r="E7" s="49">
        <f ca="1">Desempeño_Financiero!F23</f>
        <v>0.16485397776930322</v>
      </c>
      <c r="F7" s="49">
        <f ca="1">Desempeño_Financiero!G23</f>
        <v>0.16512236779574008</v>
      </c>
      <c r="G7" s="49">
        <f ca="1">Desempeño_Financiero!H23</f>
        <v>0.16600838315346422</v>
      </c>
      <c r="H7" s="49">
        <f ca="1">Desempeño_Financiero!I23</f>
        <v>0.18343664328476428</v>
      </c>
      <c r="J7" s="50">
        <f ca="1">IFERROR(($C7-D7)*10000,0)</f>
        <v>3.5067804345412235</v>
      </c>
      <c r="K7" s="50">
        <f t="shared" ref="K7" ca="1" si="6">IFERROR(($C7-E7)*10000,0)</f>
        <v>-14.201590487332716</v>
      </c>
      <c r="L7" s="50">
        <f t="shared" ref="L7" ca="1" si="7">IFERROR(($C7-F7)*10000,0)</f>
        <v>-16.885490751701315</v>
      </c>
      <c r="M7" s="50">
        <f t="shared" ref="M7" ca="1" si="8">IFERROR(($C7-G7)*10000,0)</f>
        <v>-25.745644328942774</v>
      </c>
      <c r="N7" s="50">
        <f t="shared" ref="N7" ca="1" si="9">IFERROR(($C7-H7)*10000,0)</f>
        <v>-200.02824564194333</v>
      </c>
      <c r="P7" s="49">
        <f ca="1">Desempeño_Financiero!W23</f>
        <v>0.16418504566936254</v>
      </c>
      <c r="Q7" s="49">
        <f ca="1">Desempeño_Financiero!X23</f>
        <v>0.16256959853166819</v>
      </c>
      <c r="R7" s="49">
        <f ca="1">Desempeño_Financiero!Y23</f>
        <v>0.16450709638744132</v>
      </c>
      <c r="S7" s="49">
        <f ca="1">Desempeño_Financiero!Z23</f>
        <v>0.16499509194385786</v>
      </c>
      <c r="T7" s="49">
        <f ca="1">Desempeño_Financiero!AA23</f>
        <v>0.16756622258955245</v>
      </c>
      <c r="U7" s="49">
        <f ca="1">Desempeño_Financiero!AB23</f>
        <v>0.18367536511313953</v>
      </c>
      <c r="W7" s="50">
        <f ca="1">IFERROR(($P7-Q7)*10000,0)</f>
        <v>16.15447137694348</v>
      </c>
      <c r="X7" s="50">
        <f ca="1">IFERROR(($P7-R7)*10000,0)</f>
        <v>-3.2205071807878127</v>
      </c>
      <c r="Y7" s="50">
        <f ca="1">IFERROR(($P7-S7)*10000,0)</f>
        <v>-8.1004627449532407</v>
      </c>
      <c r="Z7" s="50">
        <f ca="1">IFERROR(($P7-T7)*10000,0)</f>
        <v>-33.811769201899097</v>
      </c>
      <c r="AA7" s="50">
        <f ca="1">IFERROR(($P7-U7)*10000,0)</f>
        <v>-194.90319443776994</v>
      </c>
    </row>
    <row r="9" spans="2:27" x14ac:dyDescent="0.25">
      <c r="B9" s="3" t="s">
        <v>106</v>
      </c>
      <c r="C9" s="49">
        <f ca="1">IFERROR((Desempeño_Financiero!D83)/(Desempeño_Financiero!D53+Desempeño_Financiero!D83+Desempeño_Financiero!D96),0)</f>
        <v>1.076744193637488E-2</v>
      </c>
      <c r="D9" s="49">
        <f ca="1">IFERROR((Desempeño_Financiero!E83)/(Desempeño_Financiero!E53+Desempeño_Financiero!E83+Desempeño_Financiero!E96),0)</f>
        <v>1.2255597595496288E-2</v>
      </c>
      <c r="E9" s="49">
        <f ca="1">IFERROR((Desempeño_Financiero!F83)/(Desempeño_Financiero!F53+Desempeño_Financiero!F83+Desempeño_Financiero!F96),0)</f>
        <v>1.1474820452483124E-2</v>
      </c>
      <c r="F9" s="49">
        <f ca="1">IFERROR((Desempeño_Financiero!G83)/(Desempeño_Financiero!G53+Desempeño_Financiero!G83+Desempeño_Financiero!G96),0)</f>
        <v>6.0628770213373194E-3</v>
      </c>
      <c r="G9" s="49">
        <f ca="1">IFERROR((Desempeño_Financiero!H83)/(Desempeño_Financiero!H53+Desempeño_Financiero!H83+Desempeño_Financiero!H96),0)</f>
        <v>1.6836807208907539E-2</v>
      </c>
      <c r="H9" s="49">
        <f ca="1">IFERROR((Desempeño_Financiero!I83)/(Desempeño_Financiero!I53+Desempeño_Financiero!I83+Desempeño_Financiero!I96),0)</f>
        <v>1.0028069042359918E-2</v>
      </c>
      <c r="J9" s="50">
        <f ca="1">IFERROR(($C9-D9)*10000,0)</f>
        <v>-14.881556591214082</v>
      </c>
      <c r="K9" s="50">
        <f t="shared" ref="K9" ca="1" si="10">IFERROR(($C9-E9)*10000,0)</f>
        <v>-7.0737851610824451</v>
      </c>
      <c r="L9" s="50">
        <f t="shared" ref="L9" ca="1" si="11">IFERROR(($C9-F9)*10000,0)</f>
        <v>47.045649150375603</v>
      </c>
      <c r="M9" s="50">
        <f t="shared" ref="M9" ca="1" si="12">IFERROR(($C9-G9)*10000,0)</f>
        <v>-60.693652725326601</v>
      </c>
      <c r="N9" s="50">
        <f t="shared" ref="N9" ca="1" si="13">IFERROR(($C9-H9)*10000,0)</f>
        <v>7.3937289401496127</v>
      </c>
      <c r="P9" s="49">
        <f ca="1">IFERROR((Desempeño_Financiero!W83)/(Desempeño_Financiero!W53+Desempeño_Financiero!W83+Desempeño_Financiero!W96),0)</f>
        <v>1.2055314157985806E-2</v>
      </c>
      <c r="Q9" s="49">
        <f ca="1">IFERROR((Desempeño_Financiero!X83)/(Desempeño_Financiero!X53+Desempeño_Financiero!X83+Desempeño_Financiero!X96),0)</f>
        <v>1.2753839102618916E-2</v>
      </c>
      <c r="R9" s="49">
        <f ca="1">IFERROR((Desempeño_Financiero!Y83)/(Desempeño_Financiero!Y53+Desempeño_Financiero!Y83+Desempeño_Financiero!Y96),0)</f>
        <v>1.2750768699512563E-2</v>
      </c>
      <c r="S9" s="49">
        <f ca="1">IFERROR((Desempeño_Financiero!Z83)/(Desempeño_Financiero!Z53+Desempeño_Financiero!Z83+Desempeño_Financiero!Z96),0)</f>
        <v>1.1619646745731656E-2</v>
      </c>
      <c r="T9" s="49">
        <f ca="1">IFERROR((Desempeño_Financiero!AA83)/(Desempeño_Financiero!AA53+Desempeño_Financiero!AA83+Desempeño_Financiero!AA96),0)</f>
        <v>1.611739309903024E-2</v>
      </c>
      <c r="U9" s="49">
        <f ca="1">IFERROR((Desempeño_Financiero!AB83)/(Desempeño_Financiero!AB53+Desempeño_Financiero!AB83+Desempeño_Financiero!AB96),0)</f>
        <v>1.2184139075125984E-2</v>
      </c>
      <c r="W9" s="50">
        <f ca="1">IFERROR(($P9-Q9)*10000,0)</f>
        <v>-6.9852494463311032</v>
      </c>
      <c r="X9" s="50">
        <f ca="1">IFERROR(($P9-R9)*10000,0)</f>
        <v>-6.9545454152675736</v>
      </c>
      <c r="Y9" s="50">
        <f ca="1">IFERROR(($P9-S9)*10000,0)</f>
        <v>4.3566741225414995</v>
      </c>
      <c r="Z9" s="50">
        <f ca="1">IFERROR(($P9-T9)*10000,0)</f>
        <v>-40.620789410444338</v>
      </c>
      <c r="AA9" s="50">
        <f ca="1">IFERROR(($P9-U9)*10000,0)</f>
        <v>-1.2882491714017765</v>
      </c>
    </row>
    <row r="11" spans="2:27" x14ac:dyDescent="0.25">
      <c r="B11" s="3" t="s">
        <v>107</v>
      </c>
      <c r="C11" s="49">
        <f ca="1">IFERROR((Desempeño_Financiero!D83/-Desempeño_Financiero!D89),0)</f>
        <v>5.1516529020798486E-2</v>
      </c>
      <c r="D11" s="49">
        <f ca="1">IFERROR((Desempeño_Financiero!E83/-Desempeño_Financiero!E89),0)</f>
        <v>5.9195605967490503E-2</v>
      </c>
      <c r="E11" s="49">
        <f ca="1">IFERROR((Desempeño_Financiero!F83/-Desempeño_Financiero!F89),0)</f>
        <v>5.1404336383761275E-2</v>
      </c>
      <c r="F11" s="49">
        <f ca="1">IFERROR((Desempeño_Financiero!G83/-Desempeño_Financiero!G89),0)</f>
        <v>3.2526959588450685E-2</v>
      </c>
      <c r="G11" s="49">
        <f ca="1">IFERROR((Desempeño_Financiero!H83/-Desempeño_Financiero!H89),0)</f>
        <v>0.10259191069203834</v>
      </c>
      <c r="H11" s="49">
        <f ca="1">IFERROR((Desempeño_Financiero!I83/-Desempeño_Financiero!I89),0)</f>
        <v>6.2118830855094009E-2</v>
      </c>
      <c r="J11" s="50">
        <f ca="1">IFERROR(($C11-D11)*10000,0)</f>
        <v>-76.790769466920167</v>
      </c>
      <c r="K11" s="50">
        <f t="shared" ref="K11" ca="1" si="14">IFERROR(($C11-E11)*10000,0)</f>
        <v>1.1219263703721172</v>
      </c>
      <c r="L11" s="50">
        <f t="shared" ref="L11" ca="1" si="15">IFERROR(($C11-F11)*10000,0)</f>
        <v>189.89569432347801</v>
      </c>
      <c r="M11" s="50">
        <f t="shared" ref="M11" ca="1" si="16">IFERROR(($C11-G11)*10000,0)</f>
        <v>-510.75381671239853</v>
      </c>
      <c r="N11" s="50">
        <f t="shared" ref="N11" ca="1" si="17">IFERROR(($C11-H11)*10000,0)</f>
        <v>-106.02301834295523</v>
      </c>
      <c r="P11" s="49">
        <f ca="1">IFERROR((Desempeño_Financiero!W83/-Desempeño_Financiero!W89),0)</f>
        <v>5.6970998044394525E-2</v>
      </c>
      <c r="Q11" s="49">
        <f ca="1">IFERROR((Desempeño_Financiero!X83/-Desempeño_Financiero!X89),0)</f>
        <v>5.9760473346295445E-2</v>
      </c>
      <c r="R11" s="49">
        <f ca="1">IFERROR((Desempeño_Financiero!Y83/-Desempeño_Financiero!Y89),0)</f>
        <v>5.9861166827095073E-2</v>
      </c>
      <c r="S11" s="49">
        <f ca="1">IFERROR((Desempeño_Financiero!Z83/-Desempeño_Financiero!Z89),0)</f>
        <v>5.8485761138077082E-2</v>
      </c>
      <c r="T11" s="49">
        <f ca="1">IFERROR((Desempeño_Financiero!AA83/-Desempeño_Financiero!AA89),0)</f>
        <v>9.6760190725930867E-2</v>
      </c>
      <c r="U11" s="49">
        <f ca="1">IFERROR((Desempeño_Financiero!AB83/-Desempeño_Financiero!AB89),0)</f>
        <v>7.4256766155183479E-2</v>
      </c>
      <c r="W11" s="50">
        <f ca="1">IFERROR(($P11-Q11)*10000,0)</f>
        <v>-27.894753019009205</v>
      </c>
      <c r="X11" s="50">
        <f ca="1">IFERROR(($P11-R11)*10000,0)</f>
        <v>-28.901687827005489</v>
      </c>
      <c r="Y11" s="50">
        <f ca="1">IFERROR(($P11-S11)*10000,0)</f>
        <v>-15.147630936825571</v>
      </c>
      <c r="Z11" s="50">
        <f ca="1">IFERROR(($P11-T11)*10000,0)</f>
        <v>-397.89192681536343</v>
      </c>
      <c r="AA11" s="50">
        <f ca="1">IFERROR(($P11-U11)*10000,0)</f>
        <v>-172.85768110788953</v>
      </c>
    </row>
    <row r="13" spans="2:27" x14ac:dyDescent="0.25">
      <c r="B13" s="3" t="s">
        <v>108</v>
      </c>
      <c r="C13" s="49">
        <f ca="1">IFERROR(-Desempeño_Financiero!D89/Desempeño_Financiero!D17*12,0)</f>
        <v>2.0260136467585198E-2</v>
      </c>
      <c r="D13" s="49">
        <f ca="1">IFERROR(-Desempeño_Financiero!E89/Desempeño_Financiero!E17*12,0)</f>
        <v>1.9817126908077257E-2</v>
      </c>
      <c r="E13" s="49">
        <f ca="1">IFERROR(-Desempeño_Financiero!F89/Desempeño_Financiero!F17*12,0)</f>
        <v>1.9650682232282467E-2</v>
      </c>
      <c r="F13" s="49">
        <f ca="1">IFERROR(-Desempeño_Financiero!G89/Desempeño_Financiero!G17*12,0)</f>
        <v>1.8562471321484766E-2</v>
      </c>
      <c r="G13" s="49">
        <f ca="1">IFERROR(-Desempeño_Financiero!H89/Desempeño_Financiero!H17*12,0)</f>
        <v>1.381739416698019E-2</v>
      </c>
      <c r="H13" s="49">
        <f ca="1">IFERROR(-Desempeño_Financiero!I89/Desempeño_Financiero!I17*12,0)</f>
        <v>1.6641488790964928E-2</v>
      </c>
      <c r="J13" s="50">
        <f ca="1">IFERROR(($C13-D13)*10000,0)</f>
        <v>4.4300955950794112</v>
      </c>
      <c r="K13" s="50">
        <f t="shared" ref="K13" ca="1" si="18">IFERROR(($C13-E13)*10000,0)</f>
        <v>6.0945423530273102</v>
      </c>
      <c r="L13" s="50">
        <f t="shared" ref="L13" ca="1" si="19">IFERROR(($C13-F13)*10000,0)</f>
        <v>16.976651461004312</v>
      </c>
      <c r="M13" s="50">
        <f t="shared" ref="M13" ca="1" si="20">IFERROR(($C13-G13)*10000,0)</f>
        <v>64.427423006050077</v>
      </c>
      <c r="N13" s="50">
        <f t="shared" ref="N13" ca="1" si="21">IFERROR(($C13-H13)*10000,0)</f>
        <v>36.186476766202695</v>
      </c>
      <c r="P13" s="49">
        <f ca="1">IFERROR(-Desempeño_Financiero!W89/Desempeño_Financiero!W17*12,0)</f>
        <v>5.9565476182433047E-2</v>
      </c>
      <c r="Q13" s="49">
        <f ca="1">IFERROR(-Desempeño_Financiero!X89/Desempeño_Financiero!X17*12,0)</f>
        <v>5.8796714873746721E-2</v>
      </c>
      <c r="R13" s="49">
        <f ca="1">IFERROR(-Desempeño_Financiero!Y89/Desempeño_Financiero!Y17*12,0)</f>
        <v>3.9294131702379637E-2</v>
      </c>
      <c r="S13" s="49">
        <f ca="1">IFERROR(-Desempeño_Financiero!Z89/Desempeño_Financiero!Z17*12,0)</f>
        <v>5.3428993969467944E-2</v>
      </c>
      <c r="T13" s="49">
        <f ca="1">IFERROR(-Desempeño_Financiero!AA89/Desempeño_Financiero!AA17*12,0)</f>
        <v>4.1665675803266009E-2</v>
      </c>
      <c r="U13" s="49">
        <f ca="1">IFERROR(-Desempeño_Financiero!AB89/Desempeño_Financiero!AB17*12,0)</f>
        <v>5.0282510318140808E-2</v>
      </c>
      <c r="W13" s="50">
        <f ca="1">IFERROR(($P13-Q13)*10000,0)</f>
        <v>7.6876130868632622</v>
      </c>
      <c r="X13" s="50">
        <f ca="1">IFERROR(($P13-R13)*10000,0)</f>
        <v>202.71344480053409</v>
      </c>
      <c r="Y13" s="50">
        <f ca="1">IFERROR(($P13-S13)*10000,0)</f>
        <v>61.364822129651024</v>
      </c>
      <c r="Z13" s="50">
        <f ca="1">IFERROR(($P13-T13)*10000,0)</f>
        <v>178.99800379167038</v>
      </c>
      <c r="AA13" s="50">
        <f ca="1">IFERROR(($P13-U13)*10000,0)</f>
        <v>92.829658642922396</v>
      </c>
    </row>
    <row r="15" spans="2:27" x14ac:dyDescent="0.25">
      <c r="B15" s="3" t="s">
        <v>109</v>
      </c>
      <c r="C15" s="49">
        <f ca="1">IFERROR(-Desempeño_Financiero!D56/Desempeño_Financiero!D102,0)*12</f>
        <v>5.3936041872542917E-2</v>
      </c>
      <c r="D15" s="49">
        <f ca="1">IFERROR(-Desempeño_Financiero!E56/Desempeño_Financiero!E102,0)*12</f>
        <v>8.0858558702294317E-2</v>
      </c>
      <c r="E15" s="49">
        <f ca="1">IFERROR(-Desempeño_Financiero!F56/Desempeño_Financiero!F102,0)*12</f>
        <v>5.8497201784740702E-2</v>
      </c>
      <c r="F15" s="49">
        <f ca="1">IFERROR(-Desempeño_Financiero!G56/Desempeño_Financiero!G102,0)*12</f>
        <v>0.11202090995629446</v>
      </c>
      <c r="G15" s="49">
        <f ca="1">IFERROR(-Desempeño_Financiero!H56/Desempeño_Financiero!H102,0)*12</f>
        <v>0.25935886703490313</v>
      </c>
      <c r="H15" s="49">
        <f ca="1">IFERROR(-Desempeño_Financiero!I56/Desempeño_Financiero!I102,0)*12</f>
        <v>9.0119332306776337E-2</v>
      </c>
      <c r="J15" s="50">
        <f ca="1">IFERROR(($C15-D15)*10000,0)</f>
        <v>-269.22516829751402</v>
      </c>
      <c r="K15" s="50">
        <f t="shared" ref="K15" ca="1" si="22">IFERROR(($C15-E15)*10000,0)</f>
        <v>-45.611599121977846</v>
      </c>
      <c r="L15" s="50">
        <f t="shared" ref="L15" ca="1" si="23">IFERROR(($C15-F15)*10000,0)</f>
        <v>-580.84868083751542</v>
      </c>
      <c r="M15" s="50">
        <f t="shared" ref="M15" ca="1" si="24">IFERROR(($C15-G15)*10000,0)</f>
        <v>-2054.2282516236023</v>
      </c>
      <c r="N15" s="50">
        <f t="shared" ref="N15" ca="1" si="25">IFERROR(($C15-H15)*10000,0)</f>
        <v>-361.83290434233419</v>
      </c>
      <c r="P15" s="49">
        <f ca="1">IFERROR(-Desempeño_Financiero!W56/Desempeño_Financiero!W102,0)*12</f>
        <v>0.16857063682031104</v>
      </c>
      <c r="Q15" s="49">
        <f ca="1">IFERROR(-Desempeño_Financiero!X56/Desempeño_Financiero!X102,0)*12</f>
        <v>0.22780219507677651</v>
      </c>
      <c r="R15" s="49">
        <f ca="1">IFERROR(-Desempeño_Financiero!Y56/Desempeño_Financiero!Y102,0)*12</f>
        <v>0.1146296572323415</v>
      </c>
      <c r="S15" s="49">
        <f ca="1">IFERROR(-Desempeño_Financiero!Z56/Desempeño_Financiero!Z102,0)*12</f>
        <v>0.35734013577408585</v>
      </c>
      <c r="T15" s="49">
        <f ca="1">IFERROR(-Desempeño_Financiero!AA56/Desempeño_Financiero!AA102,0)*12</f>
        <v>0.72456464898331796</v>
      </c>
      <c r="U15" s="49">
        <f ca="1">IFERROR(-Desempeño_Financiero!AB56/Desempeño_Financiero!AB102,0)*12</f>
        <v>0.23305454334974016</v>
      </c>
      <c r="W15" s="50">
        <f ca="1">IFERROR(($P15-Q15)*10000,0)</f>
        <v>-592.31558256465473</v>
      </c>
      <c r="X15" s="50">
        <f ca="1">IFERROR(($P15-R15)*10000,0)</f>
        <v>539.40979587969537</v>
      </c>
      <c r="Y15" s="50">
        <f ca="1">IFERROR(($P15-S15)*10000,0)</f>
        <v>-1887.6949895377481</v>
      </c>
      <c r="Z15" s="50">
        <f ca="1">IFERROR(($P15-T15)*10000,0)</f>
        <v>-5559.9401216300694</v>
      </c>
      <c r="AA15" s="50">
        <f ca="1">IFERROR(($P15-U15)*10000,0)</f>
        <v>-644.83906529429123</v>
      </c>
    </row>
    <row r="17" spans="2:21" x14ac:dyDescent="0.25">
      <c r="B17" s="3" t="s">
        <v>111</v>
      </c>
      <c r="C17" s="49"/>
      <c r="D17" s="49"/>
      <c r="E17" s="49"/>
      <c r="F17" s="49"/>
      <c r="G17" s="49"/>
      <c r="H17" s="49"/>
      <c r="P17" s="49"/>
      <c r="Q17" s="49"/>
      <c r="R17" s="49"/>
      <c r="S17" s="49"/>
      <c r="T17" s="49"/>
      <c r="U17" s="49"/>
    </row>
    <row r="19" spans="2:21" x14ac:dyDescent="0.25">
      <c r="B19" s="3" t="s">
        <v>112</v>
      </c>
      <c r="C19" s="49"/>
      <c r="D19" s="49"/>
      <c r="E19" s="49"/>
      <c r="F19" s="49"/>
      <c r="G19" s="49"/>
      <c r="H19" s="49"/>
      <c r="P19" s="49"/>
      <c r="Q19" s="49"/>
      <c r="R19" s="49"/>
      <c r="S19" s="49"/>
      <c r="T19" s="49"/>
      <c r="U19" s="49"/>
    </row>
  </sheetData>
  <mergeCells count="4">
    <mergeCell ref="J2:N2"/>
    <mergeCell ref="C1:N1"/>
    <mergeCell ref="P1:AA1"/>
    <mergeCell ref="W2:A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52D1-A054-4BAB-BE46-229707E2CF57}">
  <sheetPr codeName="Hoja5">
    <tabColor theme="7" tint="0.79998168889431442"/>
  </sheetPr>
  <dimension ref="A1"/>
  <sheetViews>
    <sheetView workbookViewId="0">
      <selection activeCell="AT11" sqref="AT11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B39E-65F7-428B-BC73-896E4F5C030C}">
  <sheetPr codeName="Hoja6"/>
  <dimension ref="A1:CC102"/>
  <sheetViews>
    <sheetView showGridLines="0" zoomScale="80" zoomScaleNormal="80" workbookViewId="0">
      <pane xSplit="3" ySplit="6" topLeftCell="D7" activePane="bottomRight" state="frozen"/>
      <selection activeCell="AT11" sqref="AT11"/>
      <selection pane="topRight" activeCell="AT11" sqref="AT11"/>
      <selection pane="bottomLeft" activeCell="AT11" sqref="AT11"/>
      <selection pane="bottomRight" activeCell="AA35" sqref="AA35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customWidth="1" outlineLevel="1"/>
    <col min="39" max="40" width="11.28515625" bestFit="1" customWidth="1"/>
    <col min="41" max="41" width="12.28515625" bestFit="1" customWidth="1"/>
    <col min="42" max="51" width="10.5703125" customWidth="1"/>
    <col min="52" max="63" width="12.28515625" bestFit="1" customWidth="1"/>
  </cols>
  <sheetData>
    <row r="1" spans="1:81" ht="15.75" x14ac:dyDescent="0.25">
      <c r="D1" s="67" t="s">
        <v>92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8" t="s">
        <v>93</v>
      </c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O1" s="69" t="s">
        <v>90</v>
      </c>
      <c r="BP1" s="69"/>
      <c r="BQ1" s="69"/>
      <c r="BR1" s="69"/>
      <c r="BS1" s="69"/>
      <c r="BT1" s="69"/>
      <c r="BW1" s="69" t="s">
        <v>91</v>
      </c>
      <c r="BX1" s="69"/>
      <c r="BY1" s="69"/>
      <c r="BZ1" s="69"/>
      <c r="CA1" s="69"/>
      <c r="CB1" s="69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</v>
      </c>
      <c r="BP3" s="12">
        <f t="shared" ref="BP3:BT4" si="2">AVERAGEIFS($D3:$BM3,$D$6:$BM$6,"&gt;="&amp;BP$2,$D$6:$BM$6,"&lt;="&amp;BP$6,$D$5:$BM$5,BP$5)</f>
        <v>30</v>
      </c>
      <c r="BQ3" s="12">
        <f t="shared" si="2"/>
        <v>29.5</v>
      </c>
      <c r="BR3" s="12">
        <f t="shared" si="2"/>
        <v>30</v>
      </c>
      <c r="BS3" s="12">
        <f t="shared" si="2"/>
        <v>30.333333333333332</v>
      </c>
      <c r="BT3" s="12">
        <f t="shared" si="2"/>
        <v>30</v>
      </c>
    </row>
    <row r="4" spans="1:81" x14ac:dyDescent="0.25">
      <c r="C4" s="13" t="s">
        <v>62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7">
        <f>AVERAGEIFS($D4:$BM4,$D$6:$BM$6,"&gt;="&amp;BO$2,$D$6:$BM$6,"&lt;="&amp;BO$6,$D$5:$BM$5,BO$5)</f>
        <v>30</v>
      </c>
      <c r="BP4" s="27">
        <f t="shared" si="2"/>
        <v>30</v>
      </c>
      <c r="BQ4" s="27">
        <f t="shared" si="2"/>
        <v>29.5</v>
      </c>
      <c r="BR4" s="27">
        <f t="shared" si="2"/>
        <v>30</v>
      </c>
      <c r="BS4" s="27">
        <f t="shared" si="2"/>
        <v>30.333333333333332</v>
      </c>
      <c r="BT4" s="27">
        <f t="shared" si="2"/>
        <v>30</v>
      </c>
    </row>
    <row r="5" spans="1:81" ht="15.75" thickBot="1" x14ac:dyDescent="0.3">
      <c r="C5" s="13" t="s">
        <v>86</v>
      </c>
      <c r="D5" s="12" t="s">
        <v>87</v>
      </c>
      <c r="E5" s="12" t="s">
        <v>87</v>
      </c>
      <c r="F5" s="12" t="s">
        <v>87</v>
      </c>
      <c r="G5" s="12" t="s">
        <v>87</v>
      </c>
      <c r="H5" s="12" t="s">
        <v>87</v>
      </c>
      <c r="I5" s="12" t="s">
        <v>87</v>
      </c>
      <c r="J5" s="12" t="s">
        <v>87</v>
      </c>
      <c r="K5" s="12" t="s">
        <v>87</v>
      </c>
      <c r="L5" s="12" t="s">
        <v>87</v>
      </c>
      <c r="M5" s="12" t="s">
        <v>87</v>
      </c>
      <c r="N5" s="12" t="s">
        <v>87</v>
      </c>
      <c r="O5" s="12" t="s">
        <v>87</v>
      </c>
      <c r="P5" s="12" t="s">
        <v>87</v>
      </c>
      <c r="Q5" s="12" t="s">
        <v>87</v>
      </c>
      <c r="R5" s="12" t="s">
        <v>87</v>
      </c>
      <c r="S5" s="12" t="s">
        <v>87</v>
      </c>
      <c r="T5" s="12" t="s">
        <v>87</v>
      </c>
      <c r="U5" s="12" t="s">
        <v>87</v>
      </c>
      <c r="V5" s="12" t="s">
        <v>87</v>
      </c>
      <c r="W5" s="12" t="s">
        <v>87</v>
      </c>
      <c r="X5" s="12" t="s">
        <v>87</v>
      </c>
      <c r="Y5" s="12" t="s">
        <v>87</v>
      </c>
      <c r="Z5" s="12" t="s">
        <v>87</v>
      </c>
      <c r="AA5" s="12" t="s">
        <v>87</v>
      </c>
      <c r="AB5" s="12" t="s">
        <v>87</v>
      </c>
      <c r="AC5" s="12" t="s">
        <v>87</v>
      </c>
      <c r="AD5" s="12" t="s">
        <v>87</v>
      </c>
      <c r="AE5" s="12" t="s">
        <v>87</v>
      </c>
      <c r="AF5" s="12" t="s">
        <v>87</v>
      </c>
      <c r="AG5" s="12" t="s">
        <v>87</v>
      </c>
      <c r="AH5" s="12" t="s">
        <v>87</v>
      </c>
      <c r="AI5" s="12" t="s">
        <v>87</v>
      </c>
      <c r="AJ5" s="12" t="s">
        <v>87</v>
      </c>
      <c r="AK5" s="12" t="s">
        <v>87</v>
      </c>
      <c r="AL5" s="12" t="s">
        <v>87</v>
      </c>
      <c r="AM5" s="12" t="s">
        <v>87</v>
      </c>
      <c r="AN5" s="12" t="s">
        <v>87</v>
      </c>
      <c r="AO5" s="12" t="s">
        <v>87</v>
      </c>
      <c r="AP5" s="12" t="s">
        <v>87</v>
      </c>
      <c r="AQ5" s="12" t="s">
        <v>87</v>
      </c>
      <c r="AR5" s="12" t="s">
        <v>87</v>
      </c>
      <c r="AS5" s="12" t="s">
        <v>87</v>
      </c>
      <c r="AT5" s="12" t="s">
        <v>87</v>
      </c>
      <c r="AU5" s="12" t="s">
        <v>87</v>
      </c>
      <c r="AV5" s="12" t="s">
        <v>87</v>
      </c>
      <c r="AW5" s="12" t="s">
        <v>87</v>
      </c>
      <c r="AX5" s="12" t="s">
        <v>87</v>
      </c>
      <c r="AY5" s="12" t="s">
        <v>87</v>
      </c>
      <c r="AZ5" s="12" t="s">
        <v>88</v>
      </c>
      <c r="BA5" s="12" t="s">
        <v>88</v>
      </c>
      <c r="BB5" s="12" t="s">
        <v>88</v>
      </c>
      <c r="BC5" s="12" t="s">
        <v>88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O5" s="12" t="s">
        <v>87</v>
      </c>
      <c r="BP5" s="12" t="s">
        <v>88</v>
      </c>
      <c r="BQ5" s="12" t="s">
        <v>87</v>
      </c>
      <c r="BR5" s="12" t="s">
        <v>87</v>
      </c>
      <c r="BS5" s="12" t="s">
        <v>87</v>
      </c>
      <c r="BT5" s="12" t="s">
        <v>87</v>
      </c>
    </row>
    <row r="6" spans="1:81" ht="16.5" thickTop="1" thickBot="1" x14ac:dyDescent="0.3">
      <c r="C6" s="45" t="s">
        <v>117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46112</v>
      </c>
      <c r="BP6" s="22">
        <f>BO6</f>
        <v>46112</v>
      </c>
      <c r="BQ6" s="1">
        <f>EOMONTH(BO6,-1)</f>
        <v>46081</v>
      </c>
      <c r="BR6" s="1">
        <f>EOMONTH(BO6,-12)</f>
        <v>45747</v>
      </c>
      <c r="BS6" s="1">
        <f>EOMONTH(BO6,-24)</f>
        <v>45382</v>
      </c>
      <c r="BT6" s="1">
        <f>EOMONTH(BO6,-36)</f>
        <v>45016</v>
      </c>
      <c r="BW6" s="1">
        <f>BO6</f>
        <v>46112</v>
      </c>
      <c r="BX6" s="22">
        <f t="shared" ref="BX6:CB6" si="4">BP6</f>
        <v>46112</v>
      </c>
      <c r="BY6" s="1">
        <f t="shared" si="4"/>
        <v>46081</v>
      </c>
      <c r="BZ6" s="1">
        <f t="shared" si="4"/>
        <v>45747</v>
      </c>
      <c r="CA6" s="1">
        <f t="shared" si="4"/>
        <v>45382</v>
      </c>
      <c r="CB6" s="1">
        <f t="shared" si="4"/>
        <v>45016</v>
      </c>
      <c r="CC6" s="26"/>
    </row>
    <row r="7" spans="1:81" ht="15.75" thickTop="1" x14ac:dyDescent="0.25"/>
    <row r="8" spans="1:81" hidden="1" outlineLevel="1" x14ac:dyDescent="0.25">
      <c r="A8" s="11" t="s">
        <v>51</v>
      </c>
      <c r="C8" s="2" t="s">
        <v>0</v>
      </c>
      <c r="D8" s="8">
        <f>Renta_Alta!D8+Masivo!D8+Consumo_Inicial!D8</f>
        <v>3209375.3374992199</v>
      </c>
      <c r="E8" s="8">
        <f>Renta_Alta!E8+Masivo!E8+Consumo_Inicial!E8</f>
        <v>3300088.8436650797</v>
      </c>
      <c r="F8" s="8">
        <f>Renta_Alta!F8+Masivo!F8+Consumo_Inicial!F8</f>
        <v>3421266.20571924</v>
      </c>
      <c r="G8" s="8">
        <f>Renta_Alta!G8+Masivo!G8+Consumo_Inicial!G8</f>
        <v>3499038.9259306504</v>
      </c>
      <c r="H8" s="8">
        <f>Renta_Alta!H8+Masivo!H8+Consumo_Inicial!H8</f>
        <v>3573142.6292708493</v>
      </c>
      <c r="I8" s="8">
        <f>Renta_Alta!I8+Masivo!I8+Consumo_Inicial!I8</f>
        <v>3630227.8627440003</v>
      </c>
      <c r="J8" s="8">
        <f>Renta_Alta!J8+Masivo!J8+Consumo_Inicial!J8</f>
        <v>3660638.7556317393</v>
      </c>
      <c r="K8" s="8">
        <f>Renta_Alta!K8+Masivo!K8+Consumo_Inicial!K8</f>
        <v>3748310.5945360502</v>
      </c>
      <c r="L8" s="8">
        <f>Renta_Alta!L8+Masivo!L8+Consumo_Inicial!L8</f>
        <v>3776249.7306158999</v>
      </c>
      <c r="M8" s="8">
        <f>Renta_Alta!M8+Masivo!M8+Consumo_Inicial!M8</f>
        <v>3764572.8796250997</v>
      </c>
      <c r="N8" s="8">
        <f>Renta_Alta!N8+Masivo!N8+Consumo_Inicial!N8</f>
        <v>3752504.9674535803</v>
      </c>
      <c r="O8" s="8">
        <f>Renta_Alta!O8+Masivo!O8+Consumo_Inicial!O8</f>
        <v>3668417.3763668998</v>
      </c>
      <c r="P8" s="8">
        <f>Renta_Alta!P8+Masivo!P8+Consumo_Inicial!P8</f>
        <v>3589921.5221328996</v>
      </c>
      <c r="Q8" s="8">
        <f>Renta_Alta!Q8+Masivo!Q8+Consumo_Inicial!Q8</f>
        <v>3511768.7234874</v>
      </c>
      <c r="R8" s="8">
        <f>Renta_Alta!R8+Masivo!R8+Consumo_Inicial!R8</f>
        <v>3428790.18530316</v>
      </c>
      <c r="S8" s="8">
        <f>Renta_Alta!S8+Masivo!S8+Consumo_Inicial!S8</f>
        <v>3340056.20475815</v>
      </c>
      <c r="T8" s="8">
        <f>Renta_Alta!T8+Masivo!T8+Consumo_Inicial!T8</f>
        <v>3223659.72587582</v>
      </c>
      <c r="U8" s="8">
        <f>Renta_Alta!U8+Masivo!U8+Consumo_Inicial!U8</f>
        <v>3125496.5848378297</v>
      </c>
      <c r="V8" s="8">
        <f>Renta_Alta!V8+Masivo!V8+Consumo_Inicial!V8</f>
        <v>3032078.0581054697</v>
      </c>
      <c r="W8" s="8">
        <f>Renta_Alta!W8+Masivo!W8+Consumo_Inicial!W8</f>
        <v>2977796.1328254994</v>
      </c>
      <c r="X8" s="8">
        <f>Renta_Alta!X8+Masivo!X8+Consumo_Inicial!X8</f>
        <v>2954981.1176042901</v>
      </c>
      <c r="Y8" s="8">
        <f>Renta_Alta!Y8+Masivo!Y8+Consumo_Inicial!Y8</f>
        <v>2933408.2130877795</v>
      </c>
      <c r="Z8" s="8">
        <f>Renta_Alta!Z8+Masivo!Z8+Consumo_Inicial!Z8</f>
        <v>2904094.9228195399</v>
      </c>
      <c r="AA8" s="8">
        <f>Renta_Alta!AA8+Masivo!AA8+Consumo_Inicial!AA8</f>
        <v>2869149.1761822999</v>
      </c>
      <c r="AB8" s="8">
        <f>Renta_Alta!AB8+Masivo!AB8+Consumo_Inicial!AB8</f>
        <v>2844918.06015212</v>
      </c>
      <c r="AC8" s="8">
        <f>Renta_Alta!AC8+Masivo!AC8+Consumo_Inicial!AC8</f>
        <v>2844244.7889158404</v>
      </c>
      <c r="AD8" s="8">
        <f>Renta_Alta!AD8+Masivo!AD8+Consumo_Inicial!AD8</f>
        <v>2864120.4859285601</v>
      </c>
      <c r="AE8" s="8">
        <f>Renta_Alta!AE8+Masivo!AE8+Consumo_Inicial!AE8</f>
        <v>2860943.3982233</v>
      </c>
      <c r="AF8" s="8">
        <f>Renta_Alta!AF8+Masivo!AF8+Consumo_Inicial!AF8</f>
        <v>2875647.3260654998</v>
      </c>
      <c r="AG8" s="8">
        <f>Renta_Alta!AG8+Masivo!AG8+Consumo_Inicial!AG8</f>
        <v>2863053.5462154602</v>
      </c>
      <c r="AH8" s="8">
        <f>Renta_Alta!AH8+Masivo!AH8+Consumo_Inicial!AH8</f>
        <v>2880412.5548435193</v>
      </c>
      <c r="AI8" s="8">
        <f>Renta_Alta!AI8+Masivo!AI8+Consumo_Inicial!AI8</f>
        <v>2916958.7799850004</v>
      </c>
      <c r="AJ8" s="8">
        <f>Renta_Alta!AJ8+Masivo!AJ8+Consumo_Inicial!AJ8</f>
        <v>2948173.9414690002</v>
      </c>
      <c r="AK8" s="8">
        <f>Renta_Alta!AK8+Masivo!AK8+Consumo_Inicial!AK8</f>
        <v>3020501.1772686001</v>
      </c>
      <c r="AL8" s="8">
        <f>Renta_Alta!AL8+Masivo!AL8+Consumo_Inicial!AL8</f>
        <v>3053412.1089146198</v>
      </c>
      <c r="AM8" s="8">
        <f>Renta_Alta!AM8+Masivo!AM8+Consumo_Inicial!AM8</f>
        <v>3052210.5724361693</v>
      </c>
      <c r="AN8" s="8">
        <f>Renta_Alta!AN8+Masivo!AN8+Consumo_Inicial!AN8</f>
        <v>3088816.56</v>
      </c>
      <c r="AO8" s="8">
        <f>Renta_Alta!AO8+Masivo!AO8+Consumo_Inicial!AO8</f>
        <v>3154128.98</v>
      </c>
      <c r="AP8" s="8">
        <f>Renta_Alta!AP8+Masivo!AP8+Consumo_Inicial!AP8</f>
        <v>3199553.0500000003</v>
      </c>
      <c r="AQ8" s="8">
        <f>Renta_Alta!AQ8+Masivo!AQ8+Consumo_Inicial!AQ8</f>
        <v>3254493.9021156901</v>
      </c>
      <c r="AR8" s="8">
        <f>Renta_Alta!AR8+Masivo!AR8+Consumo_Inicial!AR8</f>
        <v>3318026.8371849009</v>
      </c>
      <c r="AS8" s="8">
        <f>Renta_Alta!AS8+Masivo!AS8+Consumo_Inicial!AS8</f>
        <v>3401691.9679835001</v>
      </c>
      <c r="AT8" s="8">
        <f>Renta_Alta!AT8+Masivo!AT8+Consumo_Inicial!AT8</f>
        <v>0</v>
      </c>
      <c r="AU8" s="8">
        <f>Renta_Alta!AU8+Masivo!AU8+Consumo_Inicial!AU8</f>
        <v>0</v>
      </c>
      <c r="AV8" s="8">
        <f>Renta_Alta!AV8+Masivo!AV8+Consumo_Inicial!AV8</f>
        <v>0</v>
      </c>
      <c r="AW8" s="8">
        <f>Renta_Alta!AW8+Masivo!AW8+Consumo_Inicial!AW8</f>
        <v>0</v>
      </c>
      <c r="AX8" s="8">
        <f>Renta_Alta!AX8+Masivo!AX8+Consumo_Inicial!AX8</f>
        <v>0</v>
      </c>
      <c r="AY8" s="8">
        <f>Renta_Alta!AY8+Masivo!AY8+Consumo_Inicial!AY8</f>
        <v>0</v>
      </c>
      <c r="AZ8" s="8">
        <f>Renta_Alta!AZ8+Masivo!AZ8+Consumo_Inicial!AZ8</f>
        <v>3072196.3722576778</v>
      </c>
      <c r="BA8" s="8">
        <f>Renta_Alta!BA8+Masivo!BA8+Consumo_Inicial!BA8</f>
        <v>3082060.8139149286</v>
      </c>
      <c r="BB8" s="8">
        <f>Renta_Alta!BB8+Masivo!BB8+Consumo_Inicial!BB8</f>
        <v>3121000.4869662733</v>
      </c>
      <c r="BC8" s="8">
        <f>Renta_Alta!BC8+Masivo!BC8+Consumo_Inicial!BC8</f>
        <v>3170808.0896526976</v>
      </c>
      <c r="BD8" s="8">
        <f>Renta_Alta!BD8+Masivo!BD8+Consumo_Inicial!BD8</f>
        <v>3233428.6374919801</v>
      </c>
      <c r="BE8" s="8">
        <f>Renta_Alta!BE8+Masivo!BE8+Consumo_Inicial!BE8</f>
        <v>3268261.6437430498</v>
      </c>
      <c r="BF8" s="8">
        <f>Renta_Alta!BF8+Masivo!BF8+Consumo_Inicial!BF8</f>
        <v>3287480.1493869964</v>
      </c>
      <c r="BG8" s="8">
        <f>Renta_Alta!BG8+Masivo!BG8+Consumo_Inicial!BG8</f>
        <v>3323982.1131695495</v>
      </c>
      <c r="BH8" s="8">
        <f>Renta_Alta!BH8+Masivo!BH8+Consumo_Inicial!BH8</f>
        <v>3382945.2208912838</v>
      </c>
      <c r="BI8" s="8">
        <f>Renta_Alta!BI8+Masivo!BI8+Consumo_Inicial!BI8</f>
        <v>3437672.5066353865</v>
      </c>
      <c r="BJ8" s="8">
        <f>Renta_Alta!BJ8+Masivo!BJ8+Consumo_Inicial!BJ8</f>
        <v>3467052.6889225319</v>
      </c>
      <c r="BK8" s="8">
        <f>Renta_Alta!BK8+Masivo!BK8+Consumo_Inicial!BK8</f>
        <v>3478386.4075406557</v>
      </c>
      <c r="BO8" s="24">
        <f t="shared" ref="BO8:BO10" si="5">_xlfn.XLOOKUP(BO$6,$D$6:$BM$6,$D8:$BM8,,0,1)</f>
        <v>3199553.0500000003</v>
      </c>
      <c r="BP8" s="24">
        <f>_xlfn.XLOOKUP(BP$6,$D$6:$BM$6,$D8:$BM8,,0,-1)</f>
        <v>3121000.4869662733</v>
      </c>
      <c r="BQ8" s="24">
        <f t="shared" ref="BQ8:BT10" si="6">_xlfn.XLOOKUP(BQ$6,$D$6:$BM$6,$D8:$BM8,,0,1)</f>
        <v>3154128.98</v>
      </c>
      <c r="BR8" s="24">
        <f t="shared" si="6"/>
        <v>2864120.4859285601</v>
      </c>
      <c r="BS8" s="24">
        <f t="shared" si="6"/>
        <v>3428790.18530316</v>
      </c>
      <c r="BT8" s="24">
        <f t="shared" si="6"/>
        <v>3421266.20571924</v>
      </c>
    </row>
    <row r="9" spans="1:81" hidden="1" outlineLevel="1" x14ac:dyDescent="0.25">
      <c r="A9" s="11" t="s">
        <v>51</v>
      </c>
      <c r="C9" s="2" t="s">
        <v>1</v>
      </c>
      <c r="D9" s="8">
        <f>Renta_Alta!D9+Masivo!D9+Consumo_Inicial!D9</f>
        <v>12463.7981</v>
      </c>
      <c r="E9" s="8">
        <f>Renta_Alta!E9+Masivo!E9+Consumo_Inicial!E9</f>
        <v>12950.202869999999</v>
      </c>
      <c r="F9" s="8">
        <f>Renta_Alta!F9+Masivo!F9+Consumo_Inicial!F9</f>
        <v>12918.972462119998</v>
      </c>
      <c r="G9" s="8">
        <f>Renta_Alta!G9+Masivo!G9+Consumo_Inicial!G9</f>
        <v>11884.580944949999</v>
      </c>
      <c r="H9" s="8">
        <f>Renta_Alta!H9+Masivo!H9+Consumo_Inicial!H9</f>
        <v>11239.85727291</v>
      </c>
      <c r="I9" s="8">
        <f>Renta_Alta!I9+Masivo!I9+Consumo_Inicial!I9</f>
        <v>10375.033706119999</v>
      </c>
      <c r="J9" s="8">
        <f>Renta_Alta!J9+Masivo!J9+Consumo_Inicial!J9</f>
        <v>9473.5130337599985</v>
      </c>
      <c r="K9" s="8">
        <f>Renta_Alta!K9+Masivo!K9+Consumo_Inicial!K9</f>
        <v>8668.6100293500003</v>
      </c>
      <c r="L9" s="8">
        <f>Renta_Alta!L9+Masivo!L9+Consumo_Inicial!L9</f>
        <v>8637.3520266300002</v>
      </c>
      <c r="M9" s="8">
        <f>Renta_Alta!M9+Masivo!M9+Consumo_Inicial!M9</f>
        <v>7691.5346383999995</v>
      </c>
      <c r="N9" s="8">
        <f>Renta_Alta!N9+Masivo!N9+Consumo_Inicial!N9</f>
        <v>6949.5767231199989</v>
      </c>
      <c r="O9" s="8">
        <f>Renta_Alta!O9+Masivo!O9+Consumo_Inicial!O9</f>
        <v>6256.8080199999995</v>
      </c>
      <c r="P9" s="8">
        <f>Renta_Alta!P9+Masivo!P9+Consumo_Inicial!P9</f>
        <v>5601.0475100000003</v>
      </c>
      <c r="Q9" s="8">
        <f>Renta_Alta!Q9+Masivo!Q9+Consumo_Inicial!Q9</f>
        <v>6064.7830600000007</v>
      </c>
      <c r="R9" s="8">
        <f>Renta_Alta!R9+Masivo!R9+Consumo_Inicial!R9</f>
        <v>8619.8673400000007</v>
      </c>
      <c r="S9" s="8">
        <f>Renta_Alta!S9+Masivo!S9+Consumo_Inicial!S9</f>
        <v>15559.538039999998</v>
      </c>
      <c r="T9" s="8">
        <f>Renta_Alta!T9+Masivo!T9+Consumo_Inicial!T9</f>
        <v>28383.117559999995</v>
      </c>
      <c r="U9" s="8">
        <f>Renta_Alta!U9+Masivo!U9+Consumo_Inicial!U9</f>
        <v>36930.177819999997</v>
      </c>
      <c r="V9" s="8">
        <f>Renta_Alta!V9+Masivo!V9+Consumo_Inicial!V9</f>
        <v>42978.872589999999</v>
      </c>
      <c r="W9" s="8">
        <f>Renta_Alta!W9+Masivo!W9+Consumo_Inicial!W9</f>
        <v>45429.462070000001</v>
      </c>
      <c r="X9" s="8">
        <f>Renta_Alta!X9+Masivo!X9+Consumo_Inicial!X9</f>
        <v>46630.936330000004</v>
      </c>
      <c r="Y9" s="8">
        <f>Renta_Alta!Y9+Masivo!Y9+Consumo_Inicial!Y9</f>
        <v>45677.373420000004</v>
      </c>
      <c r="Z9" s="8">
        <f>Renta_Alta!Z9+Masivo!Z9+Consumo_Inicial!Z9</f>
        <v>46802.381440000005</v>
      </c>
      <c r="AA9" s="8">
        <f>Renta_Alta!AA9+Masivo!AA9+Consumo_Inicial!AA9</f>
        <v>46826.166449999997</v>
      </c>
      <c r="AB9" s="8">
        <f>Renta_Alta!AB9+Masivo!AB9+Consumo_Inicial!AB9</f>
        <v>46365.284089999994</v>
      </c>
      <c r="AC9" s="8">
        <f>Renta_Alta!AC9+Masivo!AC9+Consumo_Inicial!AC9</f>
        <v>45142.427829999993</v>
      </c>
      <c r="AD9" s="8">
        <f>Renta_Alta!AD9+Masivo!AD9+Consumo_Inicial!AD9</f>
        <v>47040.750680000005</v>
      </c>
      <c r="AE9" s="8">
        <f>Renta_Alta!AE9+Masivo!AE9+Consumo_Inicial!AE9</f>
        <v>46767.521999999997</v>
      </c>
      <c r="AF9" s="8">
        <f>Renta_Alta!AF9+Masivo!AF9+Consumo_Inicial!AF9</f>
        <v>45652.629929999996</v>
      </c>
      <c r="AG9" s="8">
        <f>Renta_Alta!AG9+Masivo!AG9+Consumo_Inicial!AG9</f>
        <v>44530.325920000003</v>
      </c>
      <c r="AH9" s="8">
        <f>Renta_Alta!AH9+Masivo!AH9+Consumo_Inicial!AH9</f>
        <v>43592.59225999999</v>
      </c>
      <c r="AI9" s="8">
        <f>Renta_Alta!AI9+Masivo!AI9+Consumo_Inicial!AI9</f>
        <v>42180.096219999999</v>
      </c>
      <c r="AJ9" s="8">
        <f>Renta_Alta!AJ9+Masivo!AJ9+Consumo_Inicial!AJ9</f>
        <v>41814.864710000002</v>
      </c>
      <c r="AK9" s="8">
        <f>Renta_Alta!AK9+Masivo!AK9+Consumo_Inicial!AK9</f>
        <v>40699.826639999999</v>
      </c>
      <c r="AL9" s="8">
        <f>Renta_Alta!AL9+Masivo!AL9+Consumo_Inicial!AL9</f>
        <v>39957.249620000002</v>
      </c>
      <c r="AM9" s="8">
        <f>Renta_Alta!AM9+Masivo!AM9+Consumo_Inicial!AM9</f>
        <v>39320.792129999994</v>
      </c>
      <c r="AN9" s="8">
        <f>Renta_Alta!AN9+Masivo!AN9+Consumo_Inicial!AN9</f>
        <v>38639.43</v>
      </c>
      <c r="AO9" s="8">
        <f>Renta_Alta!AO9+Masivo!AO9+Consumo_Inicial!AO9</f>
        <v>37846.729999999996</v>
      </c>
      <c r="AP9" s="8">
        <f>Renta_Alta!AP9+Masivo!AP9+Consumo_Inicial!AP9</f>
        <v>36825.599999999999</v>
      </c>
      <c r="AQ9" s="8">
        <f>Renta_Alta!AQ9+Masivo!AQ9+Consumo_Inicial!AQ9</f>
        <v>35788.416909999993</v>
      </c>
      <c r="AR9" s="8">
        <f>Renta_Alta!AR9+Masivo!AR9+Consumo_Inicial!AR9</f>
        <v>35737.380789999996</v>
      </c>
      <c r="AS9" s="8">
        <f>Renta_Alta!AS9+Masivo!AS9+Consumo_Inicial!AS9</f>
        <v>35099.775319999993</v>
      </c>
      <c r="AT9" s="8">
        <f>Renta_Alta!AT9+Masivo!AT9+Consumo_Inicial!AT9</f>
        <v>0</v>
      </c>
      <c r="AU9" s="8">
        <f>Renta_Alta!AU9+Masivo!AU9+Consumo_Inicial!AU9</f>
        <v>0</v>
      </c>
      <c r="AV9" s="8">
        <f>Renta_Alta!AV9+Masivo!AV9+Consumo_Inicial!AV9</f>
        <v>0</v>
      </c>
      <c r="AW9" s="8">
        <f>Renta_Alta!AW9+Masivo!AW9+Consumo_Inicial!AW9</f>
        <v>0</v>
      </c>
      <c r="AX9" s="8">
        <f>Renta_Alta!AX9+Masivo!AX9+Consumo_Inicial!AX9</f>
        <v>0</v>
      </c>
      <c r="AY9" s="8">
        <f>Renta_Alta!AY9+Masivo!AY9+Consumo_Inicial!AY9</f>
        <v>0</v>
      </c>
      <c r="AZ9" s="8">
        <f>Renta_Alta!AZ9+Masivo!AZ9+Consumo_Inicial!AZ9</f>
        <v>35630.309188579929</v>
      </c>
      <c r="BA9" s="8">
        <f>Renta_Alta!BA9+Masivo!BA9+Consumo_Inicial!BA9</f>
        <v>33788.257040137345</v>
      </c>
      <c r="BB9" s="8">
        <f>Renta_Alta!BB9+Masivo!BB9+Consumo_Inicial!BB9</f>
        <v>32170.330436663753</v>
      </c>
      <c r="BC9" s="8">
        <f>Renta_Alta!BC9+Masivo!BC9+Consumo_Inicial!BC9</f>
        <v>31322.463864221827</v>
      </c>
      <c r="BD9" s="8">
        <f>Renta_Alta!BD9+Masivo!BD9+Consumo_Inicial!BD9</f>
        <v>30188.961497653276</v>
      </c>
      <c r="BE9" s="8">
        <f>Renta_Alta!BE9+Masivo!BE9+Consumo_Inicial!BE9</f>
        <v>28923.226872714415</v>
      </c>
      <c r="BF9" s="8">
        <f>Renta_Alta!BF9+Masivo!BF9+Consumo_Inicial!BF9</f>
        <v>28233.644258112003</v>
      </c>
      <c r="BG9" s="8">
        <f>Renta_Alta!BG9+Masivo!BG9+Consumo_Inicial!BG9</f>
        <v>27280.609266878786</v>
      </c>
      <c r="BH9" s="8">
        <f>Renta_Alta!BH9+Masivo!BH9+Consumo_Inicial!BH9</f>
        <v>26159.305653061456</v>
      </c>
      <c r="BI9" s="8">
        <f>Renta_Alta!BI9+Masivo!BI9+Consumo_Inicial!BI9</f>
        <v>25527.373197221877</v>
      </c>
      <c r="BJ9" s="8">
        <f>Renta_Alta!BJ9+Masivo!BJ9+Consumo_Inicial!BJ9</f>
        <v>24776.303244979048</v>
      </c>
      <c r="BK9" s="8">
        <f>Renta_Alta!BK9+Masivo!BK9+Consumo_Inicial!BK9</f>
        <v>24436.883280202899</v>
      </c>
      <c r="BO9" s="24">
        <f t="shared" si="5"/>
        <v>36825.599999999999</v>
      </c>
      <c r="BP9" s="24">
        <f t="shared" ref="BP9:BP10" si="7">_xlfn.XLOOKUP(BP$6,$D$6:$BM$6,$D9:$BM9,,0,-1)</f>
        <v>32170.330436663753</v>
      </c>
      <c r="BQ9" s="24">
        <f t="shared" si="6"/>
        <v>37846.729999999996</v>
      </c>
      <c r="BR9" s="24">
        <f t="shared" si="6"/>
        <v>47040.750680000005</v>
      </c>
      <c r="BS9" s="24">
        <f t="shared" si="6"/>
        <v>8619.8673400000007</v>
      </c>
      <c r="BT9" s="24">
        <f t="shared" si="6"/>
        <v>12918.972462119998</v>
      </c>
    </row>
    <row r="10" spans="1:81" ht="14.45" hidden="1" customHeight="1" outlineLevel="1" x14ac:dyDescent="0.25">
      <c r="A10" s="11" t="s">
        <v>51</v>
      </c>
      <c r="C10" s="2" t="s">
        <v>45</v>
      </c>
      <c r="D10" s="8">
        <f>Renta_Alta!D10+Masivo!D10+Consumo_Inicial!D10</f>
        <v>75075.645230279988</v>
      </c>
      <c r="E10" s="8">
        <f>Renta_Alta!E10+Masivo!E10+Consumo_Inicial!E10</f>
        <v>72983.439049580003</v>
      </c>
      <c r="F10" s="8">
        <f>Renta_Alta!F10+Masivo!F10+Consumo_Inicial!F10</f>
        <v>66041.883249780003</v>
      </c>
      <c r="G10" s="8">
        <f>Renta_Alta!G10+Masivo!G10+Consumo_Inicial!G10</f>
        <v>60991.9248094</v>
      </c>
      <c r="H10" s="8">
        <f>Renta_Alta!H10+Masivo!H10+Consumo_Inicial!H10</f>
        <v>57791.376133089994</v>
      </c>
      <c r="I10" s="8">
        <f>Renta_Alta!I10+Masivo!I10+Consumo_Inicial!I10</f>
        <v>64002.308140200003</v>
      </c>
      <c r="J10" s="8">
        <f>Renta_Alta!J10+Masivo!J10+Consumo_Inicial!J10</f>
        <v>88094.936284880008</v>
      </c>
      <c r="K10" s="8">
        <f>Renta_Alta!K10+Masivo!K10+Consumo_Inicial!K10</f>
        <v>128190.78415199998</v>
      </c>
      <c r="L10" s="8">
        <f>Renta_Alta!L10+Masivo!L10+Consumo_Inicial!L10</f>
        <v>130512.01251013999</v>
      </c>
      <c r="M10" s="8">
        <f>Renta_Alta!M10+Masivo!M10+Consumo_Inicial!M10</f>
        <v>144390.83160294002</v>
      </c>
      <c r="N10" s="8">
        <f>Renta_Alta!N10+Masivo!N10+Consumo_Inicial!N10</f>
        <v>132896.45805938001</v>
      </c>
      <c r="O10" s="8">
        <f>Renta_Alta!O10+Masivo!O10+Consumo_Inicial!O10</f>
        <v>143356.33641310997</v>
      </c>
      <c r="P10" s="8">
        <f>Renta_Alta!P10+Masivo!P10+Consumo_Inicial!P10</f>
        <v>146768.68934966001</v>
      </c>
      <c r="Q10" s="8">
        <f>Renta_Alta!Q10+Masivo!Q10+Consumo_Inicial!Q10</f>
        <v>141657.99856100001</v>
      </c>
      <c r="R10" s="8">
        <f>Renta_Alta!R10+Masivo!R10+Consumo_Inicial!R10</f>
        <v>171673.77350189997</v>
      </c>
      <c r="S10" s="8">
        <f>Renta_Alta!S10+Masivo!S10+Consumo_Inicial!S10</f>
        <v>183338.19851420002</v>
      </c>
      <c r="T10" s="8">
        <f>Renta_Alta!T10+Masivo!T10+Consumo_Inicial!T10</f>
        <v>197413.06231470002</v>
      </c>
      <c r="U10" s="8">
        <f>Renta_Alta!U10+Masivo!U10+Consumo_Inicial!U10</f>
        <v>188859.68847671</v>
      </c>
      <c r="V10" s="8">
        <f>Renta_Alta!V10+Masivo!V10+Consumo_Inicial!V10</f>
        <v>168908.20446343996</v>
      </c>
      <c r="W10" s="8">
        <f>Renta_Alta!W10+Masivo!W10+Consumo_Inicial!W10</f>
        <v>156841.80060667999</v>
      </c>
      <c r="X10" s="8">
        <f>Renta_Alta!X10+Masivo!X10+Consumo_Inicial!X10</f>
        <v>136498.02776877</v>
      </c>
      <c r="Y10" s="8">
        <f>Renta_Alta!Y10+Masivo!Y10+Consumo_Inicial!Y10</f>
        <v>127826.18937312001</v>
      </c>
      <c r="Z10" s="8">
        <f>Renta_Alta!Z10+Masivo!Z10+Consumo_Inicial!Z10</f>
        <v>110227.00473952001</v>
      </c>
      <c r="AA10" s="8">
        <f>Renta_Alta!AA10+Masivo!AA10+Consumo_Inicial!AA10</f>
        <v>116235.57112524002</v>
      </c>
      <c r="AB10" s="8">
        <f>Renta_Alta!AB10+Masivo!AB10+Consumo_Inicial!AB10</f>
        <v>115951.75784286</v>
      </c>
      <c r="AC10" s="8">
        <f>Renta_Alta!AC10+Masivo!AC10+Consumo_Inicial!AC10</f>
        <v>103744.89456027999</v>
      </c>
      <c r="AD10" s="8">
        <f>Renta_Alta!AD10+Masivo!AD10+Consumo_Inicial!AD10</f>
        <v>109573.13714432</v>
      </c>
      <c r="AE10" s="8">
        <f>Renta_Alta!AE10+Masivo!AE10+Consumo_Inicial!AE10</f>
        <v>110898.47617250001</v>
      </c>
      <c r="AF10" s="8">
        <f>Renta_Alta!AF10+Masivo!AF10+Consumo_Inicial!AF10</f>
        <v>113995.31421624</v>
      </c>
      <c r="AG10" s="8">
        <f>Renta_Alta!AG10+Masivo!AG10+Consumo_Inicial!AG10</f>
        <v>107860.25499042</v>
      </c>
      <c r="AH10" s="8">
        <f>Renta_Alta!AH10+Masivo!AH10+Consumo_Inicial!AH10</f>
        <v>102179.80550028999</v>
      </c>
      <c r="AI10" s="8">
        <f>Renta_Alta!AI10+Masivo!AI10+Consumo_Inicial!AI10</f>
        <v>102701.95905395001</v>
      </c>
      <c r="AJ10" s="8">
        <f>Renta_Alta!AJ10+Masivo!AJ10+Consumo_Inicial!AJ10</f>
        <v>98648.834661799992</v>
      </c>
      <c r="AK10" s="8">
        <f>Renta_Alta!AK10+Masivo!AK10+Consumo_Inicial!AK10</f>
        <v>95506.091753750006</v>
      </c>
      <c r="AL10" s="8">
        <f>Renta_Alta!AL10+Masivo!AL10+Consumo_Inicial!AL10</f>
        <v>84071.718223360003</v>
      </c>
      <c r="AM10" s="8">
        <f>Renta_Alta!AM10+Masivo!AM10+Consumo_Inicial!AM10</f>
        <v>89478.592179850006</v>
      </c>
      <c r="AN10" s="8">
        <f>Renta_Alta!AN10+Masivo!AN10+Consumo_Inicial!AN10</f>
        <v>90448.7</v>
      </c>
      <c r="AO10" s="8">
        <f>Renta_Alta!AO10+Masivo!AO10+Consumo_Inicial!AO10</f>
        <v>88358.849999999991</v>
      </c>
      <c r="AP10" s="8">
        <f>Renta_Alta!AP10+Masivo!AP10+Consumo_Inicial!AP10</f>
        <v>84810.02</v>
      </c>
      <c r="AQ10" s="8">
        <f>Renta_Alta!AQ10+Masivo!AQ10+Consumo_Inicial!AQ10</f>
        <v>80285.389557260016</v>
      </c>
      <c r="AR10" s="8">
        <f>Renta_Alta!AR10+Masivo!AR10+Consumo_Inicial!AR10</f>
        <v>79263.646923460008</v>
      </c>
      <c r="AS10" s="8">
        <f>Renta_Alta!AS10+Masivo!AS10+Consumo_Inicial!AS10</f>
        <v>80519.008695199998</v>
      </c>
      <c r="AT10" s="8">
        <f>Renta_Alta!AT10+Masivo!AT10+Consumo_Inicial!AT10</f>
        <v>0</v>
      </c>
      <c r="AU10" s="8">
        <f>Renta_Alta!AU10+Masivo!AU10+Consumo_Inicial!AU10</f>
        <v>0</v>
      </c>
      <c r="AV10" s="8">
        <f>Renta_Alta!AV10+Masivo!AV10+Consumo_Inicial!AV10</f>
        <v>0</v>
      </c>
      <c r="AW10" s="8">
        <f>Renta_Alta!AW10+Masivo!AW10+Consumo_Inicial!AW10</f>
        <v>0</v>
      </c>
      <c r="AX10" s="8">
        <f>Renta_Alta!AX10+Masivo!AX10+Consumo_Inicial!AX10</f>
        <v>0</v>
      </c>
      <c r="AY10" s="8">
        <f>Renta_Alta!AY10+Masivo!AY10+Consumo_Inicial!AY10</f>
        <v>0</v>
      </c>
      <c r="AZ10" s="8">
        <f>Renta_Alta!AZ10+Masivo!AZ10+Consumo_Inicial!AZ10</f>
        <v>98552.025492077242</v>
      </c>
      <c r="BA10" s="8">
        <f>Renta_Alta!BA10+Masivo!BA10+Consumo_Inicial!BA10</f>
        <v>94093.84724983346</v>
      </c>
      <c r="BB10" s="8">
        <f>Renta_Alta!BB10+Masivo!BB10+Consumo_Inicial!BB10</f>
        <v>92303.295305696884</v>
      </c>
      <c r="BC10" s="8">
        <f>Renta_Alta!BC10+Masivo!BC10+Consumo_Inicial!BC10</f>
        <v>91052.304818114411</v>
      </c>
      <c r="BD10" s="8">
        <f>Renta_Alta!BD10+Masivo!BD10+Consumo_Inicial!BD10</f>
        <v>91816.65214343433</v>
      </c>
      <c r="BE10" s="8">
        <f>Renta_Alta!BE10+Masivo!BE10+Consumo_Inicial!BE10</f>
        <v>90609.390072127295</v>
      </c>
      <c r="BF10" s="8">
        <f>Renta_Alta!BF10+Masivo!BF10+Consumo_Inicial!BF10</f>
        <v>89576.634303930157</v>
      </c>
      <c r="BG10" s="8">
        <f>Renta_Alta!BG10+Masivo!BG10+Consumo_Inicial!BG10</f>
        <v>92912.762339555236</v>
      </c>
      <c r="BH10" s="8">
        <f>Renta_Alta!BH10+Masivo!BH10+Consumo_Inicial!BH10</f>
        <v>91151.093233830223</v>
      </c>
      <c r="BI10" s="8">
        <f>Renta_Alta!BI10+Masivo!BI10+Consumo_Inicial!BI10</f>
        <v>93491.691322151382</v>
      </c>
      <c r="BJ10" s="8">
        <f>Renta_Alta!BJ10+Masivo!BJ10+Consumo_Inicial!BJ10</f>
        <v>90916.809206655395</v>
      </c>
      <c r="BK10" s="8">
        <f>Renta_Alta!BK10+Masivo!BK10+Consumo_Inicial!BK10</f>
        <v>94244.001120609377</v>
      </c>
      <c r="BO10" s="24">
        <f t="shared" si="5"/>
        <v>84810.02</v>
      </c>
      <c r="BP10" s="24">
        <f t="shared" si="7"/>
        <v>92303.295305696884</v>
      </c>
      <c r="BQ10" s="24">
        <f t="shared" si="6"/>
        <v>88358.849999999991</v>
      </c>
      <c r="BR10" s="24">
        <f t="shared" si="6"/>
        <v>109573.13714432</v>
      </c>
      <c r="BS10" s="24">
        <f t="shared" si="6"/>
        <v>171673.77350189997</v>
      </c>
      <c r="BT10" s="24">
        <f t="shared" si="6"/>
        <v>66041.883249780003</v>
      </c>
    </row>
    <row r="11" spans="1:81" collapsed="1" x14ac:dyDescent="0.25">
      <c r="C11" s="3" t="s">
        <v>2</v>
      </c>
      <c r="D11" s="10">
        <f>SUM(D8:D10)</f>
        <v>3296914.7808294995</v>
      </c>
      <c r="E11" s="10">
        <f t="shared" ref="E11:AY11" si="8">SUM(E8:E10)</f>
        <v>3386022.48558466</v>
      </c>
      <c r="F11" s="10">
        <f t="shared" si="8"/>
        <v>3500227.0614311402</v>
      </c>
      <c r="G11" s="10">
        <f t="shared" si="8"/>
        <v>3571915.4316850007</v>
      </c>
      <c r="H11" s="10">
        <f t="shared" si="8"/>
        <v>3642173.8626768491</v>
      </c>
      <c r="I11" s="10">
        <f t="shared" si="8"/>
        <v>3704605.2045903206</v>
      </c>
      <c r="J11" s="10">
        <f t="shared" si="8"/>
        <v>3758207.2049503792</v>
      </c>
      <c r="K11" s="10">
        <f t="shared" si="8"/>
        <v>3885169.9887174005</v>
      </c>
      <c r="L11" s="10">
        <f t="shared" si="8"/>
        <v>3915399.0951526701</v>
      </c>
      <c r="M11" s="10">
        <f t="shared" si="8"/>
        <v>3916655.2458664398</v>
      </c>
      <c r="N11" s="10">
        <f t="shared" si="8"/>
        <v>3892351.0022360804</v>
      </c>
      <c r="O11" s="10">
        <f t="shared" si="8"/>
        <v>3818030.5208000098</v>
      </c>
      <c r="P11" s="10">
        <f t="shared" si="8"/>
        <v>3742291.2589925597</v>
      </c>
      <c r="Q11" s="10">
        <f t="shared" si="8"/>
        <v>3659491.5051083998</v>
      </c>
      <c r="R11" s="10">
        <f t="shared" si="8"/>
        <v>3609083.8261450599</v>
      </c>
      <c r="S11" s="10">
        <f t="shared" si="8"/>
        <v>3538953.9413123499</v>
      </c>
      <c r="T11" s="10">
        <f t="shared" si="8"/>
        <v>3449455.9057505201</v>
      </c>
      <c r="U11" s="10">
        <f t="shared" si="8"/>
        <v>3351286.4511345397</v>
      </c>
      <c r="V11" s="10">
        <f t="shared" si="8"/>
        <v>3243965.1351589095</v>
      </c>
      <c r="W11" s="10">
        <f t="shared" si="8"/>
        <v>3180067.3955021794</v>
      </c>
      <c r="X11" s="10">
        <f t="shared" si="8"/>
        <v>3138110.0817030603</v>
      </c>
      <c r="Y11" s="10">
        <f t="shared" si="8"/>
        <v>3106911.7758808997</v>
      </c>
      <c r="Z11" s="10">
        <f t="shared" si="8"/>
        <v>3061124.3089990602</v>
      </c>
      <c r="AA11" s="10">
        <f t="shared" si="8"/>
        <v>3032210.9137575398</v>
      </c>
      <c r="AB11" s="10">
        <f t="shared" si="8"/>
        <v>3007235.1020849803</v>
      </c>
      <c r="AC11" s="10">
        <f t="shared" si="8"/>
        <v>2993132.1113061202</v>
      </c>
      <c r="AD11" s="10">
        <f t="shared" si="8"/>
        <v>3020734.3737528804</v>
      </c>
      <c r="AE11" s="10">
        <f t="shared" si="8"/>
        <v>3018609.3963957997</v>
      </c>
      <c r="AF11" s="10">
        <f t="shared" si="8"/>
        <v>3035295.2702117395</v>
      </c>
      <c r="AG11" s="10">
        <f t="shared" si="8"/>
        <v>3015444.1271258802</v>
      </c>
      <c r="AH11" s="10">
        <f t="shared" si="8"/>
        <v>3026184.9526038091</v>
      </c>
      <c r="AI11" s="10">
        <f t="shared" si="8"/>
        <v>3061840.8352589505</v>
      </c>
      <c r="AJ11" s="10">
        <f t="shared" si="8"/>
        <v>3088637.6408408</v>
      </c>
      <c r="AK11" s="10">
        <f t="shared" si="8"/>
        <v>3156707.0956623503</v>
      </c>
      <c r="AL11" s="10">
        <f t="shared" si="8"/>
        <v>3177441.0767579796</v>
      </c>
      <c r="AM11" s="10">
        <f t="shared" si="8"/>
        <v>3181009.9567460194</v>
      </c>
      <c r="AN11" s="10">
        <f t="shared" si="8"/>
        <v>3217904.6900000004</v>
      </c>
      <c r="AO11" s="10">
        <f t="shared" si="8"/>
        <v>3280334.56</v>
      </c>
      <c r="AP11" s="10">
        <f t="shared" si="8"/>
        <v>3321188.6700000004</v>
      </c>
      <c r="AQ11" s="10">
        <f t="shared" si="8"/>
        <v>3370567.7085829503</v>
      </c>
      <c r="AR11" s="10">
        <f t="shared" si="8"/>
        <v>3433027.8648983608</v>
      </c>
      <c r="AS11" s="10">
        <f t="shared" si="8"/>
        <v>3517310.7519987002</v>
      </c>
      <c r="AT11" s="10">
        <f t="shared" si="8"/>
        <v>0</v>
      </c>
      <c r="AU11" s="10">
        <f t="shared" si="8"/>
        <v>0</v>
      </c>
      <c r="AV11" s="10">
        <f t="shared" si="8"/>
        <v>0</v>
      </c>
      <c r="AW11" s="10">
        <f t="shared" si="8"/>
        <v>0</v>
      </c>
      <c r="AX11" s="10">
        <f t="shared" si="8"/>
        <v>0</v>
      </c>
      <c r="AY11" s="10">
        <f t="shared" si="8"/>
        <v>0</v>
      </c>
      <c r="AZ11" s="10">
        <f t="shared" ref="AZ11" si="9">SUM(AZ8:AZ10)</f>
        <v>3206378.7069383352</v>
      </c>
      <c r="BA11" s="10">
        <f t="shared" ref="BA11" si="10">SUM(BA8:BA10)</f>
        <v>3209942.9182048994</v>
      </c>
      <c r="BB11" s="10">
        <f t="shared" ref="BB11" si="11">SUM(BB8:BB10)</f>
        <v>3245474.1127086338</v>
      </c>
      <c r="BC11" s="10">
        <f t="shared" ref="BC11" si="12">SUM(BC8:BC10)</f>
        <v>3293182.8583350335</v>
      </c>
      <c r="BD11" s="10">
        <f t="shared" ref="BD11" si="13">SUM(BD8:BD10)</f>
        <v>3355434.2511330675</v>
      </c>
      <c r="BE11" s="10">
        <f t="shared" ref="BE11" si="14">SUM(BE8:BE10)</f>
        <v>3387794.2606878914</v>
      </c>
      <c r="BF11" s="10">
        <f t="shared" ref="BF11" si="15">SUM(BF8:BF10)</f>
        <v>3405290.4279490388</v>
      </c>
      <c r="BG11" s="10">
        <f t="shared" ref="BG11" si="16">SUM(BG8:BG10)</f>
        <v>3444175.4847759833</v>
      </c>
      <c r="BH11" s="10">
        <f t="shared" ref="BH11" si="17">SUM(BH8:BH10)</f>
        <v>3500255.6197781754</v>
      </c>
      <c r="BI11" s="10">
        <f t="shared" ref="BI11" si="18">SUM(BI8:BI10)</f>
        <v>3556691.5711547597</v>
      </c>
      <c r="BJ11" s="10">
        <f t="shared" ref="BJ11" si="19">SUM(BJ8:BJ10)</f>
        <v>3582745.8013741663</v>
      </c>
      <c r="BK11" s="10">
        <f t="shared" ref="BK11" si="20">SUM(BK8:BK10)</f>
        <v>3597067.2919414677</v>
      </c>
      <c r="BO11" s="23">
        <f>SUM(BO8:BO10)</f>
        <v>3321188.6700000004</v>
      </c>
      <c r="BP11" s="23">
        <f>SUM(BP8:BP10)</f>
        <v>3245474.1127086338</v>
      </c>
      <c r="BQ11" s="23">
        <f t="shared" ref="BQ11:BT11" si="21">SUM(BQ8:BQ10)</f>
        <v>3280334.56</v>
      </c>
      <c r="BR11" s="23">
        <f t="shared" si="21"/>
        <v>3020734.3737528804</v>
      </c>
      <c r="BS11" s="23">
        <f t="shared" si="21"/>
        <v>3609083.8261450599</v>
      </c>
      <c r="BT11" s="23">
        <f t="shared" si="21"/>
        <v>3500227.0614311402</v>
      </c>
    </row>
    <row r="12" spans="1:81" x14ac:dyDescent="0.25">
      <c r="D12" s="9"/>
    </row>
    <row r="14" spans="1:81" hidden="1" outlineLevel="1" x14ac:dyDescent="0.25">
      <c r="A14" s="11" t="s">
        <v>52</v>
      </c>
      <c r="C14" s="2" t="s">
        <v>0</v>
      </c>
      <c r="D14" s="8">
        <f>Renta_Alta!D14+Masivo!D14+Consumo_Inicial!D14</f>
        <v>3158143.8683607001</v>
      </c>
      <c r="E14" s="8">
        <f>Renta_Alta!E14+Masivo!E14+Consumo_Inicial!E14</f>
        <v>3223471.8796179695</v>
      </c>
      <c r="F14" s="8">
        <f>Renta_Alta!F14+Masivo!F14+Consumo_Inicial!F14</f>
        <v>3343878.5237366003</v>
      </c>
      <c r="G14" s="8">
        <f>Renta_Alta!G14+Masivo!G14+Consumo_Inicial!G14</f>
        <v>3446583.52165042</v>
      </c>
      <c r="H14" s="8">
        <f>Renta_Alta!H14+Masivo!H14+Consumo_Inicial!H14</f>
        <v>3525126.3628209797</v>
      </c>
      <c r="I14" s="8">
        <f>Renta_Alta!I14+Masivo!I14+Consumo_Inicial!I14</f>
        <v>3573798.2914805003</v>
      </c>
      <c r="J14" s="8">
        <f>Renta_Alta!J14+Masivo!J14+Consumo_Inicial!J14</f>
        <v>3616393.9705937798</v>
      </c>
      <c r="K14" s="8">
        <f>Renta_Alta!K14+Masivo!K14+Consumo_Inicial!K14</f>
        <v>3651568.87944574</v>
      </c>
      <c r="L14" s="8">
        <f>Renta_Alta!L14+Masivo!L14+Consumo_Inicial!L14</f>
        <v>3735693.2997437241</v>
      </c>
      <c r="M14" s="8">
        <f>Renta_Alta!M14+Masivo!M14+Consumo_Inicial!M14</f>
        <v>3736410.0076847002</v>
      </c>
      <c r="N14" s="8">
        <f>Renta_Alta!N14+Masivo!N14+Consumo_Inicial!N14</f>
        <v>3731897.5840473198</v>
      </c>
      <c r="O14" s="8">
        <f>Renta_Alta!O14+Masivo!O14+Consumo_Inicial!O14</f>
        <v>3687840.98503333</v>
      </c>
      <c r="P14" s="8">
        <f>Renta_Alta!P14+Masivo!P14+Consumo_Inicial!P14</f>
        <v>3602227.7735957</v>
      </c>
      <c r="Q14" s="8">
        <f>Renta_Alta!Q14+Masivo!Q14+Consumo_Inicial!Q14</f>
        <v>3519189.5747741004</v>
      </c>
      <c r="R14" s="8">
        <f>Renta_Alta!R14+Masivo!R14+Consumo_Inicial!R14</f>
        <v>3450850.8927352</v>
      </c>
      <c r="S14" s="8">
        <f>Renta_Alta!S14+Masivo!S14+Consumo_Inicial!S14</f>
        <v>3353142.2861168403</v>
      </c>
      <c r="T14" s="8">
        <f>Renta_Alta!T14+Masivo!T14+Consumo_Inicial!T14</f>
        <v>3253692.5450149998</v>
      </c>
      <c r="U14" s="8">
        <f>Renta_Alta!U14+Masivo!U14+Consumo_Inicial!U14</f>
        <v>3142510.9069264703</v>
      </c>
      <c r="V14" s="8">
        <f>Renta_Alta!V14+Masivo!V14+Consumo_Inicial!V14</f>
        <v>3048958.0858800602</v>
      </c>
      <c r="W14" s="8">
        <f>Renta_Alta!W14+Masivo!W14+Consumo_Inicial!W14</f>
        <v>2976898.3951222999</v>
      </c>
      <c r="X14" s="8">
        <f>Renta_Alta!X14+Masivo!X14+Consumo_Inicial!X14</f>
        <v>2938687.8816653597</v>
      </c>
      <c r="Y14" s="8">
        <f>Renta_Alta!Y14+Masivo!Y14+Consumo_Inicial!Y14</f>
        <v>2919493.58897798</v>
      </c>
      <c r="Z14" s="8">
        <f>Renta_Alta!Z14+Masivo!Z14+Consumo_Inicial!Z14</f>
        <v>2894634.15261772</v>
      </c>
      <c r="AA14" s="8">
        <f>Renta_Alta!AA14+Masivo!AA14+Consumo_Inicial!AA14</f>
        <v>2871581.5262779002</v>
      </c>
      <c r="AB14" s="8">
        <f>Renta_Alta!AB14+Masivo!AB14+Consumo_Inicial!AB14</f>
        <v>2826956.6588810501</v>
      </c>
      <c r="AC14" s="8">
        <f>Renta_Alta!AC14+Masivo!AC14+Consumo_Inicial!AC14</f>
        <v>2822733.9713770002</v>
      </c>
      <c r="AD14" s="8">
        <f>Renta_Alta!AD14+Masivo!AD14+Consumo_Inicial!AD14</f>
        <v>2841610.0432182099</v>
      </c>
      <c r="AE14" s="8">
        <f>Renta_Alta!AE14+Masivo!AE14+Consumo_Inicial!AE14</f>
        <v>2845777.1085610799</v>
      </c>
      <c r="AF14" s="8">
        <f>Renta_Alta!AF14+Masivo!AF14+Consumo_Inicial!AF14</f>
        <v>2846832.4502618001</v>
      </c>
      <c r="AG14" s="8">
        <f>Renta_Alta!AG14+Masivo!AG14+Consumo_Inicial!AG14</f>
        <v>2845245.9568238799</v>
      </c>
      <c r="AH14" s="8">
        <f>Renta_Alta!AH14+Masivo!AH14+Consumo_Inicial!AH14</f>
        <v>2850535.34840478</v>
      </c>
      <c r="AI14" s="8">
        <f>Renta_Alta!AI14+Masivo!AI14+Consumo_Inicial!AI14</f>
        <v>2878344.0311866496</v>
      </c>
      <c r="AJ14" s="8">
        <f>Renta_Alta!AJ14+Masivo!AJ14+Consumo_Inicial!AJ14</f>
        <v>2909885.9467009995</v>
      </c>
      <c r="AK14" s="8">
        <f>Renta_Alta!AK14+Masivo!AK14+Consumo_Inicial!AK14</f>
        <v>2964253.9687412805</v>
      </c>
      <c r="AL14" s="8">
        <f>Renta_Alta!AL14+Masivo!AL14+Consumo_Inicial!AL14</f>
        <v>3018335.3458154998</v>
      </c>
      <c r="AM14" s="8">
        <f>Renta_Alta!AM14+Masivo!AM14+Consumo_Inicial!AM14</f>
        <v>3034964.0066275001</v>
      </c>
      <c r="AN14" s="8">
        <f>Renta_Alta!AN14+Masivo!AN14+Consumo_Inicial!AN14</f>
        <v>3042451.9400000004</v>
      </c>
      <c r="AO14" s="8">
        <f>Renta_Alta!AO14+Masivo!AO14+Consumo_Inicial!AO14</f>
        <v>3096567.55</v>
      </c>
      <c r="AP14" s="8">
        <f>Renta_Alta!AP14+Masivo!AP14+Consumo_Inicial!AP14</f>
        <v>3165468.54</v>
      </c>
      <c r="AQ14" s="8">
        <f>Renta_Alta!AQ14+Masivo!AQ14+Consumo_Inicial!AQ14</f>
        <v>3202597.6851863391</v>
      </c>
      <c r="AR14" s="8">
        <f>Renta_Alta!AR14+Masivo!AR14+Consumo_Inicial!AR14</f>
        <v>3258957.4941333202</v>
      </c>
      <c r="AS14" s="8">
        <f>Renta_Alta!AS14+Masivo!AS14+Consumo_Inicial!AS14</f>
        <v>3342353.1980914506</v>
      </c>
      <c r="AT14" s="8">
        <f>Renta_Alta!AT14+Masivo!AT14+Consumo_Inicial!AT14</f>
        <v>0</v>
      </c>
      <c r="AU14" s="8">
        <f>Renta_Alta!AU14+Masivo!AU14+Consumo_Inicial!AU14</f>
        <v>0</v>
      </c>
      <c r="AV14" s="8">
        <f>Renta_Alta!AV14+Masivo!AV14+Consumo_Inicial!AV14</f>
        <v>0</v>
      </c>
      <c r="AW14" s="8">
        <f>Renta_Alta!AW14+Masivo!AW14+Consumo_Inicial!AW14</f>
        <v>0</v>
      </c>
      <c r="AX14" s="8">
        <f>Renta_Alta!AX14+Masivo!AX14+Consumo_Inicial!AX14</f>
        <v>0</v>
      </c>
      <c r="AY14" s="8">
        <f>Renta_Alta!AY14+Masivo!AY14+Consumo_Inicial!AY14</f>
        <v>0</v>
      </c>
      <c r="AZ14" s="8">
        <f>Renta_Alta!AZ14+Masivo!AZ14+Consumo_Inicial!AZ14</f>
        <v>3046086.2746656365</v>
      </c>
      <c r="BA14" s="8">
        <f>Renta_Alta!BA14+Masivo!BA14+Consumo_Inicial!BA14</f>
        <v>3054482.0777522125</v>
      </c>
      <c r="BB14" s="8">
        <f>Renta_Alta!BB14+Masivo!BB14+Consumo_Inicial!BB14</f>
        <v>3078694.5854300028</v>
      </c>
      <c r="BC14" s="8">
        <f>Renta_Alta!BC14+Masivo!BC14+Consumo_Inicial!BC14</f>
        <v>3122814.5902864099</v>
      </c>
      <c r="BD14" s="8">
        <f>Renta_Alta!BD14+Masivo!BD14+Consumo_Inicial!BD14</f>
        <v>3178630.8307432071</v>
      </c>
      <c r="BE14" s="8">
        <f>Renta_Alta!BE14+Masivo!BE14+Consumo_Inicial!BE14</f>
        <v>3227023.2196521643</v>
      </c>
      <c r="BF14" s="8">
        <f>Renta_Alta!BF14+Masivo!BF14+Consumo_Inicial!BF14</f>
        <v>3253882.8808673648</v>
      </c>
      <c r="BG14" s="8">
        <f>Renta_Alta!BG14+Masivo!BG14+Consumo_Inicial!BG14</f>
        <v>3281559.2604796584</v>
      </c>
      <c r="BH14" s="8">
        <f>Renta_Alta!BH14+Masivo!BH14+Consumo_Inicial!BH14</f>
        <v>3328965.7061126353</v>
      </c>
      <c r="BI14" s="8">
        <f>Renta_Alta!BI14+Masivo!BI14+Consumo_Inicial!BI14</f>
        <v>3385418.4478953797</v>
      </c>
      <c r="BJ14" s="8">
        <f>Renta_Alta!BJ14+Masivo!BJ14+Consumo_Inicial!BJ14</f>
        <v>3427183.7749567223</v>
      </c>
      <c r="BK14" s="8">
        <f>Renta_Alta!BK14+Masivo!BK14+Consumo_Inicial!BK14</f>
        <v>3447409.6282713725</v>
      </c>
      <c r="BO14" s="24">
        <f t="shared" ref="BO14:BT16" si="22">IFERROR(AVERAGEIFS($D14:$BM14,$D$6:$BM$6,"&gt;="&amp;BO$2,$D$6:$BM$6,"&lt;="&amp;BO$6,$D$5:$BM$5,BO$5,$D14:$BM14,"&lt;&gt;0"),0)</f>
        <v>3101496.0100000002</v>
      </c>
      <c r="BP14" s="24">
        <f t="shared" si="22"/>
        <v>3059754.3126159511</v>
      </c>
      <c r="BQ14" s="24">
        <f t="shared" si="22"/>
        <v>3069509.7450000001</v>
      </c>
      <c r="BR14" s="24">
        <f t="shared" si="22"/>
        <v>2830433.5578254201</v>
      </c>
      <c r="BS14" s="24">
        <f t="shared" si="22"/>
        <v>3524089.413701667</v>
      </c>
      <c r="BT14" s="24">
        <f t="shared" si="22"/>
        <v>3241831.42390509</v>
      </c>
      <c r="BW14" s="24">
        <f t="shared" ref="BW14:CB16" si="23">SUMIFS($D14:$BM14,$D$6:$BM$6,"&gt;="&amp;BO$2,$D$6:$BM$6,"&lt;="&amp;BO$6,$D$5:$BM$5,BO$5)</f>
        <v>9304488.0300000012</v>
      </c>
      <c r="BX14" s="24">
        <f t="shared" si="23"/>
        <v>9179262.9378478527</v>
      </c>
      <c r="BY14" s="24">
        <f t="shared" si="23"/>
        <v>6139019.4900000002</v>
      </c>
      <c r="BZ14" s="24">
        <f t="shared" si="23"/>
        <v>8491300.6734762602</v>
      </c>
      <c r="CA14" s="24">
        <f t="shared" si="23"/>
        <v>10572268.241105001</v>
      </c>
      <c r="CB14" s="24">
        <f t="shared" si="23"/>
        <v>9725494.2717152704</v>
      </c>
    </row>
    <row r="15" spans="1:81" hidden="1" outlineLevel="1" x14ac:dyDescent="0.25">
      <c r="A15" s="11" t="s">
        <v>52</v>
      </c>
      <c r="C15" s="2" t="s">
        <v>1</v>
      </c>
      <c r="D15" s="8">
        <f>Renta_Alta!D15+Masivo!D15+Consumo_Inicial!D15</f>
        <v>11558.804909999999</v>
      </c>
      <c r="E15" s="8">
        <f>Renta_Alta!E15+Masivo!E15+Consumo_Inicial!E15</f>
        <v>12005.689910000001</v>
      </c>
      <c r="F15" s="8">
        <f>Renta_Alta!F15+Masivo!F15+Consumo_Inicial!F15</f>
        <v>12441.220657799999</v>
      </c>
      <c r="G15" s="8">
        <f>Renta_Alta!G15+Masivo!G15+Consumo_Inicial!G15</f>
        <v>11919.02523148</v>
      </c>
      <c r="H15" s="8">
        <f>Renta_Alta!H15+Masivo!H15+Consumo_Inicial!H15</f>
        <v>10988.5379624</v>
      </c>
      <c r="I15" s="8">
        <f>Renta_Alta!I15+Masivo!I15+Consumo_Inicial!I15</f>
        <v>10143.9436045</v>
      </c>
      <c r="J15" s="8">
        <f>Renta_Alta!J15+Masivo!J15+Consumo_Inicial!J15</f>
        <v>9514.0315534800011</v>
      </c>
      <c r="K15" s="8">
        <f>Renta_Alta!K15+Masivo!K15+Consumo_Inicial!K15</f>
        <v>8636.6126597599996</v>
      </c>
      <c r="L15" s="8">
        <f>Renta_Alta!L15+Masivo!L15+Consumo_Inicial!L15</f>
        <v>8338.0419087499995</v>
      </c>
      <c r="M15" s="8">
        <f>Renta_Alta!M15+Masivo!M15+Consumo_Inicial!M15</f>
        <v>7738.7857933000014</v>
      </c>
      <c r="N15" s="8">
        <f>Renta_Alta!N15+Masivo!N15+Consumo_Inicial!N15</f>
        <v>6740.2812754200004</v>
      </c>
      <c r="O15" s="8">
        <f>Renta_Alta!O15+Masivo!O15+Consumo_Inicial!O15</f>
        <v>6307.733048789999</v>
      </c>
      <c r="P15" s="8">
        <f>Renta_Alta!P15+Masivo!P15+Consumo_Inicial!P15</f>
        <v>5648.7688500000004</v>
      </c>
      <c r="Q15" s="8">
        <f>Renta_Alta!Q15+Masivo!Q15+Consumo_Inicial!Q15</f>
        <v>5330.2061400000002</v>
      </c>
      <c r="R15" s="8">
        <f>Renta_Alta!R15+Masivo!R15+Consumo_Inicial!R15</f>
        <v>6162.1973199999993</v>
      </c>
      <c r="S15" s="8">
        <f>Renta_Alta!S15+Masivo!S15+Consumo_Inicial!S15</f>
        <v>10003.644019999998</v>
      </c>
      <c r="T15" s="8">
        <f>Renta_Alta!T15+Masivo!T15+Consumo_Inicial!T15</f>
        <v>19751.964469999999</v>
      </c>
      <c r="U15" s="8">
        <f>Renta_Alta!U15+Masivo!U15+Consumo_Inicial!U15</f>
        <v>32329.686660000003</v>
      </c>
      <c r="V15" s="8">
        <f>Renta_Alta!V15+Masivo!V15+Consumo_Inicial!V15</f>
        <v>39643.897229999995</v>
      </c>
      <c r="W15" s="8">
        <f>Renta_Alta!W15+Masivo!W15+Consumo_Inicial!W15</f>
        <v>43680.815280000003</v>
      </c>
      <c r="X15" s="8">
        <f>Renta_Alta!X15+Masivo!X15+Consumo_Inicial!X15</f>
        <v>45237.289149999997</v>
      </c>
      <c r="Y15" s="8">
        <f>Renta_Alta!Y15+Masivo!Y15+Consumo_Inicial!Y15</f>
        <v>44057.838409999997</v>
      </c>
      <c r="Z15" s="8">
        <f>Renta_Alta!Z15+Masivo!Z15+Consumo_Inicial!Z15</f>
        <v>44126.801819999993</v>
      </c>
      <c r="AA15" s="8">
        <f>Renta_Alta!AA15+Masivo!AA15+Consumo_Inicial!AA15</f>
        <v>44484.755370000006</v>
      </c>
      <c r="AB15" s="8">
        <f>Renta_Alta!AB15+Masivo!AB15+Consumo_Inicial!AB15</f>
        <v>44818.405169999998</v>
      </c>
      <c r="AC15" s="8">
        <f>Renta_Alta!AC15+Masivo!AC15+Consumo_Inicial!AC15</f>
        <v>44175.168039999997</v>
      </c>
      <c r="AD15" s="8">
        <f>Renta_Alta!AD15+Masivo!AD15+Consumo_Inicial!AD15</f>
        <v>44237.049360000005</v>
      </c>
      <c r="AE15" s="8">
        <f>Renta_Alta!AE15+Masivo!AE15+Consumo_Inicial!AE15</f>
        <v>46012.85974</v>
      </c>
      <c r="AF15" s="8">
        <f>Renta_Alta!AF15+Masivo!AF15+Consumo_Inicial!AF15</f>
        <v>44563.881820000002</v>
      </c>
      <c r="AG15" s="8">
        <f>Renta_Alta!AG15+Masivo!AG15+Consumo_Inicial!AG15</f>
        <v>43162.356079999998</v>
      </c>
      <c r="AH15" s="8">
        <f>Renta_Alta!AH15+Masivo!AH15+Consumo_Inicial!AH15</f>
        <v>42270.483269999997</v>
      </c>
      <c r="AI15" s="8">
        <f>Renta_Alta!AI15+Masivo!AI15+Consumo_Inicial!AI15</f>
        <v>40923.297489999997</v>
      </c>
      <c r="AJ15" s="8">
        <f>Renta_Alta!AJ15+Masivo!AJ15+Consumo_Inicial!AJ15</f>
        <v>40479.740379999996</v>
      </c>
      <c r="AK15" s="8">
        <f>Renta_Alta!AK15+Masivo!AK15+Consumo_Inicial!AK15</f>
        <v>39807.812590000001</v>
      </c>
      <c r="AL15" s="8">
        <f>Renta_Alta!AL15+Masivo!AL15+Consumo_Inicial!AL15</f>
        <v>38839.945269999997</v>
      </c>
      <c r="AM15" s="8">
        <f>Renta_Alta!AM15+Masivo!AM15+Consumo_Inicial!AM15</f>
        <v>38725.73014</v>
      </c>
      <c r="AN15" s="8">
        <f>Renta_Alta!AN15+Masivo!AN15+Consumo_Inicial!AN15</f>
        <v>37998.17</v>
      </c>
      <c r="AO15" s="8">
        <f>Renta_Alta!AO15+Masivo!AO15+Consumo_Inicial!AO15</f>
        <v>37148</v>
      </c>
      <c r="AP15" s="8">
        <f>Renta_Alta!AP15+Masivo!AP15+Consumo_Inicial!AP15</f>
        <v>36267.490000000005</v>
      </c>
      <c r="AQ15" s="8">
        <f>Renta_Alta!AQ15+Masivo!AQ15+Consumo_Inicial!AQ15</f>
        <v>35492.622779999998</v>
      </c>
      <c r="AR15" s="8">
        <f>Renta_Alta!AR15+Masivo!AR15+Consumo_Inicial!AR15</f>
        <v>34942.012969999996</v>
      </c>
      <c r="AS15" s="8">
        <f>Renta_Alta!AS15+Masivo!AS15+Consumo_Inicial!AS15</f>
        <v>34402.16719</v>
      </c>
      <c r="AT15" s="8">
        <f>Renta_Alta!AT15+Masivo!AT15+Consumo_Inicial!AT15</f>
        <v>0</v>
      </c>
      <c r="AU15" s="8">
        <f>Renta_Alta!AU15+Masivo!AU15+Consumo_Inicial!AU15</f>
        <v>0</v>
      </c>
      <c r="AV15" s="8">
        <f>Renta_Alta!AV15+Masivo!AV15+Consumo_Inicial!AV15</f>
        <v>0</v>
      </c>
      <c r="AW15" s="8">
        <f>Renta_Alta!AW15+Masivo!AW15+Consumo_Inicial!AW15</f>
        <v>0</v>
      </c>
      <c r="AX15" s="8">
        <f>Renta_Alta!AX15+Masivo!AX15+Consumo_Inicial!AX15</f>
        <v>0</v>
      </c>
      <c r="AY15" s="8">
        <f>Renta_Alta!AY15+Masivo!AY15+Consumo_Inicial!AY15</f>
        <v>0</v>
      </c>
      <c r="AZ15" s="8">
        <f>Renta_Alta!AZ15+Masivo!AZ15+Consumo_Inicial!AZ15</f>
        <v>35085.94875566478</v>
      </c>
      <c r="BA15" s="8">
        <f>Renta_Alta!BA15+Masivo!BA15+Consumo_Inicial!BA15</f>
        <v>33321.462755499415</v>
      </c>
      <c r="BB15" s="8">
        <f>Renta_Alta!BB15+Masivo!BB15+Consumo_Inicial!BB15</f>
        <v>31668.279046356842</v>
      </c>
      <c r="BC15" s="8">
        <f>Renta_Alta!BC15+Masivo!BC15+Consumo_Inicial!BC15</f>
        <v>30477.668017344775</v>
      </c>
      <c r="BD15" s="8">
        <f>Renta_Alta!BD15+Masivo!BD15+Consumo_Inicial!BD15</f>
        <v>29528.623597128357</v>
      </c>
      <c r="BE15" s="8">
        <f>Renta_Alta!BE15+Masivo!BE15+Consumo_Inicial!BE15</f>
        <v>28377.719309322842</v>
      </c>
      <c r="BF15" s="8">
        <f>Renta_Alta!BF15+Masivo!BF15+Consumo_Inicial!BF15</f>
        <v>27437.92898624107</v>
      </c>
      <c r="BG15" s="8">
        <f>Renta_Alta!BG15+Masivo!BG15+Consumo_Inicial!BG15</f>
        <v>26649.916728758253</v>
      </c>
      <c r="BH15" s="8">
        <f>Renta_Alta!BH15+Masivo!BH15+Consumo_Inicial!BH15</f>
        <v>25654.203384582826</v>
      </c>
      <c r="BI15" s="8">
        <f>Renta_Alta!BI15+Masivo!BI15+Consumo_Inicial!BI15</f>
        <v>24812.405985380305</v>
      </c>
      <c r="BJ15" s="8">
        <f>Renta_Alta!BJ15+Masivo!BJ15+Consumo_Inicial!BJ15</f>
        <v>24148.621916261916</v>
      </c>
      <c r="BK15" s="8">
        <f>Renta_Alta!BK15+Masivo!BK15+Consumo_Inicial!BK15</f>
        <v>23625.138205542571</v>
      </c>
      <c r="BO15" s="24">
        <f t="shared" si="22"/>
        <v>37137.886666666665</v>
      </c>
      <c r="BP15" s="24">
        <f t="shared" si="22"/>
        <v>33358.563519173673</v>
      </c>
      <c r="BQ15" s="24">
        <f t="shared" si="22"/>
        <v>37573.084999999999</v>
      </c>
      <c r="BR15" s="24">
        <f t="shared" si="22"/>
        <v>44410.207523333338</v>
      </c>
      <c r="BS15" s="24">
        <f t="shared" si="22"/>
        <v>5713.7241033333339</v>
      </c>
      <c r="BT15" s="24">
        <f t="shared" si="22"/>
        <v>12001.905159266666</v>
      </c>
      <c r="BW15" s="24">
        <f t="shared" si="23"/>
        <v>111413.66</v>
      </c>
      <c r="BX15" s="24">
        <f t="shared" si="23"/>
        <v>100075.69055752103</v>
      </c>
      <c r="BY15" s="24">
        <f t="shared" si="23"/>
        <v>75146.17</v>
      </c>
      <c r="BZ15" s="24">
        <f t="shared" si="23"/>
        <v>133230.62257000001</v>
      </c>
      <c r="CA15" s="24">
        <f t="shared" si="23"/>
        <v>17141.172310000002</v>
      </c>
      <c r="CB15" s="24">
        <f t="shared" si="23"/>
        <v>36005.715477799997</v>
      </c>
    </row>
    <row r="16" spans="1:81" hidden="1" outlineLevel="1" x14ac:dyDescent="0.25">
      <c r="A16" s="11" t="s">
        <v>52</v>
      </c>
      <c r="C16" s="2" t="s">
        <v>45</v>
      </c>
      <c r="D16" s="8">
        <f>Renta_Alta!D16+Masivo!D16+Consumo_Inicial!D16</f>
        <v>87323.449326579997</v>
      </c>
      <c r="E16" s="8">
        <f>Renta_Alta!E16+Masivo!E16+Consumo_Inicial!E16</f>
        <v>87859.363438359986</v>
      </c>
      <c r="F16" s="8">
        <f>Renta_Alta!F16+Masivo!F16+Consumo_Inicial!F16</f>
        <v>78613.722669199982</v>
      </c>
      <c r="G16" s="8">
        <f>Renta_Alta!G16+Masivo!G16+Consumo_Inicial!G16</f>
        <v>75931.778721419993</v>
      </c>
      <c r="H16" s="8">
        <f>Renta_Alta!H16+Masivo!H16+Consumo_Inicial!H16</f>
        <v>68785.834899639987</v>
      </c>
      <c r="I16" s="8">
        <f>Renta_Alta!I16+Masivo!I16+Consumo_Inicial!I16</f>
        <v>75827.006626500006</v>
      </c>
      <c r="J16" s="8">
        <f>Renta_Alta!J16+Masivo!J16+Consumo_Inicial!J16</f>
        <v>90692.774116929984</v>
      </c>
      <c r="K16" s="8">
        <f>Renta_Alta!K16+Masivo!K16+Consumo_Inicial!K16</f>
        <v>138012.13292818001</v>
      </c>
      <c r="L16" s="8">
        <f>Renta_Alta!L16+Masivo!L16+Consumo_Inicial!L16</f>
        <v>169016.83854540001</v>
      </c>
      <c r="M16" s="8">
        <f>Renta_Alta!M16+Masivo!M16+Consumo_Inicial!M16</f>
        <v>162311.91826704997</v>
      </c>
      <c r="N16" s="8">
        <f>Renta_Alta!N16+Masivo!N16+Consumo_Inicial!N16</f>
        <v>151978.99685187999</v>
      </c>
      <c r="O16" s="8">
        <f>Renta_Alta!O16+Masivo!O16+Consumo_Inicial!O16</f>
        <v>145979.31567167997</v>
      </c>
      <c r="P16" s="8">
        <f>Renta_Alta!P16+Masivo!P16+Consumo_Inicial!P16</f>
        <v>175744.38280961997</v>
      </c>
      <c r="Q16" s="8">
        <f>Renta_Alta!Q16+Masivo!Q16+Consumo_Inicial!Q16</f>
        <v>181250.14813356</v>
      </c>
      <c r="R16" s="8">
        <f>Renta_Alta!R16+Masivo!R16+Consumo_Inicial!R16</f>
        <v>178129.14890008001</v>
      </c>
      <c r="S16" s="8">
        <f>Renta_Alta!S16+Masivo!S16+Consumo_Inicial!S16</f>
        <v>219210.80945892003</v>
      </c>
      <c r="T16" s="8">
        <f>Renta_Alta!T16+Masivo!T16+Consumo_Inicial!T16</f>
        <v>222435.12334840003</v>
      </c>
      <c r="U16" s="8">
        <f>Renta_Alta!U16+Masivo!U16+Consumo_Inicial!U16</f>
        <v>218520.31261681</v>
      </c>
      <c r="V16" s="8">
        <f>Renta_Alta!V16+Masivo!V16+Consumo_Inicial!V16</f>
        <v>195673.91135359998</v>
      </c>
      <c r="W16" s="8">
        <f>Renta_Alta!W16+Masivo!W16+Consumo_Inicial!W16</f>
        <v>174491.63376071001</v>
      </c>
      <c r="X16" s="8">
        <f>Renta_Alta!X16+Masivo!X16+Consumo_Inicial!X16</f>
        <v>173460.22345168001</v>
      </c>
      <c r="Y16" s="8">
        <f>Renta_Alta!Y16+Masivo!Y16+Consumo_Inicial!Y16</f>
        <v>149284.71479951998</v>
      </c>
      <c r="Z16" s="8">
        <f>Renta_Alta!Z16+Masivo!Z16+Consumo_Inicial!Z16</f>
        <v>132617.09792484</v>
      </c>
      <c r="AA16" s="8">
        <f>Renta_Alta!AA16+Masivo!AA16+Consumo_Inicial!AA16</f>
        <v>119640.88806930001</v>
      </c>
      <c r="AB16" s="8">
        <f>Renta_Alta!AB16+Masivo!AB16+Consumo_Inicial!AB16</f>
        <v>139445.69333911999</v>
      </c>
      <c r="AC16" s="8">
        <f>Renta_Alta!AC16+Masivo!AC16+Consumo_Inicial!AC16</f>
        <v>139677.28103799999</v>
      </c>
      <c r="AD16" s="8">
        <f>Renta_Alta!AD16+Masivo!AD16+Consumo_Inicial!AD16</f>
        <v>122146.44726766</v>
      </c>
      <c r="AE16" s="8">
        <f>Renta_Alta!AE16+Masivo!AE16+Consumo_Inicial!AE16</f>
        <v>124003.60839026001</v>
      </c>
      <c r="AF16" s="8">
        <f>Renta_Alta!AF16+Masivo!AF16+Consumo_Inicial!AF16</f>
        <v>124092.29516379999</v>
      </c>
      <c r="AG16" s="8">
        <f>Renta_Alta!AG16+Masivo!AG16+Consumo_Inicial!AG16</f>
        <v>127884.59830403999</v>
      </c>
      <c r="AH16" s="8">
        <f>Renta_Alta!AH16+Masivo!AH16+Consumo_Inicial!AH16</f>
        <v>119433.69524145999</v>
      </c>
      <c r="AI16" s="8">
        <f>Renta_Alta!AI16+Masivo!AI16+Consumo_Inicial!AI16</f>
        <v>120206.81189595001</v>
      </c>
      <c r="AJ16" s="8">
        <f>Renta_Alta!AJ16+Masivo!AJ16+Consumo_Inicial!AJ16</f>
        <v>116655.50059681</v>
      </c>
      <c r="AK16" s="8">
        <f>Renta_Alta!AK16+Masivo!AK16+Consumo_Inicial!AK16</f>
        <v>114435.16009896</v>
      </c>
      <c r="AL16" s="8">
        <f>Renta_Alta!AL16+Masivo!AL16+Consumo_Inicial!AL16</f>
        <v>99981.320272619982</v>
      </c>
      <c r="AM16" s="8">
        <f>Renta_Alta!AM16+Masivo!AM16+Consumo_Inicial!AM16</f>
        <v>93258.37351927998</v>
      </c>
      <c r="AN16" s="8">
        <f>Renta_Alta!AN16+Masivo!AN16+Consumo_Inicial!AN16</f>
        <v>103087.53</v>
      </c>
      <c r="AO16" s="8">
        <f>Renta_Alta!AO16+Masivo!AO16+Consumo_Inicial!AO16</f>
        <v>101854.37</v>
      </c>
      <c r="AP16" s="8">
        <f>Renta_Alta!AP16+Masivo!AP16+Consumo_Inicial!AP16</f>
        <v>96644.160000000003</v>
      </c>
      <c r="AQ16" s="8">
        <f>Renta_Alta!AQ16+Masivo!AQ16+Consumo_Inicial!AQ16</f>
        <v>89947.819722479995</v>
      </c>
      <c r="AR16" s="8">
        <f>Renta_Alta!AR16+Masivo!AR16+Consumo_Inicial!AR16</f>
        <v>85258.690910380014</v>
      </c>
      <c r="AS16" s="8">
        <f>Renta_Alta!AS16+Masivo!AS16+Consumo_Inicial!AS16</f>
        <v>89362.962277350001</v>
      </c>
      <c r="AT16" s="8">
        <f>Renta_Alta!AT16+Masivo!AT16+Consumo_Inicial!AT16</f>
        <v>0</v>
      </c>
      <c r="AU16" s="8">
        <f>Renta_Alta!AU16+Masivo!AU16+Consumo_Inicial!AU16</f>
        <v>0</v>
      </c>
      <c r="AV16" s="8">
        <f>Renta_Alta!AV16+Masivo!AV16+Consumo_Inicial!AV16</f>
        <v>0</v>
      </c>
      <c r="AW16" s="8">
        <f>Renta_Alta!AW16+Masivo!AW16+Consumo_Inicial!AW16</f>
        <v>0</v>
      </c>
      <c r="AX16" s="8">
        <f>Renta_Alta!AX16+Masivo!AX16+Consumo_Inicial!AX16</f>
        <v>0</v>
      </c>
      <c r="AY16" s="8">
        <f>Renta_Alta!AY16+Masivo!AY16+Consumo_Inicial!AY16</f>
        <v>0</v>
      </c>
      <c r="AZ16" s="8">
        <f>Renta_Alta!AZ16+Masivo!AZ16+Consumo_Inicial!AZ16</f>
        <v>112313.93233026654</v>
      </c>
      <c r="BA16" s="8">
        <f>Renta_Alta!BA16+Masivo!BA16+Consumo_Inicial!BA16</f>
        <v>111717.63364191896</v>
      </c>
      <c r="BB16" s="8">
        <f>Renta_Alta!BB16+Masivo!BB16+Consumo_Inicial!BB16</f>
        <v>108022.07401630754</v>
      </c>
      <c r="BC16" s="8">
        <f>Renta_Alta!BC16+Masivo!BC16+Consumo_Inicial!BC16</f>
        <v>106278.40027905926</v>
      </c>
      <c r="BD16" s="8">
        <f>Renta_Alta!BD16+Masivo!BD16+Consumo_Inicial!BD16</f>
        <v>106004.55335432199</v>
      </c>
      <c r="BE16" s="8">
        <f>Renta_Alta!BE16+Masivo!BE16+Consumo_Inicial!BE16</f>
        <v>105730.4549874643</v>
      </c>
      <c r="BF16" s="8">
        <f>Renta_Alta!BF16+Masivo!BF16+Consumo_Inicial!BF16</f>
        <v>104440.81264601026</v>
      </c>
      <c r="BG16" s="8">
        <f>Renta_Alta!BG16+Masivo!BG16+Consumo_Inicial!BG16</f>
        <v>105768.43347715319</v>
      </c>
      <c r="BH16" s="8">
        <f>Renta_Alta!BH16+Masivo!BH16+Consumo_Inicial!BH16</f>
        <v>106660.04344730357</v>
      </c>
      <c r="BI16" s="8">
        <f>Renta_Alta!BI16+Masivo!BI16+Consumo_Inicial!BI16</f>
        <v>106984.27104172637</v>
      </c>
      <c r="BJ16" s="8">
        <f>Renta_Alta!BJ16+Masivo!BJ16+Consumo_Inicial!BJ16</f>
        <v>106847.57005145928</v>
      </c>
      <c r="BK16" s="8">
        <f>Renta_Alta!BK16+Masivo!BK16+Consumo_Inicial!BK16</f>
        <v>107280.77478725863</v>
      </c>
      <c r="BO16" s="24">
        <f t="shared" si="22"/>
        <v>100528.68666666666</v>
      </c>
      <c r="BP16" s="24">
        <f t="shared" si="22"/>
        <v>110684.54666283102</v>
      </c>
      <c r="BQ16" s="24">
        <f t="shared" si="22"/>
        <v>102470.95</v>
      </c>
      <c r="BR16" s="24">
        <f t="shared" si="22"/>
        <v>133756.47388159332</v>
      </c>
      <c r="BS16" s="24">
        <f t="shared" si="22"/>
        <v>178374.55994775333</v>
      </c>
      <c r="BT16" s="24">
        <f t="shared" si="22"/>
        <v>84598.845144713312</v>
      </c>
      <c r="BW16" s="24">
        <f t="shared" si="23"/>
        <v>301586.06</v>
      </c>
      <c r="BX16" s="24">
        <f t="shared" si="23"/>
        <v>332053.63998849306</v>
      </c>
      <c r="BY16" s="24">
        <f t="shared" si="23"/>
        <v>204941.9</v>
      </c>
      <c r="BZ16" s="24">
        <f t="shared" si="23"/>
        <v>401269.42164477997</v>
      </c>
      <c r="CA16" s="24">
        <f t="shared" si="23"/>
        <v>535123.67984325998</v>
      </c>
      <c r="CB16" s="24">
        <f t="shared" si="23"/>
        <v>253796.53543413995</v>
      </c>
    </row>
    <row r="17" spans="1:80" collapsed="1" x14ac:dyDescent="0.25">
      <c r="C17" s="3" t="s">
        <v>56</v>
      </c>
      <c r="D17" s="10">
        <f>SUM(D14:D16)</f>
        <v>3257026.12259728</v>
      </c>
      <c r="E17" s="10">
        <f t="shared" ref="E17" si="24">SUM(E14:E16)</f>
        <v>3323336.9329663296</v>
      </c>
      <c r="F17" s="10">
        <f t="shared" ref="F17" si="25">SUM(F14:F16)</f>
        <v>3434933.4670636002</v>
      </c>
      <c r="G17" s="10">
        <f t="shared" ref="G17" si="26">SUM(G14:G16)</f>
        <v>3534434.3256033203</v>
      </c>
      <c r="H17" s="10">
        <f t="shared" ref="H17" si="27">SUM(H14:H16)</f>
        <v>3604900.7356830197</v>
      </c>
      <c r="I17" s="10">
        <f t="shared" ref="I17" si="28">SUM(I14:I16)</f>
        <v>3659769.2417115001</v>
      </c>
      <c r="J17" s="10">
        <f t="shared" ref="J17" si="29">SUM(J14:J16)</f>
        <v>3716600.7762641897</v>
      </c>
      <c r="K17" s="10">
        <f t="shared" ref="K17" si="30">SUM(K14:K16)</f>
        <v>3798217.6250336799</v>
      </c>
      <c r="L17" s="10">
        <f t="shared" ref="L17" si="31">SUM(L14:L16)</f>
        <v>3913048.1801978741</v>
      </c>
      <c r="M17" s="10">
        <f t="shared" ref="M17" si="32">SUM(M14:M16)</f>
        <v>3906460.7117450498</v>
      </c>
      <c r="N17" s="10">
        <f t="shared" ref="N17" si="33">SUM(N14:N16)</f>
        <v>3890616.8621746199</v>
      </c>
      <c r="O17" s="10">
        <f t="shared" ref="O17" si="34">SUM(O14:O16)</f>
        <v>3840128.0337538002</v>
      </c>
      <c r="P17" s="10">
        <f t="shared" ref="P17" si="35">SUM(P14:P16)</f>
        <v>3783620.92525532</v>
      </c>
      <c r="Q17" s="10">
        <f t="shared" ref="Q17" si="36">SUM(Q14:Q16)</f>
        <v>3705769.9290476604</v>
      </c>
      <c r="R17" s="10">
        <f t="shared" ref="R17" si="37">SUM(R14:R16)</f>
        <v>3635142.2389552798</v>
      </c>
      <c r="S17" s="10">
        <f t="shared" ref="S17" si="38">SUM(S14:S16)</f>
        <v>3582356.7395957606</v>
      </c>
      <c r="T17" s="10">
        <f t="shared" ref="T17" si="39">SUM(T14:T16)</f>
        <v>3495879.6328333998</v>
      </c>
      <c r="U17" s="10">
        <f t="shared" ref="U17" si="40">SUM(U14:U16)</f>
        <v>3393360.9062032807</v>
      </c>
      <c r="V17" s="10">
        <f t="shared" ref="V17" si="41">SUM(V14:V16)</f>
        <v>3284275.8944636602</v>
      </c>
      <c r="W17" s="10">
        <f t="shared" ref="W17" si="42">SUM(W14:W16)</f>
        <v>3195070.8441630099</v>
      </c>
      <c r="X17" s="10">
        <f t="shared" ref="X17" si="43">SUM(X14:X16)</f>
        <v>3157385.3942670398</v>
      </c>
      <c r="Y17" s="10">
        <f t="shared" ref="Y17" si="44">SUM(Y14:Y16)</f>
        <v>3112836.1421874999</v>
      </c>
      <c r="Z17" s="10">
        <f t="shared" ref="Z17" si="45">SUM(Z14:Z16)</f>
        <v>3071378.0523625603</v>
      </c>
      <c r="AA17" s="10">
        <f t="shared" ref="AA17" si="46">SUM(AA14:AA16)</f>
        <v>3035707.1697172001</v>
      </c>
      <c r="AB17" s="10">
        <f t="shared" ref="AB17" si="47">SUM(AB14:AB16)</f>
        <v>3011220.7573901704</v>
      </c>
      <c r="AC17" s="10">
        <f t="shared" ref="AC17" si="48">SUM(AC14:AC16)</f>
        <v>3006586.4204549999</v>
      </c>
      <c r="AD17" s="10">
        <f t="shared" ref="AD17" si="49">SUM(AD14:AD16)</f>
        <v>3007993.5398458699</v>
      </c>
      <c r="AE17" s="10">
        <f t="shared" ref="AE17" si="50">SUM(AE14:AE16)</f>
        <v>3015793.5766913402</v>
      </c>
      <c r="AF17" s="10">
        <f t="shared" ref="AF17" si="51">SUM(AF14:AF16)</f>
        <v>3015488.6272455999</v>
      </c>
      <c r="AG17" s="10">
        <f t="shared" ref="AG17" si="52">SUM(AG14:AG16)</f>
        <v>3016292.9112079195</v>
      </c>
      <c r="AH17" s="10">
        <f t="shared" ref="AH17" si="53">SUM(AH14:AH16)</f>
        <v>3012239.5269162403</v>
      </c>
      <c r="AI17" s="10">
        <f t="shared" ref="AI17" si="54">SUM(AI14:AI16)</f>
        <v>3039474.1405725996</v>
      </c>
      <c r="AJ17" s="10">
        <f t="shared" ref="AJ17" si="55">SUM(AJ14:AJ16)</f>
        <v>3067021.1876778095</v>
      </c>
      <c r="AK17" s="10">
        <f t="shared" ref="AK17" si="56">SUM(AK14:AK16)</f>
        <v>3118496.9414302409</v>
      </c>
      <c r="AL17" s="10">
        <f t="shared" ref="AL17" si="57">SUM(AL14:AL16)</f>
        <v>3157156.6113581196</v>
      </c>
      <c r="AM17" s="10">
        <f t="shared" ref="AM17" si="58">SUM(AM14:AM16)</f>
        <v>3166948.1102867802</v>
      </c>
      <c r="AN17" s="10">
        <f t="shared" ref="AN17" si="59">SUM(AN14:AN16)</f>
        <v>3183537.64</v>
      </c>
      <c r="AO17" s="10">
        <f t="shared" ref="AO17" si="60">SUM(AO14:AO16)</f>
        <v>3235569.92</v>
      </c>
      <c r="AP17" s="10">
        <f t="shared" ref="AP17" si="61">SUM(AP14:AP16)</f>
        <v>3298380.1900000004</v>
      </c>
      <c r="AQ17" s="10">
        <f t="shared" ref="AQ17" si="62">SUM(AQ14:AQ16)</f>
        <v>3328038.1276888191</v>
      </c>
      <c r="AR17" s="10">
        <f t="shared" ref="AR17" si="63">SUM(AR14:AR16)</f>
        <v>3379158.1980137001</v>
      </c>
      <c r="AS17" s="10">
        <f t="shared" ref="AS17" si="64">SUM(AS14:AS16)</f>
        <v>3466118.3275588006</v>
      </c>
      <c r="AT17" s="10">
        <f t="shared" ref="AT17" si="65">SUM(AT14:AT16)</f>
        <v>0</v>
      </c>
      <c r="AU17" s="10">
        <f t="shared" ref="AU17" si="66">SUM(AU14:AU16)</f>
        <v>0</v>
      </c>
      <c r="AV17" s="10">
        <f t="shared" ref="AV17" si="67">SUM(AV14:AV16)</f>
        <v>0</v>
      </c>
      <c r="AW17" s="10">
        <f t="shared" ref="AW17" si="68">SUM(AW14:AW16)</f>
        <v>0</v>
      </c>
      <c r="AX17" s="10">
        <f t="shared" ref="AX17" si="69">SUM(AX14:AX16)</f>
        <v>0</v>
      </c>
      <c r="AY17" s="10">
        <f t="shared" ref="AY17" si="70">SUM(AY14:AY16)</f>
        <v>0</v>
      </c>
      <c r="AZ17" s="10">
        <f t="shared" ref="AZ17" si="71">SUM(AZ14:AZ16)</f>
        <v>3193486.1557515678</v>
      </c>
      <c r="BA17" s="10">
        <f t="shared" ref="BA17" si="72">SUM(BA14:BA16)</f>
        <v>3199521.1741496311</v>
      </c>
      <c r="BB17" s="10">
        <f t="shared" ref="BB17" si="73">SUM(BB14:BB16)</f>
        <v>3218384.9384926669</v>
      </c>
      <c r="BC17" s="10">
        <f t="shared" ref="BC17" si="74">SUM(BC14:BC16)</f>
        <v>3259570.6585828136</v>
      </c>
      <c r="BD17" s="10">
        <f t="shared" ref="BD17" si="75">SUM(BD14:BD16)</f>
        <v>3314164.0076946574</v>
      </c>
      <c r="BE17" s="10">
        <f t="shared" ref="BE17" si="76">SUM(BE14:BE16)</f>
        <v>3361131.3939489517</v>
      </c>
      <c r="BF17" s="10">
        <f t="shared" ref="BF17" si="77">SUM(BF14:BF16)</f>
        <v>3385761.6224996164</v>
      </c>
      <c r="BG17" s="10">
        <f t="shared" ref="BG17" si="78">SUM(BG14:BG16)</f>
        <v>3413977.6106855697</v>
      </c>
      <c r="BH17" s="10">
        <f t="shared" ref="BH17" si="79">SUM(BH14:BH16)</f>
        <v>3461279.9529445218</v>
      </c>
      <c r="BI17" s="10">
        <f t="shared" ref="BI17" si="80">SUM(BI14:BI16)</f>
        <v>3517215.1249224865</v>
      </c>
      <c r="BJ17" s="10">
        <f t="shared" ref="BJ17" si="81">SUM(BJ14:BJ16)</f>
        <v>3558179.9669244434</v>
      </c>
      <c r="BK17" s="10">
        <f t="shared" ref="BK17" si="82">SUM(BK14:BK16)</f>
        <v>3578315.541264174</v>
      </c>
      <c r="BO17" s="23">
        <f>SUM(BO14:BO16)</f>
        <v>3239162.5833333335</v>
      </c>
      <c r="BP17" s="23">
        <f t="shared" ref="BP17:BT17" si="83">SUM(BP14:BP16)</f>
        <v>3203797.422797956</v>
      </c>
      <c r="BQ17" s="23">
        <f t="shared" si="83"/>
        <v>3209553.7800000003</v>
      </c>
      <c r="BR17" s="23">
        <f t="shared" si="83"/>
        <v>3008600.2392303469</v>
      </c>
      <c r="BS17" s="23">
        <f t="shared" si="83"/>
        <v>3708177.6977527537</v>
      </c>
      <c r="BT17" s="23">
        <f t="shared" si="83"/>
        <v>3338432.1742090699</v>
      </c>
      <c r="BW17" s="23">
        <f>SUM(BW14:BW16)</f>
        <v>9717487.7500000019</v>
      </c>
      <c r="BX17" s="23">
        <f t="shared" ref="BX17:CB17" si="84">SUM(BX14:BX16)</f>
        <v>9611392.2683938667</v>
      </c>
      <c r="BY17" s="23">
        <f t="shared" si="84"/>
        <v>6419107.5600000005</v>
      </c>
      <c r="BZ17" s="23">
        <f t="shared" si="84"/>
        <v>9025800.7176910415</v>
      </c>
      <c r="CA17" s="23">
        <f t="shared" si="84"/>
        <v>11124533.093258262</v>
      </c>
      <c r="CB17" s="23">
        <f t="shared" si="84"/>
        <v>10015296.52262721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11"/>
      <c r="C20" s="2" t="s">
        <v>0</v>
      </c>
      <c r="D20" s="14">
        <f>IFERROR(((1+D38/D14)^(360/D$3))-1,0)</f>
        <v>0.18688844179189101</v>
      </c>
      <c r="E20" s="14">
        <f t="shared" ref="E20:AY23" si="85">IFERROR(((1+E38/E14)^(360/E$3))-1,0)</f>
        <v>0.18929111353045203</v>
      </c>
      <c r="F20" s="14">
        <f t="shared" si="85"/>
        <v>0.18709846297257249</v>
      </c>
      <c r="G20" s="14">
        <f t="shared" si="85"/>
        <v>0.18094852548676288</v>
      </c>
      <c r="H20" s="14">
        <f t="shared" si="85"/>
        <v>0.19026482223876395</v>
      </c>
      <c r="I20" s="14">
        <f t="shared" si="85"/>
        <v>0.18959245754628062</v>
      </c>
      <c r="J20" s="14">
        <f t="shared" si="85"/>
        <v>0.18872508178497061</v>
      </c>
      <c r="K20" s="14">
        <f t="shared" si="85"/>
        <v>0.189410620891032</v>
      </c>
      <c r="L20" s="14">
        <f t="shared" si="85"/>
        <v>0.18695513560106813</v>
      </c>
      <c r="M20" s="14">
        <f t="shared" si="85"/>
        <v>0.18490152727599796</v>
      </c>
      <c r="N20" s="14">
        <f t="shared" si="85"/>
        <v>0.18137877836379657</v>
      </c>
      <c r="O20" s="14">
        <f t="shared" si="85"/>
        <v>0.17713161571549474</v>
      </c>
      <c r="P20" s="14">
        <f t="shared" si="85"/>
        <v>0.17602014785682019</v>
      </c>
      <c r="Q20" s="14">
        <f t="shared" si="85"/>
        <v>0.17202939249204885</v>
      </c>
      <c r="R20" s="14">
        <f t="shared" si="85"/>
        <v>0.17166177219065171</v>
      </c>
      <c r="S20" s="14">
        <f t="shared" si="85"/>
        <v>0.17470240424502159</v>
      </c>
      <c r="T20" s="14">
        <f t="shared" si="85"/>
        <v>0.17674190985216409</v>
      </c>
      <c r="U20" s="14">
        <f t="shared" si="85"/>
        <v>0.17687073680398679</v>
      </c>
      <c r="V20" s="14">
        <f t="shared" si="85"/>
        <v>0.18084109092751111</v>
      </c>
      <c r="W20" s="14">
        <f t="shared" si="85"/>
        <v>0.17935253501880122</v>
      </c>
      <c r="X20" s="14">
        <f t="shared" si="85"/>
        <v>0.17880763420855117</v>
      </c>
      <c r="Y20" s="14">
        <f t="shared" si="85"/>
        <v>0.17699048946718676</v>
      </c>
      <c r="Z20" s="14">
        <f t="shared" si="85"/>
        <v>0.17288655265536268</v>
      </c>
      <c r="AA20" s="14">
        <f t="shared" si="85"/>
        <v>0.17171681300838171</v>
      </c>
      <c r="AB20" s="14">
        <f t="shared" si="85"/>
        <v>0.17185119725083164</v>
      </c>
      <c r="AC20" s="14">
        <f t="shared" si="85"/>
        <v>0.16889155287044844</v>
      </c>
      <c r="AD20" s="14">
        <f t="shared" si="85"/>
        <v>0.16916884243095831</v>
      </c>
      <c r="AE20" s="14">
        <f t="shared" si="85"/>
        <v>0.16903626478611122</v>
      </c>
      <c r="AF20" s="14">
        <f t="shared" si="85"/>
        <v>0.16827699976039501</v>
      </c>
      <c r="AG20" s="14">
        <f t="shared" si="85"/>
        <v>0.16714256624352886</v>
      </c>
      <c r="AH20" s="14">
        <f t="shared" si="85"/>
        <v>0.16727671829493951</v>
      </c>
      <c r="AI20" s="14">
        <f t="shared" si="85"/>
        <v>0.1669300948092074</v>
      </c>
      <c r="AJ20" s="14">
        <f t="shared" si="85"/>
        <v>0.16710312547103379</v>
      </c>
      <c r="AK20" s="14">
        <f t="shared" si="85"/>
        <v>0.16665032904377819</v>
      </c>
      <c r="AL20" s="14">
        <f t="shared" si="85"/>
        <v>0.16531717313313665</v>
      </c>
      <c r="AM20" s="14">
        <f t="shared" si="85"/>
        <v>0.16766281630117441</v>
      </c>
      <c r="AN20" s="14">
        <f t="shared" si="85"/>
        <v>0.16803473323361295</v>
      </c>
      <c r="AO20" s="14">
        <f t="shared" si="85"/>
        <v>0.16819332775632989</v>
      </c>
      <c r="AP20" s="14">
        <f t="shared" si="85"/>
        <v>0.16676473692188543</v>
      </c>
      <c r="AQ20" s="14">
        <f t="shared" si="85"/>
        <v>0.16463100414936149</v>
      </c>
      <c r="AR20" s="14">
        <f t="shared" si="85"/>
        <v>0.16398826619725626</v>
      </c>
      <c r="AS20" s="14">
        <f t="shared" si="85"/>
        <v>0.16279521660207252</v>
      </c>
      <c r="AT20" s="14">
        <f t="shared" si="85"/>
        <v>0</v>
      </c>
      <c r="AU20" s="14">
        <f t="shared" si="85"/>
        <v>0</v>
      </c>
      <c r="AV20" s="14">
        <f t="shared" si="85"/>
        <v>0</v>
      </c>
      <c r="AW20" s="14">
        <f t="shared" si="85"/>
        <v>0</v>
      </c>
      <c r="AX20" s="14">
        <f t="shared" si="85"/>
        <v>0</v>
      </c>
      <c r="AY20" s="14">
        <f t="shared" si="85"/>
        <v>0</v>
      </c>
      <c r="AZ20" s="14">
        <f t="shared" ref="AZ20:BK20" si="86">IFERROR(((1+AZ38/AZ14)^(360/AZ$3))-1,0)</f>
        <v>0.16651396127070672</v>
      </c>
      <c r="BA20" s="14">
        <f t="shared" si="86"/>
        <v>0.16542499076052408</v>
      </c>
      <c r="BB20" s="14">
        <f t="shared" si="86"/>
        <v>0.16679744535593488</v>
      </c>
      <c r="BC20" s="14">
        <f t="shared" si="86"/>
        <v>0.16739099635881738</v>
      </c>
      <c r="BD20" s="14">
        <f t="shared" si="86"/>
        <v>0.16821272528106546</v>
      </c>
      <c r="BE20" s="14">
        <f t="shared" si="86"/>
        <v>0.1692812988717507</v>
      </c>
      <c r="BF20" s="14">
        <f t="shared" si="86"/>
        <v>0.17026622099718969</v>
      </c>
      <c r="BG20" s="14">
        <f t="shared" si="86"/>
        <v>0.17148014815027524</v>
      </c>
      <c r="BH20" s="14">
        <f t="shared" si="86"/>
        <v>0.17190144224463655</v>
      </c>
      <c r="BI20" s="14">
        <f t="shared" si="86"/>
        <v>0.17343046438792009</v>
      </c>
      <c r="BJ20" s="14">
        <f t="shared" si="86"/>
        <v>0.17409041088603727</v>
      </c>
      <c r="BK20" s="14">
        <f t="shared" si="86"/>
        <v>0.17626555347587214</v>
      </c>
      <c r="BO20" s="28">
        <f>IFERROR(((1+BO38/BW14)^(360/BO$3))-1,0)</f>
        <v>0.16764934370492646</v>
      </c>
      <c r="BP20" s="28">
        <f t="shared" ref="BP20:BT23" si="87">IFERROR(((1+BP38/BX14)^(360/BP$3))-1,0)</f>
        <v>0.16628707728179193</v>
      </c>
      <c r="BQ20" s="28">
        <f t="shared" si="87"/>
        <v>0.16803227572167745</v>
      </c>
      <c r="BR20" s="28">
        <f t="shared" si="87"/>
        <v>0.17002459302494799</v>
      </c>
      <c r="BS20" s="28">
        <f t="shared" si="87"/>
        <v>0.17330210869037943</v>
      </c>
      <c r="BT20" s="28">
        <f t="shared" si="87"/>
        <v>0.18774684407981601</v>
      </c>
    </row>
    <row r="21" spans="1:80" hidden="1" outlineLevel="1" x14ac:dyDescent="0.25">
      <c r="A21" s="11"/>
      <c r="C21" s="2" t="s">
        <v>1</v>
      </c>
      <c r="D21" s="14">
        <f t="shared" ref="D21:S23" si="88">IFERROR(((1+D39/D15)^(360/D$3))-1,0)</f>
        <v>7.1532259583490632E-2</v>
      </c>
      <c r="E21" s="14">
        <f t="shared" si="88"/>
        <v>8.0577760539808141E-2</v>
      </c>
      <c r="F21" s="14">
        <f t="shared" si="88"/>
        <v>6.0315444633924686E-2</v>
      </c>
      <c r="G21" s="14">
        <f t="shared" si="88"/>
        <v>5.2107324622765905E-2</v>
      </c>
      <c r="H21" s="14">
        <f t="shared" si="88"/>
        <v>5.6915569885019002E-2</v>
      </c>
      <c r="I21" s="14">
        <f t="shared" si="88"/>
        <v>5.7134390916549593E-2</v>
      </c>
      <c r="J21" s="14">
        <f t="shared" si="88"/>
        <v>6.5817452912987573E-2</v>
      </c>
      <c r="K21" s="14">
        <f t="shared" si="88"/>
        <v>6.7622921144115944E-2</v>
      </c>
      <c r="L21" s="14">
        <f t="shared" si="88"/>
        <v>7.5492661102692038E-2</v>
      </c>
      <c r="M21" s="14">
        <f t="shared" si="88"/>
        <v>6.7606649506297689E-2</v>
      </c>
      <c r="N21" s="14">
        <f t="shared" si="88"/>
        <v>7.6014153057026412E-2</v>
      </c>
      <c r="O21" s="14">
        <f t="shared" si="88"/>
        <v>7.1084740425125359E-2</v>
      </c>
      <c r="P21" s="14">
        <f t="shared" si="88"/>
        <v>7.9567762205424275E-2</v>
      </c>
      <c r="Q21" s="14">
        <f t="shared" si="88"/>
        <v>7.9998893151095318E-2</v>
      </c>
      <c r="R21" s="14">
        <f t="shared" si="88"/>
        <v>6.4599698573128084E-2</v>
      </c>
      <c r="S21" s="14">
        <f t="shared" si="88"/>
        <v>7.8352529944949456E-2</v>
      </c>
      <c r="T21" s="14">
        <f t="shared" si="85"/>
        <v>6.0146721898471478E-2</v>
      </c>
      <c r="U21" s="14">
        <f t="shared" si="85"/>
        <v>6.7065097496252779E-2</v>
      </c>
      <c r="V21" s="14">
        <f t="shared" si="85"/>
        <v>7.0306478428852959E-2</v>
      </c>
      <c r="W21" s="14">
        <f t="shared" si="85"/>
        <v>6.2020801248066304E-2</v>
      </c>
      <c r="X21" s="14">
        <f t="shared" si="85"/>
        <v>6.5779878287254068E-2</v>
      </c>
      <c r="Y21" s="14">
        <f t="shared" si="85"/>
        <v>5.6586627492534847E-2</v>
      </c>
      <c r="Z21" s="14">
        <f t="shared" si="85"/>
        <v>5.790177594856627E-2</v>
      </c>
      <c r="AA21" s="14">
        <f t="shared" si="85"/>
        <v>6.0642431582888401E-2</v>
      </c>
      <c r="AB21" s="14">
        <f t="shared" si="85"/>
        <v>6.7635341752879441E-2</v>
      </c>
      <c r="AC21" s="14">
        <f t="shared" si="85"/>
        <v>7.0929909244848988E-2</v>
      </c>
      <c r="AD21" s="14">
        <f t="shared" si="85"/>
        <v>5.981386927112986E-2</v>
      </c>
      <c r="AE21" s="14">
        <f t="shared" si="85"/>
        <v>6.3703964641558919E-2</v>
      </c>
      <c r="AF21" s="14">
        <f t="shared" si="85"/>
        <v>6.5417153540201278E-2</v>
      </c>
      <c r="AG21" s="14">
        <f t="shared" si="85"/>
        <v>6.574417597427229E-2</v>
      </c>
      <c r="AH21" s="14">
        <f t="shared" si="85"/>
        <v>7.6056116358972359E-2</v>
      </c>
      <c r="AI21" s="14">
        <f t="shared" si="85"/>
        <v>6.5097880311836498E-2</v>
      </c>
      <c r="AJ21" s="14">
        <f t="shared" si="85"/>
        <v>7.4576648814230762E-2</v>
      </c>
      <c r="AK21" s="14">
        <f t="shared" si="85"/>
        <v>7.2655607750221174E-2</v>
      </c>
      <c r="AL21" s="14">
        <f t="shared" si="85"/>
        <v>6.8668180113387711E-2</v>
      </c>
      <c r="AM21" s="14">
        <f t="shared" si="85"/>
        <v>8.2128209587955858E-2</v>
      </c>
      <c r="AN21" s="14">
        <f t="shared" si="85"/>
        <v>7.5787225387578872E-2</v>
      </c>
      <c r="AO21" s="14">
        <f t="shared" si="85"/>
        <v>7.8432699605047729E-2</v>
      </c>
      <c r="AP21" s="14">
        <f t="shared" si="85"/>
        <v>7.8418696241422836E-2</v>
      </c>
      <c r="AQ21" s="14">
        <f t="shared" si="85"/>
        <v>8.0648365976139669E-2</v>
      </c>
      <c r="AR21" s="14">
        <f t="shared" si="85"/>
        <v>7.3100513842228265E-2</v>
      </c>
      <c r="AS21" s="14">
        <f t="shared" si="85"/>
        <v>8.3660228642777446E-2</v>
      </c>
      <c r="AT21" s="14">
        <f t="shared" si="85"/>
        <v>0</v>
      </c>
      <c r="AU21" s="14">
        <f t="shared" si="85"/>
        <v>0</v>
      </c>
      <c r="AV21" s="14">
        <f t="shared" si="85"/>
        <v>0</v>
      </c>
      <c r="AW21" s="14">
        <f t="shared" si="85"/>
        <v>0</v>
      </c>
      <c r="AX21" s="14">
        <f t="shared" si="85"/>
        <v>0</v>
      </c>
      <c r="AY21" s="14">
        <f t="shared" si="85"/>
        <v>0</v>
      </c>
      <c r="AZ21" s="14">
        <f t="shared" ref="AZ21:BK21" si="89">IFERROR(((1+AZ39/AZ15)^(360/AZ$3))-1,0)</f>
        <v>7.2338353399964861E-2</v>
      </c>
      <c r="BA21" s="14">
        <f t="shared" si="89"/>
        <v>7.2211171614390501E-2</v>
      </c>
      <c r="BB21" s="14">
        <f t="shared" si="89"/>
        <v>7.2561465102756406E-2</v>
      </c>
      <c r="BC21" s="14">
        <f t="shared" si="89"/>
        <v>7.2372190140138626E-2</v>
      </c>
      <c r="BD21" s="14">
        <f t="shared" si="89"/>
        <v>7.2383166876784255E-2</v>
      </c>
      <c r="BE21" s="14">
        <f t="shared" si="89"/>
        <v>7.2440532158060567E-2</v>
      </c>
      <c r="BF21" s="14">
        <f t="shared" si="89"/>
        <v>7.2400236383784344E-2</v>
      </c>
      <c r="BG21" s="14">
        <f t="shared" si="89"/>
        <v>7.2409487575106013E-2</v>
      </c>
      <c r="BH21" s="14">
        <f t="shared" si="89"/>
        <v>7.2418405501006422E-2</v>
      </c>
      <c r="BI21" s="14">
        <f t="shared" si="89"/>
        <v>7.2411089182711219E-2</v>
      </c>
      <c r="BJ21" s="14">
        <f t="shared" si="89"/>
        <v>7.2414582461160393E-2</v>
      </c>
      <c r="BK21" s="14">
        <f t="shared" si="89"/>
        <v>7.2416048393406873E-2</v>
      </c>
      <c r="BO21" s="28">
        <f t="shared" ref="BO21:BO23" si="90">IFERROR(((1+BO39/BW15)^(360/BO$3))-1,0)</f>
        <v>7.7494623261812112E-2</v>
      </c>
      <c r="BP21" s="28">
        <f t="shared" si="87"/>
        <v>7.2375066852906844E-2</v>
      </c>
      <c r="BQ21" s="28">
        <f t="shared" si="87"/>
        <v>7.7073241036773821E-2</v>
      </c>
      <c r="BR21" s="28">
        <f t="shared" si="87"/>
        <v>6.5973937159895524E-2</v>
      </c>
      <c r="BS21" s="28">
        <f t="shared" si="87"/>
        <v>7.4294711296670313E-2</v>
      </c>
      <c r="BT21" s="28">
        <f t="shared" si="87"/>
        <v>7.0310612911428594E-2</v>
      </c>
    </row>
    <row r="22" spans="1:80" hidden="1" outlineLevel="1" x14ac:dyDescent="0.25">
      <c r="A22" s="11"/>
      <c r="C22" s="2" t="s">
        <v>45</v>
      </c>
      <c r="D22" s="14">
        <f t="shared" si="88"/>
        <v>6.3222146751272357E-2</v>
      </c>
      <c r="E22" s="14">
        <f t="shared" si="85"/>
        <v>3.6767038422095499E-2</v>
      </c>
      <c r="F22" s="14">
        <f t="shared" si="85"/>
        <v>5.520267246584476E-2</v>
      </c>
      <c r="G22" s="14">
        <f t="shared" si="85"/>
        <v>5.9740187110545628E-2</v>
      </c>
      <c r="H22" s="14">
        <f t="shared" si="85"/>
        <v>9.773687369534545E-2</v>
      </c>
      <c r="I22" s="14">
        <f t="shared" si="85"/>
        <v>7.8366094833271616E-2</v>
      </c>
      <c r="J22" s="14">
        <f t="shared" si="85"/>
        <v>9.0724346689047941E-2</v>
      </c>
      <c r="K22" s="14">
        <f t="shared" si="85"/>
        <v>6.2407939307627114E-2</v>
      </c>
      <c r="L22" s="14">
        <f t="shared" si="85"/>
        <v>4.4236458600589668E-2</v>
      </c>
      <c r="M22" s="14">
        <f t="shared" si="85"/>
        <v>5.0375386826615687E-2</v>
      </c>
      <c r="N22" s="14">
        <f t="shared" si="85"/>
        <v>6.5306563261679607E-2</v>
      </c>
      <c r="O22" s="14">
        <f t="shared" si="85"/>
        <v>6.5708678058623349E-2</v>
      </c>
      <c r="P22" s="14">
        <f t="shared" si="85"/>
        <v>6.0790092997135892E-2</v>
      </c>
      <c r="Q22" s="14">
        <f t="shared" si="85"/>
        <v>6.1228554496040477E-2</v>
      </c>
      <c r="R22" s="14">
        <f t="shared" si="85"/>
        <v>6.4649013657577026E-2</v>
      </c>
      <c r="S22" s="14">
        <f t="shared" si="85"/>
        <v>8.5053406981480784E-2</v>
      </c>
      <c r="T22" s="14">
        <f t="shared" si="85"/>
        <v>7.8670418991162672E-2</v>
      </c>
      <c r="U22" s="14">
        <f t="shared" si="85"/>
        <v>9.6827736832159728E-2</v>
      </c>
      <c r="V22" s="14">
        <f t="shared" si="85"/>
        <v>0.1029200007947817</v>
      </c>
      <c r="W22" s="14">
        <f t="shared" si="85"/>
        <v>7.7470472128432055E-2</v>
      </c>
      <c r="X22" s="14">
        <f t="shared" si="85"/>
        <v>7.7545844677287867E-2</v>
      </c>
      <c r="Y22" s="14">
        <f t="shared" si="85"/>
        <v>7.5645084234390092E-2</v>
      </c>
      <c r="Z22" s="14">
        <f t="shared" si="85"/>
        <v>9.8965268298072173E-2</v>
      </c>
      <c r="AA22" s="14">
        <f t="shared" si="85"/>
        <v>0.10084947668963462</v>
      </c>
      <c r="AB22" s="14">
        <f t="shared" si="85"/>
        <v>8.6557517558830677E-2</v>
      </c>
      <c r="AC22" s="14">
        <f t="shared" si="85"/>
        <v>8.8440657624703656E-2</v>
      </c>
      <c r="AD22" s="14">
        <f t="shared" si="85"/>
        <v>0.1120822412936997</v>
      </c>
      <c r="AE22" s="14">
        <f t="shared" si="85"/>
        <v>9.4899527500860836E-2</v>
      </c>
      <c r="AF22" s="14">
        <f t="shared" si="85"/>
        <v>0.10289218534120037</v>
      </c>
      <c r="AG22" s="14">
        <f t="shared" si="85"/>
        <v>0.10078194053282985</v>
      </c>
      <c r="AH22" s="14">
        <f t="shared" si="85"/>
        <v>0.10403410216546627</v>
      </c>
      <c r="AI22" s="14">
        <f t="shared" si="85"/>
        <v>8.6603972462053758E-2</v>
      </c>
      <c r="AJ22" s="14">
        <f t="shared" si="85"/>
        <v>8.9749905495170923E-2</v>
      </c>
      <c r="AK22" s="14">
        <f t="shared" si="85"/>
        <v>8.7801101618483868E-2</v>
      </c>
      <c r="AL22" s="14">
        <f t="shared" si="85"/>
        <v>0.12631232156997241</v>
      </c>
      <c r="AM22" s="14">
        <f t="shared" si="85"/>
        <v>0.1316348569573107</v>
      </c>
      <c r="AN22" s="14">
        <f t="shared" si="85"/>
        <v>9.0987810061494701E-2</v>
      </c>
      <c r="AO22" s="14">
        <f t="shared" si="85"/>
        <v>9.7956684328677435E-2</v>
      </c>
      <c r="AP22" s="14">
        <f t="shared" si="85"/>
        <v>8.9721569683756108E-2</v>
      </c>
      <c r="AQ22" s="14">
        <f t="shared" si="85"/>
        <v>9.9981822434530132E-2</v>
      </c>
      <c r="AR22" s="14">
        <f t="shared" si="85"/>
        <v>0.11568660424593502</v>
      </c>
      <c r="AS22" s="14">
        <f t="shared" si="85"/>
        <v>0.10192341643988767</v>
      </c>
      <c r="AT22" s="14">
        <f t="shared" si="85"/>
        <v>0</v>
      </c>
      <c r="AU22" s="14">
        <f t="shared" si="85"/>
        <v>0</v>
      </c>
      <c r="AV22" s="14">
        <f t="shared" si="85"/>
        <v>0</v>
      </c>
      <c r="AW22" s="14">
        <f t="shared" si="85"/>
        <v>0</v>
      </c>
      <c r="AX22" s="14">
        <f t="shared" si="85"/>
        <v>0</v>
      </c>
      <c r="AY22" s="14">
        <f t="shared" si="85"/>
        <v>0</v>
      </c>
      <c r="AZ22" s="14">
        <f t="shared" ref="AZ22:BK22" si="91">IFERROR(((1+AZ40/AZ16)^(360/AZ$3))-1,0)</f>
        <v>8.7518984501825603E-2</v>
      </c>
      <c r="BA22" s="14">
        <f t="shared" si="91"/>
        <v>9.6763497706075619E-2</v>
      </c>
      <c r="BB22" s="14">
        <f t="shared" si="91"/>
        <v>8.7265585705735615E-2</v>
      </c>
      <c r="BC22" s="14">
        <f t="shared" si="91"/>
        <v>9.0485171299685696E-2</v>
      </c>
      <c r="BD22" s="14">
        <f t="shared" si="91"/>
        <v>8.7372239820133313E-2</v>
      </c>
      <c r="BE22" s="14">
        <f t="shared" si="91"/>
        <v>9.0466340066565731E-2</v>
      </c>
      <c r="BF22" s="14">
        <f t="shared" si="91"/>
        <v>8.7428623662329175E-2</v>
      </c>
      <c r="BG22" s="14">
        <f t="shared" si="91"/>
        <v>8.7525285190384272E-2</v>
      </c>
      <c r="BH22" s="14">
        <f t="shared" si="91"/>
        <v>9.077853810342229E-2</v>
      </c>
      <c r="BI22" s="14">
        <f t="shared" si="91"/>
        <v>8.7884271549533821E-2</v>
      </c>
      <c r="BJ22" s="14">
        <f t="shared" si="91"/>
        <v>9.1093164327377796E-2</v>
      </c>
      <c r="BK22" s="14">
        <f t="shared" si="91"/>
        <v>8.8150150530376115E-2</v>
      </c>
      <c r="BO22" s="28">
        <f t="shared" si="90"/>
        <v>9.2717636307968254E-2</v>
      </c>
      <c r="BP22" s="28">
        <f t="shared" si="87"/>
        <v>9.0299601923856665E-2</v>
      </c>
      <c r="BQ22" s="28">
        <f t="shared" si="87"/>
        <v>9.429888803929054E-2</v>
      </c>
      <c r="BR22" s="28">
        <f t="shared" si="87"/>
        <v>9.5011802942374102E-2</v>
      </c>
      <c r="BS22" s="28">
        <f t="shared" si="87"/>
        <v>6.2221606991115008E-2</v>
      </c>
      <c r="BT22" s="28">
        <f t="shared" si="87"/>
        <v>5.197313134114423E-2</v>
      </c>
    </row>
    <row r="23" spans="1:80" collapsed="1" x14ac:dyDescent="0.25">
      <c r="C23" s="3" t="s">
        <v>59</v>
      </c>
      <c r="D23" s="15">
        <f t="shared" si="88"/>
        <v>0.18298074274740306</v>
      </c>
      <c r="E23" s="15">
        <f t="shared" si="85"/>
        <v>0.18459696819496196</v>
      </c>
      <c r="F23" s="15">
        <f t="shared" si="85"/>
        <v>0.18343664328476428</v>
      </c>
      <c r="G23" s="15">
        <f t="shared" si="85"/>
        <v>0.17775946876812476</v>
      </c>
      <c r="H23" s="15">
        <f t="shared" si="85"/>
        <v>0.1880063183010976</v>
      </c>
      <c r="I23" s="15">
        <f t="shared" si="85"/>
        <v>0.18679854429247067</v>
      </c>
      <c r="J23" s="15">
        <f t="shared" si="85"/>
        <v>0.1859110247432938</v>
      </c>
      <c r="K23" s="15">
        <f t="shared" si="85"/>
        <v>0.18427341262631725</v>
      </c>
      <c r="L23" s="15">
        <f t="shared" si="85"/>
        <v>0.18019166118183971</v>
      </c>
      <c r="M23" s="15">
        <f t="shared" si="85"/>
        <v>0.17877008859323795</v>
      </c>
      <c r="N23" s="15">
        <f t="shared" si="85"/>
        <v>0.17644567373869302</v>
      </c>
      <c r="O23" s="15">
        <f t="shared" si="85"/>
        <v>0.17252732073050625</v>
      </c>
      <c r="P23" s="15">
        <f t="shared" si="85"/>
        <v>0.1702752510891663</v>
      </c>
      <c r="Q23" s="15">
        <f t="shared" si="85"/>
        <v>0.16623506444939773</v>
      </c>
      <c r="R23" s="15">
        <f t="shared" si="85"/>
        <v>0.16600838315346422</v>
      </c>
      <c r="S23" s="15">
        <f t="shared" si="85"/>
        <v>0.16874896959940755</v>
      </c>
      <c r="T23" s="15">
        <f t="shared" si="85"/>
        <v>0.16958010858059414</v>
      </c>
      <c r="U23" s="15">
        <f t="shared" si="85"/>
        <v>0.17047047956890404</v>
      </c>
      <c r="V23" s="15">
        <f t="shared" si="85"/>
        <v>0.17467225795350005</v>
      </c>
      <c r="W23" s="15">
        <f t="shared" si="85"/>
        <v>0.17189555219389407</v>
      </c>
      <c r="X23" s="15">
        <f t="shared" si="85"/>
        <v>0.17133918289138816</v>
      </c>
      <c r="Y23" s="15">
        <f t="shared" si="85"/>
        <v>0.17015651781987473</v>
      </c>
      <c r="Z23" s="15">
        <f t="shared" si="85"/>
        <v>0.16787725597681891</v>
      </c>
      <c r="AA23" s="15">
        <f t="shared" si="85"/>
        <v>0.16714894558754589</v>
      </c>
      <c r="AB23" s="15">
        <f t="shared" si="85"/>
        <v>0.16615823842005195</v>
      </c>
      <c r="AC23" s="15">
        <f t="shared" si="85"/>
        <v>0.16354309449452464</v>
      </c>
      <c r="AD23" s="15">
        <f t="shared" si="85"/>
        <v>0.16512236779574008</v>
      </c>
      <c r="AE23" s="15">
        <f t="shared" si="85"/>
        <v>0.16422708419227616</v>
      </c>
      <c r="AF23" s="15">
        <f t="shared" si="85"/>
        <v>0.16393739440138733</v>
      </c>
      <c r="AG23" s="15">
        <f t="shared" si="85"/>
        <v>0.16274832882973289</v>
      </c>
      <c r="AH23" s="15">
        <f t="shared" si="85"/>
        <v>0.16338259874742778</v>
      </c>
      <c r="AI23" s="15">
        <f t="shared" si="85"/>
        <v>0.16222846223141807</v>
      </c>
      <c r="AJ23" s="15">
        <f t="shared" si="85"/>
        <v>0.16280691423422655</v>
      </c>
      <c r="AK23" s="15">
        <f t="shared" si="85"/>
        <v>0.16242407546235915</v>
      </c>
      <c r="AL23" s="15">
        <f t="shared" si="85"/>
        <v>0.16282829456274772</v>
      </c>
      <c r="AM23" s="15">
        <f t="shared" si="85"/>
        <v>0.16550578710423225</v>
      </c>
      <c r="AN23" s="15">
        <f t="shared" si="85"/>
        <v>0.16432380674289693</v>
      </c>
      <c r="AO23" s="15">
        <f t="shared" si="85"/>
        <v>0.16485397776930322</v>
      </c>
      <c r="AP23" s="15">
        <f t="shared" si="85"/>
        <v>0.16343381872056995</v>
      </c>
      <c r="AQ23" s="15">
        <f t="shared" si="85"/>
        <v>0.16191383016373684</v>
      </c>
      <c r="AR23" s="15">
        <f t="shared" si="85"/>
        <v>0.16177264513548639</v>
      </c>
      <c r="AS23" s="15">
        <f t="shared" si="85"/>
        <v>0.16037811296655113</v>
      </c>
      <c r="AT23" s="15">
        <f t="shared" si="85"/>
        <v>0</v>
      </c>
      <c r="AU23" s="15">
        <f t="shared" si="85"/>
        <v>0</v>
      </c>
      <c r="AV23" s="15">
        <f t="shared" si="85"/>
        <v>0</v>
      </c>
      <c r="AW23" s="15">
        <f t="shared" si="85"/>
        <v>0</v>
      </c>
      <c r="AX23" s="15">
        <f t="shared" si="85"/>
        <v>0</v>
      </c>
      <c r="AY23" s="15">
        <f t="shared" si="85"/>
        <v>0</v>
      </c>
      <c r="AZ23" s="15">
        <f t="shared" ref="AZ23:BK23" si="92">IFERROR(((1+AZ41/AZ17)^(360/AZ$3))-1,0)</f>
        <v>0.16257699993896924</v>
      </c>
      <c r="BA23" s="15">
        <f t="shared" si="92"/>
        <v>0.16195607936282697</v>
      </c>
      <c r="BB23" s="15">
        <f t="shared" si="92"/>
        <v>0.16308314067711582</v>
      </c>
      <c r="BC23" s="15">
        <f t="shared" si="92"/>
        <v>0.16388582928839845</v>
      </c>
      <c r="BD23" s="15">
        <f t="shared" si="92"/>
        <v>0.16465879297128216</v>
      </c>
      <c r="BE23" s="15">
        <f t="shared" si="92"/>
        <v>0.16587611983305539</v>
      </c>
      <c r="BF23" s="15">
        <f t="shared" si="92"/>
        <v>0.16680390000936662</v>
      </c>
      <c r="BG23" s="15">
        <f t="shared" si="92"/>
        <v>0.1679896575224622</v>
      </c>
      <c r="BH23" s="15">
        <f t="shared" si="92"/>
        <v>0.16855531001826418</v>
      </c>
      <c r="BI23" s="15">
        <f t="shared" si="92"/>
        <v>0.169999705081888</v>
      </c>
      <c r="BJ23" s="15">
        <f t="shared" si="92"/>
        <v>0.17079869161662864</v>
      </c>
      <c r="BK23" s="15">
        <f t="shared" si="92"/>
        <v>0.17281843436721722</v>
      </c>
      <c r="BO23" s="29">
        <f t="shared" si="90"/>
        <v>0.16418504566936254</v>
      </c>
      <c r="BP23" s="29">
        <f t="shared" si="87"/>
        <v>0.16256959853166819</v>
      </c>
      <c r="BQ23" s="29">
        <f t="shared" si="87"/>
        <v>0.16450709638744132</v>
      </c>
      <c r="BR23" s="29">
        <f t="shared" si="87"/>
        <v>0.16499509194385786</v>
      </c>
      <c r="BS23" s="29">
        <f t="shared" si="87"/>
        <v>0.16756622258955245</v>
      </c>
      <c r="BT23" s="29">
        <f t="shared" si="87"/>
        <v>0.18367536511313953</v>
      </c>
    </row>
    <row r="26" spans="1:80" hidden="1" outlineLevel="1" x14ac:dyDescent="0.25">
      <c r="A26" s="11"/>
      <c r="C26" s="2" t="s">
        <v>0</v>
      </c>
      <c r="D26" s="14">
        <f>-IFERROR(((1-D44/D14)^(360/D$4))-1,0)</f>
        <v>-6.945772755740065E-2</v>
      </c>
      <c r="E26" s="14">
        <f t="shared" ref="E26:AY29" si="93">-IFERROR(((1-E44/E14)^(360/E$4))-1,0)</f>
        <v>-7.200639919998042E-2</v>
      </c>
      <c r="F26" s="14">
        <f t="shared" si="93"/>
        <v>-7.3901929344797779E-2</v>
      </c>
      <c r="G26" s="14">
        <f t="shared" si="93"/>
        <v>-7.5135078053109483E-2</v>
      </c>
      <c r="H26" s="14">
        <f t="shared" si="93"/>
        <v>-7.5853357138254029E-2</v>
      </c>
      <c r="I26" s="14">
        <f t="shared" si="93"/>
        <v>-7.709429295431347E-2</v>
      </c>
      <c r="J26" s="14">
        <f t="shared" si="93"/>
        <v>-7.6954350360624257E-2</v>
      </c>
      <c r="K26" s="14">
        <f t="shared" si="93"/>
        <v>-7.6826416967634703E-2</v>
      </c>
      <c r="L26" s="14">
        <f t="shared" si="93"/>
        <v>-7.7403527534594119E-2</v>
      </c>
      <c r="M26" s="14">
        <f t="shared" si="93"/>
        <v>-7.7786358983035431E-2</v>
      </c>
      <c r="N26" s="14">
        <f t="shared" si="93"/>
        <v>-7.8062497967610112E-2</v>
      </c>
      <c r="O26" s="14">
        <f t="shared" si="93"/>
        <v>-7.8137531038854569E-2</v>
      </c>
      <c r="P26" s="14">
        <f t="shared" si="93"/>
        <v>-7.8005865969132948E-2</v>
      </c>
      <c r="Q26" s="14">
        <f t="shared" si="93"/>
        <v>-7.7677949196077734E-2</v>
      </c>
      <c r="R26" s="14">
        <f t="shared" si="93"/>
        <v>-7.7250828889851464E-2</v>
      </c>
      <c r="S26" s="14">
        <f t="shared" si="93"/>
        <v>-7.6887866759024703E-2</v>
      </c>
      <c r="T26" s="14">
        <f t="shared" si="93"/>
        <v>-7.6552517990350788E-2</v>
      </c>
      <c r="U26" s="14">
        <f t="shared" si="93"/>
        <v>-7.6116478049935044E-2</v>
      </c>
      <c r="V26" s="14">
        <f t="shared" si="93"/>
        <v>-7.5637781411424854E-2</v>
      </c>
      <c r="W26" s="14">
        <f t="shared" si="93"/>
        <v>-7.502499855750866E-2</v>
      </c>
      <c r="X26" s="14">
        <f t="shared" si="93"/>
        <v>-7.4290202835212371E-2</v>
      </c>
      <c r="Y26" s="14">
        <f t="shared" si="93"/>
        <v>-7.3431903732701143E-2</v>
      </c>
      <c r="Z26" s="14">
        <f t="shared" si="93"/>
        <v>-7.2709423271884788E-2</v>
      </c>
      <c r="AA26" s="14">
        <f t="shared" si="93"/>
        <v>-7.1927735741721177E-2</v>
      </c>
      <c r="AB26" s="14">
        <f t="shared" si="93"/>
        <v>-7.1292402714199232E-2</v>
      </c>
      <c r="AC26" s="14">
        <f t="shared" si="93"/>
        <v>-7.0436106494275341E-2</v>
      </c>
      <c r="AD26" s="14">
        <f t="shared" si="93"/>
        <v>-6.8847076705795374E-2</v>
      </c>
      <c r="AE26" s="14">
        <f t="shared" si="93"/>
        <v>-6.8300624249491682E-2</v>
      </c>
      <c r="AF26" s="14">
        <f t="shared" si="93"/>
        <v>-6.7496505159482023E-2</v>
      </c>
      <c r="AG26" s="14">
        <f t="shared" si="93"/>
        <v>-6.6600112290665203E-2</v>
      </c>
      <c r="AH26" s="14">
        <f t="shared" si="93"/>
        <v>-6.5703078530757963E-2</v>
      </c>
      <c r="AI26" s="14">
        <f t="shared" si="93"/>
        <v>-6.4834431924148284E-2</v>
      </c>
      <c r="AJ26" s="14">
        <f t="shared" si="93"/>
        <v>-6.4194870946139071E-2</v>
      </c>
      <c r="AK26" s="14">
        <f t="shared" si="93"/>
        <v>-6.3724716693281946E-2</v>
      </c>
      <c r="AL26" s="14">
        <f t="shared" si="93"/>
        <v>-6.347756110358338E-2</v>
      </c>
      <c r="AM26" s="14">
        <f t="shared" si="93"/>
        <v>-6.300848856349095E-2</v>
      </c>
      <c r="AN26" s="14">
        <f t="shared" si="93"/>
        <v>-6.2527944873564278E-2</v>
      </c>
      <c r="AO26" s="14">
        <f t="shared" si="93"/>
        <v>-6.1716171810352494E-2</v>
      </c>
      <c r="AP26" s="14">
        <f t="shared" si="93"/>
        <v>-6.097376688847933E-2</v>
      </c>
      <c r="AQ26" s="14">
        <f t="shared" si="93"/>
        <v>-6.0694861673372458E-2</v>
      </c>
      <c r="AR26" s="14">
        <f t="shared" si="93"/>
        <v>-6.058418760677986E-2</v>
      </c>
      <c r="AS26" s="14">
        <f t="shared" si="93"/>
        <v>-6.0132799338163068E-2</v>
      </c>
      <c r="AT26" s="14">
        <f t="shared" si="93"/>
        <v>0</v>
      </c>
      <c r="AU26" s="14">
        <f t="shared" si="93"/>
        <v>0</v>
      </c>
      <c r="AV26" s="14">
        <f t="shared" si="93"/>
        <v>0</v>
      </c>
      <c r="AW26" s="14">
        <f t="shared" si="93"/>
        <v>0</v>
      </c>
      <c r="AX26" s="14">
        <f t="shared" si="93"/>
        <v>0</v>
      </c>
      <c r="AY26" s="14">
        <f t="shared" si="93"/>
        <v>0</v>
      </c>
      <c r="AZ26" s="14">
        <f t="shared" ref="AZ26:BK26" si="94">-IFERROR(((1-AZ44/AZ14)^(360/AZ$4))-1,0)</f>
        <v>-6.4138319746408934E-2</v>
      </c>
      <c r="BA26" s="14">
        <f t="shared" si="94"/>
        <v>-6.3786727477187943E-2</v>
      </c>
      <c r="BB26" s="14">
        <f t="shared" si="94"/>
        <v>-6.3250996200431953E-2</v>
      </c>
      <c r="BC26" s="14">
        <f t="shared" si="94"/>
        <v>-6.2797549771925976E-2</v>
      </c>
      <c r="BD26" s="14">
        <f t="shared" si="94"/>
        <v>-6.2394069076327829E-2</v>
      </c>
      <c r="BE26" s="14">
        <f t="shared" si="94"/>
        <v>-6.2002769680457259E-2</v>
      </c>
      <c r="BF26" s="14">
        <f t="shared" si="94"/>
        <v>-6.1636708510327542E-2</v>
      </c>
      <c r="BG26" s="14">
        <f t="shared" si="94"/>
        <v>-6.1324039044528433E-2</v>
      </c>
      <c r="BH26" s="14">
        <f t="shared" si="94"/>
        <v>-6.0968134200070523E-2</v>
      </c>
      <c r="BI26" s="14">
        <f t="shared" si="94"/>
        <v>-6.0642759151829262E-2</v>
      </c>
      <c r="BJ26" s="14">
        <f t="shared" si="94"/>
        <v>-6.0366779991583241E-2</v>
      </c>
      <c r="BK26" s="14">
        <f t="shared" si="94"/>
        <v>-6.0135204281498877E-2</v>
      </c>
      <c r="BO26" s="28">
        <f>-IFERROR(((1-BO44/BW14)^(360/BO$4))-1,0)</f>
        <v>-6.1733010985863368E-2</v>
      </c>
      <c r="BP26" s="28">
        <f t="shared" ref="BP26:BT29" si="95">-IFERROR(((1-BP44/BX14)^(360/BP$4))-1,0)</f>
        <v>-6.3725702431868037E-2</v>
      </c>
      <c r="BQ26" s="28">
        <f t="shared" si="95"/>
        <v>-6.2110866253112684E-2</v>
      </c>
      <c r="BR26" s="28">
        <f t="shared" si="95"/>
        <v>-7.0187759593030918E-2</v>
      </c>
      <c r="BS26" s="28">
        <f t="shared" si="95"/>
        <v>-7.7652318835438328E-2</v>
      </c>
      <c r="BT26" s="28">
        <f t="shared" si="95"/>
        <v>-7.1837695307832128E-2</v>
      </c>
    </row>
    <row r="27" spans="1:80" hidden="1" outlineLevel="1" x14ac:dyDescent="0.25">
      <c r="A27" s="11"/>
      <c r="C27" s="2" t="s">
        <v>1</v>
      </c>
      <c r="D27" s="14">
        <f t="shared" ref="D27:S29" si="96">-IFERROR(((1-D45/D15)^(360/D$4))-1,0)</f>
        <v>-7.2502366151962372E-2</v>
      </c>
      <c r="E27" s="14">
        <f t="shared" si="96"/>
        <v>-7.5540719196234507E-2</v>
      </c>
      <c r="F27" s="14">
        <f t="shared" si="96"/>
        <v>-7.7408171969443496E-2</v>
      </c>
      <c r="G27" s="14">
        <f t="shared" si="96"/>
        <v>-7.8030668766115197E-2</v>
      </c>
      <c r="H27" s="14">
        <f t="shared" si="96"/>
        <v>-7.8639825536589658E-2</v>
      </c>
      <c r="I27" s="14">
        <f t="shared" si="96"/>
        <v>-7.8234922823718689E-2</v>
      </c>
      <c r="J27" s="14">
        <f t="shared" si="96"/>
        <v>-7.7147721824811999E-2</v>
      </c>
      <c r="K27" s="14">
        <f t="shared" si="96"/>
        <v>-7.5473063236401794E-2</v>
      </c>
      <c r="L27" s="14">
        <f t="shared" si="96"/>
        <v>-7.689680738080007E-2</v>
      </c>
      <c r="M27" s="14">
        <f t="shared" si="96"/>
        <v>-7.6723285593842006E-2</v>
      </c>
      <c r="N27" s="14">
        <f t="shared" si="96"/>
        <v>-7.6549443603580514E-2</v>
      </c>
      <c r="O27" s="14">
        <f t="shared" si="96"/>
        <v>-7.6560737984143978E-2</v>
      </c>
      <c r="P27" s="14">
        <f t="shared" si="96"/>
        <v>-7.6379049434701418E-2</v>
      </c>
      <c r="Q27" s="14">
        <f t="shared" si="96"/>
        <v>-7.6159487943215698E-2</v>
      </c>
      <c r="R27" s="14">
        <f t="shared" si="96"/>
        <v>-7.4922107119187675E-2</v>
      </c>
      <c r="S27" s="14">
        <f t="shared" si="96"/>
        <v>-7.359930099044143E-2</v>
      </c>
      <c r="T27" s="14">
        <f t="shared" si="93"/>
        <v>-7.2700724525167404E-2</v>
      </c>
      <c r="U27" s="14">
        <f t="shared" si="93"/>
        <v>-7.1554911952709022E-2</v>
      </c>
      <c r="V27" s="14">
        <f t="shared" si="93"/>
        <v>-7.0755079699246215E-2</v>
      </c>
      <c r="W27" s="14">
        <f t="shared" si="93"/>
        <v>-7.018095219321463E-2</v>
      </c>
      <c r="X27" s="14">
        <f t="shared" si="93"/>
        <v>-6.9592402621466709E-2</v>
      </c>
      <c r="Y27" s="14">
        <f t="shared" si="93"/>
        <v>-6.8789355482870684E-2</v>
      </c>
      <c r="Z27" s="14">
        <f t="shared" si="93"/>
        <v>-6.8095777852036132E-2</v>
      </c>
      <c r="AA27" s="14">
        <f t="shared" si="93"/>
        <v>-6.7387698940753582E-2</v>
      </c>
      <c r="AB27" s="14">
        <f t="shared" si="93"/>
        <v>-6.6965025401416689E-2</v>
      </c>
      <c r="AC27" s="14">
        <f t="shared" si="93"/>
        <v>-6.6553850522705682E-2</v>
      </c>
      <c r="AD27" s="14">
        <f t="shared" si="93"/>
        <v>-6.5807270002748108E-2</v>
      </c>
      <c r="AE27" s="14">
        <f t="shared" si="93"/>
        <v>-6.5018254723005153E-2</v>
      </c>
      <c r="AF27" s="14">
        <f t="shared" si="93"/>
        <v>-6.4512202880254055E-2</v>
      </c>
      <c r="AG27" s="14">
        <f t="shared" si="93"/>
        <v>-6.3992409365547287E-2</v>
      </c>
      <c r="AH27" s="14">
        <f t="shared" si="93"/>
        <v>-6.3523080914431151E-2</v>
      </c>
      <c r="AI27" s="14">
        <f t="shared" si="93"/>
        <v>-6.3305454453540078E-2</v>
      </c>
      <c r="AJ27" s="14">
        <f t="shared" si="93"/>
        <v>-6.3130964598512307E-2</v>
      </c>
      <c r="AK27" s="14">
        <f t="shared" si="93"/>
        <v>-6.2835943492892676E-2</v>
      </c>
      <c r="AL27" s="14">
        <f t="shared" si="93"/>
        <v>-6.286683077189581E-2</v>
      </c>
      <c r="AM27" s="14">
        <f t="shared" si="93"/>
        <v>-6.2742805243607647E-2</v>
      </c>
      <c r="AN27" s="14">
        <f t="shared" si="93"/>
        <v>-6.258147752304688E-2</v>
      </c>
      <c r="AO27" s="14">
        <f t="shared" si="93"/>
        <v>-6.2335947898884969E-2</v>
      </c>
      <c r="AP27" s="14">
        <f t="shared" si="93"/>
        <v>-6.2075308674422347E-2</v>
      </c>
      <c r="AQ27" s="14">
        <f t="shared" si="93"/>
        <v>-6.1942096859226359E-2</v>
      </c>
      <c r="AR27" s="14">
        <f t="shared" si="93"/>
        <v>-6.188974813618997E-2</v>
      </c>
      <c r="AS27" s="14">
        <f t="shared" si="93"/>
        <v>-6.169553771527192E-2</v>
      </c>
      <c r="AT27" s="14">
        <f t="shared" si="93"/>
        <v>0</v>
      </c>
      <c r="AU27" s="14">
        <f t="shared" si="93"/>
        <v>0</v>
      </c>
      <c r="AV27" s="14">
        <f t="shared" si="93"/>
        <v>0</v>
      </c>
      <c r="AW27" s="14">
        <f t="shared" si="93"/>
        <v>0</v>
      </c>
      <c r="AX27" s="14">
        <f t="shared" si="93"/>
        <v>0</v>
      </c>
      <c r="AY27" s="14">
        <f t="shared" si="93"/>
        <v>0</v>
      </c>
      <c r="AZ27" s="14">
        <f t="shared" ref="AZ27:BK27" si="97">-IFERROR(((1-AZ45/AZ15)^(360/AZ$4))-1,0)</f>
        <v>-9.429457863083357E-3</v>
      </c>
      <c r="BA27" s="14">
        <f t="shared" si="97"/>
        <v>-9.8297655918726523E-3</v>
      </c>
      <c r="BB27" s="14">
        <f t="shared" si="97"/>
        <v>-1.0266522128817623E-2</v>
      </c>
      <c r="BC27" s="14">
        <f t="shared" si="97"/>
        <v>-1.0666558750806798E-2</v>
      </c>
      <c r="BD27" s="14">
        <f t="shared" si="97"/>
        <v>-1.1055964265428875E-2</v>
      </c>
      <c r="BE27" s="14">
        <f t="shared" si="97"/>
        <v>-1.15335077646046E-2</v>
      </c>
      <c r="BF27" s="14">
        <f t="shared" si="97"/>
        <v>-1.1900820624444863E-2</v>
      </c>
      <c r="BG27" s="14">
        <f t="shared" si="97"/>
        <v>-1.225351420646037E-2</v>
      </c>
      <c r="BH27" s="14">
        <f t="shared" si="97"/>
        <v>-1.2795691562799361E-2</v>
      </c>
      <c r="BI27" s="14">
        <f t="shared" si="97"/>
        <v>-1.3344934963272381E-2</v>
      </c>
      <c r="BJ27" s="14">
        <f t="shared" si="97"/>
        <v>-1.3783711878961213E-2</v>
      </c>
      <c r="BK27" s="14">
        <f t="shared" si="97"/>
        <v>-1.4091959937150955E-2</v>
      </c>
      <c r="BO27" s="28">
        <f t="shared" ref="BO27:BO29" si="98">-IFERROR(((1-BO45/BW15)^(360/BO$4))-1,0)</f>
        <v>-6.2334564033221129E-2</v>
      </c>
      <c r="BP27" s="28">
        <f t="shared" si="95"/>
        <v>-9.8278780846166036E-3</v>
      </c>
      <c r="BQ27" s="28">
        <f t="shared" si="95"/>
        <v>-6.2503812147285176E-2</v>
      </c>
      <c r="BR27" s="28">
        <f t="shared" si="95"/>
        <v>-6.6453035616620637E-2</v>
      </c>
      <c r="BS27" s="28">
        <f t="shared" si="95"/>
        <v>-7.5895307483060392E-2</v>
      </c>
      <c r="BT27" s="28">
        <f t="shared" si="95"/>
        <v>-7.5197445311519839E-2</v>
      </c>
    </row>
    <row r="28" spans="1:80" hidden="1" outlineLevel="1" x14ac:dyDescent="0.25">
      <c r="A28" s="11"/>
      <c r="C28" s="2" t="s">
        <v>45</v>
      </c>
      <c r="D28" s="14">
        <f t="shared" si="96"/>
        <v>-4.3371126696395645E-2</v>
      </c>
      <c r="E28" s="14">
        <f t="shared" si="93"/>
        <v>-4.3510017855968419E-2</v>
      </c>
      <c r="F28" s="14">
        <f t="shared" si="93"/>
        <v>-4.4435646792925887E-2</v>
      </c>
      <c r="G28" s="14">
        <f t="shared" si="93"/>
        <v>-4.5703919307897634E-2</v>
      </c>
      <c r="H28" s="14">
        <f t="shared" si="93"/>
        <v>-4.8523676423290585E-2</v>
      </c>
      <c r="I28" s="14">
        <f t="shared" si="93"/>
        <v>-7.4620187950619865E-2</v>
      </c>
      <c r="J28" s="14">
        <f t="shared" si="93"/>
        <v>-5.8808875070055722E-2</v>
      </c>
      <c r="K28" s="14">
        <f t="shared" si="93"/>
        <v>-7.7288628730850517E-2</v>
      </c>
      <c r="L28" s="14">
        <f t="shared" si="93"/>
        <v>-5.7200905509318556E-2</v>
      </c>
      <c r="M28" s="14">
        <f t="shared" si="93"/>
        <v>-6.1147329462220901E-2</v>
      </c>
      <c r="N28" s="14">
        <f t="shared" si="93"/>
        <v>-6.4369895099820384E-2</v>
      </c>
      <c r="O28" s="14">
        <f t="shared" si="93"/>
        <v>-6.7829089922049945E-2</v>
      </c>
      <c r="P28" s="14">
        <f t="shared" si="93"/>
        <v>-7.108549438030054E-2</v>
      </c>
      <c r="Q28" s="14">
        <f t="shared" si="93"/>
        <v>-7.3546568224945652E-2</v>
      </c>
      <c r="R28" s="14">
        <f t="shared" si="93"/>
        <v>-7.4043533924106564E-2</v>
      </c>
      <c r="S28" s="14">
        <f t="shared" si="93"/>
        <v>-7.5916017074381337E-2</v>
      </c>
      <c r="T28" s="14">
        <f t="shared" si="93"/>
        <v>-7.6125143081706925E-2</v>
      </c>
      <c r="U28" s="14">
        <f t="shared" si="93"/>
        <v>-7.6209381093656825E-2</v>
      </c>
      <c r="V28" s="14">
        <f t="shared" si="93"/>
        <v>-7.6278315900851767E-2</v>
      </c>
      <c r="W28" s="14">
        <f t="shared" si="93"/>
        <v>-7.5740954007310846E-2</v>
      </c>
      <c r="X28" s="14">
        <f t="shared" si="93"/>
        <v>-7.5869928766600925E-2</v>
      </c>
      <c r="Y28" s="14">
        <f t="shared" si="93"/>
        <v>-7.5499847551454558E-2</v>
      </c>
      <c r="Z28" s="14">
        <f t="shared" si="93"/>
        <v>-7.4844716275195289E-2</v>
      </c>
      <c r="AA28" s="14">
        <f t="shared" si="93"/>
        <v>-7.4296158549014724E-2</v>
      </c>
      <c r="AB28" s="14">
        <f t="shared" si="93"/>
        <v>-7.4988500631464339E-2</v>
      </c>
      <c r="AC28" s="14">
        <f t="shared" si="93"/>
        <v>-7.4491614725491928E-2</v>
      </c>
      <c r="AD28" s="14">
        <f t="shared" si="93"/>
        <v>-8.0503367595661235E-2</v>
      </c>
      <c r="AE28" s="14">
        <f t="shared" si="93"/>
        <v>-7.4371971876761256E-2</v>
      </c>
      <c r="AF28" s="14">
        <f t="shared" si="93"/>
        <v>-7.4086431503411543E-2</v>
      </c>
      <c r="AG28" s="14">
        <f t="shared" si="93"/>
        <v>-7.3628756856488398E-2</v>
      </c>
      <c r="AH28" s="14">
        <f t="shared" si="93"/>
        <v>-7.3137604015302005E-2</v>
      </c>
      <c r="AI28" s="14">
        <f t="shared" si="93"/>
        <v>-7.2572242780155616E-2</v>
      </c>
      <c r="AJ28" s="14">
        <f t="shared" si="93"/>
        <v>-7.2016245193586848E-2</v>
      </c>
      <c r="AK28" s="14">
        <f t="shared" si="93"/>
        <v>-9.6978427326616101E-2</v>
      </c>
      <c r="AL28" s="14">
        <f t="shared" si="93"/>
        <v>-7.1247387996042466E-2</v>
      </c>
      <c r="AM28" s="14">
        <f t="shared" si="93"/>
        <v>-7.1204194341928373E-2</v>
      </c>
      <c r="AN28" s="14">
        <f t="shared" si="93"/>
        <v>-7.0152645417149939E-2</v>
      </c>
      <c r="AO28" s="14">
        <f t="shared" si="93"/>
        <v>-6.966888573215213E-2</v>
      </c>
      <c r="AP28" s="14">
        <f t="shared" si="93"/>
        <v>-6.8924424621724212E-2</v>
      </c>
      <c r="AQ28" s="14">
        <f t="shared" si="93"/>
        <v>-6.8496156692753329E-2</v>
      </c>
      <c r="AR28" s="14">
        <f t="shared" si="93"/>
        <v>-6.7728853604879236E-2</v>
      </c>
      <c r="AS28" s="14">
        <f t="shared" si="93"/>
        <v>-6.6667289874578373E-2</v>
      </c>
      <c r="AT28" s="14">
        <f t="shared" si="93"/>
        <v>0</v>
      </c>
      <c r="AU28" s="14">
        <f t="shared" si="93"/>
        <v>0</v>
      </c>
      <c r="AV28" s="14">
        <f t="shared" si="93"/>
        <v>0</v>
      </c>
      <c r="AW28" s="14">
        <f t="shared" si="93"/>
        <v>0</v>
      </c>
      <c r="AX28" s="14">
        <f t="shared" si="93"/>
        <v>0</v>
      </c>
      <c r="AY28" s="14">
        <f t="shared" si="93"/>
        <v>0</v>
      </c>
      <c r="AZ28" s="14">
        <f t="shared" ref="AZ28:BK28" si="99">-IFERROR(((1-AZ46/AZ16)^(360/AZ$4))-1,0)</f>
        <v>-4.9079957185652834E-2</v>
      </c>
      <c r="BA28" s="14">
        <f t="shared" si="99"/>
        <v>-4.8767146332506783E-2</v>
      </c>
      <c r="BB28" s="14">
        <f t="shared" si="99"/>
        <v>-4.9994587494456288E-2</v>
      </c>
      <c r="BC28" s="14">
        <f t="shared" si="99"/>
        <v>-5.0742710381883382E-2</v>
      </c>
      <c r="BD28" s="14">
        <f t="shared" si="99"/>
        <v>-5.1003691465152601E-2</v>
      </c>
      <c r="BE28" s="14">
        <f t="shared" si="99"/>
        <v>-5.1191209201302712E-2</v>
      </c>
      <c r="BF28" s="14">
        <f t="shared" si="99"/>
        <v>-5.1647497929419472E-2</v>
      </c>
      <c r="BG28" s="14">
        <f t="shared" si="99"/>
        <v>-5.0941159982786033E-2</v>
      </c>
      <c r="BH28" s="14">
        <f t="shared" si="99"/>
        <v>-5.0729854012134368E-2</v>
      </c>
      <c r="BI28" s="14">
        <f t="shared" si="99"/>
        <v>-5.0975053731247888E-2</v>
      </c>
      <c r="BJ28" s="14">
        <f t="shared" si="99"/>
        <v>-5.1278563363104768E-2</v>
      </c>
      <c r="BK28" s="14">
        <f t="shared" si="99"/>
        <v>-5.1043831789808536E-2</v>
      </c>
      <c r="BO28" s="28">
        <f t="shared" si="98"/>
        <v>-6.9561900398332099E-2</v>
      </c>
      <c r="BP28" s="28">
        <f t="shared" si="95"/>
        <v>-4.9273724139488939E-2</v>
      </c>
      <c r="BQ28" s="28">
        <f t="shared" si="95"/>
        <v>-6.9947201518835156E-2</v>
      </c>
      <c r="BR28" s="28">
        <f t="shared" si="95"/>
        <v>-7.6444819241828998E-2</v>
      </c>
      <c r="BS28" s="28">
        <f t="shared" si="95"/>
        <v>-7.2862044930364522E-2</v>
      </c>
      <c r="BT28" s="28">
        <f t="shared" si="95"/>
        <v>-4.3699913064573215E-2</v>
      </c>
    </row>
    <row r="29" spans="1:80" collapsed="1" x14ac:dyDescent="0.25">
      <c r="C29" s="3" t="s">
        <v>60</v>
      </c>
      <c r="D29" s="15">
        <f t="shared" si="96"/>
        <v>-6.8761404407289062E-2</v>
      </c>
      <c r="E29" s="15">
        <f t="shared" si="93"/>
        <v>-7.1256633523382629E-2</v>
      </c>
      <c r="F29" s="15">
        <f t="shared" si="93"/>
        <v>-7.3231813658673595E-2</v>
      </c>
      <c r="G29" s="15">
        <f t="shared" si="93"/>
        <v>-7.450464334598017E-2</v>
      </c>
      <c r="H29" s="15">
        <f t="shared" si="93"/>
        <v>-7.5334319055486265E-2</v>
      </c>
      <c r="I29" s="15">
        <f t="shared" si="93"/>
        <v>-7.7046138745545667E-2</v>
      </c>
      <c r="J29" s="15">
        <f t="shared" si="93"/>
        <v>-7.6508696232676865E-2</v>
      </c>
      <c r="K29" s="15">
        <f t="shared" si="93"/>
        <v>-7.6840129587967043E-2</v>
      </c>
      <c r="L29" s="15">
        <f t="shared" si="93"/>
        <v>-7.6522572596303018E-2</v>
      </c>
      <c r="M29" s="15">
        <f t="shared" si="93"/>
        <v>-7.7088188031162019E-2</v>
      </c>
      <c r="N29" s="15">
        <f t="shared" si="93"/>
        <v>-7.7521986506771112E-2</v>
      </c>
      <c r="O29" s="15">
        <f t="shared" si="93"/>
        <v>-7.7741416295349586E-2</v>
      </c>
      <c r="P29" s="15">
        <f t="shared" si="93"/>
        <v>-7.7681090986463142E-2</v>
      </c>
      <c r="Q29" s="15">
        <f t="shared" si="93"/>
        <v>-7.7473357665828857E-2</v>
      </c>
      <c r="R29" s="15">
        <f t="shared" si="93"/>
        <v>-7.7089510427544417E-2</v>
      </c>
      <c r="S29" s="15">
        <f t="shared" si="93"/>
        <v>-7.6819178817933098E-2</v>
      </c>
      <c r="T29" s="15">
        <f t="shared" si="93"/>
        <v>-7.6503522586753858E-2</v>
      </c>
      <c r="U29" s="15">
        <f t="shared" si="93"/>
        <v>-7.6078916804829921E-2</v>
      </c>
      <c r="V29" s="15">
        <f t="shared" si="93"/>
        <v>-7.5616872817090508E-2</v>
      </c>
      <c r="W29" s="15">
        <f t="shared" si="93"/>
        <v>-7.4997726057004499E-2</v>
      </c>
      <c r="X29" s="15">
        <f t="shared" si="93"/>
        <v>-7.4309488643184318E-2</v>
      </c>
      <c r="Y29" s="15">
        <f t="shared" si="93"/>
        <v>-7.3465152015962598E-2</v>
      </c>
      <c r="Z29" s="15">
        <f t="shared" si="93"/>
        <v>-7.2735122276938124E-2</v>
      </c>
      <c r="AA29" s="15">
        <f t="shared" si="93"/>
        <v>-7.1954326280150527E-2</v>
      </c>
      <c r="AB29" s="15">
        <f t="shared" si="93"/>
        <v>-7.1398772746787076E-2</v>
      </c>
      <c r="AC29" s="15">
        <f t="shared" si="93"/>
        <v>-7.0567055857100103E-2</v>
      </c>
      <c r="AD29" s="15">
        <f t="shared" si="93"/>
        <v>-6.9273379161589377E-2</v>
      </c>
      <c r="AE29" s="15">
        <f t="shared" si="93"/>
        <v>-6.8499484638308239E-2</v>
      </c>
      <c r="AF29" s="15">
        <f t="shared" si="93"/>
        <v>-6.7722791924524017E-2</v>
      </c>
      <c r="AG29" s="15">
        <f t="shared" si="93"/>
        <v>-6.6859887615457581E-2</v>
      </c>
      <c r="AH29" s="15">
        <f t="shared" si="93"/>
        <v>-6.5966327381327794E-2</v>
      </c>
      <c r="AI29" s="15">
        <f t="shared" si="93"/>
        <v>-6.5118874858291598E-2</v>
      </c>
      <c r="AJ29" s="15">
        <f t="shared" si="93"/>
        <v>-6.4477349000861661E-2</v>
      </c>
      <c r="AK29" s="15">
        <f t="shared" si="93"/>
        <v>-6.4917151478641077E-2</v>
      </c>
      <c r="AL29" s="15">
        <f t="shared" si="93"/>
        <v>-6.3715306111118863E-2</v>
      </c>
      <c r="AM29" s="15">
        <f t="shared" si="93"/>
        <v>-6.3245759688024705E-2</v>
      </c>
      <c r="AN29" s="15">
        <f t="shared" si="93"/>
        <v>-6.2774702870995291E-2</v>
      </c>
      <c r="AO29" s="15">
        <f t="shared" si="93"/>
        <v>-6.1972801733356508E-2</v>
      </c>
      <c r="AP29" s="15">
        <f t="shared" si="93"/>
        <v>-6.1218063169022008E-2</v>
      </c>
      <c r="AQ29" s="15">
        <f t="shared" si="93"/>
        <v>-6.0918317851993864E-2</v>
      </c>
      <c r="AR29" s="15">
        <f t="shared" si="93"/>
        <v>-6.0777408932297661E-2</v>
      </c>
      <c r="AS29" s="15">
        <f t="shared" si="93"/>
        <v>-6.0316311240298903E-2</v>
      </c>
      <c r="AT29" s="15">
        <f t="shared" si="93"/>
        <v>0</v>
      </c>
      <c r="AU29" s="15">
        <f t="shared" si="93"/>
        <v>0</v>
      </c>
      <c r="AV29" s="15">
        <f t="shared" si="93"/>
        <v>0</v>
      </c>
      <c r="AW29" s="15">
        <f t="shared" si="93"/>
        <v>0</v>
      </c>
      <c r="AX29" s="15">
        <f t="shared" si="93"/>
        <v>0</v>
      </c>
      <c r="AY29" s="15">
        <f t="shared" si="93"/>
        <v>0</v>
      </c>
      <c r="AZ29" s="15">
        <f t="shared" ref="AZ29:BK29" si="100">-IFERROR(((1-AZ47/AZ17)^(360/AZ$4))-1,0)</f>
        <v>-6.2990159727248196E-2</v>
      </c>
      <c r="BA29" s="15">
        <f t="shared" si="100"/>
        <v>-6.2683849105189315E-2</v>
      </c>
      <c r="BB29" s="15">
        <f t="shared" si="100"/>
        <v>-6.2270295433018541E-2</v>
      </c>
      <c r="BC29" s="15">
        <f t="shared" si="100"/>
        <v>-6.1904037398129219E-2</v>
      </c>
      <c r="BD29" s="15">
        <f t="shared" si="100"/>
        <v>-6.156040980555022E-2</v>
      </c>
      <c r="BE29" s="15">
        <f t="shared" si="100"/>
        <v>-6.1225655632429321E-2</v>
      </c>
      <c r="BF29" s="15">
        <f t="shared" si="100"/>
        <v>-6.091551106251103E-2</v>
      </c>
      <c r="BG29" s="15">
        <f t="shared" si="100"/>
        <v>-6.0609749758804288E-2</v>
      </c>
      <c r="BH29" s="15">
        <f t="shared" si="100"/>
        <v>-6.0286740058092425E-2</v>
      </c>
      <c r="BI29" s="15">
        <f t="shared" si="100"/>
        <v>-6.0006971369698459E-2</v>
      </c>
      <c r="BJ29" s="15">
        <f t="shared" si="100"/>
        <v>-5.9770248615728105E-2</v>
      </c>
      <c r="BK29" s="15">
        <f t="shared" si="100"/>
        <v>-5.9551513344012985E-2</v>
      </c>
      <c r="BO29" s="29">
        <f t="shared" si="98"/>
        <v>-6.1982088305645666E-2</v>
      </c>
      <c r="BP29" s="29">
        <f t="shared" si="95"/>
        <v>-6.2649114463934952E-2</v>
      </c>
      <c r="BQ29" s="29">
        <f t="shared" si="95"/>
        <v>-6.2364839588315402E-2</v>
      </c>
      <c r="BR29" s="29">
        <f t="shared" si="95"/>
        <v>-7.0409997735469965E-2</v>
      </c>
      <c r="BS29" s="29">
        <f t="shared" si="95"/>
        <v>-7.7418735738611577E-2</v>
      </c>
      <c r="BT29" s="29">
        <f t="shared" si="95"/>
        <v>-7.1128209358071626E-2</v>
      </c>
    </row>
    <row r="32" spans="1:80" hidden="1" outlineLevel="1" x14ac:dyDescent="0.25">
      <c r="A32" s="11"/>
      <c r="C32" s="2" t="s">
        <v>0</v>
      </c>
      <c r="D32" s="14">
        <f>D20+D26</f>
        <v>0.11743071423449036</v>
      </c>
      <c r="E32" s="14">
        <f t="shared" ref="E32:AY32" si="101">E20+E26</f>
        <v>0.11728471433047161</v>
      </c>
      <c r="F32" s="14">
        <f t="shared" si="101"/>
        <v>0.11319653362777471</v>
      </c>
      <c r="G32" s="14">
        <f t="shared" si="101"/>
        <v>0.1058134474336534</v>
      </c>
      <c r="H32" s="14">
        <f t="shared" si="101"/>
        <v>0.11441146510050992</v>
      </c>
      <c r="I32" s="14">
        <f t="shared" si="101"/>
        <v>0.11249816459196715</v>
      </c>
      <c r="J32" s="14">
        <f t="shared" si="101"/>
        <v>0.11177073142434635</v>
      </c>
      <c r="K32" s="14">
        <f t="shared" si="101"/>
        <v>0.1125842039233973</v>
      </c>
      <c r="L32" s="14">
        <f t="shared" si="101"/>
        <v>0.10955160806647402</v>
      </c>
      <c r="M32" s="14">
        <f t="shared" si="101"/>
        <v>0.10711516829296253</v>
      </c>
      <c r="N32" s="14">
        <f t="shared" si="101"/>
        <v>0.10331628039618646</v>
      </c>
      <c r="O32" s="14">
        <f t="shared" si="101"/>
        <v>9.8994084676640171E-2</v>
      </c>
      <c r="P32" s="14">
        <f t="shared" si="101"/>
        <v>9.8014281887687238E-2</v>
      </c>
      <c r="Q32" s="14">
        <f t="shared" si="101"/>
        <v>9.4351443295971116E-2</v>
      </c>
      <c r="R32" s="14">
        <f t="shared" si="101"/>
        <v>9.4410943300800243E-2</v>
      </c>
      <c r="S32" s="14">
        <f t="shared" si="101"/>
        <v>9.7814537485996889E-2</v>
      </c>
      <c r="T32" s="14">
        <f t="shared" si="101"/>
        <v>0.1001893918618133</v>
      </c>
      <c r="U32" s="14">
        <f t="shared" si="101"/>
        <v>0.10075425875405175</v>
      </c>
      <c r="V32" s="14">
        <f t="shared" si="101"/>
        <v>0.10520330951608625</v>
      </c>
      <c r="W32" s="14">
        <f t="shared" si="101"/>
        <v>0.10432753646129256</v>
      </c>
      <c r="X32" s="14">
        <f t="shared" si="101"/>
        <v>0.1045174313733388</v>
      </c>
      <c r="Y32" s="14">
        <f t="shared" si="101"/>
        <v>0.10355858573448562</v>
      </c>
      <c r="Z32" s="14">
        <f t="shared" si="101"/>
        <v>0.10017712938347789</v>
      </c>
      <c r="AA32" s="14">
        <f t="shared" si="101"/>
        <v>9.9789077266660531E-2</v>
      </c>
      <c r="AB32" s="14">
        <f t="shared" si="101"/>
        <v>0.10055879453663241</v>
      </c>
      <c r="AC32" s="14">
        <f t="shared" si="101"/>
        <v>9.8455446376173095E-2</v>
      </c>
      <c r="AD32" s="14">
        <f t="shared" si="101"/>
        <v>0.10032176572516294</v>
      </c>
      <c r="AE32" s="14">
        <f t="shared" si="101"/>
        <v>0.10073564053661954</v>
      </c>
      <c r="AF32" s="14">
        <f t="shared" si="101"/>
        <v>0.10078049460091298</v>
      </c>
      <c r="AG32" s="14">
        <f t="shared" si="101"/>
        <v>0.10054245395286365</v>
      </c>
      <c r="AH32" s="14">
        <f t="shared" si="101"/>
        <v>0.10157363976418154</v>
      </c>
      <c r="AI32" s="14">
        <f t="shared" si="101"/>
        <v>0.10209566288505911</v>
      </c>
      <c r="AJ32" s="14">
        <f t="shared" si="101"/>
        <v>0.10290825452489472</v>
      </c>
      <c r="AK32" s="14">
        <f t="shared" si="101"/>
        <v>0.10292561235049624</v>
      </c>
      <c r="AL32" s="14">
        <f t="shared" si="101"/>
        <v>0.10183961202955327</v>
      </c>
      <c r="AM32" s="14">
        <f t="shared" si="101"/>
        <v>0.10465432773768346</v>
      </c>
      <c r="AN32" s="14">
        <f t="shared" si="101"/>
        <v>0.10550678836004868</v>
      </c>
      <c r="AO32" s="14">
        <f t="shared" si="101"/>
        <v>0.1064771559459774</v>
      </c>
      <c r="AP32" s="14">
        <f t="shared" si="101"/>
        <v>0.1057909700334061</v>
      </c>
      <c r="AQ32" s="14">
        <f t="shared" si="101"/>
        <v>0.10393614247598904</v>
      </c>
      <c r="AR32" s="14">
        <f t="shared" si="101"/>
        <v>0.1034040785904764</v>
      </c>
      <c r="AS32" s="14">
        <f t="shared" si="101"/>
        <v>0.10266241726390946</v>
      </c>
      <c r="AT32" s="14">
        <f t="shared" si="101"/>
        <v>0</v>
      </c>
      <c r="AU32" s="14">
        <f t="shared" si="101"/>
        <v>0</v>
      </c>
      <c r="AV32" s="14">
        <f t="shared" si="101"/>
        <v>0</v>
      </c>
      <c r="AW32" s="14">
        <f t="shared" si="101"/>
        <v>0</v>
      </c>
      <c r="AX32" s="14">
        <f t="shared" si="101"/>
        <v>0</v>
      </c>
      <c r="AY32" s="14">
        <f t="shared" si="101"/>
        <v>0</v>
      </c>
      <c r="AZ32" s="14">
        <f t="shared" ref="AZ32:BK32" si="102">AZ20+AZ26</f>
        <v>0.10237564152429779</v>
      </c>
      <c r="BA32" s="14">
        <f t="shared" si="102"/>
        <v>0.10163826328333614</v>
      </c>
      <c r="BB32" s="14">
        <f t="shared" si="102"/>
        <v>0.10354644915550293</v>
      </c>
      <c r="BC32" s="14">
        <f t="shared" si="102"/>
        <v>0.1045934465868914</v>
      </c>
      <c r="BD32" s="14">
        <f t="shared" si="102"/>
        <v>0.10581865620473763</v>
      </c>
      <c r="BE32" s="14">
        <f t="shared" si="102"/>
        <v>0.10727852919129344</v>
      </c>
      <c r="BF32" s="14">
        <f t="shared" si="102"/>
        <v>0.10862951248686215</v>
      </c>
      <c r="BG32" s="14">
        <f t="shared" si="102"/>
        <v>0.1101561091057468</v>
      </c>
      <c r="BH32" s="14">
        <f t="shared" si="102"/>
        <v>0.11093330804456603</v>
      </c>
      <c r="BI32" s="14">
        <f t="shared" si="102"/>
        <v>0.11278770523609083</v>
      </c>
      <c r="BJ32" s="14">
        <f t="shared" si="102"/>
        <v>0.11372363089445403</v>
      </c>
      <c r="BK32" s="14">
        <f t="shared" si="102"/>
        <v>0.11613034919437326</v>
      </c>
      <c r="BO32" s="28">
        <f>BO20+BO26</f>
        <v>0.10591633271906309</v>
      </c>
      <c r="BP32" s="28">
        <f t="shared" ref="BP32:BT32" si="103">BP20+BP26</f>
        <v>0.10256137484992389</v>
      </c>
      <c r="BQ32" s="28">
        <f t="shared" si="103"/>
        <v>0.10592140946856476</v>
      </c>
      <c r="BR32" s="28">
        <f t="shared" si="103"/>
        <v>9.9836833431917071E-2</v>
      </c>
      <c r="BS32" s="28">
        <f t="shared" si="103"/>
        <v>9.5649789854941103E-2</v>
      </c>
      <c r="BT32" s="28">
        <f t="shared" si="103"/>
        <v>0.11590914877198388</v>
      </c>
    </row>
    <row r="33" spans="1:72" hidden="1" outlineLevel="1" x14ac:dyDescent="0.25">
      <c r="A33" s="11"/>
      <c r="C33" s="2" t="s">
        <v>1</v>
      </c>
      <c r="D33" s="14">
        <f t="shared" ref="D33:AY35" si="104">D21+D27</f>
        <v>-9.7010656847174026E-4</v>
      </c>
      <c r="E33" s="14">
        <f t="shared" si="104"/>
        <v>5.0370413435736339E-3</v>
      </c>
      <c r="F33" s="14">
        <f t="shared" si="104"/>
        <v>-1.7092727335518809E-2</v>
      </c>
      <c r="G33" s="14">
        <f t="shared" si="104"/>
        <v>-2.5923344143349292E-2</v>
      </c>
      <c r="H33" s="14">
        <f t="shared" si="104"/>
        <v>-2.1724255651570656E-2</v>
      </c>
      <c r="I33" s="14">
        <f t="shared" si="104"/>
        <v>-2.1100531907169096E-2</v>
      </c>
      <c r="J33" s="14">
        <f t="shared" si="104"/>
        <v>-1.1330268911824426E-2</v>
      </c>
      <c r="K33" s="14">
        <f t="shared" si="104"/>
        <v>-7.85014209228585E-3</v>
      </c>
      <c r="L33" s="14">
        <f t="shared" si="104"/>
        <v>-1.4041462781080316E-3</v>
      </c>
      <c r="M33" s="14">
        <f t="shared" si="104"/>
        <v>-9.1166360875443164E-3</v>
      </c>
      <c r="N33" s="14">
        <f t="shared" si="104"/>
        <v>-5.3529054655410135E-4</v>
      </c>
      <c r="O33" s="14">
        <f t="shared" si="104"/>
        <v>-5.4759975590186194E-3</v>
      </c>
      <c r="P33" s="14">
        <f t="shared" si="104"/>
        <v>3.1887127707228569E-3</v>
      </c>
      <c r="Q33" s="14">
        <f t="shared" si="104"/>
        <v>3.8394052078796204E-3</v>
      </c>
      <c r="R33" s="14">
        <f t="shared" si="104"/>
        <v>-1.0322408546059592E-2</v>
      </c>
      <c r="S33" s="14">
        <f t="shared" si="104"/>
        <v>4.7532289545080264E-3</v>
      </c>
      <c r="T33" s="14">
        <f t="shared" si="104"/>
        <v>-1.2554002626695926E-2</v>
      </c>
      <c r="U33" s="14">
        <f t="shared" si="104"/>
        <v>-4.4898144564562426E-3</v>
      </c>
      <c r="V33" s="14">
        <f t="shared" si="104"/>
        <v>-4.4860127039325626E-4</v>
      </c>
      <c r="W33" s="14">
        <f t="shared" si="104"/>
        <v>-8.1601509451483256E-3</v>
      </c>
      <c r="X33" s="14">
        <f t="shared" si="104"/>
        <v>-3.8125243342126414E-3</v>
      </c>
      <c r="Y33" s="14">
        <f t="shared" si="104"/>
        <v>-1.2202727990335838E-2</v>
      </c>
      <c r="Z33" s="14">
        <f t="shared" si="104"/>
        <v>-1.0194001903469863E-2</v>
      </c>
      <c r="AA33" s="14">
        <f t="shared" si="104"/>
        <v>-6.7452673578651812E-3</v>
      </c>
      <c r="AB33" s="14">
        <f t="shared" si="104"/>
        <v>6.7031635146275192E-4</v>
      </c>
      <c r="AC33" s="14">
        <f t="shared" si="104"/>
        <v>4.3760587221433056E-3</v>
      </c>
      <c r="AD33" s="14">
        <f t="shared" si="104"/>
        <v>-5.993400731618248E-3</v>
      </c>
      <c r="AE33" s="14">
        <f t="shared" si="104"/>
        <v>-1.3142900814462344E-3</v>
      </c>
      <c r="AF33" s="14">
        <f t="shared" si="104"/>
        <v>9.0495065994722346E-4</v>
      </c>
      <c r="AG33" s="14">
        <f t="shared" si="104"/>
        <v>1.7517666087250028E-3</v>
      </c>
      <c r="AH33" s="14">
        <f t="shared" si="104"/>
        <v>1.2533035444541207E-2</v>
      </c>
      <c r="AI33" s="14">
        <f t="shared" si="104"/>
        <v>1.7924258582964203E-3</v>
      </c>
      <c r="AJ33" s="14">
        <f t="shared" si="104"/>
        <v>1.1445684215718455E-2</v>
      </c>
      <c r="AK33" s="14">
        <f t="shared" si="104"/>
        <v>9.8196642573284976E-3</v>
      </c>
      <c r="AL33" s="14">
        <f t="shared" si="104"/>
        <v>5.8013493414919015E-3</v>
      </c>
      <c r="AM33" s="14">
        <f t="shared" si="104"/>
        <v>1.9385404344348212E-2</v>
      </c>
      <c r="AN33" s="14">
        <f t="shared" si="104"/>
        <v>1.3205747864531991E-2</v>
      </c>
      <c r="AO33" s="14">
        <f t="shared" si="104"/>
        <v>1.609675170616276E-2</v>
      </c>
      <c r="AP33" s="14">
        <f t="shared" si="104"/>
        <v>1.6343387567000489E-2</v>
      </c>
      <c r="AQ33" s="14">
        <f t="shared" si="104"/>
        <v>1.870626911691331E-2</v>
      </c>
      <c r="AR33" s="14">
        <f t="shared" si="104"/>
        <v>1.1210765706038295E-2</v>
      </c>
      <c r="AS33" s="14">
        <f t="shared" si="104"/>
        <v>2.1964690927505526E-2</v>
      </c>
      <c r="AT33" s="14">
        <f t="shared" si="104"/>
        <v>0</v>
      </c>
      <c r="AU33" s="14">
        <f t="shared" si="104"/>
        <v>0</v>
      </c>
      <c r="AV33" s="14">
        <f t="shared" si="104"/>
        <v>0</v>
      </c>
      <c r="AW33" s="14">
        <f t="shared" si="104"/>
        <v>0</v>
      </c>
      <c r="AX33" s="14">
        <f t="shared" si="104"/>
        <v>0</v>
      </c>
      <c r="AY33" s="14">
        <f t="shared" si="104"/>
        <v>0</v>
      </c>
      <c r="AZ33" s="14">
        <f t="shared" ref="AZ33:BK33" si="105">AZ21+AZ27</f>
        <v>6.2908895536881504E-2</v>
      </c>
      <c r="BA33" s="14">
        <f t="shared" si="105"/>
        <v>6.2381406022517849E-2</v>
      </c>
      <c r="BB33" s="14">
        <f t="shared" si="105"/>
        <v>6.2294942973938783E-2</v>
      </c>
      <c r="BC33" s="14">
        <f t="shared" si="105"/>
        <v>6.1705631389331828E-2</v>
      </c>
      <c r="BD33" s="14">
        <f t="shared" si="105"/>
        <v>6.132720261135538E-2</v>
      </c>
      <c r="BE33" s="14">
        <f t="shared" si="105"/>
        <v>6.0907024393455966E-2</v>
      </c>
      <c r="BF33" s="14">
        <f t="shared" si="105"/>
        <v>6.0499415759339481E-2</v>
      </c>
      <c r="BG33" s="14">
        <f t="shared" si="105"/>
        <v>6.0155973368645643E-2</v>
      </c>
      <c r="BH33" s="14">
        <f t="shared" si="105"/>
        <v>5.9622713938207061E-2</v>
      </c>
      <c r="BI33" s="14">
        <f t="shared" si="105"/>
        <v>5.9066154219438838E-2</v>
      </c>
      <c r="BJ33" s="14">
        <f t="shared" si="105"/>
        <v>5.8630870582199179E-2</v>
      </c>
      <c r="BK33" s="14">
        <f t="shared" si="105"/>
        <v>5.8324088456255918E-2</v>
      </c>
      <c r="BO33" s="28">
        <f t="shared" ref="BO33:BT35" si="106">BO21+BO27</f>
        <v>1.5160059228590983E-2</v>
      </c>
      <c r="BP33" s="28">
        <f t="shared" si="106"/>
        <v>6.2547188768290241E-2</v>
      </c>
      <c r="BQ33" s="28">
        <f t="shared" si="106"/>
        <v>1.4569428889488645E-2</v>
      </c>
      <c r="BR33" s="28">
        <f t="shared" si="106"/>
        <v>-4.7909845672511331E-4</v>
      </c>
      <c r="BS33" s="28">
        <f t="shared" si="106"/>
        <v>-1.6005961863900797E-3</v>
      </c>
      <c r="BT33" s="28">
        <f t="shared" si="106"/>
        <v>-4.8868324000912455E-3</v>
      </c>
    </row>
    <row r="34" spans="1:72" hidden="1" outlineLevel="1" x14ac:dyDescent="0.25">
      <c r="A34" s="11"/>
      <c r="C34" s="2" t="s">
        <v>45</v>
      </c>
      <c r="D34" s="14">
        <f t="shared" si="104"/>
        <v>1.9851020054876711E-2</v>
      </c>
      <c r="E34" s="14">
        <f t="shared" si="104"/>
        <v>-6.7429794338729199E-3</v>
      </c>
      <c r="F34" s="14">
        <f t="shared" si="104"/>
        <v>1.0767025672918873E-2</v>
      </c>
      <c r="G34" s="14">
        <f t="shared" si="104"/>
        <v>1.4036267802647995E-2</v>
      </c>
      <c r="H34" s="14">
        <f t="shared" si="104"/>
        <v>4.9213197272054865E-2</v>
      </c>
      <c r="I34" s="14">
        <f t="shared" si="104"/>
        <v>3.7459068826517505E-3</v>
      </c>
      <c r="J34" s="14">
        <f t="shared" si="104"/>
        <v>3.1915471618992219E-2</v>
      </c>
      <c r="K34" s="14">
        <f t="shared" si="104"/>
        <v>-1.4880689423223403E-2</v>
      </c>
      <c r="L34" s="14">
        <f t="shared" si="104"/>
        <v>-1.2964446908728888E-2</v>
      </c>
      <c r="M34" s="14">
        <f t="shared" si="104"/>
        <v>-1.0771942635605214E-2</v>
      </c>
      <c r="N34" s="14">
        <f t="shared" si="104"/>
        <v>9.3666816185922208E-4</v>
      </c>
      <c r="O34" s="14">
        <f t="shared" si="104"/>
        <v>-2.1204118634265967E-3</v>
      </c>
      <c r="P34" s="14">
        <f t="shared" si="104"/>
        <v>-1.0295401383164648E-2</v>
      </c>
      <c r="Q34" s="14">
        <f t="shared" si="104"/>
        <v>-1.2318013728905175E-2</v>
      </c>
      <c r="R34" s="14">
        <f t="shared" si="104"/>
        <v>-9.394520266529538E-3</v>
      </c>
      <c r="S34" s="14">
        <f t="shared" si="104"/>
        <v>9.1373899070994469E-3</v>
      </c>
      <c r="T34" s="14">
        <f t="shared" si="104"/>
        <v>2.5452759094557464E-3</v>
      </c>
      <c r="U34" s="14">
        <f t="shared" si="104"/>
        <v>2.0618355738502903E-2</v>
      </c>
      <c r="V34" s="14">
        <f t="shared" si="104"/>
        <v>2.6641684893929929E-2</v>
      </c>
      <c r="W34" s="14">
        <f t="shared" si="104"/>
        <v>1.7295181211212096E-3</v>
      </c>
      <c r="X34" s="14">
        <f t="shared" si="104"/>
        <v>1.6759159106869426E-3</v>
      </c>
      <c r="Y34" s="14">
        <f t="shared" si="104"/>
        <v>1.4523668293553449E-4</v>
      </c>
      <c r="Z34" s="14">
        <f t="shared" si="104"/>
        <v>2.4120552022876884E-2</v>
      </c>
      <c r="AA34" s="14">
        <f t="shared" si="104"/>
        <v>2.6553318140619897E-2</v>
      </c>
      <c r="AB34" s="14">
        <f t="shared" si="104"/>
        <v>1.1569016927366338E-2</v>
      </c>
      <c r="AC34" s="14">
        <f t="shared" si="104"/>
        <v>1.3949042899211728E-2</v>
      </c>
      <c r="AD34" s="14">
        <f t="shared" si="104"/>
        <v>3.1578873698038468E-2</v>
      </c>
      <c r="AE34" s="14">
        <f t="shared" si="104"/>
        <v>2.052755562409958E-2</v>
      </c>
      <c r="AF34" s="14">
        <f t="shared" si="104"/>
        <v>2.8805753837788828E-2</v>
      </c>
      <c r="AG34" s="14">
        <f t="shared" si="104"/>
        <v>2.7153183676341452E-2</v>
      </c>
      <c r="AH34" s="14">
        <f t="shared" si="104"/>
        <v>3.0896498150164264E-2</v>
      </c>
      <c r="AI34" s="14">
        <f t="shared" si="104"/>
        <v>1.4031729681898142E-2</v>
      </c>
      <c r="AJ34" s="14">
        <f t="shared" si="104"/>
        <v>1.7733660301584075E-2</v>
      </c>
      <c r="AK34" s="14">
        <f t="shared" si="104"/>
        <v>-9.1773257081322335E-3</v>
      </c>
      <c r="AL34" s="14">
        <f t="shared" si="104"/>
        <v>5.5064933573929942E-2</v>
      </c>
      <c r="AM34" s="14">
        <f t="shared" si="104"/>
        <v>6.0430662615382325E-2</v>
      </c>
      <c r="AN34" s="14">
        <f t="shared" si="104"/>
        <v>2.0835164644344761E-2</v>
      </c>
      <c r="AO34" s="14">
        <f t="shared" si="104"/>
        <v>2.8287798596525304E-2</v>
      </c>
      <c r="AP34" s="14">
        <f t="shared" si="104"/>
        <v>2.0797145062031897E-2</v>
      </c>
      <c r="AQ34" s="14">
        <f t="shared" si="104"/>
        <v>3.1485665741776803E-2</v>
      </c>
      <c r="AR34" s="14">
        <f t="shared" si="104"/>
        <v>4.7957750641055785E-2</v>
      </c>
      <c r="AS34" s="14">
        <f t="shared" si="104"/>
        <v>3.5256126565309298E-2</v>
      </c>
      <c r="AT34" s="14">
        <f t="shared" si="104"/>
        <v>0</v>
      </c>
      <c r="AU34" s="14">
        <f t="shared" si="104"/>
        <v>0</v>
      </c>
      <c r="AV34" s="14">
        <f t="shared" si="104"/>
        <v>0</v>
      </c>
      <c r="AW34" s="14">
        <f t="shared" si="104"/>
        <v>0</v>
      </c>
      <c r="AX34" s="14">
        <f t="shared" si="104"/>
        <v>0</v>
      </c>
      <c r="AY34" s="14">
        <f t="shared" si="104"/>
        <v>0</v>
      </c>
      <c r="AZ34" s="14">
        <f t="shared" ref="AZ34:BK34" si="107">AZ22+AZ28</f>
        <v>3.8439027316172769E-2</v>
      </c>
      <c r="BA34" s="14">
        <f t="shared" si="107"/>
        <v>4.7996351373568835E-2</v>
      </c>
      <c r="BB34" s="14">
        <f t="shared" si="107"/>
        <v>3.7270998211279327E-2</v>
      </c>
      <c r="BC34" s="14">
        <f t="shared" si="107"/>
        <v>3.9742460917802314E-2</v>
      </c>
      <c r="BD34" s="14">
        <f t="shared" si="107"/>
        <v>3.6368548354980712E-2</v>
      </c>
      <c r="BE34" s="14">
        <f t="shared" si="107"/>
        <v>3.9275130865263019E-2</v>
      </c>
      <c r="BF34" s="14">
        <f t="shared" si="107"/>
        <v>3.5781125732909702E-2</v>
      </c>
      <c r="BG34" s="14">
        <f t="shared" si="107"/>
        <v>3.6584125207598239E-2</v>
      </c>
      <c r="BH34" s="14">
        <f t="shared" si="107"/>
        <v>4.0048684091287923E-2</v>
      </c>
      <c r="BI34" s="14">
        <f t="shared" si="107"/>
        <v>3.6909217818285933E-2</v>
      </c>
      <c r="BJ34" s="14">
        <f t="shared" si="107"/>
        <v>3.9814600964273028E-2</v>
      </c>
      <c r="BK34" s="14">
        <f t="shared" si="107"/>
        <v>3.7106318740567579E-2</v>
      </c>
      <c r="BO34" s="28">
        <f t="shared" si="106"/>
        <v>2.3155735909636155E-2</v>
      </c>
      <c r="BP34" s="28">
        <f t="shared" si="106"/>
        <v>4.1025877784367726E-2</v>
      </c>
      <c r="BQ34" s="28">
        <f t="shared" si="106"/>
        <v>2.4351686520455385E-2</v>
      </c>
      <c r="BR34" s="28">
        <f t="shared" si="106"/>
        <v>1.8566983700545103E-2</v>
      </c>
      <c r="BS34" s="28">
        <f t="shared" si="106"/>
        <v>-1.0640437939249514E-2</v>
      </c>
      <c r="BT34" s="28">
        <f t="shared" si="106"/>
        <v>8.2732182765710149E-3</v>
      </c>
    </row>
    <row r="35" spans="1:72" collapsed="1" x14ac:dyDescent="0.25">
      <c r="C35" s="3" t="s">
        <v>63</v>
      </c>
      <c r="D35" s="15">
        <f t="shared" si="104"/>
        <v>0.114219338340114</v>
      </c>
      <c r="E35" s="15">
        <f t="shared" si="104"/>
        <v>0.11334033467157933</v>
      </c>
      <c r="F35" s="15">
        <f t="shared" si="104"/>
        <v>0.11020482962609068</v>
      </c>
      <c r="G35" s="15">
        <f t="shared" si="104"/>
        <v>0.10325482542214459</v>
      </c>
      <c r="H35" s="15">
        <f t="shared" si="104"/>
        <v>0.11267199924561133</v>
      </c>
      <c r="I35" s="15">
        <f t="shared" si="104"/>
        <v>0.109752405546925</v>
      </c>
      <c r="J35" s="15">
        <f t="shared" si="104"/>
        <v>0.10940232851061693</v>
      </c>
      <c r="K35" s="15">
        <f t="shared" si="104"/>
        <v>0.1074332830383502</v>
      </c>
      <c r="L35" s="15">
        <f t="shared" si="104"/>
        <v>0.1036690885855367</v>
      </c>
      <c r="M35" s="15">
        <f t="shared" si="104"/>
        <v>0.10168190056207593</v>
      </c>
      <c r="N35" s="15">
        <f t="shared" si="104"/>
        <v>9.8923687231921908E-2</v>
      </c>
      <c r="O35" s="15">
        <f t="shared" si="104"/>
        <v>9.4785904435156665E-2</v>
      </c>
      <c r="P35" s="15">
        <f t="shared" si="104"/>
        <v>9.259416010270316E-2</v>
      </c>
      <c r="Q35" s="15">
        <f t="shared" si="104"/>
        <v>8.8761706783568872E-2</v>
      </c>
      <c r="R35" s="15">
        <f t="shared" si="104"/>
        <v>8.8918872725919806E-2</v>
      </c>
      <c r="S35" s="15">
        <f t="shared" si="104"/>
        <v>9.1929790781474452E-2</v>
      </c>
      <c r="T35" s="15">
        <f t="shared" si="104"/>
        <v>9.3076585993840277E-2</v>
      </c>
      <c r="U35" s="15">
        <f t="shared" si="104"/>
        <v>9.4391562764074122E-2</v>
      </c>
      <c r="V35" s="15">
        <f t="shared" si="104"/>
        <v>9.9055385136409546E-2</v>
      </c>
      <c r="W35" s="15">
        <f t="shared" si="104"/>
        <v>9.6897826136889575E-2</v>
      </c>
      <c r="X35" s="15">
        <f t="shared" si="104"/>
        <v>9.7029694248203846E-2</v>
      </c>
      <c r="Y35" s="15">
        <f t="shared" si="104"/>
        <v>9.6691365803912133E-2</v>
      </c>
      <c r="Z35" s="15">
        <f t="shared" si="104"/>
        <v>9.5142133699880782E-2</v>
      </c>
      <c r="AA35" s="15">
        <f t="shared" si="104"/>
        <v>9.5194619307395367E-2</v>
      </c>
      <c r="AB35" s="15">
        <f t="shared" si="104"/>
        <v>9.4759465673264875E-2</v>
      </c>
      <c r="AC35" s="15">
        <f t="shared" si="104"/>
        <v>9.2976038637424541E-2</v>
      </c>
      <c r="AD35" s="15">
        <f t="shared" si="104"/>
        <v>9.58489886341507E-2</v>
      </c>
      <c r="AE35" s="15">
        <f t="shared" si="104"/>
        <v>9.5727599553967924E-2</v>
      </c>
      <c r="AF35" s="15">
        <f t="shared" si="104"/>
        <v>9.6214602476863309E-2</v>
      </c>
      <c r="AG35" s="15">
        <f t="shared" si="104"/>
        <v>9.5888441214275311E-2</v>
      </c>
      <c r="AH35" s="15">
        <f t="shared" si="104"/>
        <v>9.7416271366099982E-2</v>
      </c>
      <c r="AI35" s="15">
        <f t="shared" si="104"/>
        <v>9.7109587373126471E-2</v>
      </c>
      <c r="AJ35" s="15">
        <f t="shared" si="104"/>
        <v>9.8329565233364891E-2</v>
      </c>
      <c r="AK35" s="15">
        <f t="shared" si="104"/>
        <v>9.7506923983718075E-2</v>
      </c>
      <c r="AL35" s="15">
        <f t="shared" si="104"/>
        <v>9.9112988451628858E-2</v>
      </c>
      <c r="AM35" s="15">
        <f t="shared" si="104"/>
        <v>0.10226002741620754</v>
      </c>
      <c r="AN35" s="15">
        <f t="shared" si="104"/>
        <v>0.10154910387190164</v>
      </c>
      <c r="AO35" s="15">
        <f t="shared" si="104"/>
        <v>0.10288117603594671</v>
      </c>
      <c r="AP35" s="15">
        <f t="shared" si="104"/>
        <v>0.10221575555154794</v>
      </c>
      <c r="AQ35" s="15">
        <f t="shared" si="104"/>
        <v>0.10099551231174297</v>
      </c>
      <c r="AR35" s="15">
        <f t="shared" si="104"/>
        <v>0.10099523620318873</v>
      </c>
      <c r="AS35" s="15">
        <f t="shared" si="104"/>
        <v>0.10006180172625223</v>
      </c>
      <c r="AT35" s="15">
        <f t="shared" si="104"/>
        <v>0</v>
      </c>
      <c r="AU35" s="15">
        <f t="shared" si="104"/>
        <v>0</v>
      </c>
      <c r="AV35" s="15">
        <f t="shared" si="104"/>
        <v>0</v>
      </c>
      <c r="AW35" s="15">
        <f t="shared" si="104"/>
        <v>0</v>
      </c>
      <c r="AX35" s="15">
        <f t="shared" si="104"/>
        <v>0</v>
      </c>
      <c r="AY35" s="15">
        <f t="shared" si="104"/>
        <v>0</v>
      </c>
      <c r="AZ35" s="15">
        <f t="shared" ref="AZ35:BK35" si="108">AZ23+AZ29</f>
        <v>9.9586840211721039E-2</v>
      </c>
      <c r="BA35" s="15">
        <f t="shared" si="108"/>
        <v>9.927223025763765E-2</v>
      </c>
      <c r="BB35" s="15">
        <f t="shared" si="108"/>
        <v>0.10081284524409728</v>
      </c>
      <c r="BC35" s="15">
        <f t="shared" si="108"/>
        <v>0.10198179189026924</v>
      </c>
      <c r="BD35" s="15">
        <f t="shared" si="108"/>
        <v>0.10309838316573194</v>
      </c>
      <c r="BE35" s="15">
        <f t="shared" si="108"/>
        <v>0.10465046420062607</v>
      </c>
      <c r="BF35" s="15">
        <f t="shared" si="108"/>
        <v>0.10588838894685559</v>
      </c>
      <c r="BG35" s="15">
        <f t="shared" si="108"/>
        <v>0.10737990776365791</v>
      </c>
      <c r="BH35" s="15">
        <f t="shared" si="108"/>
        <v>0.10826856996017176</v>
      </c>
      <c r="BI35" s="15">
        <f t="shared" si="108"/>
        <v>0.10999273371218954</v>
      </c>
      <c r="BJ35" s="15">
        <f t="shared" si="108"/>
        <v>0.11102844300090053</v>
      </c>
      <c r="BK35" s="15">
        <f t="shared" si="108"/>
        <v>0.11326692102320424</v>
      </c>
      <c r="BO35" s="29">
        <f t="shared" si="106"/>
        <v>0.10220295736371687</v>
      </c>
      <c r="BP35" s="29">
        <f t="shared" si="106"/>
        <v>9.992048406773324E-2</v>
      </c>
      <c r="BQ35" s="29">
        <f t="shared" si="106"/>
        <v>0.10214225679912592</v>
      </c>
      <c r="BR35" s="29">
        <f t="shared" si="106"/>
        <v>9.4585094208387899E-2</v>
      </c>
      <c r="BS35" s="29">
        <f t="shared" si="106"/>
        <v>9.0147486850940872E-2</v>
      </c>
      <c r="BT35" s="29">
        <f t="shared" si="106"/>
        <v>0.11254715575506791</v>
      </c>
    </row>
    <row r="38" spans="1:72" hidden="1" outlineLevel="1" x14ac:dyDescent="0.25">
      <c r="A38" s="11" t="s">
        <v>55</v>
      </c>
      <c r="C38" s="2" t="s">
        <v>0</v>
      </c>
      <c r="D38" s="8">
        <f>Renta_Alta!D38+Masivo!D38+Consumo_Inicial!D38</f>
        <v>46940.230190520007</v>
      </c>
      <c r="E38" s="8">
        <f>Renta_Alta!E38+Masivo!E38+Consumo_Inicial!E38</f>
        <v>43757.553402730009</v>
      </c>
      <c r="F38" s="8">
        <f>Renta_Alta!F38+Masivo!F38+Consumo_Inicial!F38</f>
        <v>49752.553095449992</v>
      </c>
      <c r="G38" s="8">
        <f>Renta_Alta!G38+Masivo!G38+Consumo_Inicial!G38</f>
        <v>48101.629208700004</v>
      </c>
      <c r="H38" s="8">
        <f>Renta_Alta!H38+Masivo!H38+Consumo_Inicial!H38</f>
        <v>53270.00031132999</v>
      </c>
      <c r="I38" s="8">
        <f>Renta_Alta!I38+Masivo!I38+Consumo_Inicial!I38</f>
        <v>52079.984701890004</v>
      </c>
      <c r="J38" s="8">
        <f>Renta_Alta!J38+Masivo!J38+Consumo_Inicial!J38</f>
        <v>54240.01680089</v>
      </c>
      <c r="K38" s="8">
        <f>Renta_Alta!K38+Masivo!K38+Consumo_Inicial!K38</f>
        <v>54951.59269356</v>
      </c>
      <c r="L38" s="8">
        <f>Renta_Alta!L38+Masivo!L38+Consumo_Inicial!L38</f>
        <v>53738.298054849998</v>
      </c>
      <c r="M38" s="8">
        <f>Renta_Alta!M38+Masivo!M38+Consumo_Inicial!M38</f>
        <v>54988.090040850009</v>
      </c>
      <c r="N38" s="8">
        <f>Renta_Alta!N38+Masivo!N38+Consumo_Inicial!N38</f>
        <v>52198.429197580001</v>
      </c>
      <c r="O38" s="8">
        <f>Renta_Alta!O38+Masivo!O38+Consumo_Inicial!O38</f>
        <v>52153.898758899988</v>
      </c>
      <c r="P38" s="8">
        <f>Renta_Alta!P38+Masivo!P38+Consumo_Inicial!P38</f>
        <v>50645.987492009997</v>
      </c>
      <c r="Q38" s="8">
        <f>Renta_Alta!Q38+Masivo!Q38+Consumo_Inicial!Q38</f>
        <v>45289.272698219997</v>
      </c>
      <c r="R38" s="8">
        <f>Renta_Alta!R38+Masivo!R38+Consumo_Inicial!R38</f>
        <v>47399.031740440005</v>
      </c>
      <c r="S38" s="8">
        <f>Renta_Alta!S38+Masivo!S38+Consumo_Inicial!S38</f>
        <v>45295.344468059993</v>
      </c>
      <c r="T38" s="8">
        <f>Renta_Alta!T38+Masivo!T38+Consumo_Inicial!T38</f>
        <v>45920.035146709997</v>
      </c>
      <c r="U38" s="8">
        <f>Renta_Alta!U38+Masivo!U38+Consumo_Inicial!U38</f>
        <v>42939.567994830009</v>
      </c>
      <c r="V38" s="8">
        <f>Renta_Alta!V38+Masivo!V38+Consumo_Inicial!V38</f>
        <v>43956.600306259999</v>
      </c>
      <c r="W38" s="8">
        <f>Renta_Alta!W38+Masivo!W38+Consumo_Inicial!W38</f>
        <v>42589.728821740006</v>
      </c>
      <c r="X38" s="8">
        <f>Renta_Alta!X38+Masivo!X38+Consumo_Inicial!X38</f>
        <v>40562.751913419997</v>
      </c>
      <c r="Y38" s="8">
        <f>Renta_Alta!Y38+Masivo!Y38+Consumo_Inicial!Y38</f>
        <v>41257.267447849998</v>
      </c>
      <c r="Z38" s="8">
        <f>Renta_Alta!Z38+Masivo!Z38+Consumo_Inicial!Z38</f>
        <v>38723.485019610001</v>
      </c>
      <c r="AA38" s="8">
        <f>Renta_Alta!AA38+Masivo!AA38+Consumo_Inicial!AA38</f>
        <v>39454.274767319999</v>
      </c>
      <c r="AB38" s="8">
        <f>Renta_Alta!AB38+Masivo!AB38+Consumo_Inicial!AB38</f>
        <v>38869.449981949998</v>
      </c>
      <c r="AC38" s="8">
        <f>Renta_Alta!AC38+Masivo!AC38+Consumo_Inicial!AC38</f>
        <v>34470.217871730005</v>
      </c>
      <c r="AD38" s="8">
        <f>Renta_Alta!AD38+Masivo!AD38+Consumo_Inicial!AD38</f>
        <v>38502.529453529998</v>
      </c>
      <c r="AE38" s="8">
        <f>Renta_Alta!AE38+Masivo!AE38+Consumo_Inicial!AE38</f>
        <v>37279.790432009991</v>
      </c>
      <c r="AF38" s="8">
        <f>Renta_Alta!AF38+Masivo!AF38+Consumo_Inicial!AF38</f>
        <v>38383.694987130002</v>
      </c>
      <c r="AG38" s="8">
        <f>Renta_Alta!AG38+Masivo!AG38+Consumo_Inicial!AG38</f>
        <v>36883.431903259996</v>
      </c>
      <c r="AH38" s="8">
        <f>Renta_Alta!AH38+Masivo!AH38+Consumo_Inicial!AH38</f>
        <v>38220.538151150002</v>
      </c>
      <c r="AI38" s="8">
        <f>Renta_Alta!AI38+Masivo!AI38+Consumo_Inicial!AI38</f>
        <v>38518.804053419997</v>
      </c>
      <c r="AJ38" s="8">
        <f>Renta_Alta!AJ38+Masivo!AJ38+Consumo_Inicial!AJ38</f>
        <v>37713.070909740003</v>
      </c>
      <c r="AK38" s="8">
        <f>Renta_Alta!AK38+Masivo!AK38+Consumo_Inicial!AK38</f>
        <v>39606.452919709998</v>
      </c>
      <c r="AL38" s="8">
        <f>Renta_Alta!AL38+Masivo!AL38+Consumo_Inicial!AL38</f>
        <v>38728.449272280006</v>
      </c>
      <c r="AM38" s="8">
        <f>Renta_Alta!AM38+Masivo!AM38+Consumo_Inicial!AM38</f>
        <v>40780.983992190006</v>
      </c>
      <c r="AN38" s="8">
        <f>Renta_Alta!AN38+Masivo!AN38+Consumo_Inicial!AN38</f>
        <v>40966.155889890004</v>
      </c>
      <c r="AO38" s="8">
        <f>Renta_Alta!AO38+Masivo!AO38+Consumo_Inicial!AO38</f>
        <v>37668.512927210002</v>
      </c>
      <c r="AP38" s="8">
        <f>Renta_Alta!AP38+Masivo!AP38+Consumo_Inicial!AP38</f>
        <v>42322.03923848999</v>
      </c>
      <c r="AQ38" s="8">
        <f>Renta_Alta!AQ38+Masivo!AQ38+Consumo_Inicial!AQ38</f>
        <v>40933.52379295</v>
      </c>
      <c r="AR38" s="8">
        <f>Renta_Alta!AR38+Masivo!AR38+Consumo_Inicial!AR38</f>
        <v>42894.511041400001</v>
      </c>
      <c r="AS38" s="8">
        <f>Renta_Alta!AS38+Masivo!AS38+Consumo_Inicial!AS38</f>
        <v>42274.813802880009</v>
      </c>
      <c r="AT38" s="8">
        <f>Renta_Alta!AT38+Masivo!AT38+Consumo_Inicial!AT38</f>
        <v>0</v>
      </c>
      <c r="AU38" s="8">
        <f>Renta_Alta!AU38+Masivo!AU38+Consumo_Inicial!AU38</f>
        <v>0</v>
      </c>
      <c r="AV38" s="8">
        <f>Renta_Alta!AV38+Masivo!AV38+Consumo_Inicial!AV38</f>
        <v>0</v>
      </c>
      <c r="AW38" s="8">
        <f>Renta_Alta!AW38+Masivo!AW38+Consumo_Inicial!AW38</f>
        <v>0</v>
      </c>
      <c r="AX38" s="8">
        <f>Renta_Alta!AX38+Masivo!AX38+Consumo_Inicial!AX38</f>
        <v>0</v>
      </c>
      <c r="AY38" s="8">
        <f>Renta_Alta!AY38+Masivo!AY38+Consumo_Inicial!AY38</f>
        <v>0</v>
      </c>
      <c r="AZ38" s="8">
        <f>Renta_Alta!AZ38+Masivo!AZ38+Consumo_Inicial!AZ38</f>
        <v>40668.772162639063</v>
      </c>
      <c r="BA38" s="8">
        <f>Renta_Alta!BA38+Masivo!BA38+Consumo_Inicial!BA38</f>
        <v>36586.102099317533</v>
      </c>
      <c r="BB38" s="8">
        <f>Renta_Alta!BB38+Masivo!BB38+Consumo_Inicial!BB38</f>
        <v>41169.410217267803</v>
      </c>
      <c r="BC38" s="8">
        <f>Renta_Alta!BC38+Masivo!BC38+Consumo_Inicial!BC38</f>
        <v>40537.708067834144</v>
      </c>
      <c r="BD38" s="8">
        <f>Renta_Alta!BD38+Masivo!BD38+Consumo_Inicial!BD38</f>
        <v>42842.053146291932</v>
      </c>
      <c r="BE38" s="8">
        <f>Renta_Alta!BE38+Masivo!BE38+Consumo_Inicial!BE38</f>
        <v>42331.228459120182</v>
      </c>
      <c r="BF38" s="8">
        <f>Renta_Alta!BF38+Masivo!BF38+Consumo_Inicial!BF38</f>
        <v>44355.079560443657</v>
      </c>
      <c r="BG38" s="8">
        <f>Renta_Alta!BG38+Masivo!BG38+Consumo_Inicial!BG38</f>
        <v>45029.324456122369</v>
      </c>
      <c r="BH38" s="8">
        <f>Renta_Alta!BH38+Masivo!BH38+Consumo_Inicial!BH38</f>
        <v>44297.624380627916</v>
      </c>
      <c r="BI38" s="8">
        <f>Renta_Alta!BI38+Masivo!BI38+Consumo_Inicial!BI38</f>
        <v>46946.093790471059</v>
      </c>
      <c r="BJ38" s="8">
        <f>Renta_Alta!BJ38+Masivo!BJ38+Consumo_Inicial!BJ38</f>
        <v>46144.684794642199</v>
      </c>
      <c r="BK38" s="8">
        <f>Renta_Alta!BK38+Masivo!BK38+Consumo_Inicial!BK38</f>
        <v>48532.113931370353</v>
      </c>
      <c r="BO38" s="24">
        <f t="shared" ref="BO38:BT40" si="109">SUMIFS($D38:$BM38,$D$6:$BM$6,"&gt;="&amp;BO$2,$D$6:$BM$6,"&lt;="&amp;BO$6,$D$5:$BM$5,BO$5)</f>
        <v>120956.70805558999</v>
      </c>
      <c r="BP38" s="24">
        <f t="shared" si="109"/>
        <v>118424.28447922441</v>
      </c>
      <c r="BQ38" s="24">
        <f t="shared" si="109"/>
        <v>78634.668817099999</v>
      </c>
      <c r="BR38" s="24">
        <f t="shared" si="109"/>
        <v>111842.19730721001</v>
      </c>
      <c r="BS38" s="24">
        <f t="shared" si="109"/>
        <v>143334.29193067001</v>
      </c>
      <c r="BT38" s="24">
        <f t="shared" si="109"/>
        <v>140450.33668870002</v>
      </c>
    </row>
    <row r="39" spans="1:72" hidden="1" outlineLevel="1" x14ac:dyDescent="0.25">
      <c r="A39" s="11" t="s">
        <v>55</v>
      </c>
      <c r="C39" s="2" t="s">
        <v>1</v>
      </c>
      <c r="D39" s="8">
        <f>Renta_Alta!D39+Masivo!D39+Consumo_Inicial!D39</f>
        <v>68.972759999999994</v>
      </c>
      <c r="E39" s="8">
        <f>Renta_Alta!E39+Masivo!E39+Consumo_Inicial!E39</f>
        <v>72.58229</v>
      </c>
      <c r="F39" s="8">
        <f>Renta_Alta!F39+Masivo!F39+Consumo_Inicial!F39</f>
        <v>62.902324</v>
      </c>
      <c r="G39" s="8">
        <f>Renta_Alta!G39+Masivo!G39+Consumo_Inicial!G39</f>
        <v>50.559299829999993</v>
      </c>
      <c r="H39" s="8">
        <f>Renta_Alta!H39+Masivo!H39+Consumo_Inicial!H39</f>
        <v>52.503720569999999</v>
      </c>
      <c r="I39" s="8">
        <f>Renta_Alta!I39+Masivo!I39+Consumo_Inicial!I39</f>
        <v>47.07691900999999</v>
      </c>
      <c r="J39" s="8">
        <f>Renta_Alta!J39+Masivo!J39+Consumo_Inicial!J39</f>
        <v>52.365151209999993</v>
      </c>
      <c r="K39" s="8">
        <f>Renta_Alta!K39+Masivo!K39+Consumo_Inicial!K39</f>
        <v>48.801622799999997</v>
      </c>
      <c r="L39" s="8">
        <f>Renta_Alta!L39+Masivo!L39+Consumo_Inicial!L39</f>
        <v>50.723082159999997</v>
      </c>
      <c r="M39" s="8">
        <f>Renta_Alta!M39+Masivo!M39+Consumo_Inicial!M39</f>
        <v>43.718192050000006</v>
      </c>
      <c r="N39" s="8">
        <f>Renta_Alta!N39+Masivo!N39+Consumo_Inicial!N39</f>
        <v>41.277324759999999</v>
      </c>
      <c r="O39" s="8">
        <f>Renta_Alta!O39+Masivo!O39+Consumo_Inicial!O39</f>
        <v>37.41074407</v>
      </c>
      <c r="P39" s="8">
        <f>Renta_Alta!P39+Masivo!P39+Consumo_Inicial!P39</f>
        <v>37.363839999999996</v>
      </c>
      <c r="Q39" s="8">
        <f>Renta_Alta!Q39+Masivo!Q39+Consumo_Inicial!Q39</f>
        <v>33.147560000000006</v>
      </c>
      <c r="R39" s="8">
        <f>Renta_Alta!R39+Masivo!R39+Consumo_Inicial!R39</f>
        <v>33.306750000000001</v>
      </c>
      <c r="S39" s="8">
        <f>Renta_Alta!S39+Masivo!S39+Consumo_Inicial!S39</f>
        <v>63.083010000000002</v>
      </c>
      <c r="T39" s="8">
        <f>Renta_Alta!T39+Masivo!T39+Consumo_Inicial!T39</f>
        <v>99.593119999999999</v>
      </c>
      <c r="U39" s="8">
        <f>Renta_Alta!U39+Masivo!U39+Consumo_Inicial!U39</f>
        <v>175.35585001000001</v>
      </c>
      <c r="V39" s="8">
        <f>Renta_Alta!V39+Masivo!V39+Consumo_Inicial!V39</f>
        <v>232.62928002000001</v>
      </c>
      <c r="W39" s="8">
        <f>Renta_Alta!W39+Masivo!W39+Consumo_Inicial!W39</f>
        <v>226.92426001999999</v>
      </c>
      <c r="X39" s="8">
        <f>Renta_Alta!X39+Masivo!X39+Consumo_Inicial!X39</f>
        <v>240.79891001999999</v>
      </c>
      <c r="Y39" s="8">
        <f>Renta_Alta!Y39+Masivo!Y39+Consumo_Inicial!Y39</f>
        <v>209.32372996000004</v>
      </c>
      <c r="Z39" s="8">
        <f>Renta_Alta!Z39+Masivo!Z39+Consumo_Inicial!Z39</f>
        <v>207.46843997000002</v>
      </c>
      <c r="AA39" s="8">
        <f>Renta_Alta!AA39+Masivo!AA39+Consumo_Inicial!AA39</f>
        <v>226.10029997000001</v>
      </c>
      <c r="AB39" s="8">
        <f>Renta_Alta!AB39+Masivo!AB39+Consumo_Inicial!AB39</f>
        <v>253.29384999000001</v>
      </c>
      <c r="AC39" s="8">
        <f>Renta_Alta!AC39+Masivo!AC39+Consumo_Inicial!AC39</f>
        <v>236.07800997000001</v>
      </c>
      <c r="AD39" s="8">
        <f>Renta_Alta!AD39+Masivo!AD39+Consumo_Inicial!AD39</f>
        <v>221.84931996999998</v>
      </c>
      <c r="AE39" s="8">
        <f>Renta_Alta!AE39+Masivo!AE39+Consumo_Inicial!AE39</f>
        <v>237.41221003999999</v>
      </c>
      <c r="AF39" s="8">
        <f>Renta_Alta!AF39+Masivo!AF39+Consumo_Inicial!AF39</f>
        <v>243.82979004999999</v>
      </c>
      <c r="AG39" s="8">
        <f>Renta_Alta!AG39+Masivo!AG39+Consumo_Inicial!AG39</f>
        <v>229.63286997000003</v>
      </c>
      <c r="AH39" s="8">
        <f>Renta_Alta!AH39+Masivo!AH39+Consumo_Inicial!AH39</f>
        <v>267.66233</v>
      </c>
      <c r="AI39" s="8">
        <f>Renta_Alta!AI39+Masivo!AI39+Consumo_Inicial!AI39</f>
        <v>222.84850996</v>
      </c>
      <c r="AJ39" s="8">
        <f>Renta_Alta!AJ39+Masivo!AJ39+Consumo_Inicial!AJ39</f>
        <v>243.36002004999997</v>
      </c>
      <c r="AK39" s="8">
        <f>Renta_Alta!AK39+Masivo!AK39+Consumo_Inicial!AK39</f>
        <v>241.15130998999999</v>
      </c>
      <c r="AL39" s="8">
        <f>Renta_Alta!AL39+Masivo!AL39+Consumo_Inicial!AL39</f>
        <v>215.55295998</v>
      </c>
      <c r="AM39" s="8">
        <f>Renta_Alta!AM39+Masivo!AM39+Consumo_Inicial!AM39</f>
        <v>264.10450001999999</v>
      </c>
      <c r="AN39" s="8">
        <f>Renta_Alta!AN39+Masivo!AN39+Consumo_Inicial!AN39</f>
        <v>239.78656000000001</v>
      </c>
      <c r="AO39" s="8">
        <f>Renta_Alta!AO39+Masivo!AO39+Consumo_Inicial!AO39</f>
        <v>218.80858000999999</v>
      </c>
      <c r="AP39" s="8">
        <f>Renta_Alta!AP39+Masivo!AP39+Consumo_Inicial!AP39</f>
        <v>236.54399000999999</v>
      </c>
      <c r="AQ39" s="8">
        <f>Renta_Alta!AQ39+Masivo!AQ39+Consumo_Inicial!AQ39</f>
        <v>230.14717001</v>
      </c>
      <c r="AR39" s="8">
        <f>Renta_Alta!AR39+Masivo!AR39+Consumo_Inicial!AR39</f>
        <v>212.93016</v>
      </c>
      <c r="AS39" s="8">
        <f>Renta_Alta!AS39+Masivo!AS39+Consumo_Inicial!AS39</f>
        <v>231.10796999999997</v>
      </c>
      <c r="AT39" s="8">
        <f>Renta_Alta!AT39+Masivo!AT39+Consumo_Inicial!AT39</f>
        <v>0</v>
      </c>
      <c r="AU39" s="8">
        <f>Renta_Alta!AU39+Masivo!AU39+Consumo_Inicial!AU39</f>
        <v>0</v>
      </c>
      <c r="AV39" s="8">
        <f>Renta_Alta!AV39+Masivo!AV39+Consumo_Inicial!AV39</f>
        <v>0</v>
      </c>
      <c r="AW39" s="8">
        <f>Renta_Alta!AW39+Masivo!AW39+Consumo_Inicial!AW39</f>
        <v>0</v>
      </c>
      <c r="AX39" s="8">
        <f>Renta_Alta!AX39+Masivo!AX39+Consumo_Inicial!AX39</f>
        <v>0</v>
      </c>
      <c r="AY39" s="8">
        <f>Renta_Alta!AY39+Masivo!AY39+Consumo_Inicial!AY39</f>
        <v>0</v>
      </c>
      <c r="AZ39" s="8">
        <f>Renta_Alta!AZ39+Masivo!AZ39+Consumo_Inicial!AZ39</f>
        <v>211.64765532877755</v>
      </c>
      <c r="BA39" s="8">
        <f>Renta_Alta!BA39+Masivo!BA39+Consumo_Inicial!BA39</f>
        <v>181.18988602620939</v>
      </c>
      <c r="BB39" s="8">
        <f>Renta_Alta!BB39+Masivo!BB39+Consumo_Inicial!BB39</f>
        <v>191.60212278771667</v>
      </c>
      <c r="BC39" s="8">
        <f>Renta_Alta!BC39+Masivo!BC39+Consumo_Inicial!BC39</f>
        <v>177.98200685493219</v>
      </c>
      <c r="BD39" s="8">
        <f>Renta_Alta!BD39+Masivo!BD39+Consumo_Inicial!BD39</f>
        <v>178.23131205592168</v>
      </c>
      <c r="BE39" s="8">
        <f>Renta_Alta!BE39+Masivo!BE39+Consumo_Inicial!BE39</f>
        <v>165.87041271767072</v>
      </c>
      <c r="BF39" s="8">
        <f>Renta_Alta!BF39+Masivo!BF39+Consumo_Inicial!BF39</f>
        <v>165.64995919205148</v>
      </c>
      <c r="BG39" s="8">
        <f>Renta_Alta!BG39+Masivo!BG39+Consumo_Inicial!BG39</f>
        <v>160.91243920807528</v>
      </c>
      <c r="BH39" s="8">
        <f>Renta_Alta!BH39+Masivo!BH39+Consumo_Inicial!BH39</f>
        <v>149.90684195393729</v>
      </c>
      <c r="BI39" s="8">
        <f>Renta_Alta!BI39+Masivo!BI39+Consumo_Inicial!BI39</f>
        <v>149.8207428946979</v>
      </c>
      <c r="BJ39" s="8">
        <f>Renta_Alta!BJ39+Masivo!BJ39+Consumo_Inicial!BJ39</f>
        <v>141.10196595005272</v>
      </c>
      <c r="BK39" s="8">
        <f>Renta_Alta!BK39+Masivo!BK39+Consumo_Inicial!BK39</f>
        <v>142.66132016406218</v>
      </c>
      <c r="BO39" s="24">
        <f t="shared" si="109"/>
        <v>695.13913002000004</v>
      </c>
      <c r="BP39" s="24">
        <f t="shared" si="109"/>
        <v>584.43966414270358</v>
      </c>
      <c r="BQ39" s="24">
        <f t="shared" si="109"/>
        <v>458.59514001000002</v>
      </c>
      <c r="BR39" s="24">
        <f t="shared" si="109"/>
        <v>711.22117993000006</v>
      </c>
      <c r="BS39" s="24">
        <f t="shared" si="109"/>
        <v>103.81815</v>
      </c>
      <c r="BT39" s="24">
        <f t="shared" si="109"/>
        <v>204.45737399999999</v>
      </c>
    </row>
    <row r="40" spans="1:72" hidden="1" outlineLevel="1" x14ac:dyDescent="0.25">
      <c r="A40" s="11" t="s">
        <v>55</v>
      </c>
      <c r="C40" s="2" t="s">
        <v>45</v>
      </c>
      <c r="D40" s="8">
        <f>Renta_Alta!D40+Masivo!D40+Consumo_Inicial!D40</f>
        <v>462.19593138000005</v>
      </c>
      <c r="E40" s="8">
        <f>Renta_Alta!E40+Masivo!E40+Consumo_Inicial!E40</f>
        <v>247.08593017000001</v>
      </c>
      <c r="F40" s="8">
        <f>Renta_Alta!F40+Masivo!F40+Consumo_Inicial!F40</f>
        <v>364.58819244</v>
      </c>
      <c r="G40" s="8">
        <f>Renta_Alta!G40+Masivo!G40+Consumo_Inicial!G40</f>
        <v>368.04310031000011</v>
      </c>
      <c r="H40" s="8">
        <f>Renta_Alta!H40+Masivo!H40+Consumo_Inicial!H40</f>
        <v>554.56827587000009</v>
      </c>
      <c r="I40" s="8">
        <f>Renta_Alta!I40+Masivo!I40+Consumo_Inicial!I40</f>
        <v>478.24532547999996</v>
      </c>
      <c r="J40" s="8">
        <f>Renta_Alta!J40+Masivo!J40+Consumo_Inicial!J40</f>
        <v>680.74838184000009</v>
      </c>
      <c r="K40" s="8">
        <f>Renta_Alta!K40+Masivo!K40+Consumo_Inicial!K40</f>
        <v>721.33468028999982</v>
      </c>
      <c r="L40" s="8">
        <f>Renta_Alta!L40+Masivo!L40+Consumo_Inicial!L40</f>
        <v>610.77221184000007</v>
      </c>
      <c r="M40" s="8">
        <f>Renta_Alta!M40+Masivo!M40+Consumo_Inicial!M40</f>
        <v>688.38491609000005</v>
      </c>
      <c r="N40" s="8">
        <f>Renta_Alta!N40+Masivo!N40+Consumo_Inicial!N40</f>
        <v>803.33134872000016</v>
      </c>
      <c r="O40" s="8">
        <f>Renta_Alta!O40+Masivo!O40+Consumo_Inicial!O40</f>
        <v>802.17891828000006</v>
      </c>
      <c r="P40" s="8">
        <f>Renta_Alta!P40+Masivo!P40+Consumo_Inicial!P40</f>
        <v>895.36407496999993</v>
      </c>
      <c r="Q40" s="8">
        <f>Renta_Alta!Q40+Masivo!Q40+Consumo_Inicial!Q40</f>
        <v>869.76003220999985</v>
      </c>
      <c r="R40" s="8">
        <f>Renta_Alta!R40+Masivo!R40+Consumo_Inicial!R40</f>
        <v>963.50453789999983</v>
      </c>
      <c r="S40" s="8">
        <f>Renta_Alta!S40+Masivo!S40+Consumo_Inicial!S40</f>
        <v>1496.2503807500002</v>
      </c>
      <c r="T40" s="8">
        <f>Renta_Alta!T40+Masivo!T40+Consumo_Inicial!T40</f>
        <v>1455.2669918900001</v>
      </c>
      <c r="U40" s="8">
        <f>Renta_Alta!U40+Masivo!U40+Consumo_Inicial!U40</f>
        <v>1689.50734749</v>
      </c>
      <c r="V40" s="8">
        <f>Renta_Alta!V40+Masivo!V40+Consumo_Inicial!V40</f>
        <v>1657.5983242200004</v>
      </c>
      <c r="W40" s="8">
        <f>Renta_Alta!W40+Masivo!W40+Consumo_Inicial!W40</f>
        <v>1124.7669609699997</v>
      </c>
      <c r="X40" s="8">
        <f>Renta_Alta!X40+Masivo!X40+Consumo_Inicial!X40</f>
        <v>1082.9553875100003</v>
      </c>
      <c r="Y40" s="8">
        <f>Renta_Alta!Y40+Masivo!Y40+Consumo_Inicial!Y40</f>
        <v>940.34835802000009</v>
      </c>
      <c r="Z40" s="8">
        <f>Renta_Alta!Z40+Masivo!Z40+Consumo_Inicial!Z40</f>
        <v>1047.0242544299999</v>
      </c>
      <c r="AA40" s="8">
        <f>Renta_Alta!AA40+Masivo!AA40+Consumo_Inicial!AA40</f>
        <v>993.98382362000007</v>
      </c>
      <c r="AB40" s="8">
        <f>Renta_Alta!AB40+Masivo!AB40+Consumo_Inicial!AB40</f>
        <v>1000.39434678</v>
      </c>
      <c r="AC40" s="8">
        <f>Renta_Alta!AC40+Masivo!AC40+Consumo_Inicial!AC40</f>
        <v>923.70441089000008</v>
      </c>
      <c r="AD40" s="8">
        <f>Renta_Alta!AD40+Masivo!AD40+Consumo_Inicial!AD40</f>
        <v>1122.5149893400001</v>
      </c>
      <c r="AE40" s="8">
        <f>Renta_Alta!AE40+Masivo!AE40+Consumo_Inicial!AE40</f>
        <v>940.42223711000008</v>
      </c>
      <c r="AF40" s="8">
        <f>Renta_Alta!AF40+Masivo!AF40+Consumo_Inicial!AF40</f>
        <v>1050.9423518999999</v>
      </c>
      <c r="AG40" s="8">
        <f>Renta_Alta!AG40+Masivo!AG40+Consumo_Inicial!AG40</f>
        <v>1027.40328535</v>
      </c>
      <c r="AH40" s="8">
        <f>Renta_Alta!AH40+Masivo!AH40+Consumo_Inicial!AH40</f>
        <v>1022.2220741100002</v>
      </c>
      <c r="AI40" s="8">
        <f>Renta_Alta!AI40+Masivo!AI40+Consumo_Inicial!AI40</f>
        <v>862.81882263999989</v>
      </c>
      <c r="AJ40" s="8">
        <f>Renta_Alta!AJ40+Masivo!AJ40+Consumo_Inicial!AJ40</f>
        <v>838.52710029000002</v>
      </c>
      <c r="AK40" s="8">
        <f>Renta_Alta!AK40+Masivo!AK40+Consumo_Inicial!AK40</f>
        <v>832.3200272900001</v>
      </c>
      <c r="AL40" s="8">
        <f>Renta_Alta!AL40+Masivo!AL40+Consumo_Inicial!AL40</f>
        <v>995.98351232999994</v>
      </c>
      <c r="AM40" s="8">
        <f>Renta_Alta!AM40+Masivo!AM40+Consumo_Inicial!AM40</f>
        <v>998.39521479000018</v>
      </c>
      <c r="AN40" s="8">
        <f>Renta_Alta!AN40+Masivo!AN40+Consumo_Inicial!AN40</f>
        <v>775.94465253999988</v>
      </c>
      <c r="AO40" s="8">
        <f>Renta_Alta!AO40+Masivo!AO40+Consumo_Inicial!AO40</f>
        <v>743.01558174000002</v>
      </c>
      <c r="AP40" s="8">
        <f>Renta_Alta!AP40+Masivo!AP40+Consumo_Inicial!AP40</f>
        <v>717.70826150000016</v>
      </c>
      <c r="AQ40" s="8">
        <f>Renta_Alta!AQ40+Masivo!AQ40+Consumo_Inicial!AQ40</f>
        <v>717.13169097999992</v>
      </c>
      <c r="AR40" s="8">
        <f>Renta_Alta!AR40+Masivo!AR40+Consumo_Inicial!AR40</f>
        <v>807.49817881000001</v>
      </c>
      <c r="AS40" s="8">
        <f>Renta_Alta!AS40+Masivo!AS40+Consumo_Inicial!AS40</f>
        <v>725.7075156100002</v>
      </c>
      <c r="AT40" s="8">
        <f>Renta_Alta!AT40+Masivo!AT40+Consumo_Inicial!AT40</f>
        <v>0</v>
      </c>
      <c r="AU40" s="8">
        <f>Renta_Alta!AU40+Masivo!AU40+Consumo_Inicial!AU40</f>
        <v>0</v>
      </c>
      <c r="AV40" s="8">
        <f>Renta_Alta!AV40+Masivo!AV40+Consumo_Inicial!AV40</f>
        <v>0</v>
      </c>
      <c r="AW40" s="8">
        <f>Renta_Alta!AW40+Masivo!AW40+Consumo_Inicial!AW40</f>
        <v>0</v>
      </c>
      <c r="AX40" s="8">
        <f>Renta_Alta!AX40+Masivo!AX40+Consumo_Inicial!AX40</f>
        <v>0</v>
      </c>
      <c r="AY40" s="8">
        <f>Renta_Alta!AY40+Masivo!AY40+Consumo_Inicial!AY40</f>
        <v>0</v>
      </c>
      <c r="AZ40" s="8">
        <f>Renta_Alta!AZ40+Masivo!AZ40+Consumo_Inicial!AZ40</f>
        <v>814.3649200092342</v>
      </c>
      <c r="BA40" s="8">
        <f>Renta_Alta!BA40+Masivo!BA40+Consumo_Inicial!BA40</f>
        <v>805.45047756885242</v>
      </c>
      <c r="BB40" s="8">
        <f>Renta_Alta!BB40+Masivo!BB40+Consumo_Inicial!BB40</f>
        <v>781.06220016091413</v>
      </c>
      <c r="BC40" s="8">
        <f>Renta_Alta!BC40+Masivo!BC40+Consumo_Inicial!BC40</f>
        <v>769.95253776676168</v>
      </c>
      <c r="BD40" s="8">
        <f>Renta_Alta!BD40+Masivo!BD40+Consumo_Inicial!BD40</f>
        <v>767.37620819267147</v>
      </c>
      <c r="BE40" s="8">
        <f>Renta_Alta!BE40+Masivo!BE40+Consumo_Inicial!BE40</f>
        <v>765.82959628945184</v>
      </c>
      <c r="BF40" s="8">
        <f>Renta_Alta!BF40+Masivo!BF40+Consumo_Inicial!BF40</f>
        <v>756.52586100446297</v>
      </c>
      <c r="BG40" s="8">
        <f>Renta_Alta!BG40+Masivo!BG40+Consumo_Inicial!BG40</f>
        <v>766.95802169263857</v>
      </c>
      <c r="BH40" s="8">
        <f>Renta_Alta!BH40+Masivo!BH40+Consumo_Inicial!BH40</f>
        <v>775.12562205649033</v>
      </c>
      <c r="BI40" s="8">
        <f>Renta_Alta!BI40+Masivo!BI40+Consumo_Inicial!BI40</f>
        <v>778.83701584875143</v>
      </c>
      <c r="BJ40" s="8">
        <f>Renta_Alta!BJ40+Masivo!BJ40+Consumo_Inicial!BJ40</f>
        <v>779.07502415093404</v>
      </c>
      <c r="BK40" s="8">
        <f>Renta_Alta!BK40+Masivo!BK40+Consumo_Inicial!BK40</f>
        <v>783.26950622821118</v>
      </c>
      <c r="BO40" s="24">
        <f t="shared" si="109"/>
        <v>2236.6684957799998</v>
      </c>
      <c r="BP40" s="24">
        <f t="shared" si="109"/>
        <v>2400.8775977390005</v>
      </c>
      <c r="BQ40" s="24">
        <f t="shared" si="109"/>
        <v>1518.9602342799999</v>
      </c>
      <c r="BR40" s="24">
        <f t="shared" si="109"/>
        <v>3046.6137470100002</v>
      </c>
      <c r="BS40" s="24">
        <f t="shared" si="109"/>
        <v>2728.6286450799998</v>
      </c>
      <c r="BT40" s="24">
        <f t="shared" si="109"/>
        <v>1073.8700539900001</v>
      </c>
    </row>
    <row r="41" spans="1:72" collapsed="1" x14ac:dyDescent="0.25">
      <c r="C41" s="3" t="s">
        <v>57</v>
      </c>
      <c r="D41" s="10">
        <f>SUM(D38:D40)</f>
        <v>47471.398881900008</v>
      </c>
      <c r="E41" s="10">
        <f t="shared" ref="E41" si="110">SUM(E38:E40)</f>
        <v>44077.221622900004</v>
      </c>
      <c r="F41" s="10">
        <f t="shared" ref="F41" si="111">SUM(F38:F40)</f>
        <v>50180.043611889996</v>
      </c>
      <c r="G41" s="10">
        <f t="shared" ref="G41" si="112">SUM(G38:G40)</f>
        <v>48520.231608840004</v>
      </c>
      <c r="H41" s="10">
        <f t="shared" ref="H41" si="113">SUM(H38:H40)</f>
        <v>53877.072307769988</v>
      </c>
      <c r="I41" s="10">
        <f t="shared" ref="I41" si="114">SUM(I38:I40)</f>
        <v>52605.306946380006</v>
      </c>
      <c r="J41" s="10">
        <f t="shared" ref="J41" si="115">SUM(J38:J40)</f>
        <v>54973.130333939996</v>
      </c>
      <c r="K41" s="10">
        <f t="shared" ref="K41" si="116">SUM(K38:K40)</f>
        <v>55721.728996649996</v>
      </c>
      <c r="L41" s="10">
        <f t="shared" ref="L41" si="117">SUM(L38:L40)</f>
        <v>54399.793348849998</v>
      </c>
      <c r="M41" s="10">
        <f t="shared" ref="M41" si="118">SUM(M38:M40)</f>
        <v>55720.193148990009</v>
      </c>
      <c r="N41" s="10">
        <f t="shared" ref="N41" si="119">SUM(N38:N40)</f>
        <v>53043.037871059998</v>
      </c>
      <c r="O41" s="10">
        <f t="shared" ref="O41" si="120">SUM(O38:O40)</f>
        <v>52993.488421249989</v>
      </c>
      <c r="P41" s="10">
        <f t="shared" ref="P41" si="121">SUM(P38:P40)</f>
        <v>51578.715406979994</v>
      </c>
      <c r="Q41" s="10">
        <f t="shared" ref="Q41" si="122">SUM(Q38:Q40)</f>
        <v>46192.180290429991</v>
      </c>
      <c r="R41" s="10">
        <f t="shared" ref="R41" si="123">SUM(R38:R40)</f>
        <v>48395.843028340008</v>
      </c>
      <c r="S41" s="10">
        <f t="shared" ref="S41" si="124">SUM(S38:S40)</f>
        <v>46854.677858809999</v>
      </c>
      <c r="T41" s="10">
        <f t="shared" ref="T41" si="125">SUM(T38:T40)</f>
        <v>47474.895258599994</v>
      </c>
      <c r="U41" s="10">
        <f t="shared" ref="U41" si="126">SUM(U38:U40)</f>
        <v>44804.431192330005</v>
      </c>
      <c r="V41" s="10">
        <f t="shared" ref="V41" si="127">SUM(V38:V40)</f>
        <v>45846.827910500004</v>
      </c>
      <c r="W41" s="10">
        <f t="shared" ref="W41" si="128">SUM(W38:W40)</f>
        <v>43941.420042730009</v>
      </c>
      <c r="X41" s="10">
        <f t="shared" ref="X41" si="129">SUM(X38:X40)</f>
        <v>41886.50621095</v>
      </c>
      <c r="Y41" s="10">
        <f t="shared" ref="Y41" si="130">SUM(Y38:Y40)</f>
        <v>42406.939535829995</v>
      </c>
      <c r="Z41" s="10">
        <f t="shared" ref="Z41" si="131">SUM(Z38:Z40)</f>
        <v>39977.977714009998</v>
      </c>
      <c r="AA41" s="10">
        <f t="shared" ref="AA41" si="132">SUM(AA38:AA40)</f>
        <v>40674.35889091</v>
      </c>
      <c r="AB41" s="10">
        <f t="shared" ref="AB41" si="133">SUM(AB38:AB40)</f>
        <v>40123.138178719993</v>
      </c>
      <c r="AC41" s="10">
        <f t="shared" ref="AC41" si="134">SUM(AC38:AC40)</f>
        <v>35630.000292590004</v>
      </c>
      <c r="AD41" s="10">
        <f t="shared" ref="AD41" si="135">SUM(AD38:AD40)</f>
        <v>39846.893762840002</v>
      </c>
      <c r="AE41" s="10">
        <f t="shared" ref="AE41" si="136">SUM(AE38:AE40)</f>
        <v>38457.624879159986</v>
      </c>
      <c r="AF41" s="10">
        <f t="shared" ref="AF41" si="137">SUM(AF38:AF40)</f>
        <v>39678.467129079996</v>
      </c>
      <c r="AG41" s="10">
        <f t="shared" ref="AG41" si="138">SUM(AG38:AG40)</f>
        <v>38140.468058580002</v>
      </c>
      <c r="AH41" s="10">
        <f t="shared" ref="AH41" si="139">SUM(AH38:AH40)</f>
        <v>39510.422555260004</v>
      </c>
      <c r="AI41" s="10">
        <f t="shared" ref="AI41" si="140">SUM(AI38:AI40)</f>
        <v>39604.471386019999</v>
      </c>
      <c r="AJ41" s="10">
        <f t="shared" ref="AJ41" si="141">SUM(AJ38:AJ40)</f>
        <v>38794.958030080001</v>
      </c>
      <c r="AK41" s="10">
        <f t="shared" ref="AK41" si="142">SUM(AK38:AK40)</f>
        <v>40679.924256989994</v>
      </c>
      <c r="AL41" s="10">
        <f t="shared" ref="AL41" si="143">SUM(AL38:AL40)</f>
        <v>39939.985744590005</v>
      </c>
      <c r="AM41" s="10">
        <f t="shared" ref="AM41" si="144">SUM(AM38:AM40)</f>
        <v>42043.483707000007</v>
      </c>
      <c r="AN41" s="10">
        <f t="shared" ref="AN41" si="145">SUM(AN38:AN40)</f>
        <v>41981.887102430002</v>
      </c>
      <c r="AO41" s="10">
        <f t="shared" ref="AO41" si="146">SUM(AO38:AO40)</f>
        <v>38630.337088960005</v>
      </c>
      <c r="AP41" s="10">
        <f t="shared" ref="AP41" si="147">SUM(AP38:AP40)</f>
        <v>43276.291489999996</v>
      </c>
      <c r="AQ41" s="10">
        <f t="shared" ref="AQ41" si="148">SUM(AQ38:AQ40)</f>
        <v>41880.802653940002</v>
      </c>
      <c r="AR41" s="10">
        <f t="shared" ref="AR41" si="149">SUM(AR38:AR40)</f>
        <v>43914.939380210002</v>
      </c>
      <c r="AS41" s="10">
        <f t="shared" ref="AS41" si="150">SUM(AS38:AS40)</f>
        <v>43231.62928849001</v>
      </c>
      <c r="AT41" s="10">
        <f t="shared" ref="AT41" si="151">SUM(AT38:AT40)</f>
        <v>0</v>
      </c>
      <c r="AU41" s="10">
        <f t="shared" ref="AU41" si="152">SUM(AU38:AU40)</f>
        <v>0</v>
      </c>
      <c r="AV41" s="10">
        <f t="shared" ref="AV41" si="153">SUM(AV38:AV40)</f>
        <v>0</v>
      </c>
      <c r="AW41" s="10">
        <f t="shared" ref="AW41" si="154">SUM(AW38:AW40)</f>
        <v>0</v>
      </c>
      <c r="AX41" s="10">
        <f t="shared" ref="AX41" si="155">SUM(AX38:AX40)</f>
        <v>0</v>
      </c>
      <c r="AY41" s="10">
        <f t="shared" ref="AY41" si="156">SUM(AY38:AY40)</f>
        <v>0</v>
      </c>
      <c r="AZ41" s="10">
        <f t="shared" ref="AZ41" si="157">SUM(AZ38:AZ40)</f>
        <v>41694.784737977076</v>
      </c>
      <c r="BA41" s="10">
        <f t="shared" ref="BA41" si="158">SUM(BA38:BA40)</f>
        <v>37572.742462912596</v>
      </c>
      <c r="BB41" s="10">
        <f t="shared" ref="BB41" si="159">SUM(BB38:BB40)</f>
        <v>42142.074540216432</v>
      </c>
      <c r="BC41" s="10">
        <f t="shared" ref="BC41" si="160">SUM(BC38:BC40)</f>
        <v>41485.642612455835</v>
      </c>
      <c r="BD41" s="10">
        <f t="shared" ref="BD41" si="161">SUM(BD38:BD40)</f>
        <v>43787.66066654052</v>
      </c>
      <c r="BE41" s="10">
        <f t="shared" ref="BE41" si="162">SUM(BE38:BE40)</f>
        <v>43262.928468127306</v>
      </c>
      <c r="BF41" s="10">
        <f t="shared" ref="BF41" si="163">SUM(BF38:BF40)</f>
        <v>45277.25538064017</v>
      </c>
      <c r="BG41" s="10">
        <f t="shared" ref="BG41" si="164">SUM(BG38:BG40)</f>
        <v>45957.194917023087</v>
      </c>
      <c r="BH41" s="10">
        <f t="shared" ref="BH41" si="165">SUM(BH38:BH40)</f>
        <v>45222.656844638346</v>
      </c>
      <c r="BI41" s="10">
        <f t="shared" ref="BI41" si="166">SUM(BI38:BI40)</f>
        <v>47874.75154921451</v>
      </c>
      <c r="BJ41" s="10">
        <f t="shared" ref="BJ41" si="167">SUM(BJ38:BJ40)</f>
        <v>47064.861784743189</v>
      </c>
      <c r="BK41" s="10">
        <f t="shared" ref="BK41" si="168">SUM(BK38:BK40)</f>
        <v>49458.044757762633</v>
      </c>
      <c r="BO41" s="23">
        <f>SUM(BO38:BO40)</f>
        <v>123888.51568139</v>
      </c>
      <c r="BP41" s="23">
        <f t="shared" ref="BP41:BT41" si="169">SUM(BP38:BP40)</f>
        <v>121409.60174110612</v>
      </c>
      <c r="BQ41" s="23">
        <f t="shared" si="169"/>
        <v>80612.224191390007</v>
      </c>
      <c r="BR41" s="23">
        <f t="shared" si="169"/>
        <v>115600.03223415001</v>
      </c>
      <c r="BS41" s="23">
        <f t="shared" si="169"/>
        <v>146166.73872575001</v>
      </c>
      <c r="BT41" s="23">
        <f t="shared" si="169"/>
        <v>141728.66411668999</v>
      </c>
    </row>
    <row r="44" spans="1:72" hidden="1" outlineLevel="1" x14ac:dyDescent="0.25">
      <c r="A44" s="11" t="s">
        <v>50</v>
      </c>
      <c r="C44" s="2" t="s">
        <v>0</v>
      </c>
      <c r="D44" s="8">
        <f>Renta_Alta!D44+Masivo!D44+Consumo_Inicial!D44</f>
        <v>-18314.89895563</v>
      </c>
      <c r="E44" s="8">
        <f>Renta_Alta!E44+Masivo!E44+Consumo_Inicial!E44</f>
        <v>-17479.910707640003</v>
      </c>
      <c r="F44" s="8">
        <f>Renta_Alta!F44+Masivo!F44+Consumo_Inicial!F44</f>
        <v>-20593.257328999996</v>
      </c>
      <c r="G44" s="8">
        <f>Renta_Alta!G44+Masivo!G44+Consumo_Inicial!G44</f>
        <v>-20870.624118920005</v>
      </c>
      <c r="H44" s="8">
        <f>Renta_Alta!H44+Masivo!H44+Consumo_Inicial!H44</f>
        <v>-22264.004661119998</v>
      </c>
      <c r="I44" s="8">
        <f>Renta_Alta!I44+Masivo!I44+Consumo_Inicial!I44</f>
        <v>-22186.508034999999</v>
      </c>
      <c r="J44" s="8">
        <f>Renta_Alta!J44+Masivo!J44+Consumo_Inicial!J44</f>
        <v>-23160.984399269997</v>
      </c>
      <c r="K44" s="8">
        <f>Renta_Alta!K44+Masivo!K44+Consumo_Inicial!K44</f>
        <v>-23348.665802080006</v>
      </c>
      <c r="L44" s="8">
        <f>Renta_Alta!L44+Masivo!L44+Consumo_Inicial!L44</f>
        <v>-23281.488651799198</v>
      </c>
      <c r="M44" s="8">
        <f>Renta_Alta!M44+Masivo!M44+Consumo_Inicial!M44</f>
        <v>-24179.691229649998</v>
      </c>
      <c r="N44" s="8">
        <f>Renta_Alta!N44+Masivo!N44+Consumo_Inicial!N44</f>
        <v>-23449.176054359992</v>
      </c>
      <c r="O44" s="8">
        <f>Renta_Alta!O44+Masivo!O44+Consumo_Inicial!O44</f>
        <v>-23969.508216290003</v>
      </c>
      <c r="P44" s="8">
        <f>Renta_Alta!P44+Masivo!P44+Consumo_Inicial!P44</f>
        <v>-23374.926385840001</v>
      </c>
      <c r="Q44" s="8">
        <f>Renta_Alta!Q44+Masivo!Q44+Consumo_Inicial!Q44</f>
        <v>-21271.56237852</v>
      </c>
      <c r="R44" s="8">
        <f>Renta_Alta!R44+Masivo!R44+Consumo_Inicial!R44</f>
        <v>-22183.092249299996</v>
      </c>
      <c r="S44" s="8">
        <f>Renta_Alta!S44+Masivo!S44+Consumo_Inicial!S44</f>
        <v>-20762.762867360001</v>
      </c>
      <c r="T44" s="8">
        <f>Renta_Alta!T44+Masivo!T44+Consumo_Inicial!T44</f>
        <v>-20732.8565953</v>
      </c>
      <c r="U44" s="8">
        <f>Renta_Alta!U44+Masivo!U44+Consumo_Inicial!U44</f>
        <v>-19269.718089750004</v>
      </c>
      <c r="V44" s="8">
        <f>Renta_Alta!V44+Masivo!V44+Consumo_Inicial!V44</f>
        <v>-19203.673696899998</v>
      </c>
      <c r="W44" s="8">
        <f>Renta_Alta!W44+Masivo!W44+Consumo_Inicial!W44</f>
        <v>-18602.81483186</v>
      </c>
      <c r="X44" s="8">
        <f>Renta_Alta!X44+Masivo!X44+Consumo_Inicial!X44</f>
        <v>-17601.408066799999</v>
      </c>
      <c r="Y44" s="8">
        <f>Renta_Alta!Y44+Masivo!Y44+Consumo_Inicial!Y44</f>
        <v>-17868.95210848</v>
      </c>
      <c r="Z44" s="8">
        <f>Renta_Alta!Z44+Masivo!Z44+Consumo_Inicial!Z44</f>
        <v>-16980.233319700001</v>
      </c>
      <c r="AA44" s="8">
        <f>Renta_Alta!AA44+Masivo!AA44+Consumo_Inicial!AA44</f>
        <v>-17226.859830499998</v>
      </c>
      <c r="AB44" s="8">
        <f>Renta_Alta!AB44+Masivo!AB44+Consumo_Inicial!AB44</f>
        <v>-16813.96389436</v>
      </c>
      <c r="AC44" s="8">
        <f>Renta_Alta!AC44+Masivo!AC44+Consumo_Inicial!AC44</f>
        <v>-14983.273439000004</v>
      </c>
      <c r="AD44" s="8">
        <f>Renta_Alta!AD44+Masivo!AD44+Consumo_Inicial!AD44</f>
        <v>-16338.671697749998</v>
      </c>
      <c r="AE44" s="8">
        <f>Renta_Alta!AE44+Masivo!AE44+Consumo_Inicial!AE44</f>
        <v>-15711.392956590002</v>
      </c>
      <c r="AF44" s="8">
        <f>Renta_Alta!AF44+Masivo!AF44+Consumo_Inicial!AF44</f>
        <v>-16056.979969200002</v>
      </c>
      <c r="AG44" s="8">
        <f>Renta_Alta!AG44+Masivo!AG44+Consumo_Inicial!AG44</f>
        <v>-15328.679737120001</v>
      </c>
      <c r="AH44" s="8">
        <f>Renta_Alta!AH44+Masivo!AH44+Consumo_Inicial!AH44</f>
        <v>-15662.835813060003</v>
      </c>
      <c r="AI44" s="8">
        <f>Renta_Alta!AI44+Masivo!AI44+Consumo_Inicial!AI44</f>
        <v>-15612.423686000002</v>
      </c>
      <c r="AJ44" s="8">
        <f>Renta_Alta!AJ44+Masivo!AJ44+Consumo_Inicial!AJ44</f>
        <v>-15126.581449530002</v>
      </c>
      <c r="AK44" s="8">
        <f>Renta_Alta!AK44+Masivo!AK44+Consumo_Inicial!AK44</f>
        <v>-15810.823643039997</v>
      </c>
      <c r="AL44" s="8">
        <f>Renta_Alta!AL44+Masivo!AL44+Consumo_Inicial!AL44</f>
        <v>-15519.864604709999</v>
      </c>
      <c r="AM44" s="8">
        <f>Renta_Alta!AM44+Masivo!AM44+Consumo_Inicial!AM44</f>
        <v>-16011.017380920001</v>
      </c>
      <c r="AN44" s="8">
        <f>Renta_Alta!AN44+Masivo!AN44+Consumo_Inicial!AN44</f>
        <v>-15931.43599976</v>
      </c>
      <c r="AO44" s="8">
        <f>Renta_Alta!AO44+Masivo!AO44+Consumo_Inicial!AO44</f>
        <v>-14456.98689819</v>
      </c>
      <c r="AP44" s="8">
        <f>Renta_Alta!AP44+Masivo!AP44+Consumo_Inicial!AP44</f>
        <v>-16174.531368500002</v>
      </c>
      <c r="AQ44" s="8">
        <f>Renta_Alta!AQ44+Masivo!AQ44+Consumo_Inicial!AQ44</f>
        <v>-15764.554825969997</v>
      </c>
      <c r="AR44" s="8">
        <f>Renta_Alta!AR44+Masivo!AR44+Consumo_Inicial!AR44</f>
        <v>-16548.640583010001</v>
      </c>
      <c r="AS44" s="8">
        <f>Renta_Alta!AS44+Masivo!AS44+Consumo_Inicial!AS44</f>
        <v>-16304.13587235</v>
      </c>
      <c r="AT44" s="8">
        <f>Renta_Alta!AT44+Masivo!AT44+Consumo_Inicial!AT44</f>
        <v>0</v>
      </c>
      <c r="AU44" s="8">
        <f>Renta_Alta!AU44+Masivo!AU44+Consumo_Inicial!AU44</f>
        <v>0</v>
      </c>
      <c r="AV44" s="8">
        <f>Renta_Alta!AV44+Masivo!AV44+Consumo_Inicial!AV44</f>
        <v>0</v>
      </c>
      <c r="AW44" s="8">
        <f>Renta_Alta!AW44+Masivo!AW44+Consumo_Inicial!AW44</f>
        <v>0</v>
      </c>
      <c r="AX44" s="8">
        <f>Renta_Alta!AX44+Masivo!AX44+Consumo_Inicial!AX44</f>
        <v>0</v>
      </c>
      <c r="AY44" s="8">
        <f>Renta_Alta!AY44+Masivo!AY44+Consumo_Inicial!AY44</f>
        <v>0</v>
      </c>
      <c r="AZ44" s="8">
        <f>Renta_Alta!AZ44+Masivo!AZ44+Consumo_Inicial!AZ44</f>
        <v>-16349.818545541208</v>
      </c>
      <c r="BA44" s="8">
        <f>Renta_Alta!BA44+Masivo!BA44+Consumo_Inicial!BA44</f>
        <v>-14725.556797591946</v>
      </c>
      <c r="BB44" s="8">
        <f>Renta_Alta!BB44+Masivo!BB44+Consumo_Inicial!BB44</f>
        <v>-16302.51208781294</v>
      </c>
      <c r="BC44" s="8">
        <f>Renta_Alta!BC44+Masivo!BC44+Consumo_Inicial!BC44</f>
        <v>-15889.778057214993</v>
      </c>
      <c r="BD44" s="8">
        <f>Renta_Alta!BD44+Masivo!BD44+Consumo_Inicial!BD44</f>
        <v>-16609.850458923207</v>
      </c>
      <c r="BE44" s="8">
        <f>Renta_Alta!BE44+Masivo!BE44+Consumo_Inicial!BE44</f>
        <v>-16217.826519782035</v>
      </c>
      <c r="BF44" s="8">
        <f>Renta_Alta!BF44+Masivo!BF44+Consumo_Inicial!BF44</f>
        <v>-16802.222799541767</v>
      </c>
      <c r="BG44" s="8">
        <f>Renta_Alta!BG44+Masivo!BG44+Consumo_Inicial!BG44</f>
        <v>-16861.47149242197</v>
      </c>
      <c r="BH44" s="8">
        <f>Renta_Alta!BH44+Masivo!BH44+Consumo_Inicial!BH44</f>
        <v>-16458.40719064388</v>
      </c>
      <c r="BI44" s="8">
        <f>Renta_Alta!BI44+Masivo!BI44+Consumo_Inicial!BI44</f>
        <v>-17206.976765665942</v>
      </c>
      <c r="BJ44" s="8">
        <f>Renta_Alta!BJ44+Masivo!BJ44+Consumo_Inicial!BJ44</f>
        <v>-16781.278118230766</v>
      </c>
      <c r="BK44" s="8">
        <f>Renta_Alta!BK44+Masivo!BK44+Consumo_Inicial!BK44</f>
        <v>-17379.246349083191</v>
      </c>
      <c r="BO44" s="24">
        <f t="shared" ref="BO44:BT46" si="170">SUMIFS($D44:$BM44,$D$6:$BM$6,"&gt;="&amp;BO$2,$D$6:$BM$6,"&lt;="&amp;BO$6,$D$5:$BM$5,BO$5)</f>
        <v>-46562.954266450004</v>
      </c>
      <c r="BP44" s="24">
        <f t="shared" si="170"/>
        <v>-47377.887430946095</v>
      </c>
      <c r="BQ44" s="24">
        <f t="shared" si="170"/>
        <v>-30388.42289795</v>
      </c>
      <c r="BR44" s="24">
        <f t="shared" si="170"/>
        <v>-48135.909031110001</v>
      </c>
      <c r="BS44" s="24">
        <f t="shared" si="170"/>
        <v>-66829.581013660005</v>
      </c>
      <c r="BT44" s="24">
        <f t="shared" si="170"/>
        <v>-56388.066992270004</v>
      </c>
    </row>
    <row r="45" spans="1:72" hidden="1" outlineLevel="1" x14ac:dyDescent="0.25">
      <c r="A45" s="11" t="s">
        <v>50</v>
      </c>
      <c r="C45" s="2" t="s">
        <v>1</v>
      </c>
      <c r="D45" s="8">
        <f>Renta_Alta!D45+Masivo!D45+Consumo_Inicial!D45</f>
        <v>-69.878889999999984</v>
      </c>
      <c r="E45" s="8">
        <f>Renta_Alta!E45+Masivo!E45+Consumo_Inicial!E45</f>
        <v>-68.193799999999982</v>
      </c>
      <c r="F45" s="8">
        <f>Renta_Alta!F45+Masivo!F45+Consumo_Inicial!F45</f>
        <v>-80.133326800000006</v>
      </c>
      <c r="G45" s="8">
        <f>Renta_Alta!G45+Masivo!G45+Consumo_Inicial!G45</f>
        <v>-74.863038680000003</v>
      </c>
      <c r="H45" s="8">
        <f>Renta_Alta!H45+Masivo!H45+Consumo_Inicial!H45</f>
        <v>-71.86476512000003</v>
      </c>
      <c r="I45" s="8">
        <f>Renta_Alta!I45+Masivo!I45+Consumo_Inicial!I45</f>
        <v>-63.874960500000007</v>
      </c>
      <c r="J45" s="8">
        <f>Renta_Alta!J45+Masivo!J45+Consumo_Inicial!J45</f>
        <v>-61.080092610000008</v>
      </c>
      <c r="K45" s="8">
        <f>Renta_Alta!K45+Masivo!K45+Consumo_Inicial!K45</f>
        <v>-54.282556639999996</v>
      </c>
      <c r="L45" s="8">
        <f>Renta_Alta!L45+Masivo!L45+Consumo_Inicial!L45</f>
        <v>-51.635223090000004</v>
      </c>
      <c r="M45" s="8">
        <f>Renta_Alta!M45+Masivo!M45+Consumo_Inicial!M45</f>
        <v>-49.418695</v>
      </c>
      <c r="N45" s="8">
        <f>Renta_Alta!N45+Masivo!N45+Consumo_Inicial!N45</f>
        <v>-41.558398880000006</v>
      </c>
      <c r="O45" s="8">
        <f>Renta_Alta!O45+Masivo!O45+Consumo_Inicial!O45</f>
        <v>-40.197684019999997</v>
      </c>
      <c r="P45" s="8">
        <f>Renta_Alta!P45+Masivo!P45+Consumo_Inicial!P45</f>
        <v>-35.915639999999996</v>
      </c>
      <c r="Q45" s="8">
        <f>Renta_Alta!Q45+Masivo!Q45+Consumo_Inicial!Q45</f>
        <v>-31.609110000000001</v>
      </c>
      <c r="R45" s="8">
        <f>Renta_Alta!R45+Masivo!R45+Consumo_Inicial!R45</f>
        <v>-38.456829999999997</v>
      </c>
      <c r="S45" s="8">
        <f>Renta_Alta!S45+Masivo!S45+Consumo_Inicial!S45</f>
        <v>-59.377790000000005</v>
      </c>
      <c r="T45" s="8">
        <f>Renta_Alta!T45+Masivo!T45+Consumo_Inicial!T45</f>
        <v>-119.72718</v>
      </c>
      <c r="U45" s="8">
        <f>Renta_Alta!U45+Masivo!U45+Consumo_Inicial!U45</f>
        <v>-186.73136</v>
      </c>
      <c r="V45" s="8">
        <f>Renta_Alta!V45+Masivo!V45+Consumo_Inicial!V45</f>
        <v>-234.06823000000003</v>
      </c>
      <c r="W45" s="8">
        <f>Renta_Alta!W45+Masivo!W45+Consumo_Inicial!W45</f>
        <v>-255.87404999999998</v>
      </c>
      <c r="X45" s="8">
        <f>Renta_Alta!X45+Masivo!X45+Consumo_Inicial!X45</f>
        <v>-254.33381</v>
      </c>
      <c r="Y45" s="8">
        <f>Renta_Alta!Y45+Masivo!Y45+Consumo_Inicial!Y45</f>
        <v>-253.11741999999998</v>
      </c>
      <c r="Z45" s="8">
        <f>Renta_Alta!Z45+Masivo!Z45+Consumo_Inicial!Z45</f>
        <v>-242.91279999999998</v>
      </c>
      <c r="AA45" s="8">
        <f>Renta_Alta!AA45+Masivo!AA45+Consumo_Inicial!AA45</f>
        <v>-250.51456000000002</v>
      </c>
      <c r="AB45" s="8">
        <f>Renta_Alta!AB45+Masivo!AB45+Consumo_Inicial!AB45</f>
        <v>-250.85635000000002</v>
      </c>
      <c r="AC45" s="8">
        <f>Renta_Alta!AC45+Masivo!AC45+Consumo_Inicial!AC45</f>
        <v>-221.93668000000002</v>
      </c>
      <c r="AD45" s="8">
        <f>Renta_Alta!AD45+Masivo!AD45+Consumo_Inicial!AD45</f>
        <v>-243.44376</v>
      </c>
      <c r="AE45" s="8">
        <f>Renta_Alta!AE45+Masivo!AE45+Consumo_Inicial!AE45</f>
        <v>-242.17167000000001</v>
      </c>
      <c r="AF45" s="8">
        <f>Renta_Alta!AF45+Masivo!AF45+Consumo_Inicial!AF45</f>
        <v>-240.55121000000003</v>
      </c>
      <c r="AG45" s="8">
        <f>Renta_Alta!AG45+Masivo!AG45+Consumo_Inicial!AG45</f>
        <v>-223.68476000000001</v>
      </c>
      <c r="AH45" s="8">
        <f>Renta_Alta!AH45+Masivo!AH45+Consumo_Inicial!AH45</f>
        <v>-224.76981000000001</v>
      </c>
      <c r="AI45" s="8">
        <f>Renta_Alta!AI45+Masivo!AI45+Consumo_Inicial!AI45</f>
        <v>-216.88126</v>
      </c>
      <c r="AJ45" s="8">
        <f>Renta_Alta!AJ45+Masivo!AJ45+Consumo_Inicial!AJ45</f>
        <v>-207.03604000000001</v>
      </c>
      <c r="AK45" s="8">
        <f>Renta_Alta!AK45+Masivo!AK45+Consumo_Inicial!AK45</f>
        <v>-209.44758000000002</v>
      </c>
      <c r="AL45" s="8">
        <f>Renta_Alta!AL45+Masivo!AL45+Consumo_Inicial!AL45</f>
        <v>-197.84086000000002</v>
      </c>
      <c r="AM45" s="8">
        <f>Renta_Alta!AM45+Masivo!AM45+Consumo_Inicial!AM45</f>
        <v>-203.46046000000001</v>
      </c>
      <c r="AN45" s="8">
        <f>Renta_Alta!AN45+Masivo!AN45+Consumo_Inicial!AN45</f>
        <v>-199.13858999999999</v>
      </c>
      <c r="AO45" s="8">
        <f>Renta_Alta!AO45+Masivo!AO45+Consumo_Inicial!AO45</f>
        <v>-175.12741000000003</v>
      </c>
      <c r="AP45" s="8">
        <f>Renta_Alta!AP45+Masivo!AP45+Consumo_Inicial!AP45</f>
        <v>-188.57274000000001</v>
      </c>
      <c r="AQ45" s="8">
        <f>Renta_Alta!AQ45+Masivo!AQ45+Consumo_Inicial!AQ45</f>
        <v>-178.20298</v>
      </c>
      <c r="AR45" s="8">
        <f>Renta_Alta!AR45+Masivo!AR45+Consumo_Inicial!AR45</f>
        <v>-181.15244999999999</v>
      </c>
      <c r="AS45" s="8">
        <f>Renta_Alta!AS45+Masivo!AS45+Consumo_Inicial!AS45</f>
        <v>-172.05894000000001</v>
      </c>
      <c r="AT45" s="8">
        <f>Renta_Alta!AT45+Masivo!AT45+Consumo_Inicial!AT45</f>
        <v>0</v>
      </c>
      <c r="AU45" s="8">
        <f>Renta_Alta!AU45+Masivo!AU45+Consumo_Inicial!AU45</f>
        <v>0</v>
      </c>
      <c r="AV45" s="8">
        <f>Renta_Alta!AV45+Masivo!AV45+Consumo_Inicial!AV45</f>
        <v>0</v>
      </c>
      <c r="AW45" s="8">
        <f>Renta_Alta!AW45+Masivo!AW45+Consumo_Inicial!AW45</f>
        <v>0</v>
      </c>
      <c r="AX45" s="8">
        <f>Renta_Alta!AX45+Masivo!AX45+Consumo_Inicial!AX45</f>
        <v>0</v>
      </c>
      <c r="AY45" s="8">
        <f>Renta_Alta!AY45+Masivo!AY45+Consumo_Inicial!AY45</f>
        <v>0</v>
      </c>
      <c r="AZ45" s="8">
        <f>Renta_Alta!AZ45+Masivo!AZ45+Consumo_Inicial!AZ45</f>
        <v>-28.367108249571576</v>
      </c>
      <c r="BA45" s="8">
        <f>Renta_Alta!BA45+Masivo!BA45+Consumo_Inicial!BA45</f>
        <v>-25.360753429830424</v>
      </c>
      <c r="BB45" s="8">
        <f>Renta_Alta!BB45+Masivo!BB45+Consumo_Inicial!BB45</f>
        <v>-27.866225151430516</v>
      </c>
      <c r="BC45" s="8">
        <f>Renta_Alta!BC45+Masivo!BC45+Consumo_Inicial!BC45</f>
        <v>-26.959438499147144</v>
      </c>
      <c r="BD45" s="8">
        <f>Renta_Alta!BD45+Masivo!BD45+Consumo_Inicial!BD45</f>
        <v>-27.971441795625626</v>
      </c>
      <c r="BE45" s="8">
        <f>Renta_Alta!BE45+Masivo!BE45+Consumo_Inicial!BE45</f>
        <v>-27.131428873771224</v>
      </c>
      <c r="BF45" s="8">
        <f>Renta_Alta!BF45+Masivo!BF45+Consumo_Inicial!BF45</f>
        <v>-27.966438273129544</v>
      </c>
      <c r="BG45" s="8">
        <f>Renta_Alta!BG45+Masivo!BG45+Consumo_Inicial!BG45</f>
        <v>-27.963796353658562</v>
      </c>
      <c r="BH45" s="8">
        <f>Renta_Alta!BH45+Masivo!BH45+Consumo_Inicial!BH45</f>
        <v>-27.196141973772065</v>
      </c>
      <c r="BI45" s="8">
        <f>Renta_Alta!BI45+Masivo!BI45+Consumo_Inicial!BI45</f>
        <v>-28.340702418441538</v>
      </c>
      <c r="BJ45" s="8">
        <f>Renta_Alta!BJ45+Masivo!BJ45+Consumo_Inicial!BJ45</f>
        <v>-27.564428423813951</v>
      </c>
      <c r="BK45" s="8">
        <f>Renta_Alta!BK45+Masivo!BK45+Consumo_Inicial!BK45</f>
        <v>-28.48553804307998</v>
      </c>
      <c r="BO45" s="24">
        <f t="shared" si="170"/>
        <v>-562.83874000000003</v>
      </c>
      <c r="BP45" s="24">
        <f t="shared" si="170"/>
        <v>-81.594086830832509</v>
      </c>
      <c r="BQ45" s="24">
        <f t="shared" si="170"/>
        <v>-374.26600000000002</v>
      </c>
      <c r="BR45" s="24">
        <f t="shared" si="170"/>
        <v>-716.23679000000004</v>
      </c>
      <c r="BS45" s="24">
        <f t="shared" si="170"/>
        <v>-105.98157999999999</v>
      </c>
      <c r="BT45" s="24">
        <f t="shared" si="170"/>
        <v>-218.20601679999999</v>
      </c>
    </row>
    <row r="46" spans="1:72" hidden="1" outlineLevel="1" x14ac:dyDescent="0.25">
      <c r="A46" s="11" t="s">
        <v>50</v>
      </c>
      <c r="C46" s="2" t="s">
        <v>45</v>
      </c>
      <c r="D46" s="8">
        <f>Renta_Alta!D46+Masivo!D46+Consumo_Inicial!D46</f>
        <v>-319.84008291999999</v>
      </c>
      <c r="E46" s="8">
        <f>Renta_Alta!E46+Masivo!E46+Consumo_Inicial!E46</f>
        <v>-291.52192391</v>
      </c>
      <c r="F46" s="8">
        <f>Renta_Alta!F46+Masivo!F46+Consumo_Inicial!F46</f>
        <v>-294.86771840000006</v>
      </c>
      <c r="G46" s="8">
        <f>Renta_Alta!G46+Masivo!G46+Consumo_Inicial!G46</f>
        <v>-283.31150544000002</v>
      </c>
      <c r="H46" s="8">
        <f>Renta_Alta!H46+Masivo!H46+Consumo_Inicial!H46</f>
        <v>-281.23441536000001</v>
      </c>
      <c r="I46" s="8">
        <f>Renta_Alta!I46+Masivo!I46+Consumo_Inicial!I46</f>
        <v>-456.12169649999998</v>
      </c>
      <c r="J46" s="8">
        <f>Renta_Alta!J46+Masivo!J46+Consumo_Inicial!J46</f>
        <v>-447.37926111000002</v>
      </c>
      <c r="K46" s="8">
        <f>Renta_Alta!K46+Masivo!K46+Consumo_Inicial!K46</f>
        <v>-887.60257936000016</v>
      </c>
      <c r="L46" s="8">
        <f>Renta_Alta!L46+Masivo!L46+Consumo_Inicial!L46</f>
        <v>-785.2787268300001</v>
      </c>
      <c r="M46" s="8">
        <f>Renta_Alta!M46+Masivo!M46+Consumo_Inicial!M46</f>
        <v>-831.65992430000006</v>
      </c>
      <c r="N46" s="8">
        <f>Renta_Alta!N46+Masivo!N46+Consumo_Inicial!N46</f>
        <v>-792.13237791999995</v>
      </c>
      <c r="O46" s="8">
        <f>Renta_Alta!O46+Masivo!O46+Consumo_Inicial!O46</f>
        <v>-827.30459082999982</v>
      </c>
      <c r="P46" s="8">
        <f>Renta_Alta!P46+Masivo!P46+Consumo_Inicial!P46</f>
        <v>-1042.3389305599999</v>
      </c>
      <c r="Q46" s="8">
        <f>Renta_Alta!Q46+Masivo!Q46+Consumo_Inicial!Q46</f>
        <v>-1039.1462896</v>
      </c>
      <c r="R46" s="8">
        <f>Renta_Alta!R46+Masivo!R46+Consumo_Inicial!R46</f>
        <v>-1099.0422936800001</v>
      </c>
      <c r="S46" s="8">
        <f>Renta_Alta!S46+Masivo!S46+Consumo_Inicial!S46</f>
        <v>-1340.7655316</v>
      </c>
      <c r="T46" s="8">
        <f>Renta_Alta!T46+Masivo!T46+Consumo_Inicial!T46</f>
        <v>-1409.7252681</v>
      </c>
      <c r="U46" s="8">
        <f>Renta_Alta!U46+Masivo!U46+Consumo_Inicial!U46</f>
        <v>-1341.5371964200001</v>
      </c>
      <c r="V46" s="8">
        <f>Renta_Alta!V46+Masivo!V46+Consumo_Inicial!V46</f>
        <v>-1242.5343375999998</v>
      </c>
      <c r="W46" s="8">
        <f>Renta_Alta!W46+Masivo!W46+Consumo_Inicial!W46</f>
        <v>-1100.47498982</v>
      </c>
      <c r="X46" s="8">
        <f>Renta_Alta!X46+Masivo!X46+Consumo_Inicial!X46</f>
        <v>-1060.3168750399998</v>
      </c>
      <c r="Y46" s="8">
        <f>Renta_Alta!Y46+Masivo!Y46+Consumo_Inicial!Y46</f>
        <v>-938.60158808000006</v>
      </c>
      <c r="Z46" s="8">
        <f>Renta_Alta!Z46+Masivo!Z46+Consumo_Inicial!Z46</f>
        <v>-800.05348381999988</v>
      </c>
      <c r="AA46" s="8">
        <f>Renta_Alta!AA46+Masivo!AA46+Consumo_Inicial!AA46</f>
        <v>-740.61241124999992</v>
      </c>
      <c r="AB46" s="8">
        <f>Renta_Alta!AB46+Masivo!AB46+Consumo_Inicial!AB46</f>
        <v>-870.99418880999986</v>
      </c>
      <c r="AC46" s="8">
        <f>Renta_Alta!AC46+Masivo!AC46+Consumo_Inicial!AC46</f>
        <v>-782.722441</v>
      </c>
      <c r="AD46" s="8">
        <f>Renta_Alta!AD46+Masivo!AD46+Consumo_Inicial!AD46</f>
        <v>-817.11115156999995</v>
      </c>
      <c r="AE46" s="8">
        <f>Renta_Alta!AE46+Masivo!AE46+Consumo_Inicial!AE46</f>
        <v>-743.5166160199999</v>
      </c>
      <c r="AF46" s="8">
        <f>Renta_Alta!AF46+Masivo!AF46+Consumo_Inicial!AF46</f>
        <v>-766.06873759999996</v>
      </c>
      <c r="AG46" s="8">
        <f>Renta_Alta!AG46+Masivo!AG46+Consumo_Inicial!AG46</f>
        <v>-759.36799876000009</v>
      </c>
      <c r="AH46" s="8">
        <f>Renta_Alta!AH46+Masivo!AH46+Consumo_Inicial!AH46</f>
        <v>-728.16446591999988</v>
      </c>
      <c r="AI46" s="8">
        <f>Renta_Alta!AI46+Masivo!AI46+Consumo_Inicial!AI46</f>
        <v>-727.39014814999996</v>
      </c>
      <c r="AJ46" s="8">
        <f>Renta_Alta!AJ46+Masivo!AJ46+Consumo_Inicial!AJ46</f>
        <v>-677.99307507000003</v>
      </c>
      <c r="AK46" s="8">
        <f>Renta_Alta!AK46+Masivo!AK46+Consumo_Inicial!AK46</f>
        <v>-915.73887207999996</v>
      </c>
      <c r="AL46" s="8">
        <f>Renta_Alta!AL46+Masivo!AL46+Consumo_Inicial!AL46</f>
        <v>-575.07166958000005</v>
      </c>
      <c r="AM46" s="8">
        <f>Renta_Alta!AM46+Masivo!AM46+Consumo_Inicial!AM46</f>
        <v>-554.01007979999997</v>
      </c>
      <c r="AN46" s="8">
        <f>Renta_Alta!AN46+Masivo!AN46+Consumo_Inicial!AN46</f>
        <v>-603.63130053999998</v>
      </c>
      <c r="AO46" s="8">
        <f>Renta_Alta!AO46+Masivo!AO46+Consumo_Inicial!AO46</f>
        <v>-534.94024867999997</v>
      </c>
      <c r="AP46" s="8">
        <f>Renta_Alta!AP46+Masivo!AP46+Consumo_Inicial!AP46</f>
        <v>-556.28966849999995</v>
      </c>
      <c r="AQ46" s="8">
        <f>Renta_Alta!AQ46+Masivo!AQ46+Consumo_Inicial!AQ46</f>
        <v>-497.97680738999998</v>
      </c>
      <c r="AR46" s="8">
        <f>Renta_Alta!AR46+Masivo!AR46+Consumo_Inicial!AR46</f>
        <v>-482.49115442999999</v>
      </c>
      <c r="AS46" s="8">
        <f>Renta_Alta!AS46+Masivo!AS46+Consumo_Inicial!AS46</f>
        <v>-481.91189854999993</v>
      </c>
      <c r="AT46" s="8">
        <f>Renta_Alta!AT46+Masivo!AT46+Consumo_Inicial!AT46</f>
        <v>0</v>
      </c>
      <c r="AU46" s="8">
        <f>Renta_Alta!AU46+Masivo!AU46+Consumo_Inicial!AU46</f>
        <v>0</v>
      </c>
      <c r="AV46" s="8">
        <f>Renta_Alta!AV46+Masivo!AV46+Consumo_Inicial!AV46</f>
        <v>0</v>
      </c>
      <c r="AW46" s="8">
        <f>Renta_Alta!AW46+Masivo!AW46+Consumo_Inicial!AW46</f>
        <v>0</v>
      </c>
      <c r="AX46" s="8">
        <f>Renta_Alta!AX46+Masivo!AX46+Consumo_Inicial!AX46</f>
        <v>0</v>
      </c>
      <c r="AY46" s="8">
        <f>Renta_Alta!AY46+Masivo!AY46+Consumo_Inicial!AY46</f>
        <v>0</v>
      </c>
      <c r="AZ46" s="8">
        <f>Renta_Alta!AZ46+Masivo!AZ46+Consumo_Inicial!AZ46</f>
        <v>-464.35208332659101</v>
      </c>
      <c r="BA46" s="8">
        <f>Renta_Alta!BA46+Masivo!BA46+Consumo_Inicial!BA46</f>
        <v>-414.50375874024462</v>
      </c>
      <c r="BB46" s="8">
        <f>Renta_Alta!BB46+Masivo!BB46+Consumo_Inicial!BB46</f>
        <v>-454.74783218463165</v>
      </c>
      <c r="BC46" s="8">
        <f>Renta_Alta!BC46+Masivo!BC46+Consumo_Inicial!BC46</f>
        <v>-439.27945155364358</v>
      </c>
      <c r="BD46" s="8">
        <f>Renta_Alta!BD46+Masivo!BD46+Consumo_Inicial!BD46</f>
        <v>-455.06028924123211</v>
      </c>
      <c r="BE46" s="8">
        <f>Renta_Alta!BE46+Masivo!BE46+Consumo_Inicial!BE46</f>
        <v>-440.79027137541686</v>
      </c>
      <c r="BF46" s="8">
        <f>Renta_Alta!BF46+Masivo!BF46+Consumo_Inicial!BF46</f>
        <v>-453.87860494668155</v>
      </c>
      <c r="BG46" s="8">
        <f>Renta_Alta!BG46+Masivo!BG46+Consumo_Inicial!BG46</f>
        <v>-453.50243574922365</v>
      </c>
      <c r="BH46" s="8">
        <f>Renta_Alta!BH46+Masivo!BH46+Consumo_Inicial!BH46</f>
        <v>-440.74769002329919</v>
      </c>
      <c r="BI46" s="8">
        <f>Renta_Alta!BI46+Masivo!BI46+Consumo_Inicial!BI46</f>
        <v>-459.01395401825823</v>
      </c>
      <c r="BJ46" s="8">
        <f>Renta_Alta!BJ46+Masivo!BJ46+Consumo_Inicial!BJ46</f>
        <v>-446.19050143968832</v>
      </c>
      <c r="BK46" s="8">
        <f>Renta_Alta!BK46+Masivo!BK46+Consumo_Inicial!BK46</f>
        <v>-460.89323219247063</v>
      </c>
      <c r="BO46" s="24">
        <f t="shared" si="170"/>
        <v>-1694.8612177199998</v>
      </c>
      <c r="BP46" s="24">
        <f t="shared" si="170"/>
        <v>-1333.6036742514673</v>
      </c>
      <c r="BQ46" s="24">
        <f t="shared" si="170"/>
        <v>-1138.57154922</v>
      </c>
      <c r="BR46" s="24">
        <f t="shared" si="170"/>
        <v>-2470.8277813799996</v>
      </c>
      <c r="BS46" s="24">
        <f t="shared" si="170"/>
        <v>-3180.5275138399998</v>
      </c>
      <c r="BT46" s="24">
        <f t="shared" si="170"/>
        <v>-906.22972522999999</v>
      </c>
    </row>
    <row r="47" spans="1:72" collapsed="1" x14ac:dyDescent="0.25">
      <c r="C47" s="3" t="s">
        <v>58</v>
      </c>
      <c r="D47" s="10">
        <f>SUM(D44:D46)</f>
        <v>-18704.61792855</v>
      </c>
      <c r="E47" s="10">
        <f t="shared" ref="E47" si="171">SUM(E44:E46)</f>
        <v>-17839.626431550005</v>
      </c>
      <c r="F47" s="10">
        <f t="shared" ref="F47" si="172">SUM(F44:F46)</f>
        <v>-20968.258374199999</v>
      </c>
      <c r="G47" s="10">
        <f t="shared" ref="G47" si="173">SUM(G44:G46)</f>
        <v>-21228.798663040005</v>
      </c>
      <c r="H47" s="10">
        <f t="shared" ref="H47" si="174">SUM(H44:H46)</f>
        <v>-22617.103841599997</v>
      </c>
      <c r="I47" s="10">
        <f t="shared" ref="I47" si="175">SUM(I44:I46)</f>
        <v>-22706.504691999999</v>
      </c>
      <c r="J47" s="10">
        <f t="shared" ref="J47" si="176">SUM(J44:J46)</f>
        <v>-23669.443752989995</v>
      </c>
      <c r="K47" s="10">
        <f t="shared" ref="K47" si="177">SUM(K44:K46)</f>
        <v>-24290.550938080007</v>
      </c>
      <c r="L47" s="10">
        <f t="shared" ref="L47" si="178">SUM(L44:L46)</f>
        <v>-24118.402601719201</v>
      </c>
      <c r="M47" s="10">
        <f t="shared" ref="M47" si="179">SUM(M44:M46)</f>
        <v>-25060.769848949996</v>
      </c>
      <c r="N47" s="10">
        <f t="shared" ref="N47" si="180">SUM(N44:N46)</f>
        <v>-24282.86683115999</v>
      </c>
      <c r="O47" s="10">
        <f t="shared" ref="O47" si="181">SUM(O44:O46)</f>
        <v>-24837.010491140005</v>
      </c>
      <c r="P47" s="10">
        <f t="shared" ref="P47" si="182">SUM(P44:P46)</f>
        <v>-24453.1809564</v>
      </c>
      <c r="Q47" s="10">
        <f t="shared" ref="Q47" si="183">SUM(Q44:Q46)</f>
        <v>-22342.317778120003</v>
      </c>
      <c r="R47" s="10">
        <f t="shared" ref="R47" si="184">SUM(R44:R46)</f>
        <v>-23320.591372979994</v>
      </c>
      <c r="S47" s="10">
        <f t="shared" ref="S47" si="185">SUM(S44:S46)</f>
        <v>-22162.906188959998</v>
      </c>
      <c r="T47" s="10">
        <f t="shared" ref="T47" si="186">SUM(T44:T46)</f>
        <v>-22262.309043400001</v>
      </c>
      <c r="U47" s="10">
        <f t="shared" ref="U47" si="187">SUM(U44:U46)</f>
        <v>-20797.986646170004</v>
      </c>
      <c r="V47" s="10">
        <f t="shared" ref="V47" si="188">SUM(V44:V46)</f>
        <v>-20680.276264499997</v>
      </c>
      <c r="W47" s="10">
        <f t="shared" ref="W47" si="189">SUM(W44:W46)</f>
        <v>-19959.163871679997</v>
      </c>
      <c r="X47" s="10">
        <f t="shared" ref="X47" si="190">SUM(X44:X46)</f>
        <v>-18916.058751839999</v>
      </c>
      <c r="Y47" s="10">
        <f t="shared" ref="Y47" si="191">SUM(Y44:Y46)</f>
        <v>-19060.671116559999</v>
      </c>
      <c r="Z47" s="10">
        <f t="shared" ref="Z47" si="192">SUM(Z44:Z46)</f>
        <v>-18023.199603519999</v>
      </c>
      <c r="AA47" s="10">
        <f t="shared" ref="AA47" si="193">SUM(AA44:AA46)</f>
        <v>-18217.986801749998</v>
      </c>
      <c r="AB47" s="10">
        <f t="shared" ref="AB47" si="194">SUM(AB44:AB46)</f>
        <v>-17935.814433170002</v>
      </c>
      <c r="AC47" s="10">
        <f t="shared" ref="AC47" si="195">SUM(AC44:AC46)</f>
        <v>-15987.932560000005</v>
      </c>
      <c r="AD47" s="10">
        <f t="shared" ref="AD47" si="196">SUM(AD44:AD46)</f>
        <v>-17399.226609319998</v>
      </c>
      <c r="AE47" s="10">
        <f t="shared" ref="AE47" si="197">SUM(AE44:AE46)</f>
        <v>-16697.081242610002</v>
      </c>
      <c r="AF47" s="10">
        <f t="shared" ref="AF47" si="198">SUM(AF44:AF46)</f>
        <v>-17063.599916800002</v>
      </c>
      <c r="AG47" s="10">
        <f t="shared" ref="AG47" si="199">SUM(AG44:AG46)</f>
        <v>-16311.732495880002</v>
      </c>
      <c r="AH47" s="10">
        <f t="shared" ref="AH47" si="200">SUM(AH44:AH46)</f>
        <v>-16615.770088980003</v>
      </c>
      <c r="AI47" s="10">
        <f t="shared" ref="AI47" si="201">SUM(AI44:AI46)</f>
        <v>-16556.695094150004</v>
      </c>
      <c r="AJ47" s="10">
        <f t="shared" ref="AJ47" si="202">SUM(AJ44:AJ46)</f>
        <v>-16011.610564600003</v>
      </c>
      <c r="AK47" s="10">
        <f t="shared" ref="AK47" si="203">SUM(AK44:AK46)</f>
        <v>-16936.010095119997</v>
      </c>
      <c r="AL47" s="10">
        <f t="shared" ref="AL47" si="204">SUM(AL44:AL46)</f>
        <v>-16292.77713429</v>
      </c>
      <c r="AM47" s="10">
        <f t="shared" ref="AM47" si="205">SUM(AM44:AM46)</f>
        <v>-16768.487920719999</v>
      </c>
      <c r="AN47" s="10">
        <f t="shared" ref="AN47" si="206">SUM(AN44:AN46)</f>
        <v>-16734.2058903</v>
      </c>
      <c r="AO47" s="10">
        <f t="shared" ref="AO47" si="207">SUM(AO44:AO46)</f>
        <v>-15167.05455687</v>
      </c>
      <c r="AP47" s="10">
        <f t="shared" ref="AP47" si="208">SUM(AP44:AP46)</f>
        <v>-16919.393777000001</v>
      </c>
      <c r="AQ47" s="10">
        <f t="shared" ref="AQ47" si="209">SUM(AQ44:AQ46)</f>
        <v>-16440.734613359997</v>
      </c>
      <c r="AR47" s="10">
        <f t="shared" ref="AR47" si="210">SUM(AR44:AR46)</f>
        <v>-17212.284187440004</v>
      </c>
      <c r="AS47" s="10">
        <f t="shared" ref="AS47" si="211">SUM(AS44:AS46)</f>
        <v>-16958.1067109</v>
      </c>
      <c r="AT47" s="10">
        <f t="shared" ref="AT47" si="212">SUM(AT44:AT46)</f>
        <v>0</v>
      </c>
      <c r="AU47" s="10">
        <f t="shared" ref="AU47" si="213">SUM(AU44:AU46)</f>
        <v>0</v>
      </c>
      <c r="AV47" s="10">
        <f t="shared" ref="AV47" si="214">SUM(AV44:AV46)</f>
        <v>0</v>
      </c>
      <c r="AW47" s="10">
        <f t="shared" ref="AW47" si="215">SUM(AW44:AW46)</f>
        <v>0</v>
      </c>
      <c r="AX47" s="10">
        <f t="shared" ref="AX47" si="216">SUM(AX44:AX46)</f>
        <v>0</v>
      </c>
      <c r="AY47" s="10">
        <f t="shared" ref="AY47" si="217">SUM(AY44:AY46)</f>
        <v>0</v>
      </c>
      <c r="AZ47" s="10">
        <f t="shared" ref="AZ47" si="218">SUM(AZ44:AZ46)</f>
        <v>-16842.537737117371</v>
      </c>
      <c r="BA47" s="10">
        <f t="shared" ref="BA47" si="219">SUM(BA44:BA46)</f>
        <v>-15165.42130976202</v>
      </c>
      <c r="BB47" s="10">
        <f t="shared" ref="BB47" si="220">SUM(BB44:BB46)</f>
        <v>-16785.126145149003</v>
      </c>
      <c r="BC47" s="10">
        <f t="shared" ref="BC47" si="221">SUM(BC44:BC46)</f>
        <v>-16356.016947267784</v>
      </c>
      <c r="BD47" s="10">
        <f t="shared" ref="BD47" si="222">SUM(BD44:BD46)</f>
        <v>-17092.882189960063</v>
      </c>
      <c r="BE47" s="10">
        <f t="shared" ref="BE47" si="223">SUM(BE44:BE46)</f>
        <v>-16685.748220031222</v>
      </c>
      <c r="BF47" s="10">
        <f t="shared" ref="BF47" si="224">SUM(BF44:BF46)</f>
        <v>-17284.067842761575</v>
      </c>
      <c r="BG47" s="10">
        <f t="shared" ref="BG47" si="225">SUM(BG44:BG46)</f>
        <v>-17342.937724524851</v>
      </c>
      <c r="BH47" s="10">
        <f t="shared" ref="BH47" si="226">SUM(BH44:BH46)</f>
        <v>-16926.351022640949</v>
      </c>
      <c r="BI47" s="10">
        <f t="shared" ref="BI47" si="227">SUM(BI44:BI46)</f>
        <v>-17694.331422102641</v>
      </c>
      <c r="BJ47" s="10">
        <f t="shared" ref="BJ47" si="228">SUM(BJ44:BJ46)</f>
        <v>-17255.033048094268</v>
      </c>
      <c r="BK47" s="10">
        <f t="shared" ref="BK47" si="229">SUM(BK44:BK46)</f>
        <v>-17868.625119318742</v>
      </c>
      <c r="BO47" s="23">
        <f>SUM(BO44:BO46)</f>
        <v>-48820.654224170001</v>
      </c>
      <c r="BP47" s="23">
        <f t="shared" ref="BP47:BT47" si="230">SUM(BP44:BP46)</f>
        <v>-48793.085192028397</v>
      </c>
      <c r="BQ47" s="23">
        <f t="shared" si="230"/>
        <v>-31901.26044717</v>
      </c>
      <c r="BR47" s="23">
        <f t="shared" si="230"/>
        <v>-51322.973602490005</v>
      </c>
      <c r="BS47" s="23">
        <f t="shared" si="230"/>
        <v>-70116.090107500015</v>
      </c>
      <c r="BT47" s="23">
        <f t="shared" si="230"/>
        <v>-57512.502734300004</v>
      </c>
    </row>
    <row r="50" spans="1:72" hidden="1" outlineLevel="1" x14ac:dyDescent="0.25">
      <c r="A50" s="11"/>
      <c r="C50" s="2" t="s">
        <v>0</v>
      </c>
      <c r="D50" s="8">
        <f>D38+D44</f>
        <v>28625.331234890007</v>
      </c>
      <c r="E50" s="8">
        <f t="shared" ref="E50:AY50" si="231">E38+E44</f>
        <v>26277.642695090006</v>
      </c>
      <c r="F50" s="8">
        <f t="shared" si="231"/>
        <v>29159.295766449995</v>
      </c>
      <c r="G50" s="8">
        <f t="shared" si="231"/>
        <v>27231.005089779999</v>
      </c>
      <c r="H50" s="8">
        <f t="shared" si="231"/>
        <v>31005.995650209992</v>
      </c>
      <c r="I50" s="8">
        <f t="shared" si="231"/>
        <v>29893.476666890005</v>
      </c>
      <c r="J50" s="8">
        <f t="shared" si="231"/>
        <v>31079.032401620003</v>
      </c>
      <c r="K50" s="8">
        <f t="shared" si="231"/>
        <v>31602.926891479994</v>
      </c>
      <c r="L50" s="8">
        <f t="shared" si="231"/>
        <v>30456.8094030508</v>
      </c>
      <c r="M50" s="8">
        <f t="shared" si="231"/>
        <v>30808.398811200012</v>
      </c>
      <c r="N50" s="8">
        <f t="shared" si="231"/>
        <v>28749.253143220008</v>
      </c>
      <c r="O50" s="8">
        <f t="shared" si="231"/>
        <v>28184.390542609985</v>
      </c>
      <c r="P50" s="8">
        <f t="shared" si="231"/>
        <v>27271.061106169996</v>
      </c>
      <c r="Q50" s="8">
        <f t="shared" si="231"/>
        <v>24017.710319699996</v>
      </c>
      <c r="R50" s="8">
        <f t="shared" si="231"/>
        <v>25215.939491140009</v>
      </c>
      <c r="S50" s="8">
        <f t="shared" si="231"/>
        <v>24532.581600699992</v>
      </c>
      <c r="T50" s="8">
        <f t="shared" si="231"/>
        <v>25187.178551409997</v>
      </c>
      <c r="U50" s="8">
        <f t="shared" si="231"/>
        <v>23669.849905080006</v>
      </c>
      <c r="V50" s="8">
        <f t="shared" si="231"/>
        <v>24752.926609360002</v>
      </c>
      <c r="W50" s="8">
        <f t="shared" si="231"/>
        <v>23986.913989880006</v>
      </c>
      <c r="X50" s="8">
        <f t="shared" si="231"/>
        <v>22961.343846619999</v>
      </c>
      <c r="Y50" s="8">
        <f t="shared" si="231"/>
        <v>23388.315339369998</v>
      </c>
      <c r="Z50" s="8">
        <f t="shared" si="231"/>
        <v>21743.251699910001</v>
      </c>
      <c r="AA50" s="8">
        <f t="shared" si="231"/>
        <v>22227.414936820001</v>
      </c>
      <c r="AB50" s="8">
        <f t="shared" si="231"/>
        <v>22055.486087589998</v>
      </c>
      <c r="AC50" s="8">
        <f t="shared" si="231"/>
        <v>19486.944432730001</v>
      </c>
      <c r="AD50" s="8">
        <f t="shared" si="231"/>
        <v>22163.857755780002</v>
      </c>
      <c r="AE50" s="8">
        <f t="shared" si="231"/>
        <v>21568.397475419988</v>
      </c>
      <c r="AF50" s="8">
        <f t="shared" si="231"/>
        <v>22326.715017930001</v>
      </c>
      <c r="AG50" s="8">
        <f t="shared" si="231"/>
        <v>21554.752166139995</v>
      </c>
      <c r="AH50" s="8">
        <f t="shared" si="231"/>
        <v>22557.702338089999</v>
      </c>
      <c r="AI50" s="8">
        <f t="shared" si="231"/>
        <v>22906.380367419995</v>
      </c>
      <c r="AJ50" s="8">
        <f t="shared" si="231"/>
        <v>22586.489460210003</v>
      </c>
      <c r="AK50" s="8">
        <f t="shared" si="231"/>
        <v>23795.629276669999</v>
      </c>
      <c r="AL50" s="8">
        <f t="shared" si="231"/>
        <v>23208.584667570009</v>
      </c>
      <c r="AM50" s="8">
        <f t="shared" si="231"/>
        <v>24769.966611270007</v>
      </c>
      <c r="AN50" s="8">
        <f t="shared" si="231"/>
        <v>25034.719890130003</v>
      </c>
      <c r="AO50" s="8">
        <f t="shared" si="231"/>
        <v>23211.526029020002</v>
      </c>
      <c r="AP50" s="8">
        <f t="shared" si="231"/>
        <v>26147.50786998999</v>
      </c>
      <c r="AQ50" s="8">
        <f t="shared" si="231"/>
        <v>25168.968966980003</v>
      </c>
      <c r="AR50" s="8">
        <f t="shared" si="231"/>
        <v>26345.87045839</v>
      </c>
      <c r="AS50" s="8">
        <f t="shared" si="231"/>
        <v>25970.677930530008</v>
      </c>
      <c r="AT50" s="8">
        <f t="shared" si="231"/>
        <v>0</v>
      </c>
      <c r="AU50" s="8">
        <f t="shared" si="231"/>
        <v>0</v>
      </c>
      <c r="AV50" s="8">
        <f t="shared" si="231"/>
        <v>0</v>
      </c>
      <c r="AW50" s="8">
        <f t="shared" si="231"/>
        <v>0</v>
      </c>
      <c r="AX50" s="8">
        <f t="shared" si="231"/>
        <v>0</v>
      </c>
      <c r="AY50" s="8">
        <f t="shared" si="231"/>
        <v>0</v>
      </c>
      <c r="AZ50" s="8">
        <f t="shared" ref="AZ50:BK50" si="232">AZ38+AZ44</f>
        <v>24318.953617097854</v>
      </c>
      <c r="BA50" s="8">
        <f t="shared" si="232"/>
        <v>21860.545301725586</v>
      </c>
      <c r="BB50" s="8">
        <f t="shared" si="232"/>
        <v>24866.898129454865</v>
      </c>
      <c r="BC50" s="8">
        <f t="shared" si="232"/>
        <v>24647.930010619151</v>
      </c>
      <c r="BD50" s="8">
        <f t="shared" si="232"/>
        <v>26232.202687368725</v>
      </c>
      <c r="BE50" s="8">
        <f t="shared" si="232"/>
        <v>26113.401939338146</v>
      </c>
      <c r="BF50" s="8">
        <f t="shared" si="232"/>
        <v>27552.85676090189</v>
      </c>
      <c r="BG50" s="8">
        <f t="shared" si="232"/>
        <v>28167.852963700399</v>
      </c>
      <c r="BH50" s="8">
        <f t="shared" si="232"/>
        <v>27839.217189984036</v>
      </c>
      <c r="BI50" s="8">
        <f t="shared" si="232"/>
        <v>29739.117024805117</v>
      </c>
      <c r="BJ50" s="8">
        <f t="shared" si="232"/>
        <v>29363.406676411432</v>
      </c>
      <c r="BK50" s="8">
        <f t="shared" si="232"/>
        <v>31152.867582287163</v>
      </c>
      <c r="BO50" s="24">
        <f>BO38+BO44</f>
        <v>74393.753789139984</v>
      </c>
      <c r="BP50" s="24">
        <f t="shared" ref="BP50:BT50" si="233">BP38+BP44</f>
        <v>71046.397048278319</v>
      </c>
      <c r="BQ50" s="24">
        <f t="shared" si="233"/>
        <v>48246.245919149995</v>
      </c>
      <c r="BR50" s="24">
        <f t="shared" si="233"/>
        <v>63706.288276100007</v>
      </c>
      <c r="BS50" s="24">
        <f t="shared" si="233"/>
        <v>76504.710917010001</v>
      </c>
      <c r="BT50" s="24">
        <f t="shared" si="233"/>
        <v>84062.269696430012</v>
      </c>
    </row>
    <row r="51" spans="1:72" hidden="1" outlineLevel="1" x14ac:dyDescent="0.25">
      <c r="A51" s="11"/>
      <c r="C51" s="2" t="s">
        <v>1</v>
      </c>
      <c r="D51" s="8">
        <f t="shared" ref="D51:AY53" si="234">D39+D45</f>
        <v>-0.90612999999999033</v>
      </c>
      <c r="E51" s="8">
        <f t="shared" si="234"/>
        <v>4.3884900000000187</v>
      </c>
      <c r="F51" s="8">
        <f t="shared" si="234"/>
        <v>-17.231002800000006</v>
      </c>
      <c r="G51" s="8">
        <f t="shared" si="234"/>
        <v>-24.303738850000009</v>
      </c>
      <c r="H51" s="8">
        <f t="shared" si="234"/>
        <v>-19.361044550000031</v>
      </c>
      <c r="I51" s="8">
        <f t="shared" si="234"/>
        <v>-16.798041490000017</v>
      </c>
      <c r="J51" s="8">
        <f t="shared" si="234"/>
        <v>-8.7149414000000149</v>
      </c>
      <c r="K51" s="8">
        <f t="shared" si="234"/>
        <v>-5.4809338399999987</v>
      </c>
      <c r="L51" s="8">
        <f t="shared" si="234"/>
        <v>-0.91214093000000673</v>
      </c>
      <c r="M51" s="8">
        <f t="shared" si="234"/>
        <v>-5.7005029499999935</v>
      </c>
      <c r="N51" s="8">
        <f t="shared" si="234"/>
        <v>-0.28107412000000664</v>
      </c>
      <c r="O51" s="8">
        <f t="shared" si="234"/>
        <v>-2.7869399499999972</v>
      </c>
      <c r="P51" s="8">
        <f t="shared" si="234"/>
        <v>1.4481999999999999</v>
      </c>
      <c r="Q51" s="8">
        <f t="shared" si="234"/>
        <v>1.5384500000000045</v>
      </c>
      <c r="R51" s="8">
        <f t="shared" si="234"/>
        <v>-5.1500799999999956</v>
      </c>
      <c r="S51" s="8">
        <f t="shared" si="234"/>
        <v>3.7052199999999971</v>
      </c>
      <c r="T51" s="8">
        <f t="shared" si="234"/>
        <v>-20.134060000000005</v>
      </c>
      <c r="U51" s="8">
        <f t="shared" si="234"/>
        <v>-11.375509989999983</v>
      </c>
      <c r="V51" s="8">
        <f t="shared" si="234"/>
        <v>-1.4389499800000181</v>
      </c>
      <c r="W51" s="8">
        <f t="shared" si="234"/>
        <v>-28.949789979999991</v>
      </c>
      <c r="X51" s="8">
        <f t="shared" si="234"/>
        <v>-13.534899980000006</v>
      </c>
      <c r="Y51" s="8">
        <f t="shared" si="234"/>
        <v>-43.793690039999944</v>
      </c>
      <c r="Z51" s="8">
        <f t="shared" si="234"/>
        <v>-35.444360029999956</v>
      </c>
      <c r="AA51" s="8">
        <f t="shared" si="234"/>
        <v>-24.414260030000008</v>
      </c>
      <c r="AB51" s="8">
        <f t="shared" si="234"/>
        <v>2.4374999899999921</v>
      </c>
      <c r="AC51" s="8">
        <f t="shared" si="234"/>
        <v>14.141329969999987</v>
      </c>
      <c r="AD51" s="8">
        <f t="shared" si="234"/>
        <v>-21.594440030000015</v>
      </c>
      <c r="AE51" s="8">
        <f t="shared" si="234"/>
        <v>-4.7594599600000151</v>
      </c>
      <c r="AF51" s="8">
        <f t="shared" si="234"/>
        <v>3.2785800499999596</v>
      </c>
      <c r="AG51" s="8">
        <f t="shared" si="234"/>
        <v>5.9481099700000186</v>
      </c>
      <c r="AH51" s="8">
        <f t="shared" si="234"/>
        <v>42.89251999999999</v>
      </c>
      <c r="AI51" s="8">
        <f t="shared" si="234"/>
        <v>5.9672499600000037</v>
      </c>
      <c r="AJ51" s="8">
        <f t="shared" si="234"/>
        <v>36.32398004999996</v>
      </c>
      <c r="AK51" s="8">
        <f t="shared" si="234"/>
        <v>31.703729989999971</v>
      </c>
      <c r="AL51" s="8">
        <f t="shared" si="234"/>
        <v>17.712099979999977</v>
      </c>
      <c r="AM51" s="8">
        <f t="shared" si="234"/>
        <v>60.644040019999977</v>
      </c>
      <c r="AN51" s="8">
        <f t="shared" si="234"/>
        <v>40.647970000000015</v>
      </c>
      <c r="AO51" s="8">
        <f t="shared" si="234"/>
        <v>43.68117000999996</v>
      </c>
      <c r="AP51" s="8">
        <f t="shared" si="234"/>
        <v>47.971250009999977</v>
      </c>
      <c r="AQ51" s="8">
        <f t="shared" si="234"/>
        <v>51.94419001</v>
      </c>
      <c r="AR51" s="8">
        <f t="shared" si="234"/>
        <v>31.777710000000013</v>
      </c>
      <c r="AS51" s="8">
        <f t="shared" si="234"/>
        <v>59.049029999999959</v>
      </c>
      <c r="AT51" s="8">
        <f t="shared" si="234"/>
        <v>0</v>
      </c>
      <c r="AU51" s="8">
        <f t="shared" si="234"/>
        <v>0</v>
      </c>
      <c r="AV51" s="8">
        <f t="shared" si="234"/>
        <v>0</v>
      </c>
      <c r="AW51" s="8">
        <f t="shared" si="234"/>
        <v>0</v>
      </c>
      <c r="AX51" s="8">
        <f t="shared" si="234"/>
        <v>0</v>
      </c>
      <c r="AY51" s="8">
        <f t="shared" si="234"/>
        <v>0</v>
      </c>
      <c r="AZ51" s="8">
        <f t="shared" ref="AZ51:BK51" si="235">AZ39+AZ45</f>
        <v>183.28054707920597</v>
      </c>
      <c r="BA51" s="8">
        <f t="shared" si="235"/>
        <v>155.82913259637897</v>
      </c>
      <c r="BB51" s="8">
        <f t="shared" si="235"/>
        <v>163.73589763628615</v>
      </c>
      <c r="BC51" s="8">
        <f t="shared" si="235"/>
        <v>151.02256835578504</v>
      </c>
      <c r="BD51" s="8">
        <f t="shared" si="235"/>
        <v>150.25987026029605</v>
      </c>
      <c r="BE51" s="8">
        <f t="shared" si="235"/>
        <v>138.73898384389949</v>
      </c>
      <c r="BF51" s="8">
        <f t="shared" si="235"/>
        <v>137.68352091892194</v>
      </c>
      <c r="BG51" s="8">
        <f t="shared" si="235"/>
        <v>132.94864285441673</v>
      </c>
      <c r="BH51" s="8">
        <f t="shared" si="235"/>
        <v>122.71069998016523</v>
      </c>
      <c r="BI51" s="8">
        <f t="shared" si="235"/>
        <v>121.48004047625636</v>
      </c>
      <c r="BJ51" s="8">
        <f t="shared" si="235"/>
        <v>113.53753752623876</v>
      </c>
      <c r="BK51" s="8">
        <f t="shared" si="235"/>
        <v>114.17578212098219</v>
      </c>
      <c r="BO51" s="24">
        <f t="shared" ref="BO51:BT52" si="236">BO39+BO45</f>
        <v>132.30039002000001</v>
      </c>
      <c r="BP51" s="24">
        <f t="shared" si="236"/>
        <v>502.84557731187107</v>
      </c>
      <c r="BQ51" s="24">
        <f t="shared" si="236"/>
        <v>84.329140010000003</v>
      </c>
      <c r="BR51" s="24">
        <f t="shared" si="236"/>
        <v>-5.0156100699999797</v>
      </c>
      <c r="BS51" s="24">
        <f t="shared" si="236"/>
        <v>-2.1634299999999911</v>
      </c>
      <c r="BT51" s="24">
        <f t="shared" si="236"/>
        <v>-13.748642799999999</v>
      </c>
    </row>
    <row r="52" spans="1:72" hidden="1" outlineLevel="1" x14ac:dyDescent="0.25">
      <c r="A52" s="11"/>
      <c r="C52" s="2" t="s">
        <v>45</v>
      </c>
      <c r="D52" s="8">
        <f t="shared" si="234"/>
        <v>142.35584846000006</v>
      </c>
      <c r="E52" s="8">
        <f t="shared" si="234"/>
        <v>-44.435993739999986</v>
      </c>
      <c r="F52" s="8">
        <f t="shared" si="234"/>
        <v>69.720474039999942</v>
      </c>
      <c r="G52" s="8">
        <f t="shared" si="234"/>
        <v>84.731594870000094</v>
      </c>
      <c r="H52" s="8">
        <f t="shared" si="234"/>
        <v>273.33386051000008</v>
      </c>
      <c r="I52" s="8">
        <f t="shared" si="234"/>
        <v>22.123628979999978</v>
      </c>
      <c r="J52" s="8">
        <f t="shared" si="234"/>
        <v>233.36912073000008</v>
      </c>
      <c r="K52" s="8">
        <f t="shared" si="234"/>
        <v>-166.26789907000034</v>
      </c>
      <c r="L52" s="8">
        <f t="shared" si="234"/>
        <v>-174.50651499000003</v>
      </c>
      <c r="M52" s="8">
        <f t="shared" si="234"/>
        <v>-143.27500821000001</v>
      </c>
      <c r="N52" s="8">
        <f t="shared" si="234"/>
        <v>11.198970800000211</v>
      </c>
      <c r="O52" s="8">
        <f t="shared" si="234"/>
        <v>-25.125672549999763</v>
      </c>
      <c r="P52" s="8">
        <f t="shared" si="234"/>
        <v>-146.97485558999995</v>
      </c>
      <c r="Q52" s="8">
        <f t="shared" si="234"/>
        <v>-169.3862573900002</v>
      </c>
      <c r="R52" s="8">
        <f t="shared" si="234"/>
        <v>-135.53775578000023</v>
      </c>
      <c r="S52" s="8">
        <f t="shared" si="234"/>
        <v>155.48484915000017</v>
      </c>
      <c r="T52" s="8">
        <f t="shared" si="234"/>
        <v>45.541723790000106</v>
      </c>
      <c r="U52" s="8">
        <f t="shared" si="234"/>
        <v>347.97015106999993</v>
      </c>
      <c r="V52" s="8">
        <f t="shared" si="234"/>
        <v>415.06398662000061</v>
      </c>
      <c r="W52" s="8">
        <f t="shared" si="234"/>
        <v>24.291971149999654</v>
      </c>
      <c r="X52" s="8">
        <f t="shared" si="234"/>
        <v>22.638512470000478</v>
      </c>
      <c r="Y52" s="8">
        <f t="shared" si="234"/>
        <v>1.7467699400000356</v>
      </c>
      <c r="Z52" s="8">
        <f t="shared" si="234"/>
        <v>246.97077061000005</v>
      </c>
      <c r="AA52" s="8">
        <f t="shared" si="234"/>
        <v>253.37141237000014</v>
      </c>
      <c r="AB52" s="8">
        <f t="shared" si="234"/>
        <v>129.40015797000012</v>
      </c>
      <c r="AC52" s="8">
        <f t="shared" si="234"/>
        <v>140.98196989000007</v>
      </c>
      <c r="AD52" s="8">
        <f t="shared" si="234"/>
        <v>305.40383777000011</v>
      </c>
      <c r="AE52" s="8">
        <f t="shared" si="234"/>
        <v>196.90562109000018</v>
      </c>
      <c r="AF52" s="8">
        <f t="shared" si="234"/>
        <v>284.87361429999999</v>
      </c>
      <c r="AG52" s="8">
        <f t="shared" si="234"/>
        <v>268.03528658999994</v>
      </c>
      <c r="AH52" s="8">
        <f t="shared" si="234"/>
        <v>294.05760819000034</v>
      </c>
      <c r="AI52" s="8">
        <f t="shared" si="234"/>
        <v>135.42867448999993</v>
      </c>
      <c r="AJ52" s="8">
        <f t="shared" si="234"/>
        <v>160.53402521999999</v>
      </c>
      <c r="AK52" s="8">
        <f t="shared" si="234"/>
        <v>-83.418844789999866</v>
      </c>
      <c r="AL52" s="8">
        <f t="shared" si="234"/>
        <v>420.91184274999989</v>
      </c>
      <c r="AM52" s="8">
        <f t="shared" si="234"/>
        <v>444.38513499000021</v>
      </c>
      <c r="AN52" s="8">
        <f t="shared" si="234"/>
        <v>172.3133519999999</v>
      </c>
      <c r="AO52" s="8">
        <f t="shared" si="234"/>
        <v>208.07533306000005</v>
      </c>
      <c r="AP52" s="8">
        <f t="shared" si="234"/>
        <v>161.41859300000021</v>
      </c>
      <c r="AQ52" s="8">
        <f t="shared" si="234"/>
        <v>219.15488358999994</v>
      </c>
      <c r="AR52" s="8">
        <f t="shared" si="234"/>
        <v>325.00702438000002</v>
      </c>
      <c r="AS52" s="8">
        <f t="shared" si="234"/>
        <v>243.79561706000027</v>
      </c>
      <c r="AT52" s="8">
        <f t="shared" si="234"/>
        <v>0</v>
      </c>
      <c r="AU52" s="8">
        <f t="shared" si="234"/>
        <v>0</v>
      </c>
      <c r="AV52" s="8">
        <f t="shared" si="234"/>
        <v>0</v>
      </c>
      <c r="AW52" s="8">
        <f t="shared" si="234"/>
        <v>0</v>
      </c>
      <c r="AX52" s="8">
        <f t="shared" si="234"/>
        <v>0</v>
      </c>
      <c r="AY52" s="8">
        <f t="shared" si="234"/>
        <v>0</v>
      </c>
      <c r="AZ52" s="8">
        <f t="shared" ref="AZ52:BK52" si="237">AZ40+AZ46</f>
        <v>350.01283668264318</v>
      </c>
      <c r="BA52" s="8">
        <f t="shared" si="237"/>
        <v>390.9467188286078</v>
      </c>
      <c r="BB52" s="8">
        <f t="shared" si="237"/>
        <v>326.31436797628248</v>
      </c>
      <c r="BC52" s="8">
        <f t="shared" si="237"/>
        <v>330.6730862131181</v>
      </c>
      <c r="BD52" s="8">
        <f t="shared" si="237"/>
        <v>312.31591895143936</v>
      </c>
      <c r="BE52" s="8">
        <f t="shared" si="237"/>
        <v>325.03932491403498</v>
      </c>
      <c r="BF52" s="8">
        <f t="shared" si="237"/>
        <v>302.64725605778142</v>
      </c>
      <c r="BG52" s="8">
        <f t="shared" si="237"/>
        <v>313.45558594341492</v>
      </c>
      <c r="BH52" s="8">
        <f t="shared" si="237"/>
        <v>334.37793203319114</v>
      </c>
      <c r="BI52" s="8">
        <f t="shared" si="237"/>
        <v>319.8230618304932</v>
      </c>
      <c r="BJ52" s="8">
        <f t="shared" si="237"/>
        <v>332.88452271124572</v>
      </c>
      <c r="BK52" s="8">
        <f t="shared" si="237"/>
        <v>322.37627403574055</v>
      </c>
      <c r="BO52" s="24">
        <f t="shared" si="236"/>
        <v>541.80727806000004</v>
      </c>
      <c r="BP52" s="24">
        <f t="shared" si="236"/>
        <v>1067.2739234875332</v>
      </c>
      <c r="BQ52" s="24">
        <f t="shared" si="236"/>
        <v>380.38868505999994</v>
      </c>
      <c r="BR52" s="24">
        <f t="shared" si="236"/>
        <v>575.78596563000065</v>
      </c>
      <c r="BS52" s="24">
        <f t="shared" si="236"/>
        <v>-451.89886875999991</v>
      </c>
      <c r="BT52" s="24">
        <f t="shared" si="236"/>
        <v>167.6403287600001</v>
      </c>
    </row>
    <row r="53" spans="1:72" collapsed="1" x14ac:dyDescent="0.25">
      <c r="C53" s="3" t="s">
        <v>66</v>
      </c>
      <c r="D53" s="10">
        <f t="shared" si="234"/>
        <v>28766.780953350008</v>
      </c>
      <c r="E53" s="10">
        <f t="shared" si="234"/>
        <v>26237.595191349999</v>
      </c>
      <c r="F53" s="10">
        <f t="shared" si="234"/>
        <v>29211.785237689997</v>
      </c>
      <c r="G53" s="10">
        <f t="shared" si="234"/>
        <v>27291.432945799999</v>
      </c>
      <c r="H53" s="10">
        <f t="shared" si="234"/>
        <v>31259.96846616999</v>
      </c>
      <c r="I53" s="10">
        <f t="shared" si="234"/>
        <v>29898.802254380007</v>
      </c>
      <c r="J53" s="10">
        <f t="shared" si="234"/>
        <v>31303.686580950001</v>
      </c>
      <c r="K53" s="10">
        <f t="shared" si="234"/>
        <v>31431.178058569989</v>
      </c>
      <c r="L53" s="10">
        <f t="shared" si="234"/>
        <v>30281.390747130798</v>
      </c>
      <c r="M53" s="10">
        <f t="shared" si="234"/>
        <v>30659.423300040013</v>
      </c>
      <c r="N53" s="10">
        <f t="shared" si="234"/>
        <v>28760.171039900008</v>
      </c>
      <c r="O53" s="10">
        <f t="shared" si="234"/>
        <v>28156.477930109984</v>
      </c>
      <c r="P53" s="10">
        <f t="shared" si="234"/>
        <v>27125.534450579995</v>
      </c>
      <c r="Q53" s="10">
        <f t="shared" si="234"/>
        <v>23849.862512309988</v>
      </c>
      <c r="R53" s="10">
        <f t="shared" si="234"/>
        <v>25075.251655360014</v>
      </c>
      <c r="S53" s="10">
        <f t="shared" si="234"/>
        <v>24691.771669850001</v>
      </c>
      <c r="T53" s="10">
        <f t="shared" si="234"/>
        <v>25212.586215199994</v>
      </c>
      <c r="U53" s="10">
        <f t="shared" si="234"/>
        <v>24006.444546160001</v>
      </c>
      <c r="V53" s="10">
        <f t="shared" si="234"/>
        <v>25166.551646000007</v>
      </c>
      <c r="W53" s="10">
        <f t="shared" si="234"/>
        <v>23982.256171050012</v>
      </c>
      <c r="X53" s="10">
        <f t="shared" si="234"/>
        <v>22970.447459110001</v>
      </c>
      <c r="Y53" s="10">
        <f t="shared" si="234"/>
        <v>23346.268419269996</v>
      </c>
      <c r="Z53" s="10">
        <f t="shared" si="234"/>
        <v>21954.778110489999</v>
      </c>
      <c r="AA53" s="10">
        <f t="shared" si="234"/>
        <v>22456.372089160002</v>
      </c>
      <c r="AB53" s="10">
        <f t="shared" si="234"/>
        <v>22187.323745549991</v>
      </c>
      <c r="AC53" s="10">
        <f t="shared" si="234"/>
        <v>19642.06773259</v>
      </c>
      <c r="AD53" s="10">
        <f t="shared" si="234"/>
        <v>22447.667153520004</v>
      </c>
      <c r="AE53" s="10">
        <f t="shared" si="234"/>
        <v>21760.543636549985</v>
      </c>
      <c r="AF53" s="10">
        <f t="shared" si="234"/>
        <v>22614.867212279994</v>
      </c>
      <c r="AG53" s="10">
        <f t="shared" si="234"/>
        <v>21828.7355627</v>
      </c>
      <c r="AH53" s="10">
        <f t="shared" si="234"/>
        <v>22894.65246628</v>
      </c>
      <c r="AI53" s="10">
        <f t="shared" si="234"/>
        <v>23047.776291869995</v>
      </c>
      <c r="AJ53" s="10">
        <f t="shared" si="234"/>
        <v>22783.347465479997</v>
      </c>
      <c r="AK53" s="10">
        <f t="shared" si="234"/>
        <v>23743.914161869998</v>
      </c>
      <c r="AL53" s="10">
        <f t="shared" si="234"/>
        <v>23647.208610300004</v>
      </c>
      <c r="AM53" s="10">
        <f t="shared" si="234"/>
        <v>25274.995786280007</v>
      </c>
      <c r="AN53" s="10">
        <f t="shared" si="234"/>
        <v>25247.681212130003</v>
      </c>
      <c r="AO53" s="10">
        <f t="shared" si="234"/>
        <v>23463.282532090005</v>
      </c>
      <c r="AP53" s="10">
        <f t="shared" si="234"/>
        <v>26356.897712999995</v>
      </c>
      <c r="AQ53" s="10">
        <f t="shared" si="234"/>
        <v>25440.068040580005</v>
      </c>
      <c r="AR53" s="10">
        <f t="shared" si="234"/>
        <v>26702.655192769998</v>
      </c>
      <c r="AS53" s="10">
        <f t="shared" si="234"/>
        <v>26273.522577590011</v>
      </c>
      <c r="AT53" s="10">
        <f t="shared" si="234"/>
        <v>0</v>
      </c>
      <c r="AU53" s="10">
        <f t="shared" si="234"/>
        <v>0</v>
      </c>
      <c r="AV53" s="10">
        <f t="shared" si="234"/>
        <v>0</v>
      </c>
      <c r="AW53" s="10">
        <f t="shared" si="234"/>
        <v>0</v>
      </c>
      <c r="AX53" s="10">
        <f t="shared" si="234"/>
        <v>0</v>
      </c>
      <c r="AY53" s="10">
        <f t="shared" si="234"/>
        <v>0</v>
      </c>
      <c r="AZ53" s="10">
        <f t="shared" ref="AZ53:BK53" si="238">AZ41+AZ47</f>
        <v>24852.247000859705</v>
      </c>
      <c r="BA53" s="10">
        <f t="shared" si="238"/>
        <v>22407.321153150577</v>
      </c>
      <c r="BB53" s="10">
        <f t="shared" si="238"/>
        <v>25356.948395067429</v>
      </c>
      <c r="BC53" s="10">
        <f t="shared" si="238"/>
        <v>25129.62566518805</v>
      </c>
      <c r="BD53" s="10">
        <f t="shared" si="238"/>
        <v>26694.778476580457</v>
      </c>
      <c r="BE53" s="10">
        <f t="shared" si="238"/>
        <v>26577.180248096083</v>
      </c>
      <c r="BF53" s="10">
        <f t="shared" si="238"/>
        <v>27993.187537878595</v>
      </c>
      <c r="BG53" s="10">
        <f t="shared" si="238"/>
        <v>28614.257192498237</v>
      </c>
      <c r="BH53" s="10">
        <f t="shared" si="238"/>
        <v>28296.305821997397</v>
      </c>
      <c r="BI53" s="10">
        <f t="shared" si="238"/>
        <v>30180.420127111869</v>
      </c>
      <c r="BJ53" s="10">
        <f t="shared" si="238"/>
        <v>29809.82873664892</v>
      </c>
      <c r="BK53" s="10">
        <f t="shared" si="238"/>
        <v>31589.419638443891</v>
      </c>
      <c r="BO53" s="23">
        <f t="shared" ref="BO53:BT53" si="239">SUM(BO50:BO52)</f>
        <v>75067.861457219988</v>
      </c>
      <c r="BP53" s="23">
        <f t="shared" si="239"/>
        <v>72616.516549077729</v>
      </c>
      <c r="BQ53" s="23">
        <f t="shared" si="239"/>
        <v>48710.963744219996</v>
      </c>
      <c r="BR53" s="23">
        <f t="shared" si="239"/>
        <v>64277.058631660009</v>
      </c>
      <c r="BS53" s="23">
        <f t="shared" si="239"/>
        <v>76050.648618249994</v>
      </c>
      <c r="BT53" s="23">
        <f t="shared" si="239"/>
        <v>84216.161382390012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11" t="s">
        <v>64</v>
      </c>
      <c r="C56" s="2" t="s">
        <v>67</v>
      </c>
      <c r="D56" s="8">
        <f>Renta_Alta!D56+Masivo!D56+Consumo_Inicial!D56</f>
        <v>-25142.898519884639</v>
      </c>
      <c r="E56" s="8">
        <f>Renta_Alta!E56+Masivo!E56+Consumo_Inicial!E56</f>
        <v>-14922.556907031823</v>
      </c>
      <c r="F56" s="8">
        <f>Renta_Alta!F56+Masivo!F56+Consumo_Inicial!F56</f>
        <v>-25857.675469787704</v>
      </c>
      <c r="G56" s="8">
        <f>Renta_Alta!G56+Masivo!G56+Consumo_Inicial!G56</f>
        <v>-23798.516990977707</v>
      </c>
      <c r="H56" s="8">
        <f>Renta_Alta!H56+Masivo!H56+Consumo_Inicial!H56</f>
        <v>-38254.202375318891</v>
      </c>
      <c r="I56" s="8">
        <f>Renta_Alta!I56+Masivo!I56+Consumo_Inicial!I56</f>
        <v>-45300.067060509449</v>
      </c>
      <c r="J56" s="8">
        <f>Renta_Alta!J56+Masivo!J56+Consumo_Inicial!J56</f>
        <v>-49076.281588658276</v>
      </c>
      <c r="K56" s="8">
        <f>Renta_Alta!K56+Masivo!K56+Consumo_Inicial!K56</f>
        <v>-66625.355822088968</v>
      </c>
      <c r="L56" s="8">
        <f>Renta_Alta!L56+Masivo!L56+Consumo_Inicial!L56</f>
        <v>-46297.141545274098</v>
      </c>
      <c r="M56" s="8">
        <f>Renta_Alta!M56+Masivo!M56+Consumo_Inicial!M56</f>
        <v>-72498.723273563985</v>
      </c>
      <c r="N56" s="8">
        <f>Renta_Alta!N56+Masivo!N56+Consumo_Inicial!N56</f>
        <v>-51321.99700215926</v>
      </c>
      <c r="O56" s="8">
        <f>Renta_Alta!O56+Masivo!O56+Consumo_Inicial!O56</f>
        <v>-63435.949531503335</v>
      </c>
      <c r="P56" s="8">
        <f>Renta_Alta!P56+Masivo!P56+Consumo_Inicial!P56</f>
        <v>-86293.223095918904</v>
      </c>
      <c r="Q56" s="8">
        <f>Renta_Alta!Q56+Masivo!Q56+Consumo_Inicial!Q56</f>
        <v>-59001.68741098357</v>
      </c>
      <c r="R56" s="8">
        <f>Renta_Alta!R56+Masivo!R56+Consumo_Inicial!R56</f>
        <v>-78548.727619655954</v>
      </c>
      <c r="S56" s="8">
        <f>Renta_Alta!S56+Masivo!S56+Consumo_Inicial!S56</f>
        <v>-73136.620547917322</v>
      </c>
      <c r="T56" s="8">
        <f>Renta_Alta!T56+Masivo!T56+Consumo_Inicial!T56</f>
        <v>-67915.054262812773</v>
      </c>
      <c r="U56" s="8">
        <f>Renta_Alta!U56+Masivo!U56+Consumo_Inicial!U56</f>
        <v>-59207.574513577776</v>
      </c>
      <c r="V56" s="8">
        <f>Renta_Alta!V56+Masivo!V56+Consumo_Inicial!V56</f>
        <v>-49921.788833391714</v>
      </c>
      <c r="W56" s="8">
        <f>Renta_Alta!W56+Masivo!W56+Consumo_Inicial!W56</f>
        <v>-40589.359766942056</v>
      </c>
      <c r="X56" s="8">
        <f>Renta_Alta!X56+Masivo!X56+Consumo_Inicial!X56</f>
        <v>-37778.190868325895</v>
      </c>
      <c r="Y56" s="8">
        <f>Renta_Alta!Y56+Masivo!Y56+Consumo_Inicial!Y56</f>
        <v>-42966.877887508213</v>
      </c>
      <c r="Z56" s="8">
        <f>Renta_Alta!Z56+Masivo!Z56+Consumo_Inicial!Z56</f>
        <v>-22188.751133581962</v>
      </c>
      <c r="AA56" s="8">
        <f>Renta_Alta!AA56+Masivo!AA56+Consumo_Inicial!AA56</f>
        <v>-29611.010710203773</v>
      </c>
      <c r="AB56" s="8">
        <f>Renta_Alta!AB56+Masivo!AB56+Consumo_Inicial!AB56</f>
        <v>-40048.010234564244</v>
      </c>
      <c r="AC56" s="8">
        <f>Renta_Alta!AC56+Masivo!AC56+Consumo_Inicial!AC56</f>
        <v>-21613.963381596026</v>
      </c>
      <c r="AD56" s="8">
        <f>Renta_Alta!AD56+Masivo!AD56+Consumo_Inicial!AD56</f>
        <v>-28069.949833832139</v>
      </c>
      <c r="AE56" s="8">
        <f>Renta_Alta!AE56+Masivo!AE56+Consumo_Inicial!AE56</f>
        <v>-27817.695547022537</v>
      </c>
      <c r="AF56" s="8">
        <f>Renta_Alta!AF56+Masivo!AF56+Consumo_Inicial!AF56</f>
        <v>-23428.336461611583</v>
      </c>
      <c r="AG56" s="8">
        <f>Renta_Alta!AG56+Masivo!AG56+Consumo_Inicial!AG56</f>
        <v>-25606.07619303805</v>
      </c>
      <c r="AH56" s="8">
        <f>Renta_Alta!AH56+Masivo!AH56+Consumo_Inicial!AH56</f>
        <v>-22957.849723110678</v>
      </c>
      <c r="AI56" s="8">
        <f>Renta_Alta!AI56+Masivo!AI56+Consumo_Inicial!AI56</f>
        <v>-21622.600780163822</v>
      </c>
      <c r="AJ56" s="8">
        <f>Renta_Alta!AJ56+Masivo!AJ56+Consumo_Inicial!AJ56</f>
        <v>-20882.383224488578</v>
      </c>
      <c r="AK56" s="8">
        <f>Renta_Alta!AK56+Masivo!AK56+Consumo_Inicial!AK56</f>
        <v>-27111.8568384481</v>
      </c>
      <c r="AL56" s="8">
        <f>Renta_Alta!AL56+Masivo!AL56+Consumo_Inicial!AL56</f>
        <v>-14010.681088482219</v>
      </c>
      <c r="AM56" s="8">
        <f>Renta_Alta!AM56+Masivo!AM56+Consumo_Inicial!AM56</f>
        <v>-15028.99853244254</v>
      </c>
      <c r="AN56" s="8">
        <f>Renta_Alta!AN56+Masivo!AN56+Consumo_Inicial!AN56</f>
        <v>-14981.549996015316</v>
      </c>
      <c r="AO56" s="8">
        <f>Renta_Alta!AO56+Masivo!AO56+Consumo_Inicial!AO56</f>
        <v>-15838.700527198838</v>
      </c>
      <c r="AP56" s="8">
        <f>Renta_Alta!AP56+Masivo!AP56+Consumo_Inicial!AP56</f>
        <v>-14835.834723160198</v>
      </c>
      <c r="AQ56" s="8">
        <f>Renta_Alta!AQ56+Masivo!AQ56+Consumo_Inicial!AQ56</f>
        <v>-16913.675157608875</v>
      </c>
      <c r="AR56" s="8">
        <f>Renta_Alta!AR56+Masivo!AR56+Consumo_Inicial!AR56</f>
        <v>-16176.697049999799</v>
      </c>
      <c r="AS56" s="8">
        <f>Renta_Alta!AS56+Masivo!AS56+Consumo_Inicial!AS56</f>
        <v>-18392.51736999971</v>
      </c>
      <c r="AT56" s="8">
        <f>Renta_Alta!AT56+Masivo!AT56+Consumo_Inicial!AT56</f>
        <v>0</v>
      </c>
      <c r="AU56" s="8">
        <f>Renta_Alta!AU56+Masivo!AU56+Consumo_Inicial!AU56</f>
        <v>0</v>
      </c>
      <c r="AV56" s="8">
        <f>Renta_Alta!AV56+Masivo!AV56+Consumo_Inicial!AV56</f>
        <v>0</v>
      </c>
      <c r="AW56" s="8">
        <f>Renta_Alta!AW56+Masivo!AW56+Consumo_Inicial!AW56</f>
        <v>0</v>
      </c>
      <c r="AX56" s="8">
        <f>Renta_Alta!AX56+Masivo!AX56+Consumo_Inicial!AX56</f>
        <v>0</v>
      </c>
      <c r="AY56" s="8">
        <f>Renta_Alta!AY56+Masivo!AY56+Consumo_Inicial!AY56</f>
        <v>0</v>
      </c>
      <c r="AZ56" s="8">
        <f>Renta_Alta!AZ56+Masivo!AZ56+Consumo_Inicial!AZ56</f>
        <v>-17858.627202354288</v>
      </c>
      <c r="BA56" s="8">
        <f>Renta_Alta!BA56+Masivo!BA56+Consumo_Inicial!BA56</f>
        <v>-21530.670076902119</v>
      </c>
      <c r="BB56" s="8">
        <f>Renta_Alta!BB56+Masivo!BB56+Consumo_Inicial!BB56</f>
        <v>-21748.988205913018</v>
      </c>
      <c r="BC56" s="8">
        <f>Renta_Alta!BC56+Masivo!BC56+Consumo_Inicial!BC56</f>
        <v>-21697.338836549039</v>
      </c>
      <c r="BD56" s="8">
        <f>Renta_Alta!BD56+Masivo!BD56+Consumo_Inicial!BD56</f>
        <v>-21481.722239487914</v>
      </c>
      <c r="BE56" s="8">
        <f>Renta_Alta!BE56+Masivo!BE56+Consumo_Inicial!BE56</f>
        <v>-22114.954939628518</v>
      </c>
      <c r="BF56" s="8">
        <f>Renta_Alta!BF56+Masivo!BF56+Consumo_Inicial!BF56</f>
        <v>-19006.156138615333</v>
      </c>
      <c r="BG56" s="8">
        <f>Renta_Alta!BG56+Masivo!BG56+Consumo_Inicial!BG56</f>
        <v>-26721.164920292256</v>
      </c>
      <c r="BH56" s="8">
        <f>Renta_Alta!BH56+Masivo!BH56+Consumo_Inicial!BH56</f>
        <v>-15531.177365057058</v>
      </c>
      <c r="BI56" s="8">
        <f>Renta_Alta!BI56+Masivo!BI56+Consumo_Inicial!BI56</f>
        <v>-21468.104953173257</v>
      </c>
      <c r="BJ56" s="8">
        <f>Renta_Alta!BJ56+Masivo!BJ56+Consumo_Inicial!BJ56</f>
        <v>-20469.455713029234</v>
      </c>
      <c r="BK56" s="8">
        <f>Renta_Alta!BK56+Masivo!BK56+Consumo_Inicial!BK56</f>
        <v>-18836.39912924431</v>
      </c>
      <c r="BO56" s="24">
        <f t="shared" ref="BO56:BT57" si="240">SUMIFS($D56:$BM56,$D$6:$BM$6,"&gt;="&amp;BO$2,$D$6:$BM$6,"&lt;="&amp;BO$6,$D$5:$BM$5,BO$5)</f>
        <v>-45656.08524637435</v>
      </c>
      <c r="BP56" s="24">
        <f t="shared" si="240"/>
        <v>-61138.285485169428</v>
      </c>
      <c r="BQ56" s="24">
        <f t="shared" si="240"/>
        <v>-30820.250523214156</v>
      </c>
      <c r="BR56" s="24">
        <f t="shared" si="240"/>
        <v>-89731.923449992406</v>
      </c>
      <c r="BS56" s="24">
        <f t="shared" si="240"/>
        <v>-223843.63812655842</v>
      </c>
      <c r="BT56" s="24">
        <f t="shared" si="240"/>
        <v>-65923.13089670417</v>
      </c>
    </row>
    <row r="57" spans="1:72" hidden="1" outlineLevel="1" x14ac:dyDescent="0.25">
      <c r="A57" s="11" t="s">
        <v>65</v>
      </c>
      <c r="C57" s="2" t="s">
        <v>69</v>
      </c>
      <c r="D57" s="8">
        <f>Renta_Alta!D57+Masivo!D57+Consumo_Inicial!D57</f>
        <v>1096.4763199999986</v>
      </c>
      <c r="E57" s="8">
        <f>Renta_Alta!E57+Masivo!E57+Consumo_Inicial!E57</f>
        <v>1139.1331800000007</v>
      </c>
      <c r="F57" s="8">
        <f>Renta_Alta!F57+Masivo!F57+Consumo_Inicial!F57</f>
        <v>1415.9338099999993</v>
      </c>
      <c r="G57" s="8">
        <f>Renta_Alta!G57+Masivo!G57+Consumo_Inicial!G57</f>
        <v>913.59794000000068</v>
      </c>
      <c r="H57" s="8">
        <f>Renta_Alta!H57+Masivo!H57+Consumo_Inicial!H57</f>
        <v>1021.4969599999999</v>
      </c>
      <c r="I57" s="8">
        <f>Renta_Alta!I57+Masivo!I57+Consumo_Inicial!I57</f>
        <v>1229.377200000001</v>
      </c>
      <c r="J57" s="8">
        <f>Renta_Alta!J57+Masivo!J57+Consumo_Inicial!J57</f>
        <v>1097.8173900000004</v>
      </c>
      <c r="K57" s="8">
        <f>Renta_Alta!K57+Masivo!K57+Consumo_Inicial!K57</f>
        <v>1275.8260500000006</v>
      </c>
      <c r="L57" s="8">
        <f>Renta_Alta!L57+Masivo!L57+Consumo_Inicial!L57</f>
        <v>975.52995999999985</v>
      </c>
      <c r="M57" s="8">
        <f>Renta_Alta!M57+Masivo!M57+Consumo_Inicial!M57</f>
        <v>1067.9443099999999</v>
      </c>
      <c r="N57" s="8">
        <f>Renta_Alta!N57+Masivo!N57+Consumo_Inicial!N57</f>
        <v>1280.6325400000007</v>
      </c>
      <c r="O57" s="8">
        <f>Renta_Alta!O57+Masivo!O57+Consumo_Inicial!O57</f>
        <v>1127.8131399999997</v>
      </c>
      <c r="P57" s="8">
        <f>Renta_Alta!P57+Masivo!P57+Consumo_Inicial!P57</f>
        <v>1246.6557</v>
      </c>
      <c r="Q57" s="8">
        <f>Renta_Alta!Q57+Masivo!Q57+Consumo_Inicial!Q57</f>
        <v>1483.4850300000001</v>
      </c>
      <c r="R57" s="8">
        <f>Renta_Alta!R57+Masivo!R57+Consumo_Inicial!R57</f>
        <v>1476.24785</v>
      </c>
      <c r="S57" s="8">
        <f>Renta_Alta!S57+Masivo!S57+Consumo_Inicial!S57</f>
        <v>1640.0113300000003</v>
      </c>
      <c r="T57" s="8">
        <f>Renta_Alta!T57+Masivo!T57+Consumo_Inicial!T57</f>
        <v>2047.3040999999998</v>
      </c>
      <c r="U57" s="8">
        <f>Renta_Alta!U57+Masivo!U57+Consumo_Inicial!U57</f>
        <v>2279.2579400000004</v>
      </c>
      <c r="V57" s="8">
        <f>Renta_Alta!V57+Masivo!V57+Consumo_Inicial!V57</f>
        <v>3321.9897700000006</v>
      </c>
      <c r="W57" s="8">
        <f>Renta_Alta!W57+Masivo!W57+Consumo_Inicial!W57</f>
        <v>2969.548180000003</v>
      </c>
      <c r="X57" s="8">
        <f>Renta_Alta!X57+Masivo!X57+Consumo_Inicial!X57</f>
        <v>3775.8619000000003</v>
      </c>
      <c r="Y57" s="8">
        <f>Renta_Alta!Y57+Masivo!Y57+Consumo_Inicial!Y57</f>
        <v>3115.9880810189406</v>
      </c>
      <c r="Z57" s="8">
        <f>Renta_Alta!Z57+Masivo!Z57+Consumo_Inicial!Z57</f>
        <v>2565.1368699999998</v>
      </c>
      <c r="AA57" s="8">
        <f>Renta_Alta!AA57+Masivo!AA57+Consumo_Inicial!AA57</f>
        <v>3112.138999999996</v>
      </c>
      <c r="AB57" s="8">
        <f>Renta_Alta!AB57+Masivo!AB57+Consumo_Inicial!AB57</f>
        <v>3194.4722500000007</v>
      </c>
      <c r="AC57" s="8">
        <f>Renta_Alta!AC57+Masivo!AC57+Consumo_Inicial!AC57</f>
        <v>2709.4475700000007</v>
      </c>
      <c r="AD57" s="8">
        <f>Renta_Alta!AD57+Masivo!AD57+Consumo_Inicial!AD57</f>
        <v>3529.5581900000002</v>
      </c>
      <c r="AE57" s="8">
        <f>Renta_Alta!AE57+Masivo!AE57+Consumo_Inicial!AE57</f>
        <v>2578.1886499999964</v>
      </c>
      <c r="AF57" s="8">
        <f>Renta_Alta!AF57+Masivo!AF57+Consumo_Inicial!AF57</f>
        <v>2902.5644899999952</v>
      </c>
      <c r="AG57" s="8">
        <f>Renta_Alta!AG57+Masivo!AG57+Consumo_Inicial!AG57</f>
        <v>2790.4568199999994</v>
      </c>
      <c r="AH57" s="8">
        <f>Renta_Alta!AH57+Masivo!AH57+Consumo_Inicial!AH57</f>
        <v>2353.7067400000028</v>
      </c>
      <c r="AI57" s="8">
        <f>Renta_Alta!AI57+Masivo!AI57+Consumo_Inicial!AI57</f>
        <v>2391.60104</v>
      </c>
      <c r="AJ57" s="8">
        <f>Renta_Alta!AJ57+Masivo!AJ57+Consumo_Inicial!AJ57</f>
        <v>2536.0025800000003</v>
      </c>
      <c r="AK57" s="8">
        <f>Renta_Alta!AK57+Masivo!AK57+Consumo_Inicial!AK57</f>
        <v>1897.12995</v>
      </c>
      <c r="AL57" s="8">
        <f>Renta_Alta!AL57+Masivo!AL57+Consumo_Inicial!AL57</f>
        <v>2025.7514000000001</v>
      </c>
      <c r="AM57" s="8">
        <f>Renta_Alta!AM57+Masivo!AM57+Consumo_Inicial!AM57</f>
        <v>1567.3780400000003</v>
      </c>
      <c r="AN57" s="8">
        <f>Renta_Alta!AN57+Masivo!AN57+Consumo_Inicial!AN57</f>
        <v>1841.1785799999998</v>
      </c>
      <c r="AO57" s="8">
        <f>Renta_Alta!AO57+Masivo!AO57+Consumo_Inicial!AO57</f>
        <v>1726.7254399999997</v>
      </c>
      <c r="AP57" s="8">
        <f>Renta_Alta!AP57+Masivo!AP57+Consumo_Inicial!AP57</f>
        <v>1988.2336</v>
      </c>
      <c r="AQ57" s="8">
        <f>Renta_Alta!AQ57+Masivo!AQ57+Consumo_Inicial!AQ57</f>
        <v>1978.42011</v>
      </c>
      <c r="AR57" s="8">
        <f>Renta_Alta!AR57+Masivo!AR57+Consumo_Inicial!AR57</f>
        <v>2028.0813599999997</v>
      </c>
      <c r="AS57" s="8">
        <f>Renta_Alta!AS57+Masivo!AS57+Consumo_Inicial!AS57</f>
        <v>1798.4559799999899</v>
      </c>
      <c r="AT57" s="8">
        <f>Renta_Alta!AT57+Masivo!AT57+Consumo_Inicial!AT57</f>
        <v>0</v>
      </c>
      <c r="AU57" s="8">
        <f>Renta_Alta!AU57+Masivo!AU57+Consumo_Inicial!AU57</f>
        <v>0</v>
      </c>
      <c r="AV57" s="8">
        <f>Renta_Alta!AV57+Masivo!AV57+Consumo_Inicial!AV57</f>
        <v>0</v>
      </c>
      <c r="AW57" s="8">
        <f>Renta_Alta!AW57+Masivo!AW57+Consumo_Inicial!AW57</f>
        <v>0</v>
      </c>
      <c r="AX57" s="8">
        <f>Renta_Alta!AX57+Masivo!AX57+Consumo_Inicial!AX57</f>
        <v>0</v>
      </c>
      <c r="AY57" s="8">
        <f>Renta_Alta!AY57+Masivo!AY57+Consumo_Inicial!AY57</f>
        <v>0</v>
      </c>
      <c r="AZ57" s="8">
        <f>Renta_Alta!AZ57+Masivo!AZ57+Consumo_Inicial!AZ57</f>
        <v>1201.5711231720472</v>
      </c>
      <c r="BA57" s="8">
        <f>Renta_Alta!BA57+Masivo!BA57+Consumo_Inicial!BA57</f>
        <v>1096.1362415305045</v>
      </c>
      <c r="BB57" s="8">
        <f>Renta_Alta!BB57+Masivo!BB57+Consumo_Inicial!BB57</f>
        <v>1182.7462798407269</v>
      </c>
      <c r="BC57" s="8">
        <f>Renta_Alta!BC57+Masivo!BC57+Consumo_Inicial!BC57</f>
        <v>1227.9763531551282</v>
      </c>
      <c r="BD57" s="8">
        <f>Renta_Alta!BD57+Masivo!BD57+Consumo_Inicial!BD57</f>
        <v>1494.5215384145843</v>
      </c>
      <c r="BE57" s="8">
        <f>Renta_Alta!BE57+Masivo!BE57+Consumo_Inicial!BE57</f>
        <v>1555.577662949074</v>
      </c>
      <c r="BF57" s="8">
        <f>Renta_Alta!BF57+Masivo!BF57+Consumo_Inicial!BF57</f>
        <v>1323.342402710934</v>
      </c>
      <c r="BG57" s="8">
        <f>Renta_Alta!BG57+Masivo!BG57+Consumo_Inicial!BG57</f>
        <v>1418.1535843990989</v>
      </c>
      <c r="BH57" s="8">
        <f>Renta_Alta!BH57+Masivo!BH57+Consumo_Inicial!BH57</f>
        <v>1405.7074866248872</v>
      </c>
      <c r="BI57" s="8">
        <f>Renta_Alta!BI57+Masivo!BI57+Consumo_Inicial!BI57</f>
        <v>955.70228335057357</v>
      </c>
      <c r="BJ57" s="8">
        <f>Renta_Alta!BJ57+Masivo!BJ57+Consumo_Inicial!BJ57</f>
        <v>893.16122874958285</v>
      </c>
      <c r="BK57" s="8">
        <f>Renta_Alta!BK57+Masivo!BK57+Consumo_Inicial!BK57</f>
        <v>1067.2730864012028</v>
      </c>
      <c r="BO57" s="24">
        <f t="shared" si="240"/>
        <v>5556.1376199999995</v>
      </c>
      <c r="BP57" s="24">
        <f t="shared" si="240"/>
        <v>3480.4536445432786</v>
      </c>
      <c r="BQ57" s="24">
        <f t="shared" si="240"/>
        <v>3567.9040199999995</v>
      </c>
      <c r="BR57" s="24">
        <f t="shared" si="240"/>
        <v>9433.4780100000007</v>
      </c>
      <c r="BS57" s="24">
        <f t="shared" si="240"/>
        <v>4206.3885799999998</v>
      </c>
      <c r="BT57" s="24">
        <f t="shared" si="240"/>
        <v>3651.5433099999991</v>
      </c>
    </row>
    <row r="58" spans="1:72" collapsed="1" x14ac:dyDescent="0.25">
      <c r="C58" s="3" t="s">
        <v>68</v>
      </c>
      <c r="D58" s="10">
        <f t="shared" ref="D58:AY58" si="241">SUM(D56:D57)</f>
        <v>-24046.422199884641</v>
      </c>
      <c r="E58" s="10">
        <f t="shared" si="241"/>
        <v>-13783.423727031823</v>
      </c>
      <c r="F58" s="10">
        <f t="shared" si="241"/>
        <v>-24441.741659787705</v>
      </c>
      <c r="G58" s="10">
        <f t="shared" si="241"/>
        <v>-22884.919050977707</v>
      </c>
      <c r="H58" s="10">
        <f t="shared" si="241"/>
        <v>-37232.705415318895</v>
      </c>
      <c r="I58" s="10">
        <f t="shared" si="241"/>
        <v>-44070.689860509447</v>
      </c>
      <c r="J58" s="10">
        <f t="shared" si="241"/>
        <v>-47978.464198658272</v>
      </c>
      <c r="K58" s="10">
        <f t="shared" si="241"/>
        <v>-65349.529772088965</v>
      </c>
      <c r="L58" s="10">
        <f t="shared" si="241"/>
        <v>-45321.611585274099</v>
      </c>
      <c r="M58" s="10">
        <f t="shared" si="241"/>
        <v>-71430.778963563978</v>
      </c>
      <c r="N58" s="10">
        <f t="shared" si="241"/>
        <v>-50041.364462159261</v>
      </c>
      <c r="O58" s="10">
        <f t="shared" si="241"/>
        <v>-62308.136391503336</v>
      </c>
      <c r="P58" s="10">
        <f t="shared" si="241"/>
        <v>-85046.567395918901</v>
      </c>
      <c r="Q58" s="10">
        <f t="shared" si="241"/>
        <v>-57518.202380983566</v>
      </c>
      <c r="R58" s="10">
        <f t="shared" si="241"/>
        <v>-77072.479769655954</v>
      </c>
      <c r="S58" s="10">
        <f t="shared" si="241"/>
        <v>-71496.609217917328</v>
      </c>
      <c r="T58" s="10">
        <f t="shared" si="241"/>
        <v>-65867.750162812779</v>
      </c>
      <c r="U58" s="10">
        <f t="shared" si="241"/>
        <v>-56928.316573577773</v>
      </c>
      <c r="V58" s="10">
        <f t="shared" si="241"/>
        <v>-46599.799063391714</v>
      </c>
      <c r="W58" s="10">
        <f t="shared" si="241"/>
        <v>-37619.811586942051</v>
      </c>
      <c r="X58" s="10">
        <f t="shared" si="241"/>
        <v>-34002.328968325892</v>
      </c>
      <c r="Y58" s="10">
        <f t="shared" si="241"/>
        <v>-39850.889806489271</v>
      </c>
      <c r="Z58" s="10">
        <f t="shared" si="241"/>
        <v>-19623.614263581963</v>
      </c>
      <c r="AA58" s="10">
        <f t="shared" si="241"/>
        <v>-26498.871710203777</v>
      </c>
      <c r="AB58" s="10">
        <f t="shared" si="241"/>
        <v>-36853.537984564246</v>
      </c>
      <c r="AC58" s="10">
        <f t="shared" si="241"/>
        <v>-18904.515811596026</v>
      </c>
      <c r="AD58" s="10">
        <f t="shared" si="241"/>
        <v>-24540.391643832139</v>
      </c>
      <c r="AE58" s="10">
        <f t="shared" si="241"/>
        <v>-25239.50689702254</v>
      </c>
      <c r="AF58" s="10">
        <f t="shared" si="241"/>
        <v>-20525.77197161159</v>
      </c>
      <c r="AG58" s="10">
        <f t="shared" si="241"/>
        <v>-22815.619373038051</v>
      </c>
      <c r="AH58" s="10">
        <f t="shared" si="241"/>
        <v>-20604.142983110676</v>
      </c>
      <c r="AI58" s="10">
        <f t="shared" si="241"/>
        <v>-19230.999740163821</v>
      </c>
      <c r="AJ58" s="10">
        <f t="shared" si="241"/>
        <v>-18346.380644488578</v>
      </c>
      <c r="AK58" s="10">
        <f t="shared" si="241"/>
        <v>-25214.726888448102</v>
      </c>
      <c r="AL58" s="10">
        <f t="shared" si="241"/>
        <v>-11984.929688482218</v>
      </c>
      <c r="AM58" s="10">
        <f t="shared" si="241"/>
        <v>-13461.62049244254</v>
      </c>
      <c r="AN58" s="10">
        <f t="shared" si="241"/>
        <v>-13140.371416015316</v>
      </c>
      <c r="AO58" s="10">
        <f t="shared" si="241"/>
        <v>-14111.975087198838</v>
      </c>
      <c r="AP58" s="10">
        <f t="shared" si="241"/>
        <v>-12847.601123160199</v>
      </c>
      <c r="AQ58" s="10">
        <f t="shared" si="241"/>
        <v>-14935.255047608876</v>
      </c>
      <c r="AR58" s="10">
        <f t="shared" si="241"/>
        <v>-14148.615689999799</v>
      </c>
      <c r="AS58" s="10">
        <f t="shared" si="241"/>
        <v>-16594.061389999719</v>
      </c>
      <c r="AT58" s="10">
        <f t="shared" si="241"/>
        <v>0</v>
      </c>
      <c r="AU58" s="10">
        <f t="shared" si="241"/>
        <v>0</v>
      </c>
      <c r="AV58" s="10">
        <f t="shared" si="241"/>
        <v>0</v>
      </c>
      <c r="AW58" s="10">
        <f t="shared" si="241"/>
        <v>0</v>
      </c>
      <c r="AX58" s="10">
        <f t="shared" si="241"/>
        <v>0</v>
      </c>
      <c r="AY58" s="10">
        <f t="shared" si="241"/>
        <v>0</v>
      </c>
      <c r="AZ58" s="10">
        <f t="shared" ref="AZ58:BK58" si="242">SUM(AZ56:AZ57)</f>
        <v>-16657.056079182239</v>
      </c>
      <c r="BA58" s="10">
        <f t="shared" si="242"/>
        <v>-20434.533835371614</v>
      </c>
      <c r="BB58" s="10">
        <f t="shared" si="242"/>
        <v>-20566.241926072289</v>
      </c>
      <c r="BC58" s="10">
        <f t="shared" si="242"/>
        <v>-20469.36248339391</v>
      </c>
      <c r="BD58" s="10">
        <f t="shared" si="242"/>
        <v>-19987.200701073329</v>
      </c>
      <c r="BE58" s="10">
        <f t="shared" si="242"/>
        <v>-20559.377276679443</v>
      </c>
      <c r="BF58" s="10">
        <f t="shared" si="242"/>
        <v>-17682.813735904398</v>
      </c>
      <c r="BG58" s="10">
        <f t="shared" si="242"/>
        <v>-25303.011335893156</v>
      </c>
      <c r="BH58" s="10">
        <f t="shared" si="242"/>
        <v>-14125.46987843217</v>
      </c>
      <c r="BI58" s="10">
        <f t="shared" si="242"/>
        <v>-20512.402669822684</v>
      </c>
      <c r="BJ58" s="10">
        <f t="shared" si="242"/>
        <v>-19576.29448427965</v>
      </c>
      <c r="BK58" s="10">
        <f t="shared" si="242"/>
        <v>-17769.126042843105</v>
      </c>
      <c r="BO58" s="23">
        <f>SUM(BO56:BO57)</f>
        <v>-40099.947626374349</v>
      </c>
      <c r="BP58" s="23">
        <f t="shared" ref="BP58:BT58" si="243">SUM(BP56:BP57)</f>
        <v>-57657.831840626153</v>
      </c>
      <c r="BQ58" s="23">
        <f t="shared" si="243"/>
        <v>-27252.346503214158</v>
      </c>
      <c r="BR58" s="23">
        <f t="shared" si="243"/>
        <v>-80298.4454399924</v>
      </c>
      <c r="BS58" s="23">
        <f t="shared" si="243"/>
        <v>-219637.24954655842</v>
      </c>
      <c r="BT58" s="23">
        <f t="shared" si="243"/>
        <v>-62271.587586704169</v>
      </c>
    </row>
    <row r="60" spans="1:72" x14ac:dyDescent="0.25">
      <c r="C60" s="3" t="s">
        <v>70</v>
      </c>
      <c r="D60" s="10">
        <f>D53+D58</f>
        <v>4720.358753465367</v>
      </c>
      <c r="E60" s="10">
        <f t="shared" ref="E60:AY60" si="244">E53+E58</f>
        <v>12454.171464318177</v>
      </c>
      <c r="F60" s="10">
        <f t="shared" si="244"/>
        <v>4770.0435779022919</v>
      </c>
      <c r="G60" s="10">
        <f t="shared" si="244"/>
        <v>4406.5138948222921</v>
      </c>
      <c r="H60" s="10">
        <f t="shared" si="244"/>
        <v>-5972.7369491489044</v>
      </c>
      <c r="I60" s="10">
        <f t="shared" si="244"/>
        <v>-14171.88760612944</v>
      </c>
      <c r="J60" s="10">
        <f t="shared" si="244"/>
        <v>-16674.777617708271</v>
      </c>
      <c r="K60" s="10">
        <f t="shared" si="244"/>
        <v>-33918.351713518976</v>
      </c>
      <c r="L60" s="10">
        <f t="shared" si="244"/>
        <v>-15040.220838143301</v>
      </c>
      <c r="M60" s="10">
        <f t="shared" si="244"/>
        <v>-40771.355663523966</v>
      </c>
      <c r="N60" s="10">
        <f t="shared" si="244"/>
        <v>-21281.193422259254</v>
      </c>
      <c r="O60" s="10">
        <f t="shared" si="244"/>
        <v>-34151.658461393352</v>
      </c>
      <c r="P60" s="10">
        <f t="shared" si="244"/>
        <v>-57921.032945338906</v>
      </c>
      <c r="Q60" s="10">
        <f t="shared" si="244"/>
        <v>-33668.339868673575</v>
      </c>
      <c r="R60" s="10">
        <f t="shared" si="244"/>
        <v>-51997.22811429594</v>
      </c>
      <c r="S60" s="10">
        <f t="shared" si="244"/>
        <v>-46804.837548067328</v>
      </c>
      <c r="T60" s="10">
        <f t="shared" si="244"/>
        <v>-40655.163947612789</v>
      </c>
      <c r="U60" s="10">
        <f t="shared" si="244"/>
        <v>-32921.872027417776</v>
      </c>
      <c r="V60" s="10">
        <f t="shared" si="244"/>
        <v>-21433.247417391707</v>
      </c>
      <c r="W60" s="10">
        <f t="shared" si="244"/>
        <v>-13637.555415892039</v>
      </c>
      <c r="X60" s="10">
        <f t="shared" si="244"/>
        <v>-11031.881509215891</v>
      </c>
      <c r="Y60" s="10">
        <f t="shared" si="244"/>
        <v>-16504.621387219275</v>
      </c>
      <c r="Z60" s="10">
        <f t="shared" si="244"/>
        <v>2331.1638469080353</v>
      </c>
      <c r="AA60" s="10">
        <f t="shared" si="244"/>
        <v>-4042.4996210437748</v>
      </c>
      <c r="AB60" s="10">
        <f t="shared" si="244"/>
        <v>-14666.214239014254</v>
      </c>
      <c r="AC60" s="10">
        <f t="shared" si="244"/>
        <v>737.55192099397391</v>
      </c>
      <c r="AD60" s="10">
        <f t="shared" si="244"/>
        <v>-2092.7244903121355</v>
      </c>
      <c r="AE60" s="10">
        <f t="shared" si="244"/>
        <v>-3478.9632604725557</v>
      </c>
      <c r="AF60" s="10">
        <f t="shared" si="244"/>
        <v>2089.0952406684046</v>
      </c>
      <c r="AG60" s="10">
        <f t="shared" si="244"/>
        <v>-986.88381033805126</v>
      </c>
      <c r="AH60" s="10">
        <f t="shared" si="244"/>
        <v>2290.5094831693241</v>
      </c>
      <c r="AI60" s="10">
        <f t="shared" si="244"/>
        <v>3816.7765517061744</v>
      </c>
      <c r="AJ60" s="10">
        <f t="shared" si="244"/>
        <v>4436.9668209914198</v>
      </c>
      <c r="AK60" s="10">
        <f t="shared" si="244"/>
        <v>-1470.812726578104</v>
      </c>
      <c r="AL60" s="10">
        <f t="shared" si="244"/>
        <v>11662.278921817786</v>
      </c>
      <c r="AM60" s="10">
        <f t="shared" si="244"/>
        <v>11813.375293837467</v>
      </c>
      <c r="AN60" s="10">
        <f t="shared" si="244"/>
        <v>12107.309796114687</v>
      </c>
      <c r="AO60" s="10">
        <f t="shared" si="244"/>
        <v>9351.3074448911666</v>
      </c>
      <c r="AP60" s="10">
        <f t="shared" si="244"/>
        <v>13509.296589839796</v>
      </c>
      <c r="AQ60" s="10">
        <f t="shared" si="244"/>
        <v>10504.812992971129</v>
      </c>
      <c r="AR60" s="10">
        <f t="shared" si="244"/>
        <v>12554.0395027702</v>
      </c>
      <c r="AS60" s="10">
        <f t="shared" si="244"/>
        <v>9679.461187590292</v>
      </c>
      <c r="AT60" s="10">
        <f t="shared" si="244"/>
        <v>0</v>
      </c>
      <c r="AU60" s="10">
        <f t="shared" si="244"/>
        <v>0</v>
      </c>
      <c r="AV60" s="10">
        <f t="shared" si="244"/>
        <v>0</v>
      </c>
      <c r="AW60" s="10">
        <f t="shared" si="244"/>
        <v>0</v>
      </c>
      <c r="AX60" s="10">
        <f t="shared" si="244"/>
        <v>0</v>
      </c>
      <c r="AY60" s="10">
        <f t="shared" si="244"/>
        <v>0</v>
      </c>
      <c r="AZ60" s="10">
        <f t="shared" ref="AZ60:BK60" si="245">AZ53+AZ58</f>
        <v>8195.1909216774657</v>
      </c>
      <c r="BA60" s="10">
        <f t="shared" si="245"/>
        <v>1972.7873177789625</v>
      </c>
      <c r="BB60" s="10">
        <f t="shared" si="245"/>
        <v>4790.7064689951403</v>
      </c>
      <c r="BC60" s="10">
        <f t="shared" si="245"/>
        <v>4660.2631817941401</v>
      </c>
      <c r="BD60" s="10">
        <f t="shared" si="245"/>
        <v>6707.5777755071285</v>
      </c>
      <c r="BE60" s="10">
        <f t="shared" si="245"/>
        <v>6017.8029714166405</v>
      </c>
      <c r="BF60" s="10">
        <f t="shared" si="245"/>
        <v>10310.373801974198</v>
      </c>
      <c r="BG60" s="10">
        <f t="shared" si="245"/>
        <v>3311.2458566050809</v>
      </c>
      <c r="BH60" s="10">
        <f t="shared" si="245"/>
        <v>14170.835943565227</v>
      </c>
      <c r="BI60" s="10">
        <f t="shared" si="245"/>
        <v>9668.0174572891847</v>
      </c>
      <c r="BJ60" s="10">
        <f t="shared" si="245"/>
        <v>10233.534252369271</v>
      </c>
      <c r="BK60" s="10">
        <f t="shared" si="245"/>
        <v>13820.293595600786</v>
      </c>
      <c r="BO60" s="23">
        <f>BO53+BO58</f>
        <v>34967.913830845639</v>
      </c>
      <c r="BP60" s="23">
        <f t="shared" ref="BP60:BT60" si="246">BP53+BP58</f>
        <v>14958.684708451576</v>
      </c>
      <c r="BQ60" s="23">
        <f t="shared" si="246"/>
        <v>21458.617241005839</v>
      </c>
      <c r="BR60" s="23">
        <f t="shared" si="246"/>
        <v>-16021.386808332391</v>
      </c>
      <c r="BS60" s="23">
        <f t="shared" si="246"/>
        <v>-143586.60092830844</v>
      </c>
      <c r="BT60" s="23">
        <f t="shared" si="246"/>
        <v>21944.573795685843</v>
      </c>
    </row>
    <row r="63" spans="1:72" hidden="1" outlineLevel="1" x14ac:dyDescent="0.25">
      <c r="A63" s="11" t="s">
        <v>71</v>
      </c>
      <c r="C63" s="2" t="s">
        <v>75</v>
      </c>
      <c r="D63" s="8">
        <f>Renta_Alta!D63+Masivo!D63+Consumo_Inicial!D63</f>
        <v>381.75112338225</v>
      </c>
      <c r="E63" s="8">
        <f>Renta_Alta!E63+Masivo!E63+Consumo_Inicial!E63</f>
        <v>355.94817212378001</v>
      </c>
      <c r="F63" s="8">
        <f>Renta_Alta!F63+Masivo!F63+Consumo_Inicial!F63</f>
        <v>293.71882655406</v>
      </c>
      <c r="G63" s="8">
        <f>Renta_Alta!G63+Masivo!G63+Consumo_Inicial!G63</f>
        <v>443.65614644105</v>
      </c>
      <c r="H63" s="8">
        <f>Renta_Alta!H63+Masivo!H63+Consumo_Inicial!H63</f>
        <v>368.75342226205998</v>
      </c>
      <c r="I63" s="8">
        <f>Renta_Alta!I63+Masivo!I63+Consumo_Inicial!I63</f>
        <v>429.45294096692999</v>
      </c>
      <c r="J63" s="8">
        <f>Renta_Alta!J63+Masivo!J63+Consumo_Inicial!J63</f>
        <v>404.47893735803996</v>
      </c>
      <c r="K63" s="8">
        <f>Renta_Alta!K63+Masivo!K63+Consumo_Inicial!K63</f>
        <v>436.98071737511998</v>
      </c>
      <c r="L63" s="8">
        <f>Renta_Alta!L63+Masivo!L63+Consumo_Inicial!L63</f>
        <v>447.27009978551007</v>
      </c>
      <c r="M63" s="8">
        <f>Renta_Alta!M63+Masivo!M63+Consumo_Inicial!M63</f>
        <v>393.59571044635004</v>
      </c>
      <c r="N63" s="8">
        <f>Renta_Alta!N63+Masivo!N63+Consumo_Inicial!N63</f>
        <v>402.07916446541998</v>
      </c>
      <c r="O63" s="8">
        <f>Renta_Alta!O63+Masivo!O63+Consumo_Inicial!O63</f>
        <v>350.06695430064002</v>
      </c>
      <c r="P63" s="8">
        <f>Renta_Alta!P63+Masivo!P63+Consumo_Inicial!P63</f>
        <v>430.83280884343003</v>
      </c>
      <c r="Q63" s="8">
        <f>Renta_Alta!Q63+Masivo!Q63+Consumo_Inicial!Q63</f>
        <v>382.79154891969006</v>
      </c>
      <c r="R63" s="8">
        <f>Renta_Alta!R63+Masivo!R63+Consumo_Inicial!R63</f>
        <v>428.11719231533993</v>
      </c>
      <c r="S63" s="8">
        <f>Renta_Alta!S63+Masivo!S63+Consumo_Inicial!S63</f>
        <v>329.81387404240996</v>
      </c>
      <c r="T63" s="8">
        <f>Renta_Alta!T63+Masivo!T63+Consumo_Inicial!T63</f>
        <v>344.01628875297001</v>
      </c>
      <c r="U63" s="8">
        <f>Renta_Alta!U63+Masivo!U63+Consumo_Inicial!U63</f>
        <v>346.21406351100001</v>
      </c>
      <c r="V63" s="8">
        <f>Renta_Alta!V63+Masivo!V63+Consumo_Inicial!V63</f>
        <v>305.63083953705001</v>
      </c>
      <c r="W63" s="8">
        <f>Renta_Alta!W63+Masivo!W63+Consumo_Inicial!W63</f>
        <v>326.51167929102002</v>
      </c>
      <c r="X63" s="8">
        <f>Renta_Alta!X63+Masivo!X63+Consumo_Inicial!X63</f>
        <v>746.39129157810987</v>
      </c>
      <c r="Y63" s="8">
        <f>Renta_Alta!Y63+Masivo!Y63+Consumo_Inicial!Y63</f>
        <v>-99.32179768110899</v>
      </c>
      <c r="Z63" s="8">
        <f>Renta_Alta!Z63+Masivo!Z63+Consumo_Inicial!Z63</f>
        <v>331.79601468501005</v>
      </c>
      <c r="AA63" s="8">
        <f>Renta_Alta!AA63+Masivo!AA63+Consumo_Inicial!AA63</f>
        <v>273.35829963899005</v>
      </c>
      <c r="AB63" s="8">
        <f>Renta_Alta!AB63+Masivo!AB63+Consumo_Inicial!AB63</f>
        <v>373.39386531992</v>
      </c>
      <c r="AC63" s="8">
        <f>Renta_Alta!AC63+Masivo!AC63+Consumo_Inicial!AC63</f>
        <v>256.43645302404997</v>
      </c>
      <c r="AD63" s="8">
        <f>Renta_Alta!AD63+Masivo!AD63+Consumo_Inicial!AD63</f>
        <v>150.23105409388998</v>
      </c>
      <c r="AE63" s="8">
        <f>Renta_Alta!AE63+Masivo!AE63+Consumo_Inicial!AE63</f>
        <v>293.68875507436996</v>
      </c>
      <c r="AF63" s="8">
        <f>Renta_Alta!AF63+Masivo!AF63+Consumo_Inicial!AF63</f>
        <v>281.79994817317004</v>
      </c>
      <c r="AG63" s="8">
        <f>Renta_Alta!AG63+Masivo!AG63+Consumo_Inicial!AG63</f>
        <v>355.74553945478999</v>
      </c>
      <c r="AH63" s="8">
        <f>Renta_Alta!AH63+Masivo!AH63+Consumo_Inicial!AH63</f>
        <v>297.92720090468998</v>
      </c>
      <c r="AI63" s="8">
        <f>Renta_Alta!AI63+Masivo!AI63+Consumo_Inicial!AI63</f>
        <v>333.41005241267999</v>
      </c>
      <c r="AJ63" s="8">
        <f>Renta_Alta!AJ63+Masivo!AJ63+Consumo_Inicial!AJ63</f>
        <v>322.99271715024003</v>
      </c>
      <c r="AK63" s="8">
        <f>Renta_Alta!AK63+Masivo!AK63+Consumo_Inicial!AK63</f>
        <v>294.00513620430996</v>
      </c>
      <c r="AL63" s="8">
        <f>Renta_Alta!AL63+Masivo!AL63+Consumo_Inicial!AL63</f>
        <v>435.38952054294003</v>
      </c>
      <c r="AM63" s="8">
        <f>Renta_Alta!AM63+Masivo!AM63+Consumo_Inicial!AM63</f>
        <v>298.67887688051997</v>
      </c>
      <c r="AN63" s="8">
        <f>Renta_Alta!AN63+Masivo!AN63+Consumo_Inicial!AN63</f>
        <v>355.86512470000002</v>
      </c>
      <c r="AO63" s="8">
        <f>Renta_Alta!AO63+Masivo!AO63+Consumo_Inicial!AO63</f>
        <v>271.77459234000003</v>
      </c>
      <c r="AP63" s="8">
        <f>Renta_Alta!AP63+Masivo!AP63+Consumo_Inicial!AP63</f>
        <v>285.92705749999988</v>
      </c>
      <c r="AQ63" s="8">
        <f>Renta_Alta!AQ63+Masivo!AQ63+Consumo_Inicial!AQ63</f>
        <v>401.14371821999998</v>
      </c>
      <c r="AR63" s="8">
        <f>Renta_Alta!AR63+Masivo!AR63+Consumo_Inicial!AR63</f>
        <v>350.64139959999994</v>
      </c>
      <c r="AS63" s="8">
        <f>Renta_Alta!AS63+Masivo!AS63+Consumo_Inicial!AS63</f>
        <v>388.50709099999995</v>
      </c>
      <c r="AT63" s="8">
        <f>Renta_Alta!AT63+Masivo!AT63+Consumo_Inicial!AT63</f>
        <v>0</v>
      </c>
      <c r="AU63" s="8">
        <f>Renta_Alta!AU63+Masivo!AU63+Consumo_Inicial!AU63</f>
        <v>0</v>
      </c>
      <c r="AV63" s="8">
        <f>Renta_Alta!AV63+Masivo!AV63+Consumo_Inicial!AV63</f>
        <v>0</v>
      </c>
      <c r="AW63" s="8">
        <f>Renta_Alta!AW63+Masivo!AW63+Consumo_Inicial!AW63</f>
        <v>0</v>
      </c>
      <c r="AX63" s="8">
        <f>Renta_Alta!AX63+Masivo!AX63+Consumo_Inicial!AX63</f>
        <v>0</v>
      </c>
      <c r="AY63" s="8">
        <f>Renta_Alta!AY63+Masivo!AY63+Consumo_Inicial!AY63</f>
        <v>0</v>
      </c>
      <c r="AZ63" s="8">
        <f>Renta_Alta!AZ63+Masivo!AZ63+Consumo_Inicial!AZ63</f>
        <v>310.375384404817</v>
      </c>
      <c r="BA63" s="8">
        <f>Renta_Alta!BA63+Masivo!BA63+Consumo_Inicial!BA63</f>
        <v>311.2949459733681</v>
      </c>
      <c r="BB63" s="8">
        <f>Renta_Alta!BB63+Masivo!BB63+Consumo_Inicial!BB63</f>
        <v>313.71389414872004</v>
      </c>
      <c r="BC63" s="8">
        <f>Renta_Alta!BC63+Masivo!BC63+Consumo_Inicial!BC63</f>
        <v>318.71006358766886</v>
      </c>
      <c r="BD63" s="8">
        <f>Renta_Alta!BD63+Masivo!BD63+Consumo_Inicial!BD63</f>
        <v>325.25851178509862</v>
      </c>
      <c r="BE63" s="8">
        <f>Renta_Alta!BE63+Masivo!BE63+Consumo_Inicial!BE63</f>
        <v>330.93165824001227</v>
      </c>
      <c r="BF63" s="8">
        <f>Renta_Alta!BF63+Masivo!BF63+Consumo_Inicial!BF63</f>
        <v>333.94636346522691</v>
      </c>
      <c r="BG63" s="8">
        <f>Renta_Alta!BG63+Masivo!BG63+Consumo_Inicial!BG63</f>
        <v>337.36593511750812</v>
      </c>
      <c r="BH63" s="8">
        <f>Renta_Alta!BH63+Masivo!BH63+Consumo_Inicial!BH63</f>
        <v>343.06027587311678</v>
      </c>
      <c r="BI63" s="8">
        <f>Renta_Alta!BI63+Masivo!BI63+Consumo_Inicial!BI63</f>
        <v>349.75428056268487</v>
      </c>
      <c r="BJ63" s="8">
        <f>Renta_Alta!BJ63+Masivo!BJ63+Consumo_Inicial!BJ63</f>
        <v>354.6622955764646</v>
      </c>
      <c r="BK63" s="8">
        <f>Renta_Alta!BK63+Masivo!BK63+Consumo_Inicial!BK63</f>
        <v>357.09799852061263</v>
      </c>
      <c r="BO63" s="24">
        <f t="shared" ref="BO63:BT72" si="247">SUMIFS($D63:$BM63,$D$6:$BM$6,"&gt;="&amp;BO$2,$D$6:$BM$6,"&lt;="&amp;BO$6,$D$5:$BM$5,BO$5)</f>
        <v>913.56677453999987</v>
      </c>
      <c r="BP63" s="24">
        <f t="shared" si="247"/>
        <v>935.3842245269052</v>
      </c>
      <c r="BQ63" s="24">
        <f t="shared" si="247"/>
        <v>627.63971704000005</v>
      </c>
      <c r="BR63" s="24">
        <f t="shared" si="247"/>
        <v>780.06137243785997</v>
      </c>
      <c r="BS63" s="24">
        <f t="shared" si="247"/>
        <v>1241.74155007846</v>
      </c>
      <c r="BT63" s="24">
        <f t="shared" si="247"/>
        <v>1031.4181220600899</v>
      </c>
    </row>
    <row r="64" spans="1:72" hidden="1" outlineLevel="1" x14ac:dyDescent="0.25">
      <c r="A64" s="11" t="s">
        <v>71</v>
      </c>
      <c r="C64" s="2" t="s">
        <v>113</v>
      </c>
      <c r="D64" s="8">
        <f>Renta_Alta!D64+Masivo!D64+Consumo_Inicial!D64</f>
        <v>2.6783299999999999</v>
      </c>
      <c r="E64" s="8">
        <f>Renta_Alta!E64+Masivo!E64+Consumo_Inicial!E64</f>
        <v>2.29501</v>
      </c>
      <c r="F64" s="8">
        <f>Renta_Alta!F64+Masivo!F64+Consumo_Inicial!F64</f>
        <v>2.1863299999999999</v>
      </c>
      <c r="G64" s="8">
        <f>Renta_Alta!G64+Masivo!G64+Consumo_Inicial!G64</f>
        <v>1.7566299999999999</v>
      </c>
      <c r="H64" s="8">
        <f>Renta_Alta!H64+Masivo!H64+Consumo_Inicial!H64</f>
        <v>2.0070000000000001</v>
      </c>
      <c r="I64" s="8">
        <f>Renta_Alta!I64+Masivo!I64+Consumo_Inicial!I64</f>
        <v>1.7150000000000001</v>
      </c>
      <c r="J64" s="8">
        <f>Renta_Alta!J64+Masivo!J64+Consumo_Inicial!J64</f>
        <v>1.4743299999999999</v>
      </c>
      <c r="K64" s="8">
        <f>Renta_Alta!K64+Masivo!K64+Consumo_Inicial!K64</f>
        <v>1.5043400000000002</v>
      </c>
      <c r="L64" s="8">
        <f>Renta_Alta!L64+Masivo!L64+Consumo_Inicial!L64</f>
        <v>1.335</v>
      </c>
      <c r="M64" s="8">
        <f>Renta_Alta!M64+Masivo!M64+Consumo_Inicial!M64</f>
        <v>1.51366</v>
      </c>
      <c r="N64" s="8">
        <f>Renta_Alta!N64+Masivo!N64+Consumo_Inicial!N64</f>
        <v>1.44933</v>
      </c>
      <c r="O64" s="8">
        <f>Renta_Alta!O64+Masivo!O64+Consumo_Inicial!O64</f>
        <v>1.4326699999999999</v>
      </c>
      <c r="P64" s="8">
        <f>Renta_Alta!P64+Masivo!P64+Consumo_Inicial!P64</f>
        <v>1.5753299999999999</v>
      </c>
      <c r="Q64" s="8">
        <f>Renta_Alta!Q64+Masivo!Q64+Consumo_Inicial!Q64</f>
        <v>1.3503299999999998</v>
      </c>
      <c r="R64" s="8">
        <f>Renta_Alta!R64+Masivo!R64+Consumo_Inicial!R64</f>
        <v>1.3</v>
      </c>
      <c r="S64" s="8">
        <f>Renta_Alta!S64+Masivo!S64+Consumo_Inicial!S64</f>
        <v>1.5756700000000001</v>
      </c>
      <c r="T64" s="8">
        <f>Renta_Alta!T64+Masivo!T64+Consumo_Inicial!T64</f>
        <v>1.4263299999999999</v>
      </c>
      <c r="U64" s="8">
        <f>Renta_Alta!U64+Masivo!U64+Consumo_Inicial!U64</f>
        <v>1.23</v>
      </c>
      <c r="V64" s="8">
        <f>Renta_Alta!V64+Masivo!V64+Consumo_Inicial!V64</f>
        <v>1.3876599999999999</v>
      </c>
      <c r="W64" s="8">
        <f>Renta_Alta!W64+Masivo!W64+Consumo_Inicial!W64</f>
        <v>1.18167</v>
      </c>
      <c r="X64" s="8">
        <f>Renta_Alta!X64+Masivo!X64+Consumo_Inicial!X64</f>
        <v>1.3443400000000001</v>
      </c>
      <c r="Y64" s="8">
        <f>Renta_Alta!Y64+Masivo!Y64+Consumo_Inicial!Y64</f>
        <v>1.27834</v>
      </c>
      <c r="Z64" s="8">
        <f>Renta_Alta!Z64+Masivo!Z64+Consumo_Inicial!Z64</f>
        <v>1.163</v>
      </c>
      <c r="AA64" s="8">
        <f>Renta_Alta!AA64+Masivo!AA64+Consumo_Inicial!AA64</f>
        <v>1.2353299999999998</v>
      </c>
      <c r="AB64" s="8">
        <f>Renta_Alta!AB64+Masivo!AB64+Consumo_Inicial!AB64</f>
        <v>1.18367</v>
      </c>
      <c r="AC64" s="8">
        <f>Renta_Alta!AC64+Masivo!AC64+Consumo_Inicial!AC64</f>
        <v>0.90700000000000003</v>
      </c>
      <c r="AD64" s="8">
        <f>Renta_Alta!AD64+Masivo!AD64+Consumo_Inicial!AD64</f>
        <v>1.11633</v>
      </c>
      <c r="AE64" s="8">
        <f>Renta_Alta!AE64+Masivo!AE64+Consumo_Inicial!AE64</f>
        <v>0.87133000000000005</v>
      </c>
      <c r="AF64" s="8">
        <f>Renta_Alta!AF64+Masivo!AF64+Consumo_Inicial!AF64</f>
        <v>0.68733</v>
      </c>
      <c r="AG64" s="8">
        <f>Renta_Alta!AG64+Masivo!AG64+Consumo_Inicial!AG64</f>
        <v>0.78</v>
      </c>
      <c r="AH64" s="8">
        <f>Renta_Alta!AH64+Masivo!AH64+Consumo_Inicial!AH64</f>
        <v>0.8</v>
      </c>
      <c r="AI64" s="8">
        <f>Renta_Alta!AI64+Masivo!AI64+Consumo_Inicial!AI64</f>
        <v>0.73967000000000005</v>
      </c>
      <c r="AJ64" s="8">
        <f>Renta_Alta!AJ64+Masivo!AJ64+Consumo_Inicial!AJ64</f>
        <v>0.73199999999999987</v>
      </c>
      <c r="AK64" s="8">
        <f>Renta_Alta!AK64+Masivo!AK64+Consumo_Inicial!AK64</f>
        <v>0.73632999999999993</v>
      </c>
      <c r="AL64" s="8">
        <f>Renta_Alta!AL64+Masivo!AL64+Consumo_Inicial!AL64</f>
        <v>0.65</v>
      </c>
      <c r="AM64" s="8">
        <f>Renta_Alta!AM64+Masivo!AM64+Consumo_Inicial!AM64</f>
        <v>0.65332999999999997</v>
      </c>
      <c r="AN64" s="8">
        <f>Renta_Alta!AN64+Masivo!AN64+Consumo_Inicial!AN64</f>
        <v>0.63666</v>
      </c>
      <c r="AO64" s="8">
        <f>Renta_Alta!AO64+Masivo!AO64+Consumo_Inicial!AO64</f>
        <v>0.58767000000000003</v>
      </c>
      <c r="AP64" s="8">
        <f>Renta_Alta!AP64+Masivo!AP64+Consumo_Inicial!AP64</f>
        <v>0.66832999999999998</v>
      </c>
      <c r="AQ64" s="8">
        <f>Renta_Alta!AQ64+Masivo!AQ64+Consumo_Inicial!AQ64</f>
        <v>0.49933</v>
      </c>
      <c r="AR64" s="8">
        <f>Renta_Alta!AR64+Masivo!AR64+Consumo_Inicial!AR64</f>
        <v>0.51767000000000007</v>
      </c>
      <c r="AS64" s="8">
        <f>Renta_Alta!AS64+Masivo!AS64+Consumo_Inicial!AS64</f>
        <v>0.57967000000000002</v>
      </c>
      <c r="AT64" s="8">
        <f>Renta_Alta!AT64+Masivo!AT64+Consumo_Inicial!AT64</f>
        <v>0</v>
      </c>
      <c r="AU64" s="8">
        <f>Renta_Alta!AU64+Masivo!AU64+Consumo_Inicial!AU64</f>
        <v>0</v>
      </c>
      <c r="AV64" s="8">
        <f>Renta_Alta!AV64+Masivo!AV64+Consumo_Inicial!AV64</f>
        <v>0</v>
      </c>
      <c r="AW64" s="8">
        <f>Renta_Alta!AW64+Masivo!AW64+Consumo_Inicial!AW64</f>
        <v>0</v>
      </c>
      <c r="AX64" s="8">
        <f>Renta_Alta!AX64+Masivo!AX64+Consumo_Inicial!AX64</f>
        <v>0</v>
      </c>
      <c r="AY64" s="8">
        <f>Renta_Alta!AY64+Masivo!AY64+Consumo_Inicial!AY64</f>
        <v>0</v>
      </c>
      <c r="AZ64" s="8">
        <f>Renta_Alta!AZ64+Masivo!AZ64+Consumo_Inicial!AZ64</f>
        <v>0.90652285714285707</v>
      </c>
      <c r="BA64" s="8">
        <f>Renta_Alta!BA64+Masivo!BA64+Consumo_Inicial!BA64</f>
        <v>0.90652285714285707</v>
      </c>
      <c r="BB64" s="8">
        <f>Renta_Alta!BB64+Masivo!BB64+Consumo_Inicial!BB64</f>
        <v>0.90652285714285707</v>
      </c>
      <c r="BC64" s="8">
        <f>Renta_Alta!BC64+Masivo!BC64+Consumo_Inicial!BC64</f>
        <v>0.90652285714285707</v>
      </c>
      <c r="BD64" s="8">
        <f>Renta_Alta!BD64+Masivo!BD64+Consumo_Inicial!BD64</f>
        <v>0.90652285714285707</v>
      </c>
      <c r="BE64" s="8">
        <f>Renta_Alta!BE64+Masivo!BE64+Consumo_Inicial!BE64</f>
        <v>0.90652285714285707</v>
      </c>
      <c r="BF64" s="8">
        <f>Renta_Alta!BF64+Masivo!BF64+Consumo_Inicial!BF64</f>
        <v>0.90652285714285707</v>
      </c>
      <c r="BG64" s="8">
        <f>Renta_Alta!BG64+Masivo!BG64+Consumo_Inicial!BG64</f>
        <v>0.90652285714285707</v>
      </c>
      <c r="BH64" s="8">
        <f>Renta_Alta!BH64+Masivo!BH64+Consumo_Inicial!BH64</f>
        <v>0.90652285714285707</v>
      </c>
      <c r="BI64" s="8">
        <f>Renta_Alta!BI64+Masivo!BI64+Consumo_Inicial!BI64</f>
        <v>0.90652285714285707</v>
      </c>
      <c r="BJ64" s="8">
        <f>Renta_Alta!BJ64+Masivo!BJ64+Consumo_Inicial!BJ64</f>
        <v>0.90652285714285707</v>
      </c>
      <c r="BK64" s="8">
        <f>Renta_Alta!BK64+Masivo!BK64+Consumo_Inicial!BK64</f>
        <v>0.90652285714285707</v>
      </c>
      <c r="BO64" s="24">
        <f t="shared" si="247"/>
        <v>1.8926600000000002</v>
      </c>
      <c r="BP64" s="24">
        <f t="shared" si="247"/>
        <v>2.7195685714285713</v>
      </c>
      <c r="BQ64" s="24">
        <f t="shared" si="247"/>
        <v>1.2243300000000001</v>
      </c>
      <c r="BR64" s="24">
        <f t="shared" si="247"/>
        <v>3.2070000000000003</v>
      </c>
      <c r="BS64" s="24">
        <f t="shared" si="247"/>
        <v>4.2256599999999995</v>
      </c>
      <c r="BT64" s="24">
        <f t="shared" si="247"/>
        <v>7.1596700000000002</v>
      </c>
    </row>
    <row r="65" spans="1:72" hidden="1" outlineLevel="1" x14ac:dyDescent="0.25">
      <c r="A65" s="11" t="s">
        <v>71</v>
      </c>
      <c r="C65" s="2" t="s">
        <v>114</v>
      </c>
      <c r="D65" s="8">
        <f>Renta_Alta!D65+Masivo!D65+Consumo_Inicial!D65</f>
        <v>0.180000000035</v>
      </c>
      <c r="E65" s="8">
        <f>Renta_Alta!E65+Masivo!E65+Consumo_Inicial!E65</f>
        <v>0</v>
      </c>
      <c r="F65" s="8">
        <f>Renta_Alta!F65+Masivo!F65+Consumo_Inicial!F65</f>
        <v>0</v>
      </c>
      <c r="G65" s="8">
        <f>Renta_Alta!G65+Masivo!G65+Consumo_Inicial!G65</f>
        <v>0</v>
      </c>
      <c r="H65" s="8">
        <f>Renta_Alta!H65+Masivo!H65+Consumo_Inicial!H65</f>
        <v>0</v>
      </c>
      <c r="I65" s="8">
        <f>Renta_Alta!I65+Masivo!I65+Consumo_Inicial!I65</f>
        <v>0.199999999968</v>
      </c>
      <c r="J65" s="8">
        <f>Renta_Alta!J65+Masivo!J65+Consumo_Inicial!J65</f>
        <v>0</v>
      </c>
      <c r="K65" s="8">
        <f>Renta_Alta!K65+Masivo!K65+Consumo_Inicial!K65</f>
        <v>0</v>
      </c>
      <c r="L65" s="8">
        <f>Renta_Alta!L65+Masivo!L65+Consumo_Inicial!L65</f>
        <v>0</v>
      </c>
      <c r="M65" s="8">
        <f>Renta_Alta!M65+Masivo!M65+Consumo_Inicial!M65</f>
        <v>0</v>
      </c>
      <c r="N65" s="8">
        <f>Renta_Alta!N65+Masivo!N65+Consumo_Inicial!N65</f>
        <v>6.000000000000001E-3</v>
      </c>
      <c r="O65" s="8">
        <f>Renta_Alta!O65+Masivo!O65+Consumo_Inicial!O65</f>
        <v>0.32999999997899998</v>
      </c>
      <c r="P65" s="8">
        <f>Renta_Alta!P65+Masivo!P65+Consumo_Inicial!P65</f>
        <v>-0.14967999996599998</v>
      </c>
      <c r="Q65" s="8">
        <f>Renta_Alta!Q65+Masivo!Q65+Consumo_Inicial!Q65</f>
        <v>0</v>
      </c>
      <c r="R65" s="8">
        <f>Renta_Alta!R65+Masivo!R65+Consumo_Inicial!R65</f>
        <v>0</v>
      </c>
      <c r="S65" s="8">
        <f>Renta_Alta!S65+Masivo!S65+Consumo_Inicial!S65</f>
        <v>0</v>
      </c>
      <c r="T65" s="8">
        <f>Renta_Alta!T65+Masivo!T65+Consumo_Inicial!T65</f>
        <v>0.18033000004800001</v>
      </c>
      <c r="U65" s="8">
        <f>Renta_Alta!U65+Masivo!U65+Consumo_Inicial!U65</f>
        <v>0.18000000005000003</v>
      </c>
      <c r="V65" s="8">
        <f>Renta_Alta!V65+Masivo!V65+Consumo_Inicial!V65</f>
        <v>0.18000000000700001</v>
      </c>
      <c r="W65" s="8">
        <f>Renta_Alta!W65+Masivo!W65+Consumo_Inicial!W65</f>
        <v>0</v>
      </c>
      <c r="X65" s="8">
        <f>Renta_Alta!X65+Masivo!X65+Consumo_Inicial!X65</f>
        <v>5.9000000002000001E-2</v>
      </c>
      <c r="Y65" s="8">
        <f>Renta_Alta!Y65+Masivo!Y65+Consumo_Inicial!Y65</f>
        <v>0.18000000003400002</v>
      </c>
      <c r="Z65" s="8">
        <f>Renta_Alta!Z65+Masivo!Z65+Consumo_Inicial!Z65</f>
        <v>0</v>
      </c>
      <c r="AA65" s="8">
        <f>Renta_Alta!AA65+Masivo!AA65+Consumo_Inicial!AA65</f>
        <v>0</v>
      </c>
      <c r="AB65" s="8">
        <f>Renta_Alta!AB65+Masivo!AB65+Consumo_Inicial!AB65</f>
        <v>0</v>
      </c>
      <c r="AC65" s="8">
        <f>Renta_Alta!AC65+Masivo!AC65+Consumo_Inicial!AC65</f>
        <v>0.17999999999800001</v>
      </c>
      <c r="AD65" s="8">
        <f>Renta_Alta!AD65+Masivo!AD65+Consumo_Inicial!AD65</f>
        <v>0</v>
      </c>
      <c r="AE65" s="8">
        <f>Renta_Alta!AE65+Masivo!AE65+Consumo_Inicial!AE65</f>
        <v>0</v>
      </c>
      <c r="AF65" s="8">
        <f>Renta_Alta!AF65+Masivo!AF65+Consumo_Inicial!AF65</f>
        <v>0.18000000003999997</v>
      </c>
      <c r="AG65" s="8">
        <f>Renta_Alta!AG65+Masivo!AG65+Consumo_Inicial!AG65</f>
        <v>0</v>
      </c>
      <c r="AH65" s="8">
        <f>Renta_Alta!AH65+Masivo!AH65+Consumo_Inicial!AH65</f>
        <v>3.6000000005000005E-2</v>
      </c>
      <c r="AI65" s="8">
        <f>Renta_Alta!AI65+Masivo!AI65+Consumo_Inicial!AI65</f>
        <v>0</v>
      </c>
      <c r="AJ65" s="8">
        <f>Renta_Alta!AJ65+Masivo!AJ65+Consumo_Inicial!AJ65</f>
        <v>0</v>
      </c>
      <c r="AK65" s="8">
        <f>Renta_Alta!AK65+Masivo!AK65+Consumo_Inicial!AK65</f>
        <v>0</v>
      </c>
      <c r="AL65" s="8">
        <f>Renta_Alta!AL65+Masivo!AL65+Consumo_Inicial!AL65</f>
        <v>0</v>
      </c>
      <c r="AM65" s="8">
        <f>Renta_Alta!AM65+Masivo!AM65+Consumo_Inicial!AM65</f>
        <v>0.179999999997</v>
      </c>
      <c r="AN65" s="8">
        <f>Renta_Alta!AN65+Masivo!AN65+Consumo_Inicial!AN65</f>
        <v>0.25999999999999995</v>
      </c>
      <c r="AO65" s="8">
        <f>Renta_Alta!AO65+Masivo!AO65+Consumo_Inicial!AO65</f>
        <v>0</v>
      </c>
      <c r="AP65" s="8">
        <f>Renta_Alta!AP65+Masivo!AP65+Consumo_Inicial!AP65</f>
        <v>0.28999999999999998</v>
      </c>
      <c r="AQ65" s="8">
        <f>Renta_Alta!AQ65+Masivo!AQ65+Consumo_Inicial!AQ65</f>
        <v>0</v>
      </c>
      <c r="AR65" s="8">
        <f>Renta_Alta!AR65+Masivo!AR65+Consumo_Inicial!AR65</f>
        <v>0</v>
      </c>
      <c r="AS65" s="8">
        <f>Renta_Alta!AS65+Masivo!AS65+Consumo_Inicial!AS65</f>
        <v>0</v>
      </c>
      <c r="AT65" s="8">
        <f>Renta_Alta!AT65+Masivo!AT65+Consumo_Inicial!AT65</f>
        <v>0</v>
      </c>
      <c r="AU65" s="8">
        <f>Renta_Alta!AU65+Masivo!AU65+Consumo_Inicial!AU65</f>
        <v>0</v>
      </c>
      <c r="AV65" s="8">
        <f>Renta_Alta!AV65+Masivo!AV65+Consumo_Inicial!AV65</f>
        <v>0</v>
      </c>
      <c r="AW65" s="8">
        <f>Renta_Alta!AW65+Masivo!AW65+Consumo_Inicial!AW65</f>
        <v>0</v>
      </c>
      <c r="AX65" s="8">
        <f>Renta_Alta!AX65+Masivo!AX65+Consumo_Inicial!AX65</f>
        <v>0</v>
      </c>
      <c r="AY65" s="8">
        <f>Renta_Alta!AY65+Masivo!AY65+Consumo_Inicial!AY65</f>
        <v>0</v>
      </c>
      <c r="AZ65" s="8">
        <f>Renta_Alta!AZ65+Masivo!AZ65+Consumo_Inicial!AZ65</f>
        <v>0</v>
      </c>
      <c r="BA65" s="8">
        <f>Renta_Alta!BA65+Masivo!BA65+Consumo_Inicial!BA65</f>
        <v>0</v>
      </c>
      <c r="BB65" s="8">
        <f>Renta_Alta!BB65+Masivo!BB65+Consumo_Inicial!BB65</f>
        <v>0</v>
      </c>
      <c r="BC65" s="8">
        <f>Renta_Alta!BC65+Masivo!BC65+Consumo_Inicial!BC65</f>
        <v>0</v>
      </c>
      <c r="BD65" s="8">
        <f>Renta_Alta!BD65+Masivo!BD65+Consumo_Inicial!BD65</f>
        <v>0</v>
      </c>
      <c r="BE65" s="8">
        <f>Renta_Alta!BE65+Masivo!BE65+Consumo_Inicial!BE65</f>
        <v>0</v>
      </c>
      <c r="BF65" s="8">
        <f>Renta_Alta!BF65+Masivo!BF65+Consumo_Inicial!BF65</f>
        <v>0</v>
      </c>
      <c r="BG65" s="8">
        <f>Renta_Alta!BG65+Masivo!BG65+Consumo_Inicial!BG65</f>
        <v>0</v>
      </c>
      <c r="BH65" s="8">
        <f>Renta_Alta!BH65+Masivo!BH65+Consumo_Inicial!BH65</f>
        <v>0</v>
      </c>
      <c r="BI65" s="8">
        <f>Renta_Alta!BI65+Masivo!BI65+Consumo_Inicial!BI65</f>
        <v>0</v>
      </c>
      <c r="BJ65" s="8">
        <f>Renta_Alta!BJ65+Masivo!BJ65+Consumo_Inicial!BJ65</f>
        <v>0</v>
      </c>
      <c r="BK65" s="8">
        <f>Renta_Alta!BK65+Masivo!BK65+Consumo_Inicial!BK65</f>
        <v>0</v>
      </c>
      <c r="BO65" s="24">
        <f t="shared" si="247"/>
        <v>0.54999999999999993</v>
      </c>
      <c r="BP65" s="24">
        <f t="shared" si="247"/>
        <v>0</v>
      </c>
      <c r="BQ65" s="24">
        <f t="shared" si="247"/>
        <v>0.25999999999999995</v>
      </c>
      <c r="BR65" s="24">
        <f t="shared" si="247"/>
        <v>0.17999999999800001</v>
      </c>
      <c r="BS65" s="24">
        <f t="shared" si="247"/>
        <v>-0.14967999996599998</v>
      </c>
      <c r="BT65" s="24">
        <f t="shared" si="247"/>
        <v>0.180000000035</v>
      </c>
    </row>
    <row r="66" spans="1:72" hidden="1" outlineLevel="1" x14ac:dyDescent="0.25">
      <c r="A66" s="11" t="s">
        <v>71</v>
      </c>
      <c r="C66" s="2"/>
      <c r="D66" s="8">
        <f>Renta_Alta!D66+Masivo!D66+Consumo_Inicial!D66</f>
        <v>0</v>
      </c>
      <c r="E66" s="8">
        <f>Renta_Alta!E66+Masivo!E66+Consumo_Inicial!E66</f>
        <v>0</v>
      </c>
      <c r="F66" s="8">
        <f>Renta_Alta!F66+Masivo!F66+Consumo_Inicial!F66</f>
        <v>0</v>
      </c>
      <c r="G66" s="8">
        <f>Renta_Alta!G66+Masivo!G66+Consumo_Inicial!G66</f>
        <v>0</v>
      </c>
      <c r="H66" s="8">
        <f>Renta_Alta!H66+Masivo!H66+Consumo_Inicial!H66</f>
        <v>0</v>
      </c>
      <c r="I66" s="8">
        <f>Renta_Alta!I66+Masivo!I66+Consumo_Inicial!I66</f>
        <v>0</v>
      </c>
      <c r="J66" s="8">
        <f>Renta_Alta!J66+Masivo!J66+Consumo_Inicial!J66</f>
        <v>0</v>
      </c>
      <c r="K66" s="8">
        <f>Renta_Alta!K66+Masivo!K66+Consumo_Inicial!K66</f>
        <v>0</v>
      </c>
      <c r="L66" s="8">
        <f>Renta_Alta!L66+Masivo!L66+Consumo_Inicial!L66</f>
        <v>0</v>
      </c>
      <c r="M66" s="8">
        <f>Renta_Alta!M66+Masivo!M66+Consumo_Inicial!M66</f>
        <v>0</v>
      </c>
      <c r="N66" s="8">
        <f>Renta_Alta!N66+Masivo!N66+Consumo_Inicial!N66</f>
        <v>0</v>
      </c>
      <c r="O66" s="8">
        <f>Renta_Alta!O66+Masivo!O66+Consumo_Inicial!O66</f>
        <v>0</v>
      </c>
      <c r="P66" s="8">
        <f>Renta_Alta!P66+Masivo!P66+Consumo_Inicial!P66</f>
        <v>0</v>
      </c>
      <c r="Q66" s="8">
        <f>Renta_Alta!Q66+Masivo!Q66+Consumo_Inicial!Q66</f>
        <v>0</v>
      </c>
      <c r="R66" s="8">
        <f>Renta_Alta!R66+Masivo!R66+Consumo_Inicial!R66</f>
        <v>0</v>
      </c>
      <c r="S66" s="8">
        <f>Renta_Alta!S66+Masivo!S66+Consumo_Inicial!S66</f>
        <v>0</v>
      </c>
      <c r="T66" s="8">
        <f>Renta_Alta!T66+Masivo!T66+Consumo_Inicial!T66</f>
        <v>0</v>
      </c>
      <c r="U66" s="8">
        <f>Renta_Alta!U66+Masivo!U66+Consumo_Inicial!U66</f>
        <v>0</v>
      </c>
      <c r="V66" s="8">
        <f>Renta_Alta!V66+Masivo!V66+Consumo_Inicial!V66</f>
        <v>0</v>
      </c>
      <c r="W66" s="8">
        <f>Renta_Alta!W66+Masivo!W66+Consumo_Inicial!W66</f>
        <v>0</v>
      </c>
      <c r="X66" s="8">
        <f>Renta_Alta!X66+Masivo!X66+Consumo_Inicial!X66</f>
        <v>0</v>
      </c>
      <c r="Y66" s="8">
        <f>Renta_Alta!Y66+Masivo!Y66+Consumo_Inicial!Y66</f>
        <v>0</v>
      </c>
      <c r="Z66" s="8">
        <f>Renta_Alta!Z66+Masivo!Z66+Consumo_Inicial!Z66</f>
        <v>0</v>
      </c>
      <c r="AA66" s="8">
        <f>Renta_Alta!AA66+Masivo!AA66+Consumo_Inicial!AA66</f>
        <v>0</v>
      </c>
      <c r="AB66" s="8">
        <f>Renta_Alta!AB66+Masivo!AB66+Consumo_Inicial!AB66</f>
        <v>0</v>
      </c>
      <c r="AC66" s="8">
        <f>Renta_Alta!AC66+Masivo!AC66+Consumo_Inicial!AC66</f>
        <v>0</v>
      </c>
      <c r="AD66" s="8">
        <f>Renta_Alta!AD66+Masivo!AD66+Consumo_Inicial!AD66</f>
        <v>0</v>
      </c>
      <c r="AE66" s="8">
        <f>Renta_Alta!AE66+Masivo!AE66+Consumo_Inicial!AE66</f>
        <v>0</v>
      </c>
      <c r="AF66" s="8">
        <f>Renta_Alta!AF66+Masivo!AF66+Consumo_Inicial!AF66</f>
        <v>0</v>
      </c>
      <c r="AG66" s="8">
        <f>Renta_Alta!AG66+Masivo!AG66+Consumo_Inicial!AG66</f>
        <v>0</v>
      </c>
      <c r="AH66" s="8">
        <f>Renta_Alta!AH66+Masivo!AH66+Consumo_Inicial!AH66</f>
        <v>0</v>
      </c>
      <c r="AI66" s="8">
        <f>Renta_Alta!AI66+Masivo!AI66+Consumo_Inicial!AI66</f>
        <v>0</v>
      </c>
      <c r="AJ66" s="8">
        <f>Renta_Alta!AJ66+Masivo!AJ66+Consumo_Inicial!AJ66</f>
        <v>0</v>
      </c>
      <c r="AK66" s="8">
        <f>Renta_Alta!AK66+Masivo!AK66+Consumo_Inicial!AK66</f>
        <v>0</v>
      </c>
      <c r="AL66" s="8">
        <f>Renta_Alta!AL66+Masivo!AL66+Consumo_Inicial!AL66</f>
        <v>0</v>
      </c>
      <c r="AM66" s="8">
        <f>Renta_Alta!AM66+Masivo!AM66+Consumo_Inicial!AM66</f>
        <v>0</v>
      </c>
      <c r="AN66" s="8">
        <f>Renta_Alta!AN66+Masivo!AN66+Consumo_Inicial!AN66</f>
        <v>0</v>
      </c>
      <c r="AO66" s="8">
        <f>Renta_Alta!AO66+Masivo!AO66+Consumo_Inicial!AO66</f>
        <v>0</v>
      </c>
      <c r="AP66" s="8">
        <f>Renta_Alta!AP66+Masivo!AP66+Consumo_Inicial!AP66</f>
        <v>0</v>
      </c>
      <c r="AQ66" s="8">
        <f>Renta_Alta!AQ66+Masivo!AQ66+Consumo_Inicial!AQ66</f>
        <v>0</v>
      </c>
      <c r="AR66" s="8">
        <f>Renta_Alta!AR66+Masivo!AR66+Consumo_Inicial!AR66</f>
        <v>0</v>
      </c>
      <c r="AS66" s="8">
        <f>Renta_Alta!AS66+Masivo!AS66+Consumo_Inicial!AS66</f>
        <v>0</v>
      </c>
      <c r="AT66" s="8">
        <f>Renta_Alta!AT66+Masivo!AT66+Consumo_Inicial!AT66</f>
        <v>0</v>
      </c>
      <c r="AU66" s="8">
        <f>Renta_Alta!AU66+Masivo!AU66+Consumo_Inicial!AU66</f>
        <v>0</v>
      </c>
      <c r="AV66" s="8">
        <f>Renta_Alta!AV66+Masivo!AV66+Consumo_Inicial!AV66</f>
        <v>0</v>
      </c>
      <c r="AW66" s="8">
        <f>Renta_Alta!AW66+Masivo!AW66+Consumo_Inicial!AW66</f>
        <v>0</v>
      </c>
      <c r="AX66" s="8">
        <f>Renta_Alta!AX66+Masivo!AX66+Consumo_Inicial!AX66</f>
        <v>0</v>
      </c>
      <c r="AY66" s="8">
        <f>Renta_Alta!AY66+Masivo!AY66+Consumo_Inicial!AY66</f>
        <v>0</v>
      </c>
      <c r="AZ66" s="8">
        <f>Renta_Alta!AZ66+Masivo!AZ66+Consumo_Inicial!AZ66</f>
        <v>0</v>
      </c>
      <c r="BA66" s="8">
        <f>Renta_Alta!BA66+Masivo!BA66+Consumo_Inicial!BA66</f>
        <v>0</v>
      </c>
      <c r="BB66" s="8">
        <f>Renta_Alta!BB66+Masivo!BB66+Consumo_Inicial!BB66</f>
        <v>0</v>
      </c>
      <c r="BC66" s="8">
        <f>Renta_Alta!BC66+Masivo!BC66+Consumo_Inicial!BC66</f>
        <v>0</v>
      </c>
      <c r="BD66" s="8">
        <f>Renta_Alta!BD66+Masivo!BD66+Consumo_Inicial!BD66</f>
        <v>0</v>
      </c>
      <c r="BE66" s="8">
        <f>Renta_Alta!BE66+Masivo!BE66+Consumo_Inicial!BE66</f>
        <v>0</v>
      </c>
      <c r="BF66" s="8">
        <f>Renta_Alta!BF66+Masivo!BF66+Consumo_Inicial!BF66</f>
        <v>0</v>
      </c>
      <c r="BG66" s="8">
        <f>Renta_Alta!BG66+Masivo!BG66+Consumo_Inicial!BG66</f>
        <v>0</v>
      </c>
      <c r="BH66" s="8">
        <f>Renta_Alta!BH66+Masivo!BH66+Consumo_Inicial!BH66</f>
        <v>0</v>
      </c>
      <c r="BI66" s="8">
        <f>Renta_Alta!BI66+Masivo!BI66+Consumo_Inicial!BI66</f>
        <v>0</v>
      </c>
      <c r="BJ66" s="8">
        <f>Renta_Alta!BJ66+Masivo!BJ66+Consumo_Inicial!BJ66</f>
        <v>0</v>
      </c>
      <c r="BK66" s="8">
        <f>Renta_Alta!BK66+Masivo!BK66+Consumo_Inicial!BK66</f>
        <v>0</v>
      </c>
      <c r="BO66" s="24">
        <f t="shared" si="247"/>
        <v>0</v>
      </c>
      <c r="BP66" s="24">
        <f t="shared" si="247"/>
        <v>0</v>
      </c>
      <c r="BQ66" s="24">
        <f t="shared" si="247"/>
        <v>0</v>
      </c>
      <c r="BR66" s="24">
        <f t="shared" si="247"/>
        <v>0</v>
      </c>
      <c r="BS66" s="24">
        <f t="shared" si="247"/>
        <v>0</v>
      </c>
      <c r="BT66" s="24">
        <f t="shared" si="247"/>
        <v>0</v>
      </c>
    </row>
    <row r="67" spans="1:72" hidden="1" outlineLevel="1" x14ac:dyDescent="0.25">
      <c r="A67" s="11" t="s">
        <v>71</v>
      </c>
      <c r="C67" s="2"/>
      <c r="D67" s="8">
        <f>Renta_Alta!D67+Masivo!D67+Consumo_Inicial!D67</f>
        <v>0</v>
      </c>
      <c r="E67" s="8">
        <f>Renta_Alta!E67+Masivo!E67+Consumo_Inicial!E67</f>
        <v>0</v>
      </c>
      <c r="F67" s="8">
        <f>Renta_Alta!F67+Masivo!F67+Consumo_Inicial!F67</f>
        <v>0</v>
      </c>
      <c r="G67" s="8">
        <f>Renta_Alta!G67+Masivo!G67+Consumo_Inicial!G67</f>
        <v>0</v>
      </c>
      <c r="H67" s="8">
        <f>Renta_Alta!H67+Masivo!H67+Consumo_Inicial!H67</f>
        <v>0</v>
      </c>
      <c r="I67" s="8">
        <f>Renta_Alta!I67+Masivo!I67+Consumo_Inicial!I67</f>
        <v>0</v>
      </c>
      <c r="J67" s="8">
        <f>Renta_Alta!J67+Masivo!J67+Consumo_Inicial!J67</f>
        <v>0</v>
      </c>
      <c r="K67" s="8">
        <f>Renta_Alta!K67+Masivo!K67+Consumo_Inicial!K67</f>
        <v>0</v>
      </c>
      <c r="L67" s="8">
        <f>Renta_Alta!L67+Masivo!L67+Consumo_Inicial!L67</f>
        <v>0</v>
      </c>
      <c r="M67" s="8">
        <f>Renta_Alta!M67+Masivo!M67+Consumo_Inicial!M67</f>
        <v>0</v>
      </c>
      <c r="N67" s="8">
        <f>Renta_Alta!N67+Masivo!N67+Consumo_Inicial!N67</f>
        <v>0</v>
      </c>
      <c r="O67" s="8">
        <f>Renta_Alta!O67+Masivo!O67+Consumo_Inicial!O67</f>
        <v>0</v>
      </c>
      <c r="P67" s="8">
        <f>Renta_Alta!P67+Masivo!P67+Consumo_Inicial!P67</f>
        <v>0</v>
      </c>
      <c r="Q67" s="8">
        <f>Renta_Alta!Q67+Masivo!Q67+Consumo_Inicial!Q67</f>
        <v>0</v>
      </c>
      <c r="R67" s="8">
        <f>Renta_Alta!R67+Masivo!R67+Consumo_Inicial!R67</f>
        <v>0</v>
      </c>
      <c r="S67" s="8">
        <f>Renta_Alta!S67+Masivo!S67+Consumo_Inicial!S67</f>
        <v>0</v>
      </c>
      <c r="T67" s="8">
        <f>Renta_Alta!T67+Masivo!T67+Consumo_Inicial!T67</f>
        <v>0</v>
      </c>
      <c r="U67" s="8">
        <f>Renta_Alta!U67+Masivo!U67+Consumo_Inicial!U67</f>
        <v>0</v>
      </c>
      <c r="V67" s="8">
        <f>Renta_Alta!V67+Masivo!V67+Consumo_Inicial!V67</f>
        <v>0</v>
      </c>
      <c r="W67" s="8">
        <f>Renta_Alta!W67+Masivo!W67+Consumo_Inicial!W67</f>
        <v>0</v>
      </c>
      <c r="X67" s="8">
        <f>Renta_Alta!X67+Masivo!X67+Consumo_Inicial!X67</f>
        <v>0</v>
      </c>
      <c r="Y67" s="8">
        <f>Renta_Alta!Y67+Masivo!Y67+Consumo_Inicial!Y67</f>
        <v>0</v>
      </c>
      <c r="Z67" s="8">
        <f>Renta_Alta!Z67+Masivo!Z67+Consumo_Inicial!Z67</f>
        <v>0</v>
      </c>
      <c r="AA67" s="8">
        <f>Renta_Alta!AA67+Masivo!AA67+Consumo_Inicial!AA67</f>
        <v>0</v>
      </c>
      <c r="AB67" s="8">
        <f>Renta_Alta!AB67+Masivo!AB67+Consumo_Inicial!AB67</f>
        <v>0</v>
      </c>
      <c r="AC67" s="8">
        <f>Renta_Alta!AC67+Masivo!AC67+Consumo_Inicial!AC67</f>
        <v>0</v>
      </c>
      <c r="AD67" s="8">
        <f>Renta_Alta!AD67+Masivo!AD67+Consumo_Inicial!AD67</f>
        <v>0</v>
      </c>
      <c r="AE67" s="8">
        <f>Renta_Alta!AE67+Masivo!AE67+Consumo_Inicial!AE67</f>
        <v>0</v>
      </c>
      <c r="AF67" s="8">
        <f>Renta_Alta!AF67+Masivo!AF67+Consumo_Inicial!AF67</f>
        <v>0</v>
      </c>
      <c r="AG67" s="8">
        <f>Renta_Alta!AG67+Masivo!AG67+Consumo_Inicial!AG67</f>
        <v>0</v>
      </c>
      <c r="AH67" s="8">
        <f>Renta_Alta!AH67+Masivo!AH67+Consumo_Inicial!AH67</f>
        <v>0</v>
      </c>
      <c r="AI67" s="8">
        <f>Renta_Alta!AI67+Masivo!AI67+Consumo_Inicial!AI67</f>
        <v>0</v>
      </c>
      <c r="AJ67" s="8">
        <f>Renta_Alta!AJ67+Masivo!AJ67+Consumo_Inicial!AJ67</f>
        <v>0</v>
      </c>
      <c r="AK67" s="8">
        <f>Renta_Alta!AK67+Masivo!AK67+Consumo_Inicial!AK67</f>
        <v>0</v>
      </c>
      <c r="AL67" s="8">
        <f>Renta_Alta!AL67+Masivo!AL67+Consumo_Inicial!AL67</f>
        <v>0</v>
      </c>
      <c r="AM67" s="8">
        <f>Renta_Alta!AM67+Masivo!AM67+Consumo_Inicial!AM67</f>
        <v>0</v>
      </c>
      <c r="AN67" s="8">
        <f>Renta_Alta!AN67+Masivo!AN67+Consumo_Inicial!AN67</f>
        <v>0</v>
      </c>
      <c r="AO67" s="8">
        <f>Renta_Alta!AO67+Masivo!AO67+Consumo_Inicial!AO67</f>
        <v>0</v>
      </c>
      <c r="AP67" s="8">
        <f>Renta_Alta!AP67+Masivo!AP67+Consumo_Inicial!AP67</f>
        <v>0</v>
      </c>
      <c r="AQ67" s="8">
        <f>Renta_Alta!AQ67+Masivo!AQ67+Consumo_Inicial!AQ67</f>
        <v>0</v>
      </c>
      <c r="AR67" s="8">
        <f>Renta_Alta!AR67+Masivo!AR67+Consumo_Inicial!AR67</f>
        <v>0</v>
      </c>
      <c r="AS67" s="8">
        <f>Renta_Alta!AS67+Masivo!AS67+Consumo_Inicial!AS67</f>
        <v>0</v>
      </c>
      <c r="AT67" s="8">
        <f>Renta_Alta!AT67+Masivo!AT67+Consumo_Inicial!AT67</f>
        <v>0</v>
      </c>
      <c r="AU67" s="8">
        <f>Renta_Alta!AU67+Masivo!AU67+Consumo_Inicial!AU67</f>
        <v>0</v>
      </c>
      <c r="AV67" s="8">
        <f>Renta_Alta!AV67+Masivo!AV67+Consumo_Inicial!AV67</f>
        <v>0</v>
      </c>
      <c r="AW67" s="8">
        <f>Renta_Alta!AW67+Masivo!AW67+Consumo_Inicial!AW67</f>
        <v>0</v>
      </c>
      <c r="AX67" s="8">
        <f>Renta_Alta!AX67+Masivo!AX67+Consumo_Inicial!AX67</f>
        <v>0</v>
      </c>
      <c r="AY67" s="8">
        <f>Renta_Alta!AY67+Masivo!AY67+Consumo_Inicial!AY67</f>
        <v>0</v>
      </c>
      <c r="AZ67" s="8">
        <f>Renta_Alta!AZ67+Masivo!AZ67+Consumo_Inicial!AZ67</f>
        <v>0</v>
      </c>
      <c r="BA67" s="8">
        <f>Renta_Alta!BA67+Masivo!BA67+Consumo_Inicial!BA67</f>
        <v>0</v>
      </c>
      <c r="BB67" s="8">
        <f>Renta_Alta!BB67+Masivo!BB67+Consumo_Inicial!BB67</f>
        <v>0</v>
      </c>
      <c r="BC67" s="8">
        <f>Renta_Alta!BC67+Masivo!BC67+Consumo_Inicial!BC67</f>
        <v>0</v>
      </c>
      <c r="BD67" s="8">
        <f>Renta_Alta!BD67+Masivo!BD67+Consumo_Inicial!BD67</f>
        <v>0</v>
      </c>
      <c r="BE67" s="8">
        <f>Renta_Alta!BE67+Masivo!BE67+Consumo_Inicial!BE67</f>
        <v>0</v>
      </c>
      <c r="BF67" s="8">
        <f>Renta_Alta!BF67+Masivo!BF67+Consumo_Inicial!BF67</f>
        <v>0</v>
      </c>
      <c r="BG67" s="8">
        <f>Renta_Alta!BG67+Masivo!BG67+Consumo_Inicial!BG67</f>
        <v>0</v>
      </c>
      <c r="BH67" s="8">
        <f>Renta_Alta!BH67+Masivo!BH67+Consumo_Inicial!BH67</f>
        <v>0</v>
      </c>
      <c r="BI67" s="8">
        <f>Renta_Alta!BI67+Masivo!BI67+Consumo_Inicial!BI67</f>
        <v>0</v>
      </c>
      <c r="BJ67" s="8">
        <f>Renta_Alta!BJ67+Masivo!BJ67+Consumo_Inicial!BJ67</f>
        <v>0</v>
      </c>
      <c r="BK67" s="8">
        <f>Renta_Alta!BK67+Masivo!BK67+Consumo_Inicial!BK67</f>
        <v>0</v>
      </c>
      <c r="BO67" s="24">
        <f t="shared" si="247"/>
        <v>0</v>
      </c>
      <c r="BP67" s="24">
        <f t="shared" si="247"/>
        <v>0</v>
      </c>
      <c r="BQ67" s="24">
        <f t="shared" si="247"/>
        <v>0</v>
      </c>
      <c r="BR67" s="24">
        <f t="shared" si="247"/>
        <v>0</v>
      </c>
      <c r="BS67" s="24">
        <f t="shared" si="247"/>
        <v>0</v>
      </c>
      <c r="BT67" s="24">
        <f t="shared" si="247"/>
        <v>0</v>
      </c>
    </row>
    <row r="68" spans="1:72" hidden="1" outlineLevel="1" x14ac:dyDescent="0.25">
      <c r="A68" s="11" t="s">
        <v>71</v>
      </c>
      <c r="C68" s="2"/>
      <c r="D68" s="8">
        <f>Renta_Alta!D68+Masivo!D68+Consumo_Inicial!D68</f>
        <v>0</v>
      </c>
      <c r="E68" s="8">
        <f>Renta_Alta!E68+Masivo!E68+Consumo_Inicial!E68</f>
        <v>0</v>
      </c>
      <c r="F68" s="8">
        <f>Renta_Alta!F68+Masivo!F68+Consumo_Inicial!F68</f>
        <v>0</v>
      </c>
      <c r="G68" s="8">
        <f>Renta_Alta!G68+Masivo!G68+Consumo_Inicial!G68</f>
        <v>0</v>
      </c>
      <c r="H68" s="8">
        <f>Renta_Alta!H68+Masivo!H68+Consumo_Inicial!H68</f>
        <v>0</v>
      </c>
      <c r="I68" s="8">
        <f>Renta_Alta!I68+Masivo!I68+Consumo_Inicial!I68</f>
        <v>0</v>
      </c>
      <c r="J68" s="8">
        <f>Renta_Alta!J68+Masivo!J68+Consumo_Inicial!J68</f>
        <v>0</v>
      </c>
      <c r="K68" s="8">
        <f>Renta_Alta!K68+Masivo!K68+Consumo_Inicial!K68</f>
        <v>0</v>
      </c>
      <c r="L68" s="8">
        <f>Renta_Alta!L68+Masivo!L68+Consumo_Inicial!L68</f>
        <v>0</v>
      </c>
      <c r="M68" s="8">
        <f>Renta_Alta!M68+Masivo!M68+Consumo_Inicial!M68</f>
        <v>0</v>
      </c>
      <c r="N68" s="8">
        <f>Renta_Alta!N68+Masivo!N68+Consumo_Inicial!N68</f>
        <v>0</v>
      </c>
      <c r="O68" s="8">
        <f>Renta_Alta!O68+Masivo!O68+Consumo_Inicial!O68</f>
        <v>0</v>
      </c>
      <c r="P68" s="8">
        <f>Renta_Alta!P68+Masivo!P68+Consumo_Inicial!P68</f>
        <v>0</v>
      </c>
      <c r="Q68" s="8">
        <f>Renta_Alta!Q68+Masivo!Q68+Consumo_Inicial!Q68</f>
        <v>0</v>
      </c>
      <c r="R68" s="8">
        <f>Renta_Alta!R68+Masivo!R68+Consumo_Inicial!R68</f>
        <v>0</v>
      </c>
      <c r="S68" s="8">
        <f>Renta_Alta!S68+Masivo!S68+Consumo_Inicial!S68</f>
        <v>0</v>
      </c>
      <c r="T68" s="8">
        <f>Renta_Alta!T68+Masivo!T68+Consumo_Inicial!T68</f>
        <v>0</v>
      </c>
      <c r="U68" s="8">
        <f>Renta_Alta!U68+Masivo!U68+Consumo_Inicial!U68</f>
        <v>0</v>
      </c>
      <c r="V68" s="8">
        <f>Renta_Alta!V68+Masivo!V68+Consumo_Inicial!V68</f>
        <v>0</v>
      </c>
      <c r="W68" s="8">
        <f>Renta_Alta!W68+Masivo!W68+Consumo_Inicial!W68</f>
        <v>0</v>
      </c>
      <c r="X68" s="8">
        <f>Renta_Alta!X68+Masivo!X68+Consumo_Inicial!X68</f>
        <v>0</v>
      </c>
      <c r="Y68" s="8">
        <f>Renta_Alta!Y68+Masivo!Y68+Consumo_Inicial!Y68</f>
        <v>0</v>
      </c>
      <c r="Z68" s="8">
        <f>Renta_Alta!Z68+Masivo!Z68+Consumo_Inicial!Z68</f>
        <v>0</v>
      </c>
      <c r="AA68" s="8">
        <f>Renta_Alta!AA68+Masivo!AA68+Consumo_Inicial!AA68</f>
        <v>0</v>
      </c>
      <c r="AB68" s="8">
        <f>Renta_Alta!AB68+Masivo!AB68+Consumo_Inicial!AB68</f>
        <v>0</v>
      </c>
      <c r="AC68" s="8">
        <f>Renta_Alta!AC68+Masivo!AC68+Consumo_Inicial!AC68</f>
        <v>0</v>
      </c>
      <c r="AD68" s="8">
        <f>Renta_Alta!AD68+Masivo!AD68+Consumo_Inicial!AD68</f>
        <v>0</v>
      </c>
      <c r="AE68" s="8">
        <f>Renta_Alta!AE68+Masivo!AE68+Consumo_Inicial!AE68</f>
        <v>0</v>
      </c>
      <c r="AF68" s="8">
        <f>Renta_Alta!AF68+Masivo!AF68+Consumo_Inicial!AF68</f>
        <v>0</v>
      </c>
      <c r="AG68" s="8">
        <f>Renta_Alta!AG68+Masivo!AG68+Consumo_Inicial!AG68</f>
        <v>0</v>
      </c>
      <c r="AH68" s="8">
        <f>Renta_Alta!AH68+Masivo!AH68+Consumo_Inicial!AH68</f>
        <v>0</v>
      </c>
      <c r="AI68" s="8">
        <f>Renta_Alta!AI68+Masivo!AI68+Consumo_Inicial!AI68</f>
        <v>0</v>
      </c>
      <c r="AJ68" s="8">
        <f>Renta_Alta!AJ68+Masivo!AJ68+Consumo_Inicial!AJ68</f>
        <v>0</v>
      </c>
      <c r="AK68" s="8">
        <f>Renta_Alta!AK68+Masivo!AK68+Consumo_Inicial!AK68</f>
        <v>0</v>
      </c>
      <c r="AL68" s="8">
        <f>Renta_Alta!AL68+Masivo!AL68+Consumo_Inicial!AL68</f>
        <v>0</v>
      </c>
      <c r="AM68" s="8">
        <f>Renta_Alta!AM68+Masivo!AM68+Consumo_Inicial!AM68</f>
        <v>0</v>
      </c>
      <c r="AN68" s="8">
        <f>Renta_Alta!AN68+Masivo!AN68+Consumo_Inicial!AN68</f>
        <v>0</v>
      </c>
      <c r="AO68" s="8">
        <f>Renta_Alta!AO68+Masivo!AO68+Consumo_Inicial!AO68</f>
        <v>0</v>
      </c>
      <c r="AP68" s="8">
        <f>Renta_Alta!AP68+Masivo!AP68+Consumo_Inicial!AP68</f>
        <v>0</v>
      </c>
      <c r="AQ68" s="8">
        <f>Renta_Alta!AQ68+Masivo!AQ68+Consumo_Inicial!AQ68</f>
        <v>0</v>
      </c>
      <c r="AR68" s="8">
        <f>Renta_Alta!AR68+Masivo!AR68+Consumo_Inicial!AR68</f>
        <v>0</v>
      </c>
      <c r="AS68" s="8">
        <f>Renta_Alta!AS68+Masivo!AS68+Consumo_Inicial!AS68</f>
        <v>0</v>
      </c>
      <c r="AT68" s="8">
        <f>Renta_Alta!AT68+Masivo!AT68+Consumo_Inicial!AT68</f>
        <v>0</v>
      </c>
      <c r="AU68" s="8">
        <f>Renta_Alta!AU68+Masivo!AU68+Consumo_Inicial!AU68</f>
        <v>0</v>
      </c>
      <c r="AV68" s="8">
        <f>Renta_Alta!AV68+Masivo!AV68+Consumo_Inicial!AV68</f>
        <v>0</v>
      </c>
      <c r="AW68" s="8">
        <f>Renta_Alta!AW68+Masivo!AW68+Consumo_Inicial!AW68</f>
        <v>0</v>
      </c>
      <c r="AX68" s="8">
        <f>Renta_Alta!AX68+Masivo!AX68+Consumo_Inicial!AX68</f>
        <v>0</v>
      </c>
      <c r="AY68" s="8">
        <f>Renta_Alta!AY68+Masivo!AY68+Consumo_Inicial!AY68</f>
        <v>0</v>
      </c>
      <c r="AZ68" s="8">
        <f>Renta_Alta!AZ68+Masivo!AZ68+Consumo_Inicial!AZ68</f>
        <v>0</v>
      </c>
      <c r="BA68" s="8">
        <f>Renta_Alta!BA68+Masivo!BA68+Consumo_Inicial!BA68</f>
        <v>0</v>
      </c>
      <c r="BB68" s="8">
        <f>Renta_Alta!BB68+Masivo!BB68+Consumo_Inicial!BB68</f>
        <v>0</v>
      </c>
      <c r="BC68" s="8">
        <f>Renta_Alta!BC68+Masivo!BC68+Consumo_Inicial!BC68</f>
        <v>0</v>
      </c>
      <c r="BD68" s="8">
        <f>Renta_Alta!BD68+Masivo!BD68+Consumo_Inicial!BD68</f>
        <v>0</v>
      </c>
      <c r="BE68" s="8">
        <f>Renta_Alta!BE68+Masivo!BE68+Consumo_Inicial!BE68</f>
        <v>0</v>
      </c>
      <c r="BF68" s="8">
        <f>Renta_Alta!BF68+Masivo!BF68+Consumo_Inicial!BF68</f>
        <v>0</v>
      </c>
      <c r="BG68" s="8">
        <f>Renta_Alta!BG68+Masivo!BG68+Consumo_Inicial!BG68</f>
        <v>0</v>
      </c>
      <c r="BH68" s="8">
        <f>Renta_Alta!BH68+Masivo!BH68+Consumo_Inicial!BH68</f>
        <v>0</v>
      </c>
      <c r="BI68" s="8">
        <f>Renta_Alta!BI68+Masivo!BI68+Consumo_Inicial!BI68</f>
        <v>0</v>
      </c>
      <c r="BJ68" s="8">
        <f>Renta_Alta!BJ68+Masivo!BJ68+Consumo_Inicial!BJ68</f>
        <v>0</v>
      </c>
      <c r="BK68" s="8">
        <f>Renta_Alta!BK68+Masivo!BK68+Consumo_Inicial!BK68</f>
        <v>0</v>
      </c>
      <c r="BO68" s="24">
        <f t="shared" si="247"/>
        <v>0</v>
      </c>
      <c r="BP68" s="24">
        <f t="shared" si="247"/>
        <v>0</v>
      </c>
      <c r="BQ68" s="24">
        <f t="shared" si="247"/>
        <v>0</v>
      </c>
      <c r="BR68" s="24">
        <f t="shared" si="247"/>
        <v>0</v>
      </c>
      <c r="BS68" s="24">
        <f t="shared" si="247"/>
        <v>0</v>
      </c>
      <c r="BT68" s="24">
        <f t="shared" si="247"/>
        <v>0</v>
      </c>
    </row>
    <row r="69" spans="1:72" hidden="1" outlineLevel="1" x14ac:dyDescent="0.25">
      <c r="A69" s="11" t="s">
        <v>71</v>
      </c>
      <c r="C69" s="2"/>
      <c r="D69" s="8">
        <f>Renta_Alta!D69+Masivo!D69+Consumo_Inicial!D69</f>
        <v>0</v>
      </c>
      <c r="E69" s="8">
        <f>Renta_Alta!E69+Masivo!E69+Consumo_Inicial!E69</f>
        <v>0</v>
      </c>
      <c r="F69" s="8">
        <f>Renta_Alta!F69+Masivo!F69+Consumo_Inicial!F69</f>
        <v>0</v>
      </c>
      <c r="G69" s="8">
        <f>Renta_Alta!G69+Masivo!G69+Consumo_Inicial!G69</f>
        <v>0</v>
      </c>
      <c r="H69" s="8">
        <f>Renta_Alta!H69+Masivo!H69+Consumo_Inicial!H69</f>
        <v>0</v>
      </c>
      <c r="I69" s="8">
        <f>Renta_Alta!I69+Masivo!I69+Consumo_Inicial!I69</f>
        <v>0</v>
      </c>
      <c r="J69" s="8">
        <f>Renta_Alta!J69+Masivo!J69+Consumo_Inicial!J69</f>
        <v>0</v>
      </c>
      <c r="K69" s="8">
        <f>Renta_Alta!K69+Masivo!K69+Consumo_Inicial!K69</f>
        <v>0</v>
      </c>
      <c r="L69" s="8">
        <f>Renta_Alta!L69+Masivo!L69+Consumo_Inicial!L69</f>
        <v>0</v>
      </c>
      <c r="M69" s="8">
        <f>Renta_Alta!M69+Masivo!M69+Consumo_Inicial!M69</f>
        <v>0</v>
      </c>
      <c r="N69" s="8">
        <f>Renta_Alta!N69+Masivo!N69+Consumo_Inicial!N69</f>
        <v>0</v>
      </c>
      <c r="O69" s="8">
        <f>Renta_Alta!O69+Masivo!O69+Consumo_Inicial!O69</f>
        <v>0</v>
      </c>
      <c r="P69" s="8">
        <f>Renta_Alta!P69+Masivo!P69+Consumo_Inicial!P69</f>
        <v>0</v>
      </c>
      <c r="Q69" s="8">
        <f>Renta_Alta!Q69+Masivo!Q69+Consumo_Inicial!Q69</f>
        <v>0</v>
      </c>
      <c r="R69" s="8">
        <f>Renta_Alta!R69+Masivo!R69+Consumo_Inicial!R69</f>
        <v>0</v>
      </c>
      <c r="S69" s="8">
        <f>Renta_Alta!S69+Masivo!S69+Consumo_Inicial!S69</f>
        <v>0</v>
      </c>
      <c r="T69" s="8">
        <f>Renta_Alta!T69+Masivo!T69+Consumo_Inicial!T69</f>
        <v>0</v>
      </c>
      <c r="U69" s="8">
        <f>Renta_Alta!U69+Masivo!U69+Consumo_Inicial!U69</f>
        <v>0</v>
      </c>
      <c r="V69" s="8">
        <f>Renta_Alta!V69+Masivo!V69+Consumo_Inicial!V69</f>
        <v>0</v>
      </c>
      <c r="W69" s="8">
        <f>Renta_Alta!W69+Masivo!W69+Consumo_Inicial!W69</f>
        <v>0</v>
      </c>
      <c r="X69" s="8">
        <f>Renta_Alta!X69+Masivo!X69+Consumo_Inicial!X69</f>
        <v>0</v>
      </c>
      <c r="Y69" s="8">
        <f>Renta_Alta!Y69+Masivo!Y69+Consumo_Inicial!Y69</f>
        <v>0</v>
      </c>
      <c r="Z69" s="8">
        <f>Renta_Alta!Z69+Masivo!Z69+Consumo_Inicial!Z69</f>
        <v>0</v>
      </c>
      <c r="AA69" s="8">
        <f>Renta_Alta!AA69+Masivo!AA69+Consumo_Inicial!AA69</f>
        <v>0</v>
      </c>
      <c r="AB69" s="8">
        <f>Renta_Alta!AB69+Masivo!AB69+Consumo_Inicial!AB69</f>
        <v>0</v>
      </c>
      <c r="AC69" s="8">
        <f>Renta_Alta!AC69+Masivo!AC69+Consumo_Inicial!AC69</f>
        <v>0</v>
      </c>
      <c r="AD69" s="8">
        <f>Renta_Alta!AD69+Masivo!AD69+Consumo_Inicial!AD69</f>
        <v>0</v>
      </c>
      <c r="AE69" s="8">
        <f>Renta_Alta!AE69+Masivo!AE69+Consumo_Inicial!AE69</f>
        <v>0</v>
      </c>
      <c r="AF69" s="8">
        <f>Renta_Alta!AF69+Masivo!AF69+Consumo_Inicial!AF69</f>
        <v>0</v>
      </c>
      <c r="AG69" s="8">
        <f>Renta_Alta!AG69+Masivo!AG69+Consumo_Inicial!AG69</f>
        <v>0</v>
      </c>
      <c r="AH69" s="8">
        <f>Renta_Alta!AH69+Masivo!AH69+Consumo_Inicial!AH69</f>
        <v>0</v>
      </c>
      <c r="AI69" s="8">
        <f>Renta_Alta!AI69+Masivo!AI69+Consumo_Inicial!AI69</f>
        <v>0</v>
      </c>
      <c r="AJ69" s="8">
        <f>Renta_Alta!AJ69+Masivo!AJ69+Consumo_Inicial!AJ69</f>
        <v>0</v>
      </c>
      <c r="AK69" s="8">
        <f>Renta_Alta!AK69+Masivo!AK69+Consumo_Inicial!AK69</f>
        <v>0</v>
      </c>
      <c r="AL69" s="8">
        <f>Renta_Alta!AL69+Masivo!AL69+Consumo_Inicial!AL69</f>
        <v>0</v>
      </c>
      <c r="AM69" s="8">
        <f>Renta_Alta!AM69+Masivo!AM69+Consumo_Inicial!AM69</f>
        <v>0</v>
      </c>
      <c r="AN69" s="8">
        <f>Renta_Alta!AN69+Masivo!AN69+Consumo_Inicial!AN69</f>
        <v>0</v>
      </c>
      <c r="AO69" s="8">
        <f>Renta_Alta!AO69+Masivo!AO69+Consumo_Inicial!AO69</f>
        <v>0</v>
      </c>
      <c r="AP69" s="8">
        <f>Renta_Alta!AP69+Masivo!AP69+Consumo_Inicial!AP69</f>
        <v>0</v>
      </c>
      <c r="AQ69" s="8">
        <f>Renta_Alta!AQ69+Masivo!AQ69+Consumo_Inicial!AQ69</f>
        <v>0</v>
      </c>
      <c r="AR69" s="8">
        <f>Renta_Alta!AR69+Masivo!AR69+Consumo_Inicial!AR69</f>
        <v>0</v>
      </c>
      <c r="AS69" s="8">
        <f>Renta_Alta!AS69+Masivo!AS69+Consumo_Inicial!AS69</f>
        <v>0</v>
      </c>
      <c r="AT69" s="8">
        <f>Renta_Alta!AT69+Masivo!AT69+Consumo_Inicial!AT69</f>
        <v>0</v>
      </c>
      <c r="AU69" s="8">
        <f>Renta_Alta!AU69+Masivo!AU69+Consumo_Inicial!AU69</f>
        <v>0</v>
      </c>
      <c r="AV69" s="8">
        <f>Renta_Alta!AV69+Masivo!AV69+Consumo_Inicial!AV69</f>
        <v>0</v>
      </c>
      <c r="AW69" s="8">
        <f>Renta_Alta!AW69+Masivo!AW69+Consumo_Inicial!AW69</f>
        <v>0</v>
      </c>
      <c r="AX69" s="8">
        <f>Renta_Alta!AX69+Masivo!AX69+Consumo_Inicial!AX69</f>
        <v>0</v>
      </c>
      <c r="AY69" s="8">
        <f>Renta_Alta!AY69+Masivo!AY69+Consumo_Inicial!AY69</f>
        <v>0</v>
      </c>
      <c r="AZ69" s="8">
        <f>Renta_Alta!AZ69+Masivo!AZ69+Consumo_Inicial!AZ69</f>
        <v>0</v>
      </c>
      <c r="BA69" s="8">
        <f>Renta_Alta!BA69+Masivo!BA69+Consumo_Inicial!BA69</f>
        <v>0</v>
      </c>
      <c r="BB69" s="8">
        <f>Renta_Alta!BB69+Masivo!BB69+Consumo_Inicial!BB69</f>
        <v>0</v>
      </c>
      <c r="BC69" s="8">
        <f>Renta_Alta!BC69+Masivo!BC69+Consumo_Inicial!BC69</f>
        <v>0</v>
      </c>
      <c r="BD69" s="8">
        <f>Renta_Alta!BD69+Masivo!BD69+Consumo_Inicial!BD69</f>
        <v>0</v>
      </c>
      <c r="BE69" s="8">
        <f>Renta_Alta!BE69+Masivo!BE69+Consumo_Inicial!BE69</f>
        <v>0</v>
      </c>
      <c r="BF69" s="8">
        <f>Renta_Alta!BF69+Masivo!BF69+Consumo_Inicial!BF69</f>
        <v>0</v>
      </c>
      <c r="BG69" s="8">
        <f>Renta_Alta!BG69+Masivo!BG69+Consumo_Inicial!BG69</f>
        <v>0</v>
      </c>
      <c r="BH69" s="8">
        <f>Renta_Alta!BH69+Masivo!BH69+Consumo_Inicial!BH69</f>
        <v>0</v>
      </c>
      <c r="BI69" s="8">
        <f>Renta_Alta!BI69+Masivo!BI69+Consumo_Inicial!BI69</f>
        <v>0</v>
      </c>
      <c r="BJ69" s="8">
        <f>Renta_Alta!BJ69+Masivo!BJ69+Consumo_Inicial!BJ69</f>
        <v>0</v>
      </c>
      <c r="BK69" s="8">
        <f>Renta_Alta!BK69+Masivo!BK69+Consumo_Inicial!BK69</f>
        <v>0</v>
      </c>
      <c r="BO69" s="24">
        <f t="shared" si="247"/>
        <v>0</v>
      </c>
      <c r="BP69" s="24">
        <f t="shared" si="247"/>
        <v>0</v>
      </c>
      <c r="BQ69" s="24">
        <f t="shared" si="247"/>
        <v>0</v>
      </c>
      <c r="BR69" s="24">
        <f t="shared" si="247"/>
        <v>0</v>
      </c>
      <c r="BS69" s="24">
        <f t="shared" si="247"/>
        <v>0</v>
      </c>
      <c r="BT69" s="24">
        <f t="shared" si="247"/>
        <v>0</v>
      </c>
    </row>
    <row r="70" spans="1:72" hidden="1" outlineLevel="1" x14ac:dyDescent="0.25">
      <c r="A70" s="11" t="s">
        <v>71</v>
      </c>
      <c r="C70" s="2"/>
      <c r="D70" s="8">
        <f>Renta_Alta!D70+Masivo!D70+Consumo_Inicial!D70</f>
        <v>0</v>
      </c>
      <c r="E70" s="8">
        <f>Renta_Alta!E70+Masivo!E70+Consumo_Inicial!E70</f>
        <v>0</v>
      </c>
      <c r="F70" s="8">
        <f>Renta_Alta!F70+Masivo!F70+Consumo_Inicial!F70</f>
        <v>0</v>
      </c>
      <c r="G70" s="8">
        <f>Renta_Alta!G70+Masivo!G70+Consumo_Inicial!G70</f>
        <v>0</v>
      </c>
      <c r="H70" s="8">
        <f>Renta_Alta!H70+Masivo!H70+Consumo_Inicial!H70</f>
        <v>0</v>
      </c>
      <c r="I70" s="8">
        <f>Renta_Alta!I70+Masivo!I70+Consumo_Inicial!I70</f>
        <v>0</v>
      </c>
      <c r="J70" s="8">
        <f>Renta_Alta!J70+Masivo!J70+Consumo_Inicial!J70</f>
        <v>0</v>
      </c>
      <c r="K70" s="8">
        <f>Renta_Alta!K70+Masivo!K70+Consumo_Inicial!K70</f>
        <v>0</v>
      </c>
      <c r="L70" s="8">
        <f>Renta_Alta!L70+Masivo!L70+Consumo_Inicial!L70</f>
        <v>0</v>
      </c>
      <c r="M70" s="8">
        <f>Renta_Alta!M70+Masivo!M70+Consumo_Inicial!M70</f>
        <v>0</v>
      </c>
      <c r="N70" s="8">
        <f>Renta_Alta!N70+Masivo!N70+Consumo_Inicial!N70</f>
        <v>0</v>
      </c>
      <c r="O70" s="8">
        <f>Renta_Alta!O70+Masivo!O70+Consumo_Inicial!O70</f>
        <v>0</v>
      </c>
      <c r="P70" s="8">
        <f>Renta_Alta!P70+Masivo!P70+Consumo_Inicial!P70</f>
        <v>0</v>
      </c>
      <c r="Q70" s="8">
        <f>Renta_Alta!Q70+Masivo!Q70+Consumo_Inicial!Q70</f>
        <v>0</v>
      </c>
      <c r="R70" s="8">
        <f>Renta_Alta!R70+Masivo!R70+Consumo_Inicial!R70</f>
        <v>0</v>
      </c>
      <c r="S70" s="8">
        <f>Renta_Alta!S70+Masivo!S70+Consumo_Inicial!S70</f>
        <v>0</v>
      </c>
      <c r="T70" s="8">
        <f>Renta_Alta!T70+Masivo!T70+Consumo_Inicial!T70</f>
        <v>0</v>
      </c>
      <c r="U70" s="8">
        <f>Renta_Alta!U70+Masivo!U70+Consumo_Inicial!U70</f>
        <v>0</v>
      </c>
      <c r="V70" s="8">
        <f>Renta_Alta!V70+Masivo!V70+Consumo_Inicial!V70</f>
        <v>0</v>
      </c>
      <c r="W70" s="8">
        <f>Renta_Alta!W70+Masivo!W70+Consumo_Inicial!W70</f>
        <v>0</v>
      </c>
      <c r="X70" s="8">
        <f>Renta_Alta!X70+Masivo!X70+Consumo_Inicial!X70</f>
        <v>0</v>
      </c>
      <c r="Y70" s="8">
        <f>Renta_Alta!Y70+Masivo!Y70+Consumo_Inicial!Y70</f>
        <v>0</v>
      </c>
      <c r="Z70" s="8">
        <f>Renta_Alta!Z70+Masivo!Z70+Consumo_Inicial!Z70</f>
        <v>0</v>
      </c>
      <c r="AA70" s="8">
        <f>Renta_Alta!AA70+Masivo!AA70+Consumo_Inicial!AA70</f>
        <v>0</v>
      </c>
      <c r="AB70" s="8">
        <f>Renta_Alta!AB70+Masivo!AB70+Consumo_Inicial!AB70</f>
        <v>0</v>
      </c>
      <c r="AC70" s="8">
        <f>Renta_Alta!AC70+Masivo!AC70+Consumo_Inicial!AC70</f>
        <v>0</v>
      </c>
      <c r="AD70" s="8">
        <f>Renta_Alta!AD70+Masivo!AD70+Consumo_Inicial!AD70</f>
        <v>0</v>
      </c>
      <c r="AE70" s="8">
        <f>Renta_Alta!AE70+Masivo!AE70+Consumo_Inicial!AE70</f>
        <v>0</v>
      </c>
      <c r="AF70" s="8">
        <f>Renta_Alta!AF70+Masivo!AF70+Consumo_Inicial!AF70</f>
        <v>0</v>
      </c>
      <c r="AG70" s="8">
        <f>Renta_Alta!AG70+Masivo!AG70+Consumo_Inicial!AG70</f>
        <v>0</v>
      </c>
      <c r="AH70" s="8">
        <f>Renta_Alta!AH70+Masivo!AH70+Consumo_Inicial!AH70</f>
        <v>0</v>
      </c>
      <c r="AI70" s="8">
        <f>Renta_Alta!AI70+Masivo!AI70+Consumo_Inicial!AI70</f>
        <v>0</v>
      </c>
      <c r="AJ70" s="8">
        <f>Renta_Alta!AJ70+Masivo!AJ70+Consumo_Inicial!AJ70</f>
        <v>0</v>
      </c>
      <c r="AK70" s="8">
        <f>Renta_Alta!AK70+Masivo!AK70+Consumo_Inicial!AK70</f>
        <v>0</v>
      </c>
      <c r="AL70" s="8">
        <f>Renta_Alta!AL70+Masivo!AL70+Consumo_Inicial!AL70</f>
        <v>0</v>
      </c>
      <c r="AM70" s="8">
        <f>Renta_Alta!AM70+Masivo!AM70+Consumo_Inicial!AM70</f>
        <v>0</v>
      </c>
      <c r="AN70" s="8">
        <f>Renta_Alta!AN70+Masivo!AN70+Consumo_Inicial!AN70</f>
        <v>0</v>
      </c>
      <c r="AO70" s="8">
        <f>Renta_Alta!AO70+Masivo!AO70+Consumo_Inicial!AO70</f>
        <v>0</v>
      </c>
      <c r="AP70" s="8">
        <f>Renta_Alta!AP70+Masivo!AP70+Consumo_Inicial!AP70</f>
        <v>0</v>
      </c>
      <c r="AQ70" s="8">
        <f>Renta_Alta!AQ70+Masivo!AQ70+Consumo_Inicial!AQ70</f>
        <v>0</v>
      </c>
      <c r="AR70" s="8">
        <f>Renta_Alta!AR70+Masivo!AR70+Consumo_Inicial!AR70</f>
        <v>0</v>
      </c>
      <c r="AS70" s="8">
        <f>Renta_Alta!AS70+Masivo!AS70+Consumo_Inicial!AS70</f>
        <v>0</v>
      </c>
      <c r="AT70" s="8">
        <f>Renta_Alta!AT70+Masivo!AT70+Consumo_Inicial!AT70</f>
        <v>0</v>
      </c>
      <c r="AU70" s="8">
        <f>Renta_Alta!AU70+Masivo!AU70+Consumo_Inicial!AU70</f>
        <v>0</v>
      </c>
      <c r="AV70" s="8">
        <f>Renta_Alta!AV70+Masivo!AV70+Consumo_Inicial!AV70</f>
        <v>0</v>
      </c>
      <c r="AW70" s="8">
        <f>Renta_Alta!AW70+Masivo!AW70+Consumo_Inicial!AW70</f>
        <v>0</v>
      </c>
      <c r="AX70" s="8">
        <f>Renta_Alta!AX70+Masivo!AX70+Consumo_Inicial!AX70</f>
        <v>0</v>
      </c>
      <c r="AY70" s="8">
        <f>Renta_Alta!AY70+Masivo!AY70+Consumo_Inicial!AY70</f>
        <v>0</v>
      </c>
      <c r="AZ70" s="8">
        <f>Renta_Alta!AZ70+Masivo!AZ70+Consumo_Inicial!AZ70</f>
        <v>0</v>
      </c>
      <c r="BA70" s="8">
        <f>Renta_Alta!BA70+Masivo!BA70+Consumo_Inicial!BA70</f>
        <v>0</v>
      </c>
      <c r="BB70" s="8">
        <f>Renta_Alta!BB70+Masivo!BB70+Consumo_Inicial!BB70</f>
        <v>0</v>
      </c>
      <c r="BC70" s="8">
        <f>Renta_Alta!BC70+Masivo!BC70+Consumo_Inicial!BC70</f>
        <v>0</v>
      </c>
      <c r="BD70" s="8">
        <f>Renta_Alta!BD70+Masivo!BD70+Consumo_Inicial!BD70</f>
        <v>0</v>
      </c>
      <c r="BE70" s="8">
        <f>Renta_Alta!BE70+Masivo!BE70+Consumo_Inicial!BE70</f>
        <v>0</v>
      </c>
      <c r="BF70" s="8">
        <f>Renta_Alta!BF70+Masivo!BF70+Consumo_Inicial!BF70</f>
        <v>0</v>
      </c>
      <c r="BG70" s="8">
        <f>Renta_Alta!BG70+Masivo!BG70+Consumo_Inicial!BG70</f>
        <v>0</v>
      </c>
      <c r="BH70" s="8">
        <f>Renta_Alta!BH70+Masivo!BH70+Consumo_Inicial!BH70</f>
        <v>0</v>
      </c>
      <c r="BI70" s="8">
        <f>Renta_Alta!BI70+Masivo!BI70+Consumo_Inicial!BI70</f>
        <v>0</v>
      </c>
      <c r="BJ70" s="8">
        <f>Renta_Alta!BJ70+Masivo!BJ70+Consumo_Inicial!BJ70</f>
        <v>0</v>
      </c>
      <c r="BK70" s="8">
        <f>Renta_Alta!BK70+Masivo!BK70+Consumo_Inicial!BK70</f>
        <v>0</v>
      </c>
      <c r="BO70" s="24">
        <f t="shared" si="247"/>
        <v>0</v>
      </c>
      <c r="BP70" s="24">
        <f t="shared" si="247"/>
        <v>0</v>
      </c>
      <c r="BQ70" s="24">
        <f t="shared" si="247"/>
        <v>0</v>
      </c>
      <c r="BR70" s="24">
        <f t="shared" si="247"/>
        <v>0</v>
      </c>
      <c r="BS70" s="24">
        <f t="shared" si="247"/>
        <v>0</v>
      </c>
      <c r="BT70" s="24">
        <f t="shared" si="247"/>
        <v>0</v>
      </c>
    </row>
    <row r="71" spans="1:72" hidden="1" outlineLevel="1" x14ac:dyDescent="0.25">
      <c r="A71" s="11" t="s">
        <v>71</v>
      </c>
      <c r="C71" s="2"/>
      <c r="D71" s="8">
        <f>Renta_Alta!D71+Masivo!D71+Consumo_Inicial!D71</f>
        <v>0</v>
      </c>
      <c r="E71" s="8">
        <f>Renta_Alta!E71+Masivo!E71+Consumo_Inicial!E71</f>
        <v>0</v>
      </c>
      <c r="F71" s="8">
        <f>Renta_Alta!F71+Masivo!F71+Consumo_Inicial!F71</f>
        <v>0</v>
      </c>
      <c r="G71" s="8">
        <f>Renta_Alta!G71+Masivo!G71+Consumo_Inicial!G71</f>
        <v>0</v>
      </c>
      <c r="H71" s="8">
        <f>Renta_Alta!H71+Masivo!H71+Consumo_Inicial!H71</f>
        <v>0</v>
      </c>
      <c r="I71" s="8">
        <f>Renta_Alta!I71+Masivo!I71+Consumo_Inicial!I71</f>
        <v>0</v>
      </c>
      <c r="J71" s="8">
        <f>Renta_Alta!J71+Masivo!J71+Consumo_Inicial!J71</f>
        <v>0</v>
      </c>
      <c r="K71" s="8">
        <f>Renta_Alta!K71+Masivo!K71+Consumo_Inicial!K71</f>
        <v>0</v>
      </c>
      <c r="L71" s="8">
        <f>Renta_Alta!L71+Masivo!L71+Consumo_Inicial!L71</f>
        <v>0</v>
      </c>
      <c r="M71" s="8">
        <f>Renta_Alta!M71+Masivo!M71+Consumo_Inicial!M71</f>
        <v>0</v>
      </c>
      <c r="N71" s="8">
        <f>Renta_Alta!N71+Masivo!N71+Consumo_Inicial!N71</f>
        <v>0</v>
      </c>
      <c r="O71" s="8">
        <f>Renta_Alta!O71+Masivo!O71+Consumo_Inicial!O71</f>
        <v>0</v>
      </c>
      <c r="P71" s="8">
        <f>Renta_Alta!P71+Masivo!P71+Consumo_Inicial!P71</f>
        <v>0</v>
      </c>
      <c r="Q71" s="8">
        <f>Renta_Alta!Q71+Masivo!Q71+Consumo_Inicial!Q71</f>
        <v>0</v>
      </c>
      <c r="R71" s="8">
        <f>Renta_Alta!R71+Masivo!R71+Consumo_Inicial!R71</f>
        <v>0</v>
      </c>
      <c r="S71" s="8">
        <f>Renta_Alta!S71+Masivo!S71+Consumo_Inicial!S71</f>
        <v>0</v>
      </c>
      <c r="T71" s="8">
        <f>Renta_Alta!T71+Masivo!T71+Consumo_Inicial!T71</f>
        <v>0</v>
      </c>
      <c r="U71" s="8">
        <f>Renta_Alta!U71+Masivo!U71+Consumo_Inicial!U71</f>
        <v>0</v>
      </c>
      <c r="V71" s="8">
        <f>Renta_Alta!V71+Masivo!V71+Consumo_Inicial!V71</f>
        <v>0</v>
      </c>
      <c r="W71" s="8">
        <f>Renta_Alta!W71+Masivo!W71+Consumo_Inicial!W71</f>
        <v>0</v>
      </c>
      <c r="X71" s="8">
        <f>Renta_Alta!X71+Masivo!X71+Consumo_Inicial!X71</f>
        <v>0</v>
      </c>
      <c r="Y71" s="8">
        <f>Renta_Alta!Y71+Masivo!Y71+Consumo_Inicial!Y71</f>
        <v>0</v>
      </c>
      <c r="Z71" s="8">
        <f>Renta_Alta!Z71+Masivo!Z71+Consumo_Inicial!Z71</f>
        <v>0</v>
      </c>
      <c r="AA71" s="8">
        <f>Renta_Alta!AA71+Masivo!AA71+Consumo_Inicial!AA71</f>
        <v>0</v>
      </c>
      <c r="AB71" s="8">
        <f>Renta_Alta!AB71+Masivo!AB71+Consumo_Inicial!AB71</f>
        <v>0</v>
      </c>
      <c r="AC71" s="8">
        <f>Renta_Alta!AC71+Masivo!AC71+Consumo_Inicial!AC71</f>
        <v>0</v>
      </c>
      <c r="AD71" s="8">
        <f>Renta_Alta!AD71+Masivo!AD71+Consumo_Inicial!AD71</f>
        <v>0</v>
      </c>
      <c r="AE71" s="8">
        <f>Renta_Alta!AE71+Masivo!AE71+Consumo_Inicial!AE71</f>
        <v>0</v>
      </c>
      <c r="AF71" s="8">
        <f>Renta_Alta!AF71+Masivo!AF71+Consumo_Inicial!AF71</f>
        <v>0</v>
      </c>
      <c r="AG71" s="8">
        <f>Renta_Alta!AG71+Masivo!AG71+Consumo_Inicial!AG71</f>
        <v>0</v>
      </c>
      <c r="AH71" s="8">
        <f>Renta_Alta!AH71+Masivo!AH71+Consumo_Inicial!AH71</f>
        <v>0</v>
      </c>
      <c r="AI71" s="8">
        <f>Renta_Alta!AI71+Masivo!AI71+Consumo_Inicial!AI71</f>
        <v>0</v>
      </c>
      <c r="AJ71" s="8">
        <f>Renta_Alta!AJ71+Masivo!AJ71+Consumo_Inicial!AJ71</f>
        <v>0</v>
      </c>
      <c r="AK71" s="8">
        <f>Renta_Alta!AK71+Masivo!AK71+Consumo_Inicial!AK71</f>
        <v>0</v>
      </c>
      <c r="AL71" s="8">
        <f>Renta_Alta!AL71+Masivo!AL71+Consumo_Inicial!AL71</f>
        <v>0</v>
      </c>
      <c r="AM71" s="8">
        <f>Renta_Alta!AM71+Masivo!AM71+Consumo_Inicial!AM71</f>
        <v>0</v>
      </c>
      <c r="AN71" s="8">
        <f>Renta_Alta!AN71+Masivo!AN71+Consumo_Inicial!AN71</f>
        <v>0</v>
      </c>
      <c r="AO71" s="8">
        <f>Renta_Alta!AO71+Masivo!AO71+Consumo_Inicial!AO71</f>
        <v>0</v>
      </c>
      <c r="AP71" s="8">
        <f>Renta_Alta!AP71+Masivo!AP71+Consumo_Inicial!AP71</f>
        <v>0</v>
      </c>
      <c r="AQ71" s="8">
        <f>Renta_Alta!AQ71+Masivo!AQ71+Consumo_Inicial!AQ71</f>
        <v>0</v>
      </c>
      <c r="AR71" s="8">
        <f>Renta_Alta!AR71+Masivo!AR71+Consumo_Inicial!AR71</f>
        <v>0</v>
      </c>
      <c r="AS71" s="8">
        <f>Renta_Alta!AS71+Masivo!AS71+Consumo_Inicial!AS71</f>
        <v>0</v>
      </c>
      <c r="AT71" s="8">
        <f>Renta_Alta!AT71+Masivo!AT71+Consumo_Inicial!AT71</f>
        <v>0</v>
      </c>
      <c r="AU71" s="8">
        <f>Renta_Alta!AU71+Masivo!AU71+Consumo_Inicial!AU71</f>
        <v>0</v>
      </c>
      <c r="AV71" s="8">
        <f>Renta_Alta!AV71+Masivo!AV71+Consumo_Inicial!AV71</f>
        <v>0</v>
      </c>
      <c r="AW71" s="8">
        <f>Renta_Alta!AW71+Masivo!AW71+Consumo_Inicial!AW71</f>
        <v>0</v>
      </c>
      <c r="AX71" s="8">
        <f>Renta_Alta!AX71+Masivo!AX71+Consumo_Inicial!AX71</f>
        <v>0</v>
      </c>
      <c r="AY71" s="8">
        <f>Renta_Alta!AY71+Masivo!AY71+Consumo_Inicial!AY71</f>
        <v>0</v>
      </c>
      <c r="AZ71" s="8">
        <f>Renta_Alta!AZ71+Masivo!AZ71+Consumo_Inicial!AZ71</f>
        <v>0</v>
      </c>
      <c r="BA71" s="8">
        <f>Renta_Alta!BA71+Masivo!BA71+Consumo_Inicial!BA71</f>
        <v>0</v>
      </c>
      <c r="BB71" s="8">
        <f>Renta_Alta!BB71+Masivo!BB71+Consumo_Inicial!BB71</f>
        <v>0</v>
      </c>
      <c r="BC71" s="8">
        <f>Renta_Alta!BC71+Masivo!BC71+Consumo_Inicial!BC71</f>
        <v>0</v>
      </c>
      <c r="BD71" s="8">
        <f>Renta_Alta!BD71+Masivo!BD71+Consumo_Inicial!BD71</f>
        <v>0</v>
      </c>
      <c r="BE71" s="8">
        <f>Renta_Alta!BE71+Masivo!BE71+Consumo_Inicial!BE71</f>
        <v>0</v>
      </c>
      <c r="BF71" s="8">
        <f>Renta_Alta!BF71+Masivo!BF71+Consumo_Inicial!BF71</f>
        <v>0</v>
      </c>
      <c r="BG71" s="8">
        <f>Renta_Alta!BG71+Masivo!BG71+Consumo_Inicial!BG71</f>
        <v>0</v>
      </c>
      <c r="BH71" s="8">
        <f>Renta_Alta!BH71+Masivo!BH71+Consumo_Inicial!BH71</f>
        <v>0</v>
      </c>
      <c r="BI71" s="8">
        <f>Renta_Alta!BI71+Masivo!BI71+Consumo_Inicial!BI71</f>
        <v>0</v>
      </c>
      <c r="BJ71" s="8">
        <f>Renta_Alta!BJ71+Masivo!BJ71+Consumo_Inicial!BJ71</f>
        <v>0</v>
      </c>
      <c r="BK71" s="8">
        <f>Renta_Alta!BK71+Masivo!BK71+Consumo_Inicial!BK71</f>
        <v>0</v>
      </c>
      <c r="BO71" s="24">
        <f t="shared" si="247"/>
        <v>0</v>
      </c>
      <c r="BP71" s="24">
        <f t="shared" si="247"/>
        <v>0</v>
      </c>
      <c r="BQ71" s="24">
        <f t="shared" si="247"/>
        <v>0</v>
      </c>
      <c r="BR71" s="24">
        <f t="shared" si="247"/>
        <v>0</v>
      </c>
      <c r="BS71" s="24">
        <f t="shared" si="247"/>
        <v>0</v>
      </c>
      <c r="BT71" s="24">
        <f t="shared" si="247"/>
        <v>0</v>
      </c>
    </row>
    <row r="72" spans="1:72" hidden="1" outlineLevel="1" x14ac:dyDescent="0.25">
      <c r="A72" s="11" t="s">
        <v>71</v>
      </c>
      <c r="C72" s="2"/>
      <c r="D72" s="8">
        <f>Renta_Alta!D72+Masivo!D72+Consumo_Inicial!D72</f>
        <v>0</v>
      </c>
      <c r="E72" s="8">
        <f>Renta_Alta!E72+Masivo!E72+Consumo_Inicial!E72</f>
        <v>0</v>
      </c>
      <c r="F72" s="8">
        <f>Renta_Alta!F72+Masivo!F72+Consumo_Inicial!F72</f>
        <v>0</v>
      </c>
      <c r="G72" s="8">
        <f>Renta_Alta!G72+Masivo!G72+Consumo_Inicial!G72</f>
        <v>0</v>
      </c>
      <c r="H72" s="8">
        <f>Renta_Alta!H72+Masivo!H72+Consumo_Inicial!H72</f>
        <v>0</v>
      </c>
      <c r="I72" s="8">
        <f>Renta_Alta!I72+Masivo!I72+Consumo_Inicial!I72</f>
        <v>0</v>
      </c>
      <c r="J72" s="8">
        <f>Renta_Alta!J72+Masivo!J72+Consumo_Inicial!J72</f>
        <v>0</v>
      </c>
      <c r="K72" s="8">
        <f>Renta_Alta!K72+Masivo!K72+Consumo_Inicial!K72</f>
        <v>0</v>
      </c>
      <c r="L72" s="8">
        <f>Renta_Alta!L72+Masivo!L72+Consumo_Inicial!L72</f>
        <v>0</v>
      </c>
      <c r="M72" s="8">
        <f>Renta_Alta!M72+Masivo!M72+Consumo_Inicial!M72</f>
        <v>0</v>
      </c>
      <c r="N72" s="8">
        <f>Renta_Alta!N72+Masivo!N72+Consumo_Inicial!N72</f>
        <v>0</v>
      </c>
      <c r="O72" s="8">
        <f>Renta_Alta!O72+Masivo!O72+Consumo_Inicial!O72</f>
        <v>0</v>
      </c>
      <c r="P72" s="8">
        <f>Renta_Alta!P72+Masivo!P72+Consumo_Inicial!P72</f>
        <v>0</v>
      </c>
      <c r="Q72" s="8">
        <f>Renta_Alta!Q72+Masivo!Q72+Consumo_Inicial!Q72</f>
        <v>0</v>
      </c>
      <c r="R72" s="8">
        <f>Renta_Alta!R72+Masivo!R72+Consumo_Inicial!R72</f>
        <v>0</v>
      </c>
      <c r="S72" s="8">
        <f>Renta_Alta!S72+Masivo!S72+Consumo_Inicial!S72</f>
        <v>0</v>
      </c>
      <c r="T72" s="8">
        <f>Renta_Alta!T72+Masivo!T72+Consumo_Inicial!T72</f>
        <v>0</v>
      </c>
      <c r="U72" s="8">
        <f>Renta_Alta!U72+Masivo!U72+Consumo_Inicial!U72</f>
        <v>0</v>
      </c>
      <c r="V72" s="8">
        <f>Renta_Alta!V72+Masivo!V72+Consumo_Inicial!V72</f>
        <v>0</v>
      </c>
      <c r="W72" s="8">
        <f>Renta_Alta!W72+Masivo!W72+Consumo_Inicial!W72</f>
        <v>0</v>
      </c>
      <c r="X72" s="8">
        <f>Renta_Alta!X72+Masivo!X72+Consumo_Inicial!X72</f>
        <v>0</v>
      </c>
      <c r="Y72" s="8">
        <f>Renta_Alta!Y72+Masivo!Y72+Consumo_Inicial!Y72</f>
        <v>0</v>
      </c>
      <c r="Z72" s="8">
        <f>Renta_Alta!Z72+Masivo!Z72+Consumo_Inicial!Z72</f>
        <v>0</v>
      </c>
      <c r="AA72" s="8">
        <f>Renta_Alta!AA72+Masivo!AA72+Consumo_Inicial!AA72</f>
        <v>0</v>
      </c>
      <c r="AB72" s="8">
        <f>Renta_Alta!AB72+Masivo!AB72+Consumo_Inicial!AB72</f>
        <v>0</v>
      </c>
      <c r="AC72" s="8">
        <f>Renta_Alta!AC72+Masivo!AC72+Consumo_Inicial!AC72</f>
        <v>0</v>
      </c>
      <c r="AD72" s="8">
        <f>Renta_Alta!AD72+Masivo!AD72+Consumo_Inicial!AD72</f>
        <v>0</v>
      </c>
      <c r="AE72" s="8">
        <f>Renta_Alta!AE72+Masivo!AE72+Consumo_Inicial!AE72</f>
        <v>0</v>
      </c>
      <c r="AF72" s="8">
        <f>Renta_Alta!AF72+Masivo!AF72+Consumo_Inicial!AF72</f>
        <v>0</v>
      </c>
      <c r="AG72" s="8">
        <f>Renta_Alta!AG72+Masivo!AG72+Consumo_Inicial!AG72</f>
        <v>0</v>
      </c>
      <c r="AH72" s="8">
        <f>Renta_Alta!AH72+Masivo!AH72+Consumo_Inicial!AH72</f>
        <v>0</v>
      </c>
      <c r="AI72" s="8">
        <f>Renta_Alta!AI72+Masivo!AI72+Consumo_Inicial!AI72</f>
        <v>0</v>
      </c>
      <c r="AJ72" s="8">
        <f>Renta_Alta!AJ72+Masivo!AJ72+Consumo_Inicial!AJ72</f>
        <v>0</v>
      </c>
      <c r="AK72" s="8">
        <f>Renta_Alta!AK72+Masivo!AK72+Consumo_Inicial!AK72</f>
        <v>0</v>
      </c>
      <c r="AL72" s="8">
        <f>Renta_Alta!AL72+Masivo!AL72+Consumo_Inicial!AL72</f>
        <v>0</v>
      </c>
      <c r="AM72" s="8">
        <f>Renta_Alta!AM72+Masivo!AM72+Consumo_Inicial!AM72</f>
        <v>0</v>
      </c>
      <c r="AN72" s="8">
        <f>Renta_Alta!AN72+Masivo!AN72+Consumo_Inicial!AN72</f>
        <v>0</v>
      </c>
      <c r="AO72" s="8">
        <f>Renta_Alta!AO72+Masivo!AO72+Consumo_Inicial!AO72</f>
        <v>0</v>
      </c>
      <c r="AP72" s="8">
        <f>Renta_Alta!AP72+Masivo!AP72+Consumo_Inicial!AP72</f>
        <v>0</v>
      </c>
      <c r="AQ72" s="8">
        <f>Renta_Alta!AQ72+Masivo!AQ72+Consumo_Inicial!AQ72</f>
        <v>0</v>
      </c>
      <c r="AR72" s="8">
        <f>Renta_Alta!AR72+Masivo!AR72+Consumo_Inicial!AR72</f>
        <v>0</v>
      </c>
      <c r="AS72" s="8">
        <f>Renta_Alta!AS72+Masivo!AS72+Consumo_Inicial!AS72</f>
        <v>0</v>
      </c>
      <c r="AT72" s="8">
        <f>Renta_Alta!AT72+Masivo!AT72+Consumo_Inicial!AT72</f>
        <v>0</v>
      </c>
      <c r="AU72" s="8">
        <f>Renta_Alta!AU72+Masivo!AU72+Consumo_Inicial!AU72</f>
        <v>0</v>
      </c>
      <c r="AV72" s="8">
        <f>Renta_Alta!AV72+Masivo!AV72+Consumo_Inicial!AV72</f>
        <v>0</v>
      </c>
      <c r="AW72" s="8">
        <f>Renta_Alta!AW72+Masivo!AW72+Consumo_Inicial!AW72</f>
        <v>0</v>
      </c>
      <c r="AX72" s="8">
        <f>Renta_Alta!AX72+Masivo!AX72+Consumo_Inicial!AX72</f>
        <v>0</v>
      </c>
      <c r="AY72" s="8">
        <f>Renta_Alta!AY72+Masivo!AY72+Consumo_Inicial!AY72</f>
        <v>0</v>
      </c>
      <c r="AZ72" s="8">
        <f>Renta_Alta!AZ72+Masivo!AZ72+Consumo_Inicial!AZ72</f>
        <v>0</v>
      </c>
      <c r="BA72" s="8">
        <f>Renta_Alta!BA72+Masivo!BA72+Consumo_Inicial!BA72</f>
        <v>0</v>
      </c>
      <c r="BB72" s="8">
        <f>Renta_Alta!BB72+Masivo!BB72+Consumo_Inicial!BB72</f>
        <v>0</v>
      </c>
      <c r="BC72" s="8">
        <f>Renta_Alta!BC72+Masivo!BC72+Consumo_Inicial!BC72</f>
        <v>0</v>
      </c>
      <c r="BD72" s="8">
        <f>Renta_Alta!BD72+Masivo!BD72+Consumo_Inicial!BD72</f>
        <v>0</v>
      </c>
      <c r="BE72" s="8">
        <f>Renta_Alta!BE72+Masivo!BE72+Consumo_Inicial!BE72</f>
        <v>0</v>
      </c>
      <c r="BF72" s="8">
        <f>Renta_Alta!BF72+Masivo!BF72+Consumo_Inicial!BF72</f>
        <v>0</v>
      </c>
      <c r="BG72" s="8">
        <f>Renta_Alta!BG72+Masivo!BG72+Consumo_Inicial!BG72</f>
        <v>0</v>
      </c>
      <c r="BH72" s="8">
        <f>Renta_Alta!BH72+Masivo!BH72+Consumo_Inicial!BH72</f>
        <v>0</v>
      </c>
      <c r="BI72" s="8">
        <f>Renta_Alta!BI72+Masivo!BI72+Consumo_Inicial!BI72</f>
        <v>0</v>
      </c>
      <c r="BJ72" s="8">
        <f>Renta_Alta!BJ72+Masivo!BJ72+Consumo_Inicial!BJ72</f>
        <v>0</v>
      </c>
      <c r="BK72" s="8">
        <f>Renta_Alta!BK72+Masivo!BK72+Consumo_Inicial!BK72</f>
        <v>0</v>
      </c>
      <c r="BO72" s="24">
        <f t="shared" si="247"/>
        <v>0</v>
      </c>
      <c r="BP72" s="24">
        <f t="shared" si="247"/>
        <v>0</v>
      </c>
      <c r="BQ72" s="24">
        <f t="shared" si="247"/>
        <v>0</v>
      </c>
      <c r="BR72" s="24">
        <f t="shared" si="247"/>
        <v>0</v>
      </c>
      <c r="BS72" s="24">
        <f t="shared" si="247"/>
        <v>0</v>
      </c>
      <c r="BT72" s="24">
        <f t="shared" si="247"/>
        <v>0</v>
      </c>
    </row>
    <row r="73" spans="1:72" hidden="1" outlineLevel="1" x14ac:dyDescent="0.25">
      <c r="A73" s="11" t="s">
        <v>71</v>
      </c>
      <c r="C73" s="2"/>
      <c r="D73" s="8">
        <f>Renta_Alta!D73+Masivo!D73+Consumo_Inicial!D73</f>
        <v>0</v>
      </c>
      <c r="E73" s="8">
        <f>Renta_Alta!E73+Masivo!E73+Consumo_Inicial!E73</f>
        <v>0</v>
      </c>
      <c r="F73" s="8">
        <f>Renta_Alta!F73+Masivo!F73+Consumo_Inicial!F73</f>
        <v>0</v>
      </c>
      <c r="G73" s="8">
        <f>Renta_Alta!G73+Masivo!G73+Consumo_Inicial!G73</f>
        <v>0</v>
      </c>
      <c r="H73" s="8">
        <f>Renta_Alta!H73+Masivo!H73+Consumo_Inicial!H73</f>
        <v>0</v>
      </c>
      <c r="I73" s="8">
        <f>Renta_Alta!I73+Masivo!I73+Consumo_Inicial!I73</f>
        <v>0</v>
      </c>
      <c r="J73" s="8">
        <f>Renta_Alta!J73+Masivo!J73+Consumo_Inicial!J73</f>
        <v>0</v>
      </c>
      <c r="K73" s="8">
        <f>Renta_Alta!K73+Masivo!K73+Consumo_Inicial!K73</f>
        <v>0</v>
      </c>
      <c r="L73" s="8">
        <f>Renta_Alta!L73+Masivo!L73+Consumo_Inicial!L73</f>
        <v>0</v>
      </c>
      <c r="M73" s="8">
        <f>Renta_Alta!M73+Masivo!M73+Consumo_Inicial!M73</f>
        <v>0</v>
      </c>
      <c r="N73" s="8">
        <f>Renta_Alta!N73+Masivo!N73+Consumo_Inicial!N73</f>
        <v>0</v>
      </c>
      <c r="O73" s="8">
        <f>Renta_Alta!O73+Masivo!O73+Consumo_Inicial!O73</f>
        <v>0</v>
      </c>
      <c r="P73" s="8">
        <f>Renta_Alta!P73+Masivo!P73+Consumo_Inicial!P73</f>
        <v>0</v>
      </c>
      <c r="Q73" s="8">
        <f>Renta_Alta!Q73+Masivo!Q73+Consumo_Inicial!Q73</f>
        <v>0</v>
      </c>
      <c r="R73" s="8">
        <f>Renta_Alta!R73+Masivo!R73+Consumo_Inicial!R73</f>
        <v>0</v>
      </c>
      <c r="S73" s="8">
        <f>Renta_Alta!S73+Masivo!S73+Consumo_Inicial!S73</f>
        <v>0</v>
      </c>
      <c r="T73" s="8">
        <f>Renta_Alta!T73+Masivo!T73+Consumo_Inicial!T73</f>
        <v>0</v>
      </c>
      <c r="U73" s="8">
        <f>Renta_Alta!U73+Masivo!U73+Consumo_Inicial!U73</f>
        <v>0</v>
      </c>
      <c r="V73" s="8">
        <f>Renta_Alta!V73+Masivo!V73+Consumo_Inicial!V73</f>
        <v>0</v>
      </c>
      <c r="W73" s="8">
        <f>Renta_Alta!W73+Masivo!W73+Consumo_Inicial!W73</f>
        <v>0</v>
      </c>
      <c r="X73" s="8">
        <f>Renta_Alta!X73+Masivo!X73+Consumo_Inicial!X73</f>
        <v>0</v>
      </c>
      <c r="Y73" s="8">
        <f>Renta_Alta!Y73+Masivo!Y73+Consumo_Inicial!Y73</f>
        <v>0</v>
      </c>
      <c r="Z73" s="8">
        <f>Renta_Alta!Z73+Masivo!Z73+Consumo_Inicial!Z73</f>
        <v>0</v>
      </c>
      <c r="AA73" s="8">
        <f>Renta_Alta!AA73+Masivo!AA73+Consumo_Inicial!AA73</f>
        <v>0</v>
      </c>
      <c r="AB73" s="8">
        <f>Renta_Alta!AB73+Masivo!AB73+Consumo_Inicial!AB73</f>
        <v>0</v>
      </c>
      <c r="AC73" s="8">
        <f>Renta_Alta!AC73+Masivo!AC73+Consumo_Inicial!AC73</f>
        <v>0</v>
      </c>
      <c r="AD73" s="8">
        <f>Renta_Alta!AD73+Masivo!AD73+Consumo_Inicial!AD73</f>
        <v>0</v>
      </c>
      <c r="AE73" s="8">
        <f>Renta_Alta!AE73+Masivo!AE73+Consumo_Inicial!AE73</f>
        <v>0</v>
      </c>
      <c r="AF73" s="8">
        <f>Renta_Alta!AF73+Masivo!AF73+Consumo_Inicial!AF73</f>
        <v>0</v>
      </c>
      <c r="AG73" s="8">
        <f>Renta_Alta!AG73+Masivo!AG73+Consumo_Inicial!AG73</f>
        <v>0</v>
      </c>
      <c r="AH73" s="8">
        <f>Renta_Alta!AH73+Masivo!AH73+Consumo_Inicial!AH73</f>
        <v>0</v>
      </c>
      <c r="AI73" s="8">
        <f>Renta_Alta!AI73+Masivo!AI73+Consumo_Inicial!AI73</f>
        <v>0</v>
      </c>
      <c r="AJ73" s="8">
        <f>Renta_Alta!AJ73+Masivo!AJ73+Consumo_Inicial!AJ73</f>
        <v>0</v>
      </c>
      <c r="AK73" s="8">
        <f>Renta_Alta!AK73+Masivo!AK73+Consumo_Inicial!AK73</f>
        <v>0</v>
      </c>
      <c r="AL73" s="8">
        <f>Renta_Alta!AL73+Masivo!AL73+Consumo_Inicial!AL73</f>
        <v>0</v>
      </c>
      <c r="AM73" s="8">
        <f>Renta_Alta!AM73+Masivo!AM73+Consumo_Inicial!AM73</f>
        <v>0</v>
      </c>
      <c r="AN73" s="8">
        <f>Renta_Alta!AN73+Masivo!AN73+Consumo_Inicial!AN73</f>
        <v>0</v>
      </c>
      <c r="AO73" s="8">
        <f>Renta_Alta!AO73+Masivo!AO73+Consumo_Inicial!AO73</f>
        <v>0</v>
      </c>
      <c r="AP73" s="8">
        <f>Renta_Alta!AP73+Masivo!AP73+Consumo_Inicial!AP73</f>
        <v>0</v>
      </c>
      <c r="AQ73" s="8">
        <f>Renta_Alta!AQ73+Masivo!AQ73+Consumo_Inicial!AQ73</f>
        <v>0</v>
      </c>
      <c r="AR73" s="8">
        <f>Renta_Alta!AR73+Masivo!AR73+Consumo_Inicial!AR73</f>
        <v>0</v>
      </c>
      <c r="AS73" s="8">
        <f>Renta_Alta!AS73+Masivo!AS73+Consumo_Inicial!AS73</f>
        <v>0</v>
      </c>
      <c r="AT73" s="8">
        <f>Renta_Alta!AT73+Masivo!AT73+Consumo_Inicial!AT73</f>
        <v>0</v>
      </c>
      <c r="AU73" s="8">
        <f>Renta_Alta!AU73+Masivo!AU73+Consumo_Inicial!AU73</f>
        <v>0</v>
      </c>
      <c r="AV73" s="8">
        <f>Renta_Alta!AV73+Masivo!AV73+Consumo_Inicial!AV73</f>
        <v>0</v>
      </c>
      <c r="AW73" s="8">
        <f>Renta_Alta!AW73+Masivo!AW73+Consumo_Inicial!AW73</f>
        <v>0</v>
      </c>
      <c r="AX73" s="8">
        <f>Renta_Alta!AX73+Masivo!AX73+Consumo_Inicial!AX73</f>
        <v>0</v>
      </c>
      <c r="AY73" s="8">
        <f>Renta_Alta!AY73+Masivo!AY73+Consumo_Inicial!AY73</f>
        <v>0</v>
      </c>
      <c r="AZ73" s="8">
        <f>Renta_Alta!AZ73+Masivo!AZ73+Consumo_Inicial!AZ73</f>
        <v>0</v>
      </c>
      <c r="BA73" s="8">
        <f>Renta_Alta!BA73+Masivo!BA73+Consumo_Inicial!BA73</f>
        <v>0</v>
      </c>
      <c r="BB73" s="8">
        <f>Renta_Alta!BB73+Masivo!BB73+Consumo_Inicial!BB73</f>
        <v>0</v>
      </c>
      <c r="BC73" s="8">
        <f>Renta_Alta!BC73+Masivo!BC73+Consumo_Inicial!BC73</f>
        <v>0</v>
      </c>
      <c r="BD73" s="8">
        <f>Renta_Alta!BD73+Masivo!BD73+Consumo_Inicial!BD73</f>
        <v>0</v>
      </c>
      <c r="BE73" s="8">
        <f>Renta_Alta!BE73+Masivo!BE73+Consumo_Inicial!BE73</f>
        <v>0</v>
      </c>
      <c r="BF73" s="8">
        <f>Renta_Alta!BF73+Masivo!BF73+Consumo_Inicial!BF73</f>
        <v>0</v>
      </c>
      <c r="BG73" s="8">
        <f>Renta_Alta!BG73+Masivo!BG73+Consumo_Inicial!BG73</f>
        <v>0</v>
      </c>
      <c r="BH73" s="8">
        <f>Renta_Alta!BH73+Masivo!BH73+Consumo_Inicial!BH73</f>
        <v>0</v>
      </c>
      <c r="BI73" s="8">
        <f>Renta_Alta!BI73+Masivo!BI73+Consumo_Inicial!BI73</f>
        <v>0</v>
      </c>
      <c r="BJ73" s="8">
        <f>Renta_Alta!BJ73+Masivo!BJ73+Consumo_Inicial!BJ73</f>
        <v>0</v>
      </c>
      <c r="BK73" s="8">
        <f>Renta_Alta!BK73+Masivo!BK73+Consumo_Inicial!BK73</f>
        <v>0</v>
      </c>
      <c r="BO73" s="24">
        <f t="shared" ref="BO73:BT82" si="248">SUMIFS($D73:$BM73,$D$6:$BM$6,"&gt;="&amp;BO$2,$D$6:$BM$6,"&lt;="&amp;BO$6,$D$5:$BM$5,BO$5)</f>
        <v>0</v>
      </c>
      <c r="BP73" s="24">
        <f t="shared" si="248"/>
        <v>0</v>
      </c>
      <c r="BQ73" s="24">
        <f t="shared" si="248"/>
        <v>0</v>
      </c>
      <c r="BR73" s="24">
        <f t="shared" si="248"/>
        <v>0</v>
      </c>
      <c r="BS73" s="24">
        <f t="shared" si="248"/>
        <v>0</v>
      </c>
      <c r="BT73" s="24">
        <f t="shared" si="248"/>
        <v>0</v>
      </c>
    </row>
    <row r="74" spans="1:72" hidden="1" outlineLevel="1" x14ac:dyDescent="0.25">
      <c r="A74" s="11" t="s">
        <v>71</v>
      </c>
      <c r="C74" s="2"/>
      <c r="D74" s="8">
        <f>Renta_Alta!D74+Masivo!D74+Consumo_Inicial!D74</f>
        <v>0</v>
      </c>
      <c r="E74" s="8">
        <f>Renta_Alta!E74+Masivo!E74+Consumo_Inicial!E74</f>
        <v>0</v>
      </c>
      <c r="F74" s="8">
        <f>Renta_Alta!F74+Masivo!F74+Consumo_Inicial!F74</f>
        <v>0</v>
      </c>
      <c r="G74" s="8">
        <f>Renta_Alta!G74+Masivo!G74+Consumo_Inicial!G74</f>
        <v>0</v>
      </c>
      <c r="H74" s="8">
        <f>Renta_Alta!H74+Masivo!H74+Consumo_Inicial!H74</f>
        <v>0</v>
      </c>
      <c r="I74" s="8">
        <f>Renta_Alta!I74+Masivo!I74+Consumo_Inicial!I74</f>
        <v>0</v>
      </c>
      <c r="J74" s="8">
        <f>Renta_Alta!J74+Masivo!J74+Consumo_Inicial!J74</f>
        <v>0</v>
      </c>
      <c r="K74" s="8">
        <f>Renta_Alta!K74+Masivo!K74+Consumo_Inicial!K74</f>
        <v>0</v>
      </c>
      <c r="L74" s="8">
        <f>Renta_Alta!L74+Masivo!L74+Consumo_Inicial!L74</f>
        <v>0</v>
      </c>
      <c r="M74" s="8">
        <f>Renta_Alta!M74+Masivo!M74+Consumo_Inicial!M74</f>
        <v>0</v>
      </c>
      <c r="N74" s="8">
        <f>Renta_Alta!N74+Masivo!N74+Consumo_Inicial!N74</f>
        <v>0</v>
      </c>
      <c r="O74" s="8">
        <f>Renta_Alta!O74+Masivo!O74+Consumo_Inicial!O74</f>
        <v>0</v>
      </c>
      <c r="P74" s="8">
        <f>Renta_Alta!P74+Masivo!P74+Consumo_Inicial!P74</f>
        <v>0</v>
      </c>
      <c r="Q74" s="8">
        <f>Renta_Alta!Q74+Masivo!Q74+Consumo_Inicial!Q74</f>
        <v>0</v>
      </c>
      <c r="R74" s="8">
        <f>Renta_Alta!R74+Masivo!R74+Consumo_Inicial!R74</f>
        <v>0</v>
      </c>
      <c r="S74" s="8">
        <f>Renta_Alta!S74+Masivo!S74+Consumo_Inicial!S74</f>
        <v>0</v>
      </c>
      <c r="T74" s="8">
        <f>Renta_Alta!T74+Masivo!T74+Consumo_Inicial!T74</f>
        <v>0</v>
      </c>
      <c r="U74" s="8">
        <f>Renta_Alta!U74+Masivo!U74+Consumo_Inicial!U74</f>
        <v>0</v>
      </c>
      <c r="V74" s="8">
        <f>Renta_Alta!V74+Masivo!V74+Consumo_Inicial!V74</f>
        <v>0</v>
      </c>
      <c r="W74" s="8">
        <f>Renta_Alta!W74+Masivo!W74+Consumo_Inicial!W74</f>
        <v>0</v>
      </c>
      <c r="X74" s="8">
        <f>Renta_Alta!X74+Masivo!X74+Consumo_Inicial!X74</f>
        <v>0</v>
      </c>
      <c r="Y74" s="8">
        <f>Renta_Alta!Y74+Masivo!Y74+Consumo_Inicial!Y74</f>
        <v>0</v>
      </c>
      <c r="Z74" s="8">
        <f>Renta_Alta!Z74+Masivo!Z74+Consumo_Inicial!Z74</f>
        <v>0</v>
      </c>
      <c r="AA74" s="8">
        <f>Renta_Alta!AA74+Masivo!AA74+Consumo_Inicial!AA74</f>
        <v>0</v>
      </c>
      <c r="AB74" s="8">
        <f>Renta_Alta!AB74+Masivo!AB74+Consumo_Inicial!AB74</f>
        <v>0</v>
      </c>
      <c r="AC74" s="8">
        <f>Renta_Alta!AC74+Masivo!AC74+Consumo_Inicial!AC74</f>
        <v>0</v>
      </c>
      <c r="AD74" s="8">
        <f>Renta_Alta!AD74+Masivo!AD74+Consumo_Inicial!AD74</f>
        <v>0</v>
      </c>
      <c r="AE74" s="8">
        <f>Renta_Alta!AE74+Masivo!AE74+Consumo_Inicial!AE74</f>
        <v>0</v>
      </c>
      <c r="AF74" s="8">
        <f>Renta_Alta!AF74+Masivo!AF74+Consumo_Inicial!AF74</f>
        <v>0</v>
      </c>
      <c r="AG74" s="8">
        <f>Renta_Alta!AG74+Masivo!AG74+Consumo_Inicial!AG74</f>
        <v>0</v>
      </c>
      <c r="AH74" s="8">
        <f>Renta_Alta!AH74+Masivo!AH74+Consumo_Inicial!AH74</f>
        <v>0</v>
      </c>
      <c r="AI74" s="8">
        <f>Renta_Alta!AI74+Masivo!AI74+Consumo_Inicial!AI74</f>
        <v>0</v>
      </c>
      <c r="AJ74" s="8">
        <f>Renta_Alta!AJ74+Masivo!AJ74+Consumo_Inicial!AJ74</f>
        <v>0</v>
      </c>
      <c r="AK74" s="8">
        <f>Renta_Alta!AK74+Masivo!AK74+Consumo_Inicial!AK74</f>
        <v>0</v>
      </c>
      <c r="AL74" s="8">
        <f>Renta_Alta!AL74+Masivo!AL74+Consumo_Inicial!AL74</f>
        <v>0</v>
      </c>
      <c r="AM74" s="8">
        <f>Renta_Alta!AM74+Masivo!AM74+Consumo_Inicial!AM74</f>
        <v>0</v>
      </c>
      <c r="AN74" s="8">
        <f>Renta_Alta!AN74+Masivo!AN74+Consumo_Inicial!AN74</f>
        <v>0</v>
      </c>
      <c r="AO74" s="8">
        <f>Renta_Alta!AO74+Masivo!AO74+Consumo_Inicial!AO74</f>
        <v>0</v>
      </c>
      <c r="AP74" s="8">
        <f>Renta_Alta!AP74+Masivo!AP74+Consumo_Inicial!AP74</f>
        <v>0</v>
      </c>
      <c r="AQ74" s="8">
        <f>Renta_Alta!AQ74+Masivo!AQ74+Consumo_Inicial!AQ74</f>
        <v>0</v>
      </c>
      <c r="AR74" s="8">
        <f>Renta_Alta!AR74+Masivo!AR74+Consumo_Inicial!AR74</f>
        <v>0</v>
      </c>
      <c r="AS74" s="8">
        <f>Renta_Alta!AS74+Masivo!AS74+Consumo_Inicial!AS74</f>
        <v>0</v>
      </c>
      <c r="AT74" s="8">
        <f>Renta_Alta!AT74+Masivo!AT74+Consumo_Inicial!AT74</f>
        <v>0</v>
      </c>
      <c r="AU74" s="8">
        <f>Renta_Alta!AU74+Masivo!AU74+Consumo_Inicial!AU74</f>
        <v>0</v>
      </c>
      <c r="AV74" s="8">
        <f>Renta_Alta!AV74+Masivo!AV74+Consumo_Inicial!AV74</f>
        <v>0</v>
      </c>
      <c r="AW74" s="8">
        <f>Renta_Alta!AW74+Masivo!AW74+Consumo_Inicial!AW74</f>
        <v>0</v>
      </c>
      <c r="AX74" s="8">
        <f>Renta_Alta!AX74+Masivo!AX74+Consumo_Inicial!AX74</f>
        <v>0</v>
      </c>
      <c r="AY74" s="8">
        <f>Renta_Alta!AY74+Masivo!AY74+Consumo_Inicial!AY74</f>
        <v>0</v>
      </c>
      <c r="AZ74" s="8">
        <f>Renta_Alta!AZ74+Masivo!AZ74+Consumo_Inicial!AZ74</f>
        <v>0</v>
      </c>
      <c r="BA74" s="8">
        <f>Renta_Alta!BA74+Masivo!BA74+Consumo_Inicial!BA74</f>
        <v>0</v>
      </c>
      <c r="BB74" s="8">
        <f>Renta_Alta!BB74+Masivo!BB74+Consumo_Inicial!BB74</f>
        <v>0</v>
      </c>
      <c r="BC74" s="8">
        <f>Renta_Alta!BC74+Masivo!BC74+Consumo_Inicial!BC74</f>
        <v>0</v>
      </c>
      <c r="BD74" s="8">
        <f>Renta_Alta!BD74+Masivo!BD74+Consumo_Inicial!BD74</f>
        <v>0</v>
      </c>
      <c r="BE74" s="8">
        <f>Renta_Alta!BE74+Masivo!BE74+Consumo_Inicial!BE74</f>
        <v>0</v>
      </c>
      <c r="BF74" s="8">
        <f>Renta_Alta!BF74+Masivo!BF74+Consumo_Inicial!BF74</f>
        <v>0</v>
      </c>
      <c r="BG74" s="8">
        <f>Renta_Alta!BG74+Masivo!BG74+Consumo_Inicial!BG74</f>
        <v>0</v>
      </c>
      <c r="BH74" s="8">
        <f>Renta_Alta!BH74+Masivo!BH74+Consumo_Inicial!BH74</f>
        <v>0</v>
      </c>
      <c r="BI74" s="8">
        <f>Renta_Alta!BI74+Masivo!BI74+Consumo_Inicial!BI74</f>
        <v>0</v>
      </c>
      <c r="BJ74" s="8">
        <f>Renta_Alta!BJ74+Masivo!BJ74+Consumo_Inicial!BJ74</f>
        <v>0</v>
      </c>
      <c r="BK74" s="8">
        <f>Renta_Alta!BK74+Masivo!BK74+Consumo_Inicial!BK74</f>
        <v>0</v>
      </c>
      <c r="BO74" s="24">
        <f t="shared" si="248"/>
        <v>0</v>
      </c>
      <c r="BP74" s="24">
        <f t="shared" si="248"/>
        <v>0</v>
      </c>
      <c r="BQ74" s="24">
        <f t="shared" si="248"/>
        <v>0</v>
      </c>
      <c r="BR74" s="24">
        <f t="shared" si="248"/>
        <v>0</v>
      </c>
      <c r="BS74" s="24">
        <f t="shared" si="248"/>
        <v>0</v>
      </c>
      <c r="BT74" s="24">
        <f t="shared" si="248"/>
        <v>0</v>
      </c>
    </row>
    <row r="75" spans="1:72" hidden="1" outlineLevel="1" x14ac:dyDescent="0.25">
      <c r="A75" s="11" t="s">
        <v>71</v>
      </c>
      <c r="C75" s="2"/>
      <c r="D75" s="8">
        <f>Renta_Alta!D75+Masivo!D75+Consumo_Inicial!D75</f>
        <v>0</v>
      </c>
      <c r="E75" s="8">
        <f>Renta_Alta!E75+Masivo!E75+Consumo_Inicial!E75</f>
        <v>0</v>
      </c>
      <c r="F75" s="8">
        <f>Renta_Alta!F75+Masivo!F75+Consumo_Inicial!F75</f>
        <v>0</v>
      </c>
      <c r="G75" s="8">
        <f>Renta_Alta!G75+Masivo!G75+Consumo_Inicial!G75</f>
        <v>0</v>
      </c>
      <c r="H75" s="8">
        <f>Renta_Alta!H75+Masivo!H75+Consumo_Inicial!H75</f>
        <v>0</v>
      </c>
      <c r="I75" s="8">
        <f>Renta_Alta!I75+Masivo!I75+Consumo_Inicial!I75</f>
        <v>0</v>
      </c>
      <c r="J75" s="8">
        <f>Renta_Alta!J75+Masivo!J75+Consumo_Inicial!J75</f>
        <v>0</v>
      </c>
      <c r="K75" s="8">
        <f>Renta_Alta!K75+Masivo!K75+Consumo_Inicial!K75</f>
        <v>0</v>
      </c>
      <c r="L75" s="8">
        <f>Renta_Alta!L75+Masivo!L75+Consumo_Inicial!L75</f>
        <v>0</v>
      </c>
      <c r="M75" s="8">
        <f>Renta_Alta!M75+Masivo!M75+Consumo_Inicial!M75</f>
        <v>0</v>
      </c>
      <c r="N75" s="8">
        <f>Renta_Alta!N75+Masivo!N75+Consumo_Inicial!N75</f>
        <v>0</v>
      </c>
      <c r="O75" s="8">
        <f>Renta_Alta!O75+Masivo!O75+Consumo_Inicial!O75</f>
        <v>0</v>
      </c>
      <c r="P75" s="8">
        <f>Renta_Alta!P75+Masivo!P75+Consumo_Inicial!P75</f>
        <v>0</v>
      </c>
      <c r="Q75" s="8">
        <f>Renta_Alta!Q75+Masivo!Q75+Consumo_Inicial!Q75</f>
        <v>0</v>
      </c>
      <c r="R75" s="8">
        <f>Renta_Alta!R75+Masivo!R75+Consumo_Inicial!R75</f>
        <v>0</v>
      </c>
      <c r="S75" s="8">
        <f>Renta_Alta!S75+Masivo!S75+Consumo_Inicial!S75</f>
        <v>0</v>
      </c>
      <c r="T75" s="8">
        <f>Renta_Alta!T75+Masivo!T75+Consumo_Inicial!T75</f>
        <v>0</v>
      </c>
      <c r="U75" s="8">
        <f>Renta_Alta!U75+Masivo!U75+Consumo_Inicial!U75</f>
        <v>0</v>
      </c>
      <c r="V75" s="8">
        <f>Renta_Alta!V75+Masivo!V75+Consumo_Inicial!V75</f>
        <v>0</v>
      </c>
      <c r="W75" s="8">
        <f>Renta_Alta!W75+Masivo!W75+Consumo_Inicial!W75</f>
        <v>0</v>
      </c>
      <c r="X75" s="8">
        <f>Renta_Alta!X75+Masivo!X75+Consumo_Inicial!X75</f>
        <v>0</v>
      </c>
      <c r="Y75" s="8">
        <f>Renta_Alta!Y75+Masivo!Y75+Consumo_Inicial!Y75</f>
        <v>0</v>
      </c>
      <c r="Z75" s="8">
        <f>Renta_Alta!Z75+Masivo!Z75+Consumo_Inicial!Z75</f>
        <v>0</v>
      </c>
      <c r="AA75" s="8">
        <f>Renta_Alta!AA75+Masivo!AA75+Consumo_Inicial!AA75</f>
        <v>0</v>
      </c>
      <c r="AB75" s="8">
        <f>Renta_Alta!AB75+Masivo!AB75+Consumo_Inicial!AB75</f>
        <v>0</v>
      </c>
      <c r="AC75" s="8">
        <f>Renta_Alta!AC75+Masivo!AC75+Consumo_Inicial!AC75</f>
        <v>0</v>
      </c>
      <c r="AD75" s="8">
        <f>Renta_Alta!AD75+Masivo!AD75+Consumo_Inicial!AD75</f>
        <v>0</v>
      </c>
      <c r="AE75" s="8">
        <f>Renta_Alta!AE75+Masivo!AE75+Consumo_Inicial!AE75</f>
        <v>0</v>
      </c>
      <c r="AF75" s="8">
        <f>Renta_Alta!AF75+Masivo!AF75+Consumo_Inicial!AF75</f>
        <v>0</v>
      </c>
      <c r="AG75" s="8">
        <f>Renta_Alta!AG75+Masivo!AG75+Consumo_Inicial!AG75</f>
        <v>0</v>
      </c>
      <c r="AH75" s="8">
        <f>Renta_Alta!AH75+Masivo!AH75+Consumo_Inicial!AH75</f>
        <v>0</v>
      </c>
      <c r="AI75" s="8">
        <f>Renta_Alta!AI75+Masivo!AI75+Consumo_Inicial!AI75</f>
        <v>0</v>
      </c>
      <c r="AJ75" s="8">
        <f>Renta_Alta!AJ75+Masivo!AJ75+Consumo_Inicial!AJ75</f>
        <v>0</v>
      </c>
      <c r="AK75" s="8">
        <f>Renta_Alta!AK75+Masivo!AK75+Consumo_Inicial!AK75</f>
        <v>0</v>
      </c>
      <c r="AL75" s="8">
        <f>Renta_Alta!AL75+Masivo!AL75+Consumo_Inicial!AL75</f>
        <v>0</v>
      </c>
      <c r="AM75" s="8">
        <f>Renta_Alta!AM75+Masivo!AM75+Consumo_Inicial!AM75</f>
        <v>0</v>
      </c>
      <c r="AN75" s="8">
        <f>Renta_Alta!AN75+Masivo!AN75+Consumo_Inicial!AN75</f>
        <v>0</v>
      </c>
      <c r="AO75" s="8">
        <f>Renta_Alta!AO75+Masivo!AO75+Consumo_Inicial!AO75</f>
        <v>0</v>
      </c>
      <c r="AP75" s="8">
        <f>Renta_Alta!AP75+Masivo!AP75+Consumo_Inicial!AP75</f>
        <v>0</v>
      </c>
      <c r="AQ75" s="8">
        <f>Renta_Alta!AQ75+Masivo!AQ75+Consumo_Inicial!AQ75</f>
        <v>0</v>
      </c>
      <c r="AR75" s="8">
        <f>Renta_Alta!AR75+Masivo!AR75+Consumo_Inicial!AR75</f>
        <v>0</v>
      </c>
      <c r="AS75" s="8">
        <f>Renta_Alta!AS75+Masivo!AS75+Consumo_Inicial!AS75</f>
        <v>0</v>
      </c>
      <c r="AT75" s="8">
        <f>Renta_Alta!AT75+Masivo!AT75+Consumo_Inicial!AT75</f>
        <v>0</v>
      </c>
      <c r="AU75" s="8">
        <f>Renta_Alta!AU75+Masivo!AU75+Consumo_Inicial!AU75</f>
        <v>0</v>
      </c>
      <c r="AV75" s="8">
        <f>Renta_Alta!AV75+Masivo!AV75+Consumo_Inicial!AV75</f>
        <v>0</v>
      </c>
      <c r="AW75" s="8">
        <f>Renta_Alta!AW75+Masivo!AW75+Consumo_Inicial!AW75</f>
        <v>0</v>
      </c>
      <c r="AX75" s="8">
        <f>Renta_Alta!AX75+Masivo!AX75+Consumo_Inicial!AX75</f>
        <v>0</v>
      </c>
      <c r="AY75" s="8">
        <f>Renta_Alta!AY75+Masivo!AY75+Consumo_Inicial!AY75</f>
        <v>0</v>
      </c>
      <c r="AZ75" s="8">
        <f>Renta_Alta!AZ75+Masivo!AZ75+Consumo_Inicial!AZ75</f>
        <v>0</v>
      </c>
      <c r="BA75" s="8">
        <f>Renta_Alta!BA75+Masivo!BA75+Consumo_Inicial!BA75</f>
        <v>0</v>
      </c>
      <c r="BB75" s="8">
        <f>Renta_Alta!BB75+Masivo!BB75+Consumo_Inicial!BB75</f>
        <v>0</v>
      </c>
      <c r="BC75" s="8">
        <f>Renta_Alta!BC75+Masivo!BC75+Consumo_Inicial!BC75</f>
        <v>0</v>
      </c>
      <c r="BD75" s="8">
        <f>Renta_Alta!BD75+Masivo!BD75+Consumo_Inicial!BD75</f>
        <v>0</v>
      </c>
      <c r="BE75" s="8">
        <f>Renta_Alta!BE75+Masivo!BE75+Consumo_Inicial!BE75</f>
        <v>0</v>
      </c>
      <c r="BF75" s="8">
        <f>Renta_Alta!BF75+Masivo!BF75+Consumo_Inicial!BF75</f>
        <v>0</v>
      </c>
      <c r="BG75" s="8">
        <f>Renta_Alta!BG75+Masivo!BG75+Consumo_Inicial!BG75</f>
        <v>0</v>
      </c>
      <c r="BH75" s="8">
        <f>Renta_Alta!BH75+Masivo!BH75+Consumo_Inicial!BH75</f>
        <v>0</v>
      </c>
      <c r="BI75" s="8">
        <f>Renta_Alta!BI75+Masivo!BI75+Consumo_Inicial!BI75</f>
        <v>0</v>
      </c>
      <c r="BJ75" s="8">
        <f>Renta_Alta!BJ75+Masivo!BJ75+Consumo_Inicial!BJ75</f>
        <v>0</v>
      </c>
      <c r="BK75" s="8">
        <f>Renta_Alta!BK75+Masivo!BK75+Consumo_Inicial!BK75</f>
        <v>0</v>
      </c>
      <c r="BO75" s="24">
        <f t="shared" si="248"/>
        <v>0</v>
      </c>
      <c r="BP75" s="24">
        <f t="shared" si="248"/>
        <v>0</v>
      </c>
      <c r="BQ75" s="24">
        <f t="shared" si="248"/>
        <v>0</v>
      </c>
      <c r="BR75" s="24">
        <f t="shared" si="248"/>
        <v>0</v>
      </c>
      <c r="BS75" s="24">
        <f t="shared" si="248"/>
        <v>0</v>
      </c>
      <c r="BT75" s="24">
        <f t="shared" si="248"/>
        <v>0</v>
      </c>
    </row>
    <row r="76" spans="1:72" hidden="1" outlineLevel="1" x14ac:dyDescent="0.25">
      <c r="A76" s="11" t="s">
        <v>71</v>
      </c>
      <c r="C76" s="2"/>
      <c r="D76" s="8">
        <f>Renta_Alta!D76+Masivo!D76+Consumo_Inicial!D76</f>
        <v>0</v>
      </c>
      <c r="E76" s="8">
        <f>Renta_Alta!E76+Masivo!E76+Consumo_Inicial!E76</f>
        <v>0</v>
      </c>
      <c r="F76" s="8">
        <f>Renta_Alta!F76+Masivo!F76+Consumo_Inicial!F76</f>
        <v>0</v>
      </c>
      <c r="G76" s="8">
        <f>Renta_Alta!G76+Masivo!G76+Consumo_Inicial!G76</f>
        <v>0</v>
      </c>
      <c r="H76" s="8">
        <f>Renta_Alta!H76+Masivo!H76+Consumo_Inicial!H76</f>
        <v>0</v>
      </c>
      <c r="I76" s="8">
        <f>Renta_Alta!I76+Masivo!I76+Consumo_Inicial!I76</f>
        <v>0</v>
      </c>
      <c r="J76" s="8">
        <f>Renta_Alta!J76+Masivo!J76+Consumo_Inicial!J76</f>
        <v>0</v>
      </c>
      <c r="K76" s="8">
        <f>Renta_Alta!K76+Masivo!K76+Consumo_Inicial!K76</f>
        <v>0</v>
      </c>
      <c r="L76" s="8">
        <f>Renta_Alta!L76+Masivo!L76+Consumo_Inicial!L76</f>
        <v>0</v>
      </c>
      <c r="M76" s="8">
        <f>Renta_Alta!M76+Masivo!M76+Consumo_Inicial!M76</f>
        <v>0</v>
      </c>
      <c r="N76" s="8">
        <f>Renta_Alta!N76+Masivo!N76+Consumo_Inicial!N76</f>
        <v>0</v>
      </c>
      <c r="O76" s="8">
        <f>Renta_Alta!O76+Masivo!O76+Consumo_Inicial!O76</f>
        <v>0</v>
      </c>
      <c r="P76" s="8">
        <f>Renta_Alta!P76+Masivo!P76+Consumo_Inicial!P76</f>
        <v>0</v>
      </c>
      <c r="Q76" s="8">
        <f>Renta_Alta!Q76+Masivo!Q76+Consumo_Inicial!Q76</f>
        <v>0</v>
      </c>
      <c r="R76" s="8">
        <f>Renta_Alta!R76+Masivo!R76+Consumo_Inicial!R76</f>
        <v>0</v>
      </c>
      <c r="S76" s="8">
        <f>Renta_Alta!S76+Masivo!S76+Consumo_Inicial!S76</f>
        <v>0</v>
      </c>
      <c r="T76" s="8">
        <f>Renta_Alta!T76+Masivo!T76+Consumo_Inicial!T76</f>
        <v>0</v>
      </c>
      <c r="U76" s="8">
        <f>Renta_Alta!U76+Masivo!U76+Consumo_Inicial!U76</f>
        <v>0</v>
      </c>
      <c r="V76" s="8">
        <f>Renta_Alta!V76+Masivo!V76+Consumo_Inicial!V76</f>
        <v>0</v>
      </c>
      <c r="W76" s="8">
        <f>Renta_Alta!W76+Masivo!W76+Consumo_Inicial!W76</f>
        <v>0</v>
      </c>
      <c r="X76" s="8">
        <f>Renta_Alta!X76+Masivo!X76+Consumo_Inicial!X76</f>
        <v>0</v>
      </c>
      <c r="Y76" s="8">
        <f>Renta_Alta!Y76+Masivo!Y76+Consumo_Inicial!Y76</f>
        <v>0</v>
      </c>
      <c r="Z76" s="8">
        <f>Renta_Alta!Z76+Masivo!Z76+Consumo_Inicial!Z76</f>
        <v>0</v>
      </c>
      <c r="AA76" s="8">
        <f>Renta_Alta!AA76+Masivo!AA76+Consumo_Inicial!AA76</f>
        <v>0</v>
      </c>
      <c r="AB76" s="8">
        <f>Renta_Alta!AB76+Masivo!AB76+Consumo_Inicial!AB76</f>
        <v>0</v>
      </c>
      <c r="AC76" s="8">
        <f>Renta_Alta!AC76+Masivo!AC76+Consumo_Inicial!AC76</f>
        <v>0</v>
      </c>
      <c r="AD76" s="8">
        <f>Renta_Alta!AD76+Masivo!AD76+Consumo_Inicial!AD76</f>
        <v>0</v>
      </c>
      <c r="AE76" s="8">
        <f>Renta_Alta!AE76+Masivo!AE76+Consumo_Inicial!AE76</f>
        <v>0</v>
      </c>
      <c r="AF76" s="8">
        <f>Renta_Alta!AF76+Masivo!AF76+Consumo_Inicial!AF76</f>
        <v>0</v>
      </c>
      <c r="AG76" s="8">
        <f>Renta_Alta!AG76+Masivo!AG76+Consumo_Inicial!AG76</f>
        <v>0</v>
      </c>
      <c r="AH76" s="8">
        <f>Renta_Alta!AH76+Masivo!AH76+Consumo_Inicial!AH76</f>
        <v>0</v>
      </c>
      <c r="AI76" s="8">
        <f>Renta_Alta!AI76+Masivo!AI76+Consumo_Inicial!AI76</f>
        <v>0</v>
      </c>
      <c r="AJ76" s="8">
        <f>Renta_Alta!AJ76+Masivo!AJ76+Consumo_Inicial!AJ76</f>
        <v>0</v>
      </c>
      <c r="AK76" s="8">
        <f>Renta_Alta!AK76+Masivo!AK76+Consumo_Inicial!AK76</f>
        <v>0</v>
      </c>
      <c r="AL76" s="8">
        <f>Renta_Alta!AL76+Masivo!AL76+Consumo_Inicial!AL76</f>
        <v>0</v>
      </c>
      <c r="AM76" s="8">
        <f>Renta_Alta!AM76+Masivo!AM76+Consumo_Inicial!AM76</f>
        <v>0</v>
      </c>
      <c r="AN76" s="8">
        <f>Renta_Alta!AN76+Masivo!AN76+Consumo_Inicial!AN76</f>
        <v>0</v>
      </c>
      <c r="AO76" s="8">
        <f>Renta_Alta!AO76+Masivo!AO76+Consumo_Inicial!AO76</f>
        <v>0</v>
      </c>
      <c r="AP76" s="8">
        <f>Renta_Alta!AP76+Masivo!AP76+Consumo_Inicial!AP76</f>
        <v>0</v>
      </c>
      <c r="AQ76" s="8">
        <f>Renta_Alta!AQ76+Masivo!AQ76+Consumo_Inicial!AQ76</f>
        <v>0</v>
      </c>
      <c r="AR76" s="8">
        <f>Renta_Alta!AR76+Masivo!AR76+Consumo_Inicial!AR76</f>
        <v>0</v>
      </c>
      <c r="AS76" s="8">
        <f>Renta_Alta!AS76+Masivo!AS76+Consumo_Inicial!AS76</f>
        <v>0</v>
      </c>
      <c r="AT76" s="8">
        <f>Renta_Alta!AT76+Masivo!AT76+Consumo_Inicial!AT76</f>
        <v>0</v>
      </c>
      <c r="AU76" s="8">
        <f>Renta_Alta!AU76+Masivo!AU76+Consumo_Inicial!AU76</f>
        <v>0</v>
      </c>
      <c r="AV76" s="8">
        <f>Renta_Alta!AV76+Masivo!AV76+Consumo_Inicial!AV76</f>
        <v>0</v>
      </c>
      <c r="AW76" s="8">
        <f>Renta_Alta!AW76+Masivo!AW76+Consumo_Inicial!AW76</f>
        <v>0</v>
      </c>
      <c r="AX76" s="8">
        <f>Renta_Alta!AX76+Masivo!AX76+Consumo_Inicial!AX76</f>
        <v>0</v>
      </c>
      <c r="AY76" s="8">
        <f>Renta_Alta!AY76+Masivo!AY76+Consumo_Inicial!AY76</f>
        <v>0</v>
      </c>
      <c r="AZ76" s="8">
        <f>Renta_Alta!AZ76+Masivo!AZ76+Consumo_Inicial!AZ76</f>
        <v>0</v>
      </c>
      <c r="BA76" s="8">
        <f>Renta_Alta!BA76+Masivo!BA76+Consumo_Inicial!BA76</f>
        <v>0</v>
      </c>
      <c r="BB76" s="8">
        <f>Renta_Alta!BB76+Masivo!BB76+Consumo_Inicial!BB76</f>
        <v>0</v>
      </c>
      <c r="BC76" s="8">
        <f>Renta_Alta!BC76+Masivo!BC76+Consumo_Inicial!BC76</f>
        <v>0</v>
      </c>
      <c r="BD76" s="8">
        <f>Renta_Alta!BD76+Masivo!BD76+Consumo_Inicial!BD76</f>
        <v>0</v>
      </c>
      <c r="BE76" s="8">
        <f>Renta_Alta!BE76+Masivo!BE76+Consumo_Inicial!BE76</f>
        <v>0</v>
      </c>
      <c r="BF76" s="8">
        <f>Renta_Alta!BF76+Masivo!BF76+Consumo_Inicial!BF76</f>
        <v>0</v>
      </c>
      <c r="BG76" s="8">
        <f>Renta_Alta!BG76+Masivo!BG76+Consumo_Inicial!BG76</f>
        <v>0</v>
      </c>
      <c r="BH76" s="8">
        <f>Renta_Alta!BH76+Masivo!BH76+Consumo_Inicial!BH76</f>
        <v>0</v>
      </c>
      <c r="BI76" s="8">
        <f>Renta_Alta!BI76+Masivo!BI76+Consumo_Inicial!BI76</f>
        <v>0</v>
      </c>
      <c r="BJ76" s="8">
        <f>Renta_Alta!BJ76+Masivo!BJ76+Consumo_Inicial!BJ76</f>
        <v>0</v>
      </c>
      <c r="BK76" s="8">
        <f>Renta_Alta!BK76+Masivo!BK76+Consumo_Inicial!BK76</f>
        <v>0</v>
      </c>
      <c r="BO76" s="24">
        <f t="shared" si="248"/>
        <v>0</v>
      </c>
      <c r="BP76" s="24">
        <f t="shared" si="248"/>
        <v>0</v>
      </c>
      <c r="BQ76" s="24">
        <f t="shared" si="248"/>
        <v>0</v>
      </c>
      <c r="BR76" s="24">
        <f t="shared" si="248"/>
        <v>0</v>
      </c>
      <c r="BS76" s="24">
        <f t="shared" si="248"/>
        <v>0</v>
      </c>
      <c r="BT76" s="24">
        <f t="shared" si="248"/>
        <v>0</v>
      </c>
    </row>
    <row r="77" spans="1:72" hidden="1" outlineLevel="1" x14ac:dyDescent="0.25">
      <c r="A77" s="11" t="s">
        <v>71</v>
      </c>
      <c r="C77" s="2"/>
      <c r="D77" s="8">
        <f>Renta_Alta!D77+Masivo!D77+Consumo_Inicial!D77</f>
        <v>0</v>
      </c>
      <c r="E77" s="8">
        <f>Renta_Alta!E77+Masivo!E77+Consumo_Inicial!E77</f>
        <v>0</v>
      </c>
      <c r="F77" s="8">
        <f>Renta_Alta!F77+Masivo!F77+Consumo_Inicial!F77</f>
        <v>0</v>
      </c>
      <c r="G77" s="8">
        <f>Renta_Alta!G77+Masivo!G77+Consumo_Inicial!G77</f>
        <v>0</v>
      </c>
      <c r="H77" s="8">
        <f>Renta_Alta!H77+Masivo!H77+Consumo_Inicial!H77</f>
        <v>0</v>
      </c>
      <c r="I77" s="8">
        <f>Renta_Alta!I77+Masivo!I77+Consumo_Inicial!I77</f>
        <v>0</v>
      </c>
      <c r="J77" s="8">
        <f>Renta_Alta!J77+Masivo!J77+Consumo_Inicial!J77</f>
        <v>0</v>
      </c>
      <c r="K77" s="8">
        <f>Renta_Alta!K77+Masivo!K77+Consumo_Inicial!K77</f>
        <v>0</v>
      </c>
      <c r="L77" s="8">
        <f>Renta_Alta!L77+Masivo!L77+Consumo_Inicial!L77</f>
        <v>0</v>
      </c>
      <c r="M77" s="8">
        <f>Renta_Alta!M77+Masivo!M77+Consumo_Inicial!M77</f>
        <v>0</v>
      </c>
      <c r="N77" s="8">
        <f>Renta_Alta!N77+Masivo!N77+Consumo_Inicial!N77</f>
        <v>0</v>
      </c>
      <c r="O77" s="8">
        <f>Renta_Alta!O77+Masivo!O77+Consumo_Inicial!O77</f>
        <v>0</v>
      </c>
      <c r="P77" s="8">
        <f>Renta_Alta!P77+Masivo!P77+Consumo_Inicial!P77</f>
        <v>0</v>
      </c>
      <c r="Q77" s="8">
        <f>Renta_Alta!Q77+Masivo!Q77+Consumo_Inicial!Q77</f>
        <v>0</v>
      </c>
      <c r="R77" s="8">
        <f>Renta_Alta!R77+Masivo!R77+Consumo_Inicial!R77</f>
        <v>0</v>
      </c>
      <c r="S77" s="8">
        <f>Renta_Alta!S77+Masivo!S77+Consumo_Inicial!S77</f>
        <v>0</v>
      </c>
      <c r="T77" s="8">
        <f>Renta_Alta!T77+Masivo!T77+Consumo_Inicial!T77</f>
        <v>0</v>
      </c>
      <c r="U77" s="8">
        <f>Renta_Alta!U77+Masivo!U77+Consumo_Inicial!U77</f>
        <v>0</v>
      </c>
      <c r="V77" s="8">
        <f>Renta_Alta!V77+Masivo!V77+Consumo_Inicial!V77</f>
        <v>0</v>
      </c>
      <c r="W77" s="8">
        <f>Renta_Alta!W77+Masivo!W77+Consumo_Inicial!W77</f>
        <v>0</v>
      </c>
      <c r="X77" s="8">
        <f>Renta_Alta!X77+Masivo!X77+Consumo_Inicial!X77</f>
        <v>0</v>
      </c>
      <c r="Y77" s="8">
        <f>Renta_Alta!Y77+Masivo!Y77+Consumo_Inicial!Y77</f>
        <v>0</v>
      </c>
      <c r="Z77" s="8">
        <f>Renta_Alta!Z77+Masivo!Z77+Consumo_Inicial!Z77</f>
        <v>0</v>
      </c>
      <c r="AA77" s="8">
        <f>Renta_Alta!AA77+Masivo!AA77+Consumo_Inicial!AA77</f>
        <v>0</v>
      </c>
      <c r="AB77" s="8">
        <f>Renta_Alta!AB77+Masivo!AB77+Consumo_Inicial!AB77</f>
        <v>0</v>
      </c>
      <c r="AC77" s="8">
        <f>Renta_Alta!AC77+Masivo!AC77+Consumo_Inicial!AC77</f>
        <v>0</v>
      </c>
      <c r="AD77" s="8">
        <f>Renta_Alta!AD77+Masivo!AD77+Consumo_Inicial!AD77</f>
        <v>0</v>
      </c>
      <c r="AE77" s="8">
        <f>Renta_Alta!AE77+Masivo!AE77+Consumo_Inicial!AE77</f>
        <v>0</v>
      </c>
      <c r="AF77" s="8">
        <f>Renta_Alta!AF77+Masivo!AF77+Consumo_Inicial!AF77</f>
        <v>0</v>
      </c>
      <c r="AG77" s="8">
        <f>Renta_Alta!AG77+Masivo!AG77+Consumo_Inicial!AG77</f>
        <v>0</v>
      </c>
      <c r="AH77" s="8">
        <f>Renta_Alta!AH77+Masivo!AH77+Consumo_Inicial!AH77</f>
        <v>0</v>
      </c>
      <c r="AI77" s="8">
        <f>Renta_Alta!AI77+Masivo!AI77+Consumo_Inicial!AI77</f>
        <v>0</v>
      </c>
      <c r="AJ77" s="8">
        <f>Renta_Alta!AJ77+Masivo!AJ77+Consumo_Inicial!AJ77</f>
        <v>0</v>
      </c>
      <c r="AK77" s="8">
        <f>Renta_Alta!AK77+Masivo!AK77+Consumo_Inicial!AK77</f>
        <v>0</v>
      </c>
      <c r="AL77" s="8">
        <f>Renta_Alta!AL77+Masivo!AL77+Consumo_Inicial!AL77</f>
        <v>0</v>
      </c>
      <c r="AM77" s="8">
        <f>Renta_Alta!AM77+Masivo!AM77+Consumo_Inicial!AM77</f>
        <v>0</v>
      </c>
      <c r="AN77" s="8">
        <f>Renta_Alta!AN77+Masivo!AN77+Consumo_Inicial!AN77</f>
        <v>0</v>
      </c>
      <c r="AO77" s="8">
        <f>Renta_Alta!AO77+Masivo!AO77+Consumo_Inicial!AO77</f>
        <v>0</v>
      </c>
      <c r="AP77" s="8">
        <f>Renta_Alta!AP77+Masivo!AP77+Consumo_Inicial!AP77</f>
        <v>0</v>
      </c>
      <c r="AQ77" s="8">
        <f>Renta_Alta!AQ77+Masivo!AQ77+Consumo_Inicial!AQ77</f>
        <v>0</v>
      </c>
      <c r="AR77" s="8">
        <f>Renta_Alta!AR77+Masivo!AR77+Consumo_Inicial!AR77</f>
        <v>0</v>
      </c>
      <c r="AS77" s="8">
        <f>Renta_Alta!AS77+Masivo!AS77+Consumo_Inicial!AS77</f>
        <v>0</v>
      </c>
      <c r="AT77" s="8">
        <f>Renta_Alta!AT77+Masivo!AT77+Consumo_Inicial!AT77</f>
        <v>0</v>
      </c>
      <c r="AU77" s="8">
        <f>Renta_Alta!AU77+Masivo!AU77+Consumo_Inicial!AU77</f>
        <v>0</v>
      </c>
      <c r="AV77" s="8">
        <f>Renta_Alta!AV77+Masivo!AV77+Consumo_Inicial!AV77</f>
        <v>0</v>
      </c>
      <c r="AW77" s="8">
        <f>Renta_Alta!AW77+Masivo!AW77+Consumo_Inicial!AW77</f>
        <v>0</v>
      </c>
      <c r="AX77" s="8">
        <f>Renta_Alta!AX77+Masivo!AX77+Consumo_Inicial!AX77</f>
        <v>0</v>
      </c>
      <c r="AY77" s="8">
        <f>Renta_Alta!AY77+Masivo!AY77+Consumo_Inicial!AY77</f>
        <v>0</v>
      </c>
      <c r="AZ77" s="8">
        <f>Renta_Alta!AZ77+Masivo!AZ77+Consumo_Inicial!AZ77</f>
        <v>0</v>
      </c>
      <c r="BA77" s="8">
        <f>Renta_Alta!BA77+Masivo!BA77+Consumo_Inicial!BA77</f>
        <v>0</v>
      </c>
      <c r="BB77" s="8">
        <f>Renta_Alta!BB77+Masivo!BB77+Consumo_Inicial!BB77</f>
        <v>0</v>
      </c>
      <c r="BC77" s="8">
        <f>Renta_Alta!BC77+Masivo!BC77+Consumo_Inicial!BC77</f>
        <v>0</v>
      </c>
      <c r="BD77" s="8">
        <f>Renta_Alta!BD77+Masivo!BD77+Consumo_Inicial!BD77</f>
        <v>0</v>
      </c>
      <c r="BE77" s="8">
        <f>Renta_Alta!BE77+Masivo!BE77+Consumo_Inicial!BE77</f>
        <v>0</v>
      </c>
      <c r="BF77" s="8">
        <f>Renta_Alta!BF77+Masivo!BF77+Consumo_Inicial!BF77</f>
        <v>0</v>
      </c>
      <c r="BG77" s="8">
        <f>Renta_Alta!BG77+Masivo!BG77+Consumo_Inicial!BG77</f>
        <v>0</v>
      </c>
      <c r="BH77" s="8">
        <f>Renta_Alta!BH77+Masivo!BH77+Consumo_Inicial!BH77</f>
        <v>0</v>
      </c>
      <c r="BI77" s="8">
        <f>Renta_Alta!BI77+Masivo!BI77+Consumo_Inicial!BI77</f>
        <v>0</v>
      </c>
      <c r="BJ77" s="8">
        <f>Renta_Alta!BJ77+Masivo!BJ77+Consumo_Inicial!BJ77</f>
        <v>0</v>
      </c>
      <c r="BK77" s="8">
        <f>Renta_Alta!BK77+Masivo!BK77+Consumo_Inicial!BK77</f>
        <v>0</v>
      </c>
      <c r="BO77" s="24">
        <f t="shared" si="248"/>
        <v>0</v>
      </c>
      <c r="BP77" s="24">
        <f t="shared" si="248"/>
        <v>0</v>
      </c>
      <c r="BQ77" s="24">
        <f t="shared" si="248"/>
        <v>0</v>
      </c>
      <c r="BR77" s="24">
        <f t="shared" si="248"/>
        <v>0</v>
      </c>
      <c r="BS77" s="24">
        <f t="shared" si="248"/>
        <v>0</v>
      </c>
      <c r="BT77" s="24">
        <f t="shared" si="248"/>
        <v>0</v>
      </c>
    </row>
    <row r="78" spans="1:72" hidden="1" outlineLevel="1" x14ac:dyDescent="0.25">
      <c r="A78" s="11" t="s">
        <v>71</v>
      </c>
      <c r="C78" s="2"/>
      <c r="D78" s="8">
        <f>Renta_Alta!D78+Masivo!D78+Consumo_Inicial!D78</f>
        <v>0</v>
      </c>
      <c r="E78" s="8">
        <f>Renta_Alta!E78+Masivo!E78+Consumo_Inicial!E78</f>
        <v>0</v>
      </c>
      <c r="F78" s="8">
        <f>Renta_Alta!F78+Masivo!F78+Consumo_Inicial!F78</f>
        <v>0</v>
      </c>
      <c r="G78" s="8">
        <f>Renta_Alta!G78+Masivo!G78+Consumo_Inicial!G78</f>
        <v>0</v>
      </c>
      <c r="H78" s="8">
        <f>Renta_Alta!H78+Masivo!H78+Consumo_Inicial!H78</f>
        <v>0</v>
      </c>
      <c r="I78" s="8">
        <f>Renta_Alta!I78+Masivo!I78+Consumo_Inicial!I78</f>
        <v>0</v>
      </c>
      <c r="J78" s="8">
        <f>Renta_Alta!J78+Masivo!J78+Consumo_Inicial!J78</f>
        <v>0</v>
      </c>
      <c r="K78" s="8">
        <f>Renta_Alta!K78+Masivo!K78+Consumo_Inicial!K78</f>
        <v>0</v>
      </c>
      <c r="L78" s="8">
        <f>Renta_Alta!L78+Masivo!L78+Consumo_Inicial!L78</f>
        <v>0</v>
      </c>
      <c r="M78" s="8">
        <f>Renta_Alta!M78+Masivo!M78+Consumo_Inicial!M78</f>
        <v>0</v>
      </c>
      <c r="N78" s="8">
        <f>Renta_Alta!N78+Masivo!N78+Consumo_Inicial!N78</f>
        <v>0</v>
      </c>
      <c r="O78" s="8">
        <f>Renta_Alta!O78+Masivo!O78+Consumo_Inicial!O78</f>
        <v>0</v>
      </c>
      <c r="P78" s="8">
        <f>Renta_Alta!P78+Masivo!P78+Consumo_Inicial!P78</f>
        <v>0</v>
      </c>
      <c r="Q78" s="8">
        <f>Renta_Alta!Q78+Masivo!Q78+Consumo_Inicial!Q78</f>
        <v>0</v>
      </c>
      <c r="R78" s="8">
        <f>Renta_Alta!R78+Masivo!R78+Consumo_Inicial!R78</f>
        <v>0</v>
      </c>
      <c r="S78" s="8">
        <f>Renta_Alta!S78+Masivo!S78+Consumo_Inicial!S78</f>
        <v>0</v>
      </c>
      <c r="T78" s="8">
        <f>Renta_Alta!T78+Masivo!T78+Consumo_Inicial!T78</f>
        <v>0</v>
      </c>
      <c r="U78" s="8">
        <f>Renta_Alta!U78+Masivo!U78+Consumo_Inicial!U78</f>
        <v>0</v>
      </c>
      <c r="V78" s="8">
        <f>Renta_Alta!V78+Masivo!V78+Consumo_Inicial!V78</f>
        <v>0</v>
      </c>
      <c r="W78" s="8">
        <f>Renta_Alta!W78+Masivo!W78+Consumo_Inicial!W78</f>
        <v>0</v>
      </c>
      <c r="X78" s="8">
        <f>Renta_Alta!X78+Masivo!X78+Consumo_Inicial!X78</f>
        <v>0</v>
      </c>
      <c r="Y78" s="8">
        <f>Renta_Alta!Y78+Masivo!Y78+Consumo_Inicial!Y78</f>
        <v>0</v>
      </c>
      <c r="Z78" s="8">
        <f>Renta_Alta!Z78+Masivo!Z78+Consumo_Inicial!Z78</f>
        <v>0</v>
      </c>
      <c r="AA78" s="8">
        <f>Renta_Alta!AA78+Masivo!AA78+Consumo_Inicial!AA78</f>
        <v>0</v>
      </c>
      <c r="AB78" s="8">
        <f>Renta_Alta!AB78+Masivo!AB78+Consumo_Inicial!AB78</f>
        <v>0</v>
      </c>
      <c r="AC78" s="8">
        <f>Renta_Alta!AC78+Masivo!AC78+Consumo_Inicial!AC78</f>
        <v>0</v>
      </c>
      <c r="AD78" s="8">
        <f>Renta_Alta!AD78+Masivo!AD78+Consumo_Inicial!AD78</f>
        <v>0</v>
      </c>
      <c r="AE78" s="8">
        <f>Renta_Alta!AE78+Masivo!AE78+Consumo_Inicial!AE78</f>
        <v>0</v>
      </c>
      <c r="AF78" s="8">
        <f>Renta_Alta!AF78+Masivo!AF78+Consumo_Inicial!AF78</f>
        <v>0</v>
      </c>
      <c r="AG78" s="8">
        <f>Renta_Alta!AG78+Masivo!AG78+Consumo_Inicial!AG78</f>
        <v>0</v>
      </c>
      <c r="AH78" s="8">
        <f>Renta_Alta!AH78+Masivo!AH78+Consumo_Inicial!AH78</f>
        <v>0</v>
      </c>
      <c r="AI78" s="8">
        <f>Renta_Alta!AI78+Masivo!AI78+Consumo_Inicial!AI78</f>
        <v>0</v>
      </c>
      <c r="AJ78" s="8">
        <f>Renta_Alta!AJ78+Masivo!AJ78+Consumo_Inicial!AJ78</f>
        <v>0</v>
      </c>
      <c r="AK78" s="8">
        <f>Renta_Alta!AK78+Masivo!AK78+Consumo_Inicial!AK78</f>
        <v>0</v>
      </c>
      <c r="AL78" s="8">
        <f>Renta_Alta!AL78+Masivo!AL78+Consumo_Inicial!AL78</f>
        <v>0</v>
      </c>
      <c r="AM78" s="8">
        <f>Renta_Alta!AM78+Masivo!AM78+Consumo_Inicial!AM78</f>
        <v>0</v>
      </c>
      <c r="AN78" s="8">
        <f>Renta_Alta!AN78+Masivo!AN78+Consumo_Inicial!AN78</f>
        <v>0</v>
      </c>
      <c r="AO78" s="8">
        <f>Renta_Alta!AO78+Masivo!AO78+Consumo_Inicial!AO78</f>
        <v>0</v>
      </c>
      <c r="AP78" s="8">
        <f>Renta_Alta!AP78+Masivo!AP78+Consumo_Inicial!AP78</f>
        <v>0</v>
      </c>
      <c r="AQ78" s="8">
        <f>Renta_Alta!AQ78+Masivo!AQ78+Consumo_Inicial!AQ78</f>
        <v>0</v>
      </c>
      <c r="AR78" s="8">
        <f>Renta_Alta!AR78+Masivo!AR78+Consumo_Inicial!AR78</f>
        <v>0</v>
      </c>
      <c r="AS78" s="8">
        <f>Renta_Alta!AS78+Masivo!AS78+Consumo_Inicial!AS78</f>
        <v>0</v>
      </c>
      <c r="AT78" s="8">
        <f>Renta_Alta!AT78+Masivo!AT78+Consumo_Inicial!AT78</f>
        <v>0</v>
      </c>
      <c r="AU78" s="8">
        <f>Renta_Alta!AU78+Masivo!AU78+Consumo_Inicial!AU78</f>
        <v>0</v>
      </c>
      <c r="AV78" s="8">
        <f>Renta_Alta!AV78+Masivo!AV78+Consumo_Inicial!AV78</f>
        <v>0</v>
      </c>
      <c r="AW78" s="8">
        <f>Renta_Alta!AW78+Masivo!AW78+Consumo_Inicial!AW78</f>
        <v>0</v>
      </c>
      <c r="AX78" s="8">
        <f>Renta_Alta!AX78+Masivo!AX78+Consumo_Inicial!AX78</f>
        <v>0</v>
      </c>
      <c r="AY78" s="8">
        <f>Renta_Alta!AY78+Masivo!AY78+Consumo_Inicial!AY78</f>
        <v>0</v>
      </c>
      <c r="AZ78" s="8">
        <f>Renta_Alta!AZ78+Masivo!AZ78+Consumo_Inicial!AZ78</f>
        <v>0</v>
      </c>
      <c r="BA78" s="8">
        <f>Renta_Alta!BA78+Masivo!BA78+Consumo_Inicial!BA78</f>
        <v>0</v>
      </c>
      <c r="BB78" s="8">
        <f>Renta_Alta!BB78+Masivo!BB78+Consumo_Inicial!BB78</f>
        <v>0</v>
      </c>
      <c r="BC78" s="8">
        <f>Renta_Alta!BC78+Masivo!BC78+Consumo_Inicial!BC78</f>
        <v>0</v>
      </c>
      <c r="BD78" s="8">
        <f>Renta_Alta!BD78+Masivo!BD78+Consumo_Inicial!BD78</f>
        <v>0</v>
      </c>
      <c r="BE78" s="8">
        <f>Renta_Alta!BE78+Masivo!BE78+Consumo_Inicial!BE78</f>
        <v>0</v>
      </c>
      <c r="BF78" s="8">
        <f>Renta_Alta!BF78+Masivo!BF78+Consumo_Inicial!BF78</f>
        <v>0</v>
      </c>
      <c r="BG78" s="8">
        <f>Renta_Alta!BG78+Masivo!BG78+Consumo_Inicial!BG78</f>
        <v>0</v>
      </c>
      <c r="BH78" s="8">
        <f>Renta_Alta!BH78+Masivo!BH78+Consumo_Inicial!BH78</f>
        <v>0</v>
      </c>
      <c r="BI78" s="8">
        <f>Renta_Alta!BI78+Masivo!BI78+Consumo_Inicial!BI78</f>
        <v>0</v>
      </c>
      <c r="BJ78" s="8">
        <f>Renta_Alta!BJ78+Masivo!BJ78+Consumo_Inicial!BJ78</f>
        <v>0</v>
      </c>
      <c r="BK78" s="8">
        <f>Renta_Alta!BK78+Masivo!BK78+Consumo_Inicial!BK78</f>
        <v>0</v>
      </c>
      <c r="BO78" s="24">
        <f t="shared" si="248"/>
        <v>0</v>
      </c>
      <c r="BP78" s="24">
        <f t="shared" si="248"/>
        <v>0</v>
      </c>
      <c r="BQ78" s="24">
        <f t="shared" si="248"/>
        <v>0</v>
      </c>
      <c r="BR78" s="24">
        <f t="shared" si="248"/>
        <v>0</v>
      </c>
      <c r="BS78" s="24">
        <f t="shared" si="248"/>
        <v>0</v>
      </c>
      <c r="BT78" s="24">
        <f t="shared" si="248"/>
        <v>0</v>
      </c>
    </row>
    <row r="79" spans="1:72" hidden="1" outlineLevel="1" x14ac:dyDescent="0.25">
      <c r="A79" s="11" t="s">
        <v>71</v>
      </c>
      <c r="C79" s="2"/>
      <c r="D79" s="8">
        <f>Renta_Alta!D79+Masivo!D79+Consumo_Inicial!D79</f>
        <v>0</v>
      </c>
      <c r="E79" s="8">
        <f>Renta_Alta!E79+Masivo!E79+Consumo_Inicial!E79</f>
        <v>0</v>
      </c>
      <c r="F79" s="8">
        <f>Renta_Alta!F79+Masivo!F79+Consumo_Inicial!F79</f>
        <v>0</v>
      </c>
      <c r="G79" s="8">
        <f>Renta_Alta!G79+Masivo!G79+Consumo_Inicial!G79</f>
        <v>0</v>
      </c>
      <c r="H79" s="8">
        <f>Renta_Alta!H79+Masivo!H79+Consumo_Inicial!H79</f>
        <v>0</v>
      </c>
      <c r="I79" s="8">
        <f>Renta_Alta!I79+Masivo!I79+Consumo_Inicial!I79</f>
        <v>0</v>
      </c>
      <c r="J79" s="8">
        <f>Renta_Alta!J79+Masivo!J79+Consumo_Inicial!J79</f>
        <v>0</v>
      </c>
      <c r="K79" s="8">
        <f>Renta_Alta!K79+Masivo!K79+Consumo_Inicial!K79</f>
        <v>0</v>
      </c>
      <c r="L79" s="8">
        <f>Renta_Alta!L79+Masivo!L79+Consumo_Inicial!L79</f>
        <v>0</v>
      </c>
      <c r="M79" s="8">
        <f>Renta_Alta!M79+Masivo!M79+Consumo_Inicial!M79</f>
        <v>0</v>
      </c>
      <c r="N79" s="8">
        <f>Renta_Alta!N79+Masivo!N79+Consumo_Inicial!N79</f>
        <v>0</v>
      </c>
      <c r="O79" s="8">
        <f>Renta_Alta!O79+Masivo!O79+Consumo_Inicial!O79</f>
        <v>0</v>
      </c>
      <c r="P79" s="8">
        <f>Renta_Alta!P79+Masivo!P79+Consumo_Inicial!P79</f>
        <v>0</v>
      </c>
      <c r="Q79" s="8">
        <f>Renta_Alta!Q79+Masivo!Q79+Consumo_Inicial!Q79</f>
        <v>0</v>
      </c>
      <c r="R79" s="8">
        <f>Renta_Alta!R79+Masivo!R79+Consumo_Inicial!R79</f>
        <v>0</v>
      </c>
      <c r="S79" s="8">
        <f>Renta_Alta!S79+Masivo!S79+Consumo_Inicial!S79</f>
        <v>0</v>
      </c>
      <c r="T79" s="8">
        <f>Renta_Alta!T79+Masivo!T79+Consumo_Inicial!T79</f>
        <v>0</v>
      </c>
      <c r="U79" s="8">
        <f>Renta_Alta!U79+Masivo!U79+Consumo_Inicial!U79</f>
        <v>0</v>
      </c>
      <c r="V79" s="8">
        <f>Renta_Alta!V79+Masivo!V79+Consumo_Inicial!V79</f>
        <v>0</v>
      </c>
      <c r="W79" s="8">
        <f>Renta_Alta!W79+Masivo!W79+Consumo_Inicial!W79</f>
        <v>0</v>
      </c>
      <c r="X79" s="8">
        <f>Renta_Alta!X79+Masivo!X79+Consumo_Inicial!X79</f>
        <v>0</v>
      </c>
      <c r="Y79" s="8">
        <f>Renta_Alta!Y79+Masivo!Y79+Consumo_Inicial!Y79</f>
        <v>0</v>
      </c>
      <c r="Z79" s="8">
        <f>Renta_Alta!Z79+Masivo!Z79+Consumo_Inicial!Z79</f>
        <v>0</v>
      </c>
      <c r="AA79" s="8">
        <f>Renta_Alta!AA79+Masivo!AA79+Consumo_Inicial!AA79</f>
        <v>0</v>
      </c>
      <c r="AB79" s="8">
        <f>Renta_Alta!AB79+Masivo!AB79+Consumo_Inicial!AB79</f>
        <v>0</v>
      </c>
      <c r="AC79" s="8">
        <f>Renta_Alta!AC79+Masivo!AC79+Consumo_Inicial!AC79</f>
        <v>0</v>
      </c>
      <c r="AD79" s="8">
        <f>Renta_Alta!AD79+Masivo!AD79+Consumo_Inicial!AD79</f>
        <v>0</v>
      </c>
      <c r="AE79" s="8">
        <f>Renta_Alta!AE79+Masivo!AE79+Consumo_Inicial!AE79</f>
        <v>0</v>
      </c>
      <c r="AF79" s="8">
        <f>Renta_Alta!AF79+Masivo!AF79+Consumo_Inicial!AF79</f>
        <v>0</v>
      </c>
      <c r="AG79" s="8">
        <f>Renta_Alta!AG79+Masivo!AG79+Consumo_Inicial!AG79</f>
        <v>0</v>
      </c>
      <c r="AH79" s="8">
        <f>Renta_Alta!AH79+Masivo!AH79+Consumo_Inicial!AH79</f>
        <v>0</v>
      </c>
      <c r="AI79" s="8">
        <f>Renta_Alta!AI79+Masivo!AI79+Consumo_Inicial!AI79</f>
        <v>0</v>
      </c>
      <c r="AJ79" s="8">
        <f>Renta_Alta!AJ79+Masivo!AJ79+Consumo_Inicial!AJ79</f>
        <v>0</v>
      </c>
      <c r="AK79" s="8">
        <f>Renta_Alta!AK79+Masivo!AK79+Consumo_Inicial!AK79</f>
        <v>0</v>
      </c>
      <c r="AL79" s="8">
        <f>Renta_Alta!AL79+Masivo!AL79+Consumo_Inicial!AL79</f>
        <v>0</v>
      </c>
      <c r="AM79" s="8">
        <f>Renta_Alta!AM79+Masivo!AM79+Consumo_Inicial!AM79</f>
        <v>0</v>
      </c>
      <c r="AN79" s="8">
        <f>Renta_Alta!AN79+Masivo!AN79+Consumo_Inicial!AN79</f>
        <v>0</v>
      </c>
      <c r="AO79" s="8">
        <f>Renta_Alta!AO79+Masivo!AO79+Consumo_Inicial!AO79</f>
        <v>0</v>
      </c>
      <c r="AP79" s="8">
        <f>Renta_Alta!AP79+Masivo!AP79+Consumo_Inicial!AP79</f>
        <v>0</v>
      </c>
      <c r="AQ79" s="8">
        <f>Renta_Alta!AQ79+Masivo!AQ79+Consumo_Inicial!AQ79</f>
        <v>0</v>
      </c>
      <c r="AR79" s="8">
        <f>Renta_Alta!AR79+Masivo!AR79+Consumo_Inicial!AR79</f>
        <v>0</v>
      </c>
      <c r="AS79" s="8">
        <f>Renta_Alta!AS79+Masivo!AS79+Consumo_Inicial!AS79</f>
        <v>0</v>
      </c>
      <c r="AT79" s="8">
        <f>Renta_Alta!AT79+Masivo!AT79+Consumo_Inicial!AT79</f>
        <v>0</v>
      </c>
      <c r="AU79" s="8">
        <f>Renta_Alta!AU79+Masivo!AU79+Consumo_Inicial!AU79</f>
        <v>0</v>
      </c>
      <c r="AV79" s="8">
        <f>Renta_Alta!AV79+Masivo!AV79+Consumo_Inicial!AV79</f>
        <v>0</v>
      </c>
      <c r="AW79" s="8">
        <f>Renta_Alta!AW79+Masivo!AW79+Consumo_Inicial!AW79</f>
        <v>0</v>
      </c>
      <c r="AX79" s="8">
        <f>Renta_Alta!AX79+Masivo!AX79+Consumo_Inicial!AX79</f>
        <v>0</v>
      </c>
      <c r="AY79" s="8">
        <f>Renta_Alta!AY79+Masivo!AY79+Consumo_Inicial!AY79</f>
        <v>0</v>
      </c>
      <c r="AZ79" s="8">
        <f>Renta_Alta!AZ79+Masivo!AZ79+Consumo_Inicial!AZ79</f>
        <v>0</v>
      </c>
      <c r="BA79" s="8">
        <f>Renta_Alta!BA79+Masivo!BA79+Consumo_Inicial!BA79</f>
        <v>0</v>
      </c>
      <c r="BB79" s="8">
        <f>Renta_Alta!BB79+Masivo!BB79+Consumo_Inicial!BB79</f>
        <v>0</v>
      </c>
      <c r="BC79" s="8">
        <f>Renta_Alta!BC79+Masivo!BC79+Consumo_Inicial!BC79</f>
        <v>0</v>
      </c>
      <c r="BD79" s="8">
        <f>Renta_Alta!BD79+Masivo!BD79+Consumo_Inicial!BD79</f>
        <v>0</v>
      </c>
      <c r="BE79" s="8">
        <f>Renta_Alta!BE79+Masivo!BE79+Consumo_Inicial!BE79</f>
        <v>0</v>
      </c>
      <c r="BF79" s="8">
        <f>Renta_Alta!BF79+Masivo!BF79+Consumo_Inicial!BF79</f>
        <v>0</v>
      </c>
      <c r="BG79" s="8">
        <f>Renta_Alta!BG79+Masivo!BG79+Consumo_Inicial!BG79</f>
        <v>0</v>
      </c>
      <c r="BH79" s="8">
        <f>Renta_Alta!BH79+Masivo!BH79+Consumo_Inicial!BH79</f>
        <v>0</v>
      </c>
      <c r="BI79" s="8">
        <f>Renta_Alta!BI79+Masivo!BI79+Consumo_Inicial!BI79</f>
        <v>0</v>
      </c>
      <c r="BJ79" s="8">
        <f>Renta_Alta!BJ79+Masivo!BJ79+Consumo_Inicial!BJ79</f>
        <v>0</v>
      </c>
      <c r="BK79" s="8">
        <f>Renta_Alta!BK79+Masivo!BK79+Consumo_Inicial!BK79</f>
        <v>0</v>
      </c>
      <c r="BO79" s="24">
        <f t="shared" si="248"/>
        <v>0</v>
      </c>
      <c r="BP79" s="24">
        <f t="shared" si="248"/>
        <v>0</v>
      </c>
      <c r="BQ79" s="24">
        <f t="shared" si="248"/>
        <v>0</v>
      </c>
      <c r="BR79" s="24">
        <f t="shared" si="248"/>
        <v>0</v>
      </c>
      <c r="BS79" s="24">
        <f t="shared" si="248"/>
        <v>0</v>
      </c>
      <c r="BT79" s="24">
        <f t="shared" si="248"/>
        <v>0</v>
      </c>
    </row>
    <row r="80" spans="1:72" hidden="1" outlineLevel="1" x14ac:dyDescent="0.25">
      <c r="A80" s="11" t="s">
        <v>71</v>
      </c>
      <c r="C80" s="2"/>
      <c r="D80" s="8">
        <f>Renta_Alta!D80+Masivo!D80+Consumo_Inicial!D80</f>
        <v>0</v>
      </c>
      <c r="E80" s="8">
        <f>Renta_Alta!E80+Masivo!E80+Consumo_Inicial!E80</f>
        <v>0</v>
      </c>
      <c r="F80" s="8">
        <f>Renta_Alta!F80+Masivo!F80+Consumo_Inicial!F80</f>
        <v>0</v>
      </c>
      <c r="G80" s="8">
        <f>Renta_Alta!G80+Masivo!G80+Consumo_Inicial!G80</f>
        <v>0</v>
      </c>
      <c r="H80" s="8">
        <f>Renta_Alta!H80+Masivo!H80+Consumo_Inicial!H80</f>
        <v>0</v>
      </c>
      <c r="I80" s="8">
        <f>Renta_Alta!I80+Masivo!I80+Consumo_Inicial!I80</f>
        <v>0</v>
      </c>
      <c r="J80" s="8">
        <f>Renta_Alta!J80+Masivo!J80+Consumo_Inicial!J80</f>
        <v>0</v>
      </c>
      <c r="K80" s="8">
        <f>Renta_Alta!K80+Masivo!K80+Consumo_Inicial!K80</f>
        <v>0</v>
      </c>
      <c r="L80" s="8">
        <f>Renta_Alta!L80+Masivo!L80+Consumo_Inicial!L80</f>
        <v>0</v>
      </c>
      <c r="M80" s="8">
        <f>Renta_Alta!M80+Masivo!M80+Consumo_Inicial!M80</f>
        <v>0</v>
      </c>
      <c r="N80" s="8">
        <f>Renta_Alta!N80+Masivo!N80+Consumo_Inicial!N80</f>
        <v>0</v>
      </c>
      <c r="O80" s="8">
        <f>Renta_Alta!O80+Masivo!O80+Consumo_Inicial!O80</f>
        <v>0</v>
      </c>
      <c r="P80" s="8">
        <f>Renta_Alta!P80+Masivo!P80+Consumo_Inicial!P80</f>
        <v>0</v>
      </c>
      <c r="Q80" s="8">
        <f>Renta_Alta!Q80+Masivo!Q80+Consumo_Inicial!Q80</f>
        <v>0</v>
      </c>
      <c r="R80" s="8">
        <f>Renta_Alta!R80+Masivo!R80+Consumo_Inicial!R80</f>
        <v>0</v>
      </c>
      <c r="S80" s="8">
        <f>Renta_Alta!S80+Masivo!S80+Consumo_Inicial!S80</f>
        <v>0</v>
      </c>
      <c r="T80" s="8">
        <f>Renta_Alta!T80+Masivo!T80+Consumo_Inicial!T80</f>
        <v>0</v>
      </c>
      <c r="U80" s="8">
        <f>Renta_Alta!U80+Masivo!U80+Consumo_Inicial!U80</f>
        <v>0</v>
      </c>
      <c r="V80" s="8">
        <f>Renta_Alta!V80+Masivo!V80+Consumo_Inicial!V80</f>
        <v>0</v>
      </c>
      <c r="W80" s="8">
        <f>Renta_Alta!W80+Masivo!W80+Consumo_Inicial!W80</f>
        <v>0</v>
      </c>
      <c r="X80" s="8">
        <f>Renta_Alta!X80+Masivo!X80+Consumo_Inicial!X80</f>
        <v>0</v>
      </c>
      <c r="Y80" s="8">
        <f>Renta_Alta!Y80+Masivo!Y80+Consumo_Inicial!Y80</f>
        <v>0</v>
      </c>
      <c r="Z80" s="8">
        <f>Renta_Alta!Z80+Masivo!Z80+Consumo_Inicial!Z80</f>
        <v>0</v>
      </c>
      <c r="AA80" s="8">
        <f>Renta_Alta!AA80+Masivo!AA80+Consumo_Inicial!AA80</f>
        <v>0</v>
      </c>
      <c r="AB80" s="8">
        <f>Renta_Alta!AB80+Masivo!AB80+Consumo_Inicial!AB80</f>
        <v>0</v>
      </c>
      <c r="AC80" s="8">
        <f>Renta_Alta!AC80+Masivo!AC80+Consumo_Inicial!AC80</f>
        <v>0</v>
      </c>
      <c r="AD80" s="8">
        <f>Renta_Alta!AD80+Masivo!AD80+Consumo_Inicial!AD80</f>
        <v>0</v>
      </c>
      <c r="AE80" s="8">
        <f>Renta_Alta!AE80+Masivo!AE80+Consumo_Inicial!AE80</f>
        <v>0</v>
      </c>
      <c r="AF80" s="8">
        <f>Renta_Alta!AF80+Masivo!AF80+Consumo_Inicial!AF80</f>
        <v>0</v>
      </c>
      <c r="AG80" s="8">
        <f>Renta_Alta!AG80+Masivo!AG80+Consumo_Inicial!AG80</f>
        <v>0</v>
      </c>
      <c r="AH80" s="8">
        <f>Renta_Alta!AH80+Masivo!AH80+Consumo_Inicial!AH80</f>
        <v>0</v>
      </c>
      <c r="AI80" s="8">
        <f>Renta_Alta!AI80+Masivo!AI80+Consumo_Inicial!AI80</f>
        <v>0</v>
      </c>
      <c r="AJ80" s="8">
        <f>Renta_Alta!AJ80+Masivo!AJ80+Consumo_Inicial!AJ80</f>
        <v>0</v>
      </c>
      <c r="AK80" s="8">
        <f>Renta_Alta!AK80+Masivo!AK80+Consumo_Inicial!AK80</f>
        <v>0</v>
      </c>
      <c r="AL80" s="8">
        <f>Renta_Alta!AL80+Masivo!AL80+Consumo_Inicial!AL80</f>
        <v>0</v>
      </c>
      <c r="AM80" s="8">
        <f>Renta_Alta!AM80+Masivo!AM80+Consumo_Inicial!AM80</f>
        <v>0</v>
      </c>
      <c r="AN80" s="8">
        <f>Renta_Alta!AN80+Masivo!AN80+Consumo_Inicial!AN80</f>
        <v>0</v>
      </c>
      <c r="AO80" s="8">
        <f>Renta_Alta!AO80+Masivo!AO80+Consumo_Inicial!AO80</f>
        <v>0</v>
      </c>
      <c r="AP80" s="8">
        <f>Renta_Alta!AP80+Masivo!AP80+Consumo_Inicial!AP80</f>
        <v>0</v>
      </c>
      <c r="AQ80" s="8">
        <f>Renta_Alta!AQ80+Masivo!AQ80+Consumo_Inicial!AQ80</f>
        <v>0</v>
      </c>
      <c r="AR80" s="8">
        <f>Renta_Alta!AR80+Masivo!AR80+Consumo_Inicial!AR80</f>
        <v>0</v>
      </c>
      <c r="AS80" s="8">
        <f>Renta_Alta!AS80+Masivo!AS80+Consumo_Inicial!AS80</f>
        <v>0</v>
      </c>
      <c r="AT80" s="8">
        <f>Renta_Alta!AT80+Masivo!AT80+Consumo_Inicial!AT80</f>
        <v>0</v>
      </c>
      <c r="AU80" s="8">
        <f>Renta_Alta!AU80+Masivo!AU80+Consumo_Inicial!AU80</f>
        <v>0</v>
      </c>
      <c r="AV80" s="8">
        <f>Renta_Alta!AV80+Masivo!AV80+Consumo_Inicial!AV80</f>
        <v>0</v>
      </c>
      <c r="AW80" s="8">
        <f>Renta_Alta!AW80+Masivo!AW80+Consumo_Inicial!AW80</f>
        <v>0</v>
      </c>
      <c r="AX80" s="8">
        <f>Renta_Alta!AX80+Masivo!AX80+Consumo_Inicial!AX80</f>
        <v>0</v>
      </c>
      <c r="AY80" s="8">
        <f>Renta_Alta!AY80+Masivo!AY80+Consumo_Inicial!AY80</f>
        <v>0</v>
      </c>
      <c r="AZ80" s="8">
        <f>Renta_Alta!AZ80+Masivo!AZ80+Consumo_Inicial!AZ80</f>
        <v>0</v>
      </c>
      <c r="BA80" s="8">
        <f>Renta_Alta!BA80+Masivo!BA80+Consumo_Inicial!BA80</f>
        <v>0</v>
      </c>
      <c r="BB80" s="8">
        <f>Renta_Alta!BB80+Masivo!BB80+Consumo_Inicial!BB80</f>
        <v>0</v>
      </c>
      <c r="BC80" s="8">
        <f>Renta_Alta!BC80+Masivo!BC80+Consumo_Inicial!BC80</f>
        <v>0</v>
      </c>
      <c r="BD80" s="8">
        <f>Renta_Alta!BD80+Masivo!BD80+Consumo_Inicial!BD80</f>
        <v>0</v>
      </c>
      <c r="BE80" s="8">
        <f>Renta_Alta!BE80+Masivo!BE80+Consumo_Inicial!BE80</f>
        <v>0</v>
      </c>
      <c r="BF80" s="8">
        <f>Renta_Alta!BF80+Masivo!BF80+Consumo_Inicial!BF80</f>
        <v>0</v>
      </c>
      <c r="BG80" s="8">
        <f>Renta_Alta!BG80+Masivo!BG80+Consumo_Inicial!BG80</f>
        <v>0</v>
      </c>
      <c r="BH80" s="8">
        <f>Renta_Alta!BH80+Masivo!BH80+Consumo_Inicial!BH80</f>
        <v>0</v>
      </c>
      <c r="BI80" s="8">
        <f>Renta_Alta!BI80+Masivo!BI80+Consumo_Inicial!BI80</f>
        <v>0</v>
      </c>
      <c r="BJ80" s="8">
        <f>Renta_Alta!BJ80+Masivo!BJ80+Consumo_Inicial!BJ80</f>
        <v>0</v>
      </c>
      <c r="BK80" s="8">
        <f>Renta_Alta!BK80+Masivo!BK80+Consumo_Inicial!BK80</f>
        <v>0</v>
      </c>
      <c r="BO80" s="24">
        <f t="shared" si="248"/>
        <v>0</v>
      </c>
      <c r="BP80" s="24">
        <f t="shared" si="248"/>
        <v>0</v>
      </c>
      <c r="BQ80" s="24">
        <f t="shared" si="248"/>
        <v>0</v>
      </c>
      <c r="BR80" s="24">
        <f t="shared" si="248"/>
        <v>0</v>
      </c>
      <c r="BS80" s="24">
        <f t="shared" si="248"/>
        <v>0</v>
      </c>
      <c r="BT80" s="24">
        <f t="shared" si="248"/>
        <v>0</v>
      </c>
    </row>
    <row r="81" spans="1:72" hidden="1" outlineLevel="1" x14ac:dyDescent="0.25">
      <c r="A81" s="11" t="s">
        <v>71</v>
      </c>
      <c r="C81" s="2"/>
      <c r="D81" s="8">
        <f>Renta_Alta!D81+Masivo!D81+Consumo_Inicial!D81</f>
        <v>0</v>
      </c>
      <c r="E81" s="8">
        <f>Renta_Alta!E81+Masivo!E81+Consumo_Inicial!E81</f>
        <v>0</v>
      </c>
      <c r="F81" s="8">
        <f>Renta_Alta!F81+Masivo!F81+Consumo_Inicial!F81</f>
        <v>0</v>
      </c>
      <c r="G81" s="8">
        <f>Renta_Alta!G81+Masivo!G81+Consumo_Inicial!G81</f>
        <v>0</v>
      </c>
      <c r="H81" s="8">
        <f>Renta_Alta!H81+Masivo!H81+Consumo_Inicial!H81</f>
        <v>0</v>
      </c>
      <c r="I81" s="8">
        <f>Renta_Alta!I81+Masivo!I81+Consumo_Inicial!I81</f>
        <v>0</v>
      </c>
      <c r="J81" s="8">
        <f>Renta_Alta!J81+Masivo!J81+Consumo_Inicial!J81</f>
        <v>0</v>
      </c>
      <c r="K81" s="8">
        <f>Renta_Alta!K81+Masivo!K81+Consumo_Inicial!K81</f>
        <v>0</v>
      </c>
      <c r="L81" s="8">
        <f>Renta_Alta!L81+Masivo!L81+Consumo_Inicial!L81</f>
        <v>0</v>
      </c>
      <c r="M81" s="8">
        <f>Renta_Alta!M81+Masivo!M81+Consumo_Inicial!M81</f>
        <v>0</v>
      </c>
      <c r="N81" s="8">
        <f>Renta_Alta!N81+Masivo!N81+Consumo_Inicial!N81</f>
        <v>0</v>
      </c>
      <c r="O81" s="8">
        <f>Renta_Alta!O81+Masivo!O81+Consumo_Inicial!O81</f>
        <v>0</v>
      </c>
      <c r="P81" s="8">
        <f>Renta_Alta!P81+Masivo!P81+Consumo_Inicial!P81</f>
        <v>0</v>
      </c>
      <c r="Q81" s="8">
        <f>Renta_Alta!Q81+Masivo!Q81+Consumo_Inicial!Q81</f>
        <v>0</v>
      </c>
      <c r="R81" s="8">
        <f>Renta_Alta!R81+Masivo!R81+Consumo_Inicial!R81</f>
        <v>0</v>
      </c>
      <c r="S81" s="8">
        <f>Renta_Alta!S81+Masivo!S81+Consumo_Inicial!S81</f>
        <v>0</v>
      </c>
      <c r="T81" s="8">
        <f>Renta_Alta!T81+Masivo!T81+Consumo_Inicial!T81</f>
        <v>0</v>
      </c>
      <c r="U81" s="8">
        <f>Renta_Alta!U81+Masivo!U81+Consumo_Inicial!U81</f>
        <v>0</v>
      </c>
      <c r="V81" s="8">
        <f>Renta_Alta!V81+Masivo!V81+Consumo_Inicial!V81</f>
        <v>0</v>
      </c>
      <c r="W81" s="8">
        <f>Renta_Alta!W81+Masivo!W81+Consumo_Inicial!W81</f>
        <v>0</v>
      </c>
      <c r="X81" s="8">
        <f>Renta_Alta!X81+Masivo!X81+Consumo_Inicial!X81</f>
        <v>0</v>
      </c>
      <c r="Y81" s="8">
        <f>Renta_Alta!Y81+Masivo!Y81+Consumo_Inicial!Y81</f>
        <v>0</v>
      </c>
      <c r="Z81" s="8">
        <f>Renta_Alta!Z81+Masivo!Z81+Consumo_Inicial!Z81</f>
        <v>0</v>
      </c>
      <c r="AA81" s="8">
        <f>Renta_Alta!AA81+Masivo!AA81+Consumo_Inicial!AA81</f>
        <v>0</v>
      </c>
      <c r="AB81" s="8">
        <f>Renta_Alta!AB81+Masivo!AB81+Consumo_Inicial!AB81</f>
        <v>0</v>
      </c>
      <c r="AC81" s="8">
        <f>Renta_Alta!AC81+Masivo!AC81+Consumo_Inicial!AC81</f>
        <v>0</v>
      </c>
      <c r="AD81" s="8">
        <f>Renta_Alta!AD81+Masivo!AD81+Consumo_Inicial!AD81</f>
        <v>0</v>
      </c>
      <c r="AE81" s="8">
        <f>Renta_Alta!AE81+Masivo!AE81+Consumo_Inicial!AE81</f>
        <v>0</v>
      </c>
      <c r="AF81" s="8">
        <f>Renta_Alta!AF81+Masivo!AF81+Consumo_Inicial!AF81</f>
        <v>0</v>
      </c>
      <c r="AG81" s="8">
        <f>Renta_Alta!AG81+Masivo!AG81+Consumo_Inicial!AG81</f>
        <v>0</v>
      </c>
      <c r="AH81" s="8">
        <f>Renta_Alta!AH81+Masivo!AH81+Consumo_Inicial!AH81</f>
        <v>0</v>
      </c>
      <c r="AI81" s="8">
        <f>Renta_Alta!AI81+Masivo!AI81+Consumo_Inicial!AI81</f>
        <v>0</v>
      </c>
      <c r="AJ81" s="8">
        <f>Renta_Alta!AJ81+Masivo!AJ81+Consumo_Inicial!AJ81</f>
        <v>0</v>
      </c>
      <c r="AK81" s="8">
        <f>Renta_Alta!AK81+Masivo!AK81+Consumo_Inicial!AK81</f>
        <v>0</v>
      </c>
      <c r="AL81" s="8">
        <f>Renta_Alta!AL81+Masivo!AL81+Consumo_Inicial!AL81</f>
        <v>0</v>
      </c>
      <c r="AM81" s="8">
        <f>Renta_Alta!AM81+Masivo!AM81+Consumo_Inicial!AM81</f>
        <v>0</v>
      </c>
      <c r="AN81" s="8">
        <f>Renta_Alta!AN81+Masivo!AN81+Consumo_Inicial!AN81</f>
        <v>0</v>
      </c>
      <c r="AO81" s="8">
        <f>Renta_Alta!AO81+Masivo!AO81+Consumo_Inicial!AO81</f>
        <v>0</v>
      </c>
      <c r="AP81" s="8">
        <f>Renta_Alta!AP81+Masivo!AP81+Consumo_Inicial!AP81</f>
        <v>0</v>
      </c>
      <c r="AQ81" s="8">
        <f>Renta_Alta!AQ81+Masivo!AQ81+Consumo_Inicial!AQ81</f>
        <v>0</v>
      </c>
      <c r="AR81" s="8">
        <f>Renta_Alta!AR81+Masivo!AR81+Consumo_Inicial!AR81</f>
        <v>0</v>
      </c>
      <c r="AS81" s="8">
        <f>Renta_Alta!AS81+Masivo!AS81+Consumo_Inicial!AS81</f>
        <v>0</v>
      </c>
      <c r="AT81" s="8">
        <f>Renta_Alta!AT81+Masivo!AT81+Consumo_Inicial!AT81</f>
        <v>0</v>
      </c>
      <c r="AU81" s="8">
        <f>Renta_Alta!AU81+Masivo!AU81+Consumo_Inicial!AU81</f>
        <v>0</v>
      </c>
      <c r="AV81" s="8">
        <f>Renta_Alta!AV81+Masivo!AV81+Consumo_Inicial!AV81</f>
        <v>0</v>
      </c>
      <c r="AW81" s="8">
        <f>Renta_Alta!AW81+Masivo!AW81+Consumo_Inicial!AW81</f>
        <v>0</v>
      </c>
      <c r="AX81" s="8">
        <f>Renta_Alta!AX81+Masivo!AX81+Consumo_Inicial!AX81</f>
        <v>0</v>
      </c>
      <c r="AY81" s="8">
        <f>Renta_Alta!AY81+Masivo!AY81+Consumo_Inicial!AY81</f>
        <v>0</v>
      </c>
      <c r="AZ81" s="8">
        <f>Renta_Alta!AZ81+Masivo!AZ81+Consumo_Inicial!AZ81</f>
        <v>0</v>
      </c>
      <c r="BA81" s="8">
        <f>Renta_Alta!BA81+Masivo!BA81+Consumo_Inicial!BA81</f>
        <v>0</v>
      </c>
      <c r="BB81" s="8">
        <f>Renta_Alta!BB81+Masivo!BB81+Consumo_Inicial!BB81</f>
        <v>0</v>
      </c>
      <c r="BC81" s="8">
        <f>Renta_Alta!BC81+Masivo!BC81+Consumo_Inicial!BC81</f>
        <v>0</v>
      </c>
      <c r="BD81" s="8">
        <f>Renta_Alta!BD81+Masivo!BD81+Consumo_Inicial!BD81</f>
        <v>0</v>
      </c>
      <c r="BE81" s="8">
        <f>Renta_Alta!BE81+Masivo!BE81+Consumo_Inicial!BE81</f>
        <v>0</v>
      </c>
      <c r="BF81" s="8">
        <f>Renta_Alta!BF81+Masivo!BF81+Consumo_Inicial!BF81</f>
        <v>0</v>
      </c>
      <c r="BG81" s="8">
        <f>Renta_Alta!BG81+Masivo!BG81+Consumo_Inicial!BG81</f>
        <v>0</v>
      </c>
      <c r="BH81" s="8">
        <f>Renta_Alta!BH81+Masivo!BH81+Consumo_Inicial!BH81</f>
        <v>0</v>
      </c>
      <c r="BI81" s="8">
        <f>Renta_Alta!BI81+Masivo!BI81+Consumo_Inicial!BI81</f>
        <v>0</v>
      </c>
      <c r="BJ81" s="8">
        <f>Renta_Alta!BJ81+Masivo!BJ81+Consumo_Inicial!BJ81</f>
        <v>0</v>
      </c>
      <c r="BK81" s="8">
        <f>Renta_Alta!BK81+Masivo!BK81+Consumo_Inicial!BK81</f>
        <v>0</v>
      </c>
      <c r="BO81" s="24">
        <f t="shared" si="248"/>
        <v>0</v>
      </c>
      <c r="BP81" s="24">
        <f t="shared" si="248"/>
        <v>0</v>
      </c>
      <c r="BQ81" s="24">
        <f t="shared" si="248"/>
        <v>0</v>
      </c>
      <c r="BR81" s="24">
        <f t="shared" si="248"/>
        <v>0</v>
      </c>
      <c r="BS81" s="24">
        <f t="shared" si="248"/>
        <v>0</v>
      </c>
      <c r="BT81" s="24">
        <f t="shared" si="248"/>
        <v>0</v>
      </c>
    </row>
    <row r="82" spans="1:72" hidden="1" outlineLevel="1" x14ac:dyDescent="0.25">
      <c r="A82" s="11" t="s">
        <v>71</v>
      </c>
      <c r="C82" s="2"/>
      <c r="D82" s="8">
        <f>Renta_Alta!D82+Masivo!D82+Consumo_Inicial!D82</f>
        <v>0</v>
      </c>
      <c r="E82" s="8">
        <f>Renta_Alta!E82+Masivo!E82+Consumo_Inicial!E82</f>
        <v>0</v>
      </c>
      <c r="F82" s="8">
        <f>Renta_Alta!F82+Masivo!F82+Consumo_Inicial!F82</f>
        <v>0</v>
      </c>
      <c r="G82" s="8">
        <f>Renta_Alta!G82+Masivo!G82+Consumo_Inicial!G82</f>
        <v>0</v>
      </c>
      <c r="H82" s="8">
        <f>Renta_Alta!H82+Masivo!H82+Consumo_Inicial!H82</f>
        <v>0</v>
      </c>
      <c r="I82" s="8">
        <f>Renta_Alta!I82+Masivo!I82+Consumo_Inicial!I82</f>
        <v>0</v>
      </c>
      <c r="J82" s="8">
        <f>Renta_Alta!J82+Masivo!J82+Consumo_Inicial!J82</f>
        <v>0</v>
      </c>
      <c r="K82" s="8">
        <f>Renta_Alta!K82+Masivo!K82+Consumo_Inicial!K82</f>
        <v>0</v>
      </c>
      <c r="L82" s="8">
        <f>Renta_Alta!L82+Masivo!L82+Consumo_Inicial!L82</f>
        <v>0</v>
      </c>
      <c r="M82" s="8">
        <f>Renta_Alta!M82+Masivo!M82+Consumo_Inicial!M82</f>
        <v>0</v>
      </c>
      <c r="N82" s="8">
        <f>Renta_Alta!N82+Masivo!N82+Consumo_Inicial!N82</f>
        <v>0</v>
      </c>
      <c r="O82" s="8">
        <f>Renta_Alta!O82+Masivo!O82+Consumo_Inicial!O82</f>
        <v>0</v>
      </c>
      <c r="P82" s="8">
        <f>Renta_Alta!P82+Masivo!P82+Consumo_Inicial!P82</f>
        <v>0</v>
      </c>
      <c r="Q82" s="8">
        <f>Renta_Alta!Q82+Masivo!Q82+Consumo_Inicial!Q82</f>
        <v>0</v>
      </c>
      <c r="R82" s="8">
        <f>Renta_Alta!R82+Masivo!R82+Consumo_Inicial!R82</f>
        <v>0</v>
      </c>
      <c r="S82" s="8">
        <f>Renta_Alta!S82+Masivo!S82+Consumo_Inicial!S82</f>
        <v>0</v>
      </c>
      <c r="T82" s="8">
        <f>Renta_Alta!T82+Masivo!T82+Consumo_Inicial!T82</f>
        <v>0</v>
      </c>
      <c r="U82" s="8">
        <f>Renta_Alta!U82+Masivo!U82+Consumo_Inicial!U82</f>
        <v>0</v>
      </c>
      <c r="V82" s="8">
        <f>Renta_Alta!V82+Masivo!V82+Consumo_Inicial!V82</f>
        <v>0</v>
      </c>
      <c r="W82" s="8">
        <f>Renta_Alta!W82+Masivo!W82+Consumo_Inicial!W82</f>
        <v>0</v>
      </c>
      <c r="X82" s="8">
        <f>Renta_Alta!X82+Masivo!X82+Consumo_Inicial!X82</f>
        <v>0</v>
      </c>
      <c r="Y82" s="8">
        <f>Renta_Alta!Y82+Masivo!Y82+Consumo_Inicial!Y82</f>
        <v>0</v>
      </c>
      <c r="Z82" s="8">
        <f>Renta_Alta!Z82+Masivo!Z82+Consumo_Inicial!Z82</f>
        <v>0</v>
      </c>
      <c r="AA82" s="8">
        <f>Renta_Alta!AA82+Masivo!AA82+Consumo_Inicial!AA82</f>
        <v>0</v>
      </c>
      <c r="AB82" s="8">
        <f>Renta_Alta!AB82+Masivo!AB82+Consumo_Inicial!AB82</f>
        <v>0</v>
      </c>
      <c r="AC82" s="8">
        <f>Renta_Alta!AC82+Masivo!AC82+Consumo_Inicial!AC82</f>
        <v>0</v>
      </c>
      <c r="AD82" s="8">
        <f>Renta_Alta!AD82+Masivo!AD82+Consumo_Inicial!AD82</f>
        <v>0</v>
      </c>
      <c r="AE82" s="8">
        <f>Renta_Alta!AE82+Masivo!AE82+Consumo_Inicial!AE82</f>
        <v>0</v>
      </c>
      <c r="AF82" s="8">
        <f>Renta_Alta!AF82+Masivo!AF82+Consumo_Inicial!AF82</f>
        <v>0</v>
      </c>
      <c r="AG82" s="8">
        <f>Renta_Alta!AG82+Masivo!AG82+Consumo_Inicial!AG82</f>
        <v>0</v>
      </c>
      <c r="AH82" s="8">
        <f>Renta_Alta!AH82+Masivo!AH82+Consumo_Inicial!AH82</f>
        <v>0</v>
      </c>
      <c r="AI82" s="8">
        <f>Renta_Alta!AI82+Masivo!AI82+Consumo_Inicial!AI82</f>
        <v>0</v>
      </c>
      <c r="AJ82" s="8">
        <f>Renta_Alta!AJ82+Masivo!AJ82+Consumo_Inicial!AJ82</f>
        <v>0</v>
      </c>
      <c r="AK82" s="8">
        <f>Renta_Alta!AK82+Masivo!AK82+Consumo_Inicial!AK82</f>
        <v>0</v>
      </c>
      <c r="AL82" s="8">
        <f>Renta_Alta!AL82+Masivo!AL82+Consumo_Inicial!AL82</f>
        <v>0</v>
      </c>
      <c r="AM82" s="8">
        <f>Renta_Alta!AM82+Masivo!AM82+Consumo_Inicial!AM82</f>
        <v>0</v>
      </c>
      <c r="AN82" s="8">
        <f>Renta_Alta!AN82+Masivo!AN82+Consumo_Inicial!AN82</f>
        <v>0</v>
      </c>
      <c r="AO82" s="8">
        <f>Renta_Alta!AO82+Masivo!AO82+Consumo_Inicial!AO82</f>
        <v>0</v>
      </c>
      <c r="AP82" s="8">
        <f>Renta_Alta!AP82+Masivo!AP82+Consumo_Inicial!AP82</f>
        <v>0</v>
      </c>
      <c r="AQ82" s="8">
        <f>Renta_Alta!AQ82+Masivo!AQ82+Consumo_Inicial!AQ82</f>
        <v>0</v>
      </c>
      <c r="AR82" s="8">
        <f>Renta_Alta!AR82+Masivo!AR82+Consumo_Inicial!AR82</f>
        <v>0</v>
      </c>
      <c r="AS82" s="8">
        <f>Renta_Alta!AS82+Masivo!AS82+Consumo_Inicial!AS82</f>
        <v>0</v>
      </c>
      <c r="AT82" s="8">
        <f>Renta_Alta!AT82+Masivo!AT82+Consumo_Inicial!AT82</f>
        <v>0</v>
      </c>
      <c r="AU82" s="8">
        <f>Renta_Alta!AU82+Masivo!AU82+Consumo_Inicial!AU82</f>
        <v>0</v>
      </c>
      <c r="AV82" s="8">
        <f>Renta_Alta!AV82+Masivo!AV82+Consumo_Inicial!AV82</f>
        <v>0</v>
      </c>
      <c r="AW82" s="8">
        <f>Renta_Alta!AW82+Masivo!AW82+Consumo_Inicial!AW82</f>
        <v>0</v>
      </c>
      <c r="AX82" s="8">
        <f>Renta_Alta!AX82+Masivo!AX82+Consumo_Inicial!AX82</f>
        <v>0</v>
      </c>
      <c r="AY82" s="8">
        <f>Renta_Alta!AY82+Masivo!AY82+Consumo_Inicial!AY82</f>
        <v>0</v>
      </c>
      <c r="AZ82" s="8">
        <f>Renta_Alta!AZ82+Masivo!AZ82+Consumo_Inicial!AZ82</f>
        <v>0</v>
      </c>
      <c r="BA82" s="8">
        <f>Renta_Alta!BA82+Masivo!BA82+Consumo_Inicial!BA82</f>
        <v>0</v>
      </c>
      <c r="BB82" s="8">
        <f>Renta_Alta!BB82+Masivo!BB82+Consumo_Inicial!BB82</f>
        <v>0</v>
      </c>
      <c r="BC82" s="8">
        <f>Renta_Alta!BC82+Masivo!BC82+Consumo_Inicial!BC82</f>
        <v>0</v>
      </c>
      <c r="BD82" s="8">
        <f>Renta_Alta!BD82+Masivo!BD82+Consumo_Inicial!BD82</f>
        <v>0</v>
      </c>
      <c r="BE82" s="8">
        <f>Renta_Alta!BE82+Masivo!BE82+Consumo_Inicial!BE82</f>
        <v>0</v>
      </c>
      <c r="BF82" s="8">
        <f>Renta_Alta!BF82+Masivo!BF82+Consumo_Inicial!BF82</f>
        <v>0</v>
      </c>
      <c r="BG82" s="8">
        <f>Renta_Alta!BG82+Masivo!BG82+Consumo_Inicial!BG82</f>
        <v>0</v>
      </c>
      <c r="BH82" s="8">
        <f>Renta_Alta!BH82+Masivo!BH82+Consumo_Inicial!BH82</f>
        <v>0</v>
      </c>
      <c r="BI82" s="8">
        <f>Renta_Alta!BI82+Masivo!BI82+Consumo_Inicial!BI82</f>
        <v>0</v>
      </c>
      <c r="BJ82" s="8">
        <f>Renta_Alta!BJ82+Masivo!BJ82+Consumo_Inicial!BJ82</f>
        <v>0</v>
      </c>
      <c r="BK82" s="8">
        <f>Renta_Alta!BK82+Masivo!BK82+Consumo_Inicial!BK82</f>
        <v>0</v>
      </c>
      <c r="BO82" s="24">
        <f t="shared" si="248"/>
        <v>0</v>
      </c>
      <c r="BP82" s="24">
        <f t="shared" si="248"/>
        <v>0</v>
      </c>
      <c r="BQ82" s="24">
        <f t="shared" si="248"/>
        <v>0</v>
      </c>
      <c r="BR82" s="24">
        <f t="shared" si="248"/>
        <v>0</v>
      </c>
      <c r="BS82" s="24">
        <f t="shared" si="248"/>
        <v>0</v>
      </c>
      <c r="BT82" s="24">
        <f t="shared" si="248"/>
        <v>0</v>
      </c>
    </row>
    <row r="83" spans="1:72" collapsed="1" x14ac:dyDescent="0.25">
      <c r="C83" s="3" t="s">
        <v>71</v>
      </c>
      <c r="D83" s="10">
        <f t="shared" ref="D83:AY83" si="249">SUM(D63:D82)</f>
        <v>384.60945338228504</v>
      </c>
      <c r="E83" s="10">
        <f t="shared" si="249"/>
        <v>358.24318212378</v>
      </c>
      <c r="F83" s="10">
        <f t="shared" si="249"/>
        <v>295.90515655406</v>
      </c>
      <c r="G83" s="10">
        <f t="shared" si="249"/>
        <v>445.41277644104997</v>
      </c>
      <c r="H83" s="10">
        <f t="shared" si="249"/>
        <v>370.76042226205999</v>
      </c>
      <c r="I83" s="10">
        <f t="shared" si="249"/>
        <v>431.36794096689795</v>
      </c>
      <c r="J83" s="10">
        <f t="shared" si="249"/>
        <v>405.95326735803997</v>
      </c>
      <c r="K83" s="10">
        <f t="shared" si="249"/>
        <v>438.48505737511999</v>
      </c>
      <c r="L83" s="10">
        <f t="shared" si="249"/>
        <v>448.60509978551005</v>
      </c>
      <c r="M83" s="10">
        <f t="shared" si="249"/>
        <v>395.10937044635006</v>
      </c>
      <c r="N83" s="10">
        <f t="shared" si="249"/>
        <v>403.53449446541993</v>
      </c>
      <c r="O83" s="10">
        <f t="shared" si="249"/>
        <v>351.829624300619</v>
      </c>
      <c r="P83" s="10">
        <f t="shared" si="249"/>
        <v>432.25845884346404</v>
      </c>
      <c r="Q83" s="10">
        <f t="shared" si="249"/>
        <v>384.14187891969004</v>
      </c>
      <c r="R83" s="10">
        <f t="shared" si="249"/>
        <v>429.41719231533995</v>
      </c>
      <c r="S83" s="10">
        <f t="shared" si="249"/>
        <v>331.38954404240997</v>
      </c>
      <c r="T83" s="10">
        <f t="shared" si="249"/>
        <v>345.62294875301802</v>
      </c>
      <c r="U83" s="10">
        <f t="shared" si="249"/>
        <v>347.62406351105</v>
      </c>
      <c r="V83" s="10">
        <f t="shared" si="249"/>
        <v>307.19849953705699</v>
      </c>
      <c r="W83" s="10">
        <f t="shared" si="249"/>
        <v>327.69334929102001</v>
      </c>
      <c r="X83" s="10">
        <f t="shared" si="249"/>
        <v>747.79463157811188</v>
      </c>
      <c r="Y83" s="10">
        <f t="shared" si="249"/>
        <v>-97.863457681074991</v>
      </c>
      <c r="Z83" s="10">
        <f t="shared" si="249"/>
        <v>332.95901468501006</v>
      </c>
      <c r="AA83" s="10">
        <f t="shared" si="249"/>
        <v>274.59362963899002</v>
      </c>
      <c r="AB83" s="10">
        <f t="shared" si="249"/>
        <v>374.57753531992</v>
      </c>
      <c r="AC83" s="10">
        <f t="shared" si="249"/>
        <v>257.52345302404797</v>
      </c>
      <c r="AD83" s="10">
        <f t="shared" si="249"/>
        <v>151.34738409388999</v>
      </c>
      <c r="AE83" s="10">
        <f t="shared" si="249"/>
        <v>294.56008507436997</v>
      </c>
      <c r="AF83" s="10">
        <f t="shared" si="249"/>
        <v>282.66727817321004</v>
      </c>
      <c r="AG83" s="10">
        <f t="shared" si="249"/>
        <v>356.52553945478996</v>
      </c>
      <c r="AH83" s="10">
        <f t="shared" si="249"/>
        <v>298.763200904695</v>
      </c>
      <c r="AI83" s="10">
        <f t="shared" si="249"/>
        <v>334.14972241267998</v>
      </c>
      <c r="AJ83" s="10">
        <f t="shared" si="249"/>
        <v>323.72471715024005</v>
      </c>
      <c r="AK83" s="10">
        <f t="shared" si="249"/>
        <v>294.74146620430997</v>
      </c>
      <c r="AL83" s="10">
        <f t="shared" si="249"/>
        <v>436.03952054294001</v>
      </c>
      <c r="AM83" s="10">
        <f t="shared" si="249"/>
        <v>299.51220688051694</v>
      </c>
      <c r="AN83" s="10">
        <f t="shared" si="249"/>
        <v>356.76178470000002</v>
      </c>
      <c r="AO83" s="10">
        <f t="shared" si="249"/>
        <v>272.36226234000003</v>
      </c>
      <c r="AP83" s="10">
        <f t="shared" si="249"/>
        <v>286.88538749999992</v>
      </c>
      <c r="AQ83" s="10">
        <f t="shared" si="249"/>
        <v>401.64304821999997</v>
      </c>
      <c r="AR83" s="10">
        <f t="shared" si="249"/>
        <v>351.15906959999995</v>
      </c>
      <c r="AS83" s="10">
        <f t="shared" si="249"/>
        <v>389.08676099999997</v>
      </c>
      <c r="AT83" s="10">
        <f t="shared" si="249"/>
        <v>0</v>
      </c>
      <c r="AU83" s="10">
        <f t="shared" si="249"/>
        <v>0</v>
      </c>
      <c r="AV83" s="10">
        <f t="shared" si="249"/>
        <v>0</v>
      </c>
      <c r="AW83" s="10">
        <f t="shared" si="249"/>
        <v>0</v>
      </c>
      <c r="AX83" s="10">
        <f t="shared" si="249"/>
        <v>0</v>
      </c>
      <c r="AY83" s="10">
        <f t="shared" si="249"/>
        <v>0</v>
      </c>
      <c r="AZ83" s="10">
        <f t="shared" ref="AZ83:BK83" si="250">SUM(AZ63:AZ82)</f>
        <v>311.28190726195987</v>
      </c>
      <c r="BA83" s="10">
        <f t="shared" si="250"/>
        <v>312.20146883051098</v>
      </c>
      <c r="BB83" s="10">
        <f t="shared" si="250"/>
        <v>314.62041700586292</v>
      </c>
      <c r="BC83" s="10">
        <f t="shared" si="250"/>
        <v>319.61658644481173</v>
      </c>
      <c r="BD83" s="10">
        <f t="shared" si="250"/>
        <v>326.16503464224149</v>
      </c>
      <c r="BE83" s="10">
        <f t="shared" si="250"/>
        <v>331.83818109715514</v>
      </c>
      <c r="BF83" s="10">
        <f t="shared" si="250"/>
        <v>334.85288632236978</v>
      </c>
      <c r="BG83" s="10">
        <f t="shared" si="250"/>
        <v>338.27245797465099</v>
      </c>
      <c r="BH83" s="10">
        <f t="shared" si="250"/>
        <v>343.96679873025965</v>
      </c>
      <c r="BI83" s="10">
        <f t="shared" si="250"/>
        <v>350.66080341982774</v>
      </c>
      <c r="BJ83" s="10">
        <f t="shared" si="250"/>
        <v>355.56881843360748</v>
      </c>
      <c r="BK83" s="10">
        <f t="shared" si="250"/>
        <v>358.00452137775551</v>
      </c>
      <c r="BO83" s="23">
        <f>SUM(BO63:BO82)</f>
        <v>916.0094345399998</v>
      </c>
      <c r="BP83" s="23">
        <f t="shared" ref="BP83:BT83" si="251">SUM(BP63:BP82)</f>
        <v>938.10379309833377</v>
      </c>
      <c r="BQ83" s="23">
        <f t="shared" si="251"/>
        <v>629.12404704000005</v>
      </c>
      <c r="BR83" s="23">
        <f t="shared" si="251"/>
        <v>783.44837243785798</v>
      </c>
      <c r="BS83" s="23">
        <f t="shared" si="251"/>
        <v>1245.817530078494</v>
      </c>
      <c r="BT83" s="23">
        <f t="shared" si="251"/>
        <v>1038.757792060125</v>
      </c>
    </row>
    <row r="86" spans="1:72" hidden="1" outlineLevel="1" x14ac:dyDescent="0.25">
      <c r="A86" s="11" t="s">
        <v>76</v>
      </c>
      <c r="C86" s="2" t="s">
        <v>79</v>
      </c>
      <c r="D86" s="8">
        <f>Renta_Alta!D86+Masivo!D86+Consumo_Inicial!D86</f>
        <v>-1586.9910588143998</v>
      </c>
      <c r="E86" s="8">
        <f>Renta_Alta!E86+Masivo!E86+Consumo_Inicial!E86</f>
        <v>-1556.6910388450001</v>
      </c>
      <c r="F86" s="8">
        <f>Renta_Alta!F86+Masivo!F86+Consumo_Inicial!F86</f>
        <v>-1604.1167516743003</v>
      </c>
      <c r="G86" s="8">
        <f>Renta_Alta!G86+Masivo!G86+Consumo_Inicial!G86</f>
        <v>-1663.1703341297998</v>
      </c>
      <c r="H86" s="8">
        <f>Renta_Alta!H86+Masivo!H86+Consumo_Inicial!H86</f>
        <v>-1672.2142621559999</v>
      </c>
      <c r="I86" s="8">
        <f>Renta_Alta!I86+Masivo!I86+Consumo_Inicial!I86</f>
        <v>-1812.6893748215</v>
      </c>
      <c r="J86" s="8">
        <f>Renta_Alta!J86+Masivo!J86+Consumo_Inicial!J86</f>
        <v>-1455.5654640895</v>
      </c>
      <c r="K86" s="8">
        <f>Renta_Alta!K86+Masivo!K86+Consumo_Inicial!K86</f>
        <v>-1578.0044543643</v>
      </c>
      <c r="L86" s="8">
        <f>Renta_Alta!L86+Masivo!L86+Consumo_Inicial!L86</f>
        <v>-1585.8821222484999</v>
      </c>
      <c r="M86" s="8">
        <f>Renta_Alta!M86+Masivo!M86+Consumo_Inicial!M86</f>
        <v>-1416.2165467998002</v>
      </c>
      <c r="N86" s="8">
        <f>Renta_Alta!N86+Masivo!N86+Consumo_Inicial!N86</f>
        <v>-1441.8826992007</v>
      </c>
      <c r="O86" s="8">
        <f>Renta_Alta!O86+Masivo!O86+Consumo_Inicial!O86</f>
        <v>-1391.4191974392002</v>
      </c>
      <c r="P86" s="8">
        <f>Renta_Alta!P86+Masivo!P86+Consumo_Inicial!P86</f>
        <v>-1328.2458775226</v>
      </c>
      <c r="Q86" s="8">
        <f>Renta_Alta!Q86+Masivo!Q86+Consumo_Inicial!Q86</f>
        <v>-1456.8630491334998</v>
      </c>
      <c r="R86" s="8">
        <f>Renta_Alta!R86+Masivo!R86+Consumo_Inicial!R86</f>
        <v>-1318.8706763528</v>
      </c>
      <c r="S86" s="8">
        <f>Renta_Alta!S86+Masivo!S86+Consumo_Inicial!S86</f>
        <v>-1462.9167246905999</v>
      </c>
      <c r="T86" s="8">
        <f>Renta_Alta!T86+Masivo!T86+Consumo_Inicial!T86</f>
        <v>-1333.7227920963001</v>
      </c>
      <c r="U86" s="8">
        <f>Renta_Alta!U86+Masivo!U86+Consumo_Inicial!U86</f>
        <v>-1297.4864791458999</v>
      </c>
      <c r="V86" s="8">
        <f>Renta_Alta!V86+Masivo!V86+Consumo_Inicial!V86</f>
        <v>-1496.6523018445996</v>
      </c>
      <c r="W86" s="8">
        <f>Renta_Alta!W86+Masivo!W86+Consumo_Inicial!W86</f>
        <v>-1443.2543250877</v>
      </c>
      <c r="X86" s="8">
        <f>Renta_Alta!X86+Masivo!X86+Consumo_Inicial!X86</f>
        <v>-1519.8917898826001</v>
      </c>
      <c r="Y86" s="8">
        <f>Renta_Alta!Y86+Masivo!Y86+Consumo_Inicial!Y86</f>
        <v>-1363.906565346</v>
      </c>
      <c r="Z86" s="8">
        <f>Renta_Alta!Z86+Masivo!Z86+Consumo_Inicial!Z86</f>
        <v>-1262.1657595784002</v>
      </c>
      <c r="AA86" s="8">
        <f>Renta_Alta!AA86+Masivo!AA86+Consumo_Inicial!AA86</f>
        <v>-1376.3416486620999</v>
      </c>
      <c r="AB86" s="8">
        <f>Renta_Alta!AB86+Masivo!AB86+Consumo_Inicial!AB86</f>
        <v>-1276.3557342462</v>
      </c>
      <c r="AC86" s="8">
        <f>Renta_Alta!AC86+Masivo!AC86+Consumo_Inicial!AC86</f>
        <v>-1249.0794840148999</v>
      </c>
      <c r="AD86" s="8">
        <f>Renta_Alta!AD86+Masivo!AD86+Consumo_Inicial!AD86</f>
        <v>-1551.1616114467001</v>
      </c>
      <c r="AE86" s="8">
        <f>Renta_Alta!AE86+Masivo!AE86+Consumo_Inicial!AE86</f>
        <v>-1580.3705844452002</v>
      </c>
      <c r="AF86" s="8">
        <f>Renta_Alta!AF86+Masivo!AF86+Consumo_Inicial!AF86</f>
        <v>-1576.2053616022001</v>
      </c>
      <c r="AG86" s="8">
        <f>Renta_Alta!AG86+Masivo!AG86+Consumo_Inicial!AG86</f>
        <v>-1607.7278637602003</v>
      </c>
      <c r="AH86" s="8">
        <f>Renta_Alta!AH86+Masivo!AH86+Consumo_Inicial!AH86</f>
        <v>-1682.3768122517999</v>
      </c>
      <c r="AI86" s="8">
        <f>Renta_Alta!AI86+Masivo!AI86+Consumo_Inicial!AI86</f>
        <v>-1797.1879267122004</v>
      </c>
      <c r="AJ86" s="8">
        <f>Renta_Alta!AJ86+Masivo!AJ86+Consumo_Inicial!AJ86</f>
        <v>-1502.6017764307001</v>
      </c>
      <c r="AK86" s="8">
        <f>Renta_Alta!AK86+Masivo!AK86+Consumo_Inicial!AK86</f>
        <v>-1489.8220471792001</v>
      </c>
      <c r="AL86" s="8">
        <f>Renta_Alta!AL86+Masivo!AL86+Consumo_Inicial!AL86</f>
        <v>-1478.9397867436001</v>
      </c>
      <c r="AM86" s="8">
        <f>Renta_Alta!AM86+Masivo!AM86+Consumo_Inicial!AM86</f>
        <v>-2176.2899936754998</v>
      </c>
      <c r="AN86" s="8">
        <f>Renta_Alta!AN86+Masivo!AN86+Consumo_Inicial!AN86</f>
        <v>-1579.8793037839</v>
      </c>
      <c r="AO86" s="8">
        <f>Renta_Alta!AO86+Masivo!AO86+Consumo_Inicial!AO86</f>
        <v>-1700.9688967539</v>
      </c>
      <c r="AP86" s="8">
        <f>Renta_Alta!AP86+Masivo!AP86+Consumo_Inicial!AP86</f>
        <v>-1877.3931138141998</v>
      </c>
      <c r="AQ86" s="8">
        <f>Renta_Alta!AQ86+Masivo!AQ86+Consumo_Inicial!AQ86</f>
        <v>-1872.8927261599001</v>
      </c>
      <c r="AR86" s="8">
        <f>Renta_Alta!AR86+Masivo!AR86+Consumo_Inicial!AR86</f>
        <v>-1721.6248801984998</v>
      </c>
      <c r="AS86" s="8">
        <f>Renta_Alta!AS86+Masivo!AS86+Consumo_Inicial!AS86</f>
        <v>-1934.2975316220002</v>
      </c>
      <c r="AT86" s="8">
        <f>Renta_Alta!AT86+Masivo!AT86+Consumo_Inicial!AT86</f>
        <v>0</v>
      </c>
      <c r="AU86" s="8">
        <f>Renta_Alta!AU86+Masivo!AU86+Consumo_Inicial!AU86</f>
        <v>0</v>
      </c>
      <c r="AV86" s="8">
        <f>Renta_Alta!AV86+Masivo!AV86+Consumo_Inicial!AV86</f>
        <v>0</v>
      </c>
      <c r="AW86" s="8">
        <f>Renta_Alta!AW86+Masivo!AW86+Consumo_Inicial!AW86</f>
        <v>0</v>
      </c>
      <c r="AX86" s="8">
        <f>Renta_Alta!AX86+Masivo!AX86+Consumo_Inicial!AX86</f>
        <v>0</v>
      </c>
      <c r="AY86" s="8">
        <f>Renta_Alta!AY86+Masivo!AY86+Consumo_Inicial!AY86</f>
        <v>0</v>
      </c>
      <c r="AZ86" s="8">
        <f>Renta_Alta!AZ86+Masivo!AZ86+Consumo_Inicial!AZ86</f>
        <v>-1672.6957653393001</v>
      </c>
      <c r="BA86" s="8">
        <f>Renta_Alta!BA86+Masivo!BA86+Consumo_Inicial!BA86</f>
        <v>-1635.2227071885002</v>
      </c>
      <c r="BB86" s="8">
        <f>Renta_Alta!BB86+Masivo!BB86+Consumo_Inicial!BB86</f>
        <v>-1679.1421071730999</v>
      </c>
      <c r="BC86" s="8">
        <f>Renta_Alta!BC86+Masivo!BC86+Consumo_Inicial!BC86</f>
        <v>-1691.3017880348002</v>
      </c>
      <c r="BD86" s="8">
        <f>Renta_Alta!BD86+Masivo!BD86+Consumo_Inicial!BD86</f>
        <v>-1746.9666380772999</v>
      </c>
      <c r="BE86" s="8">
        <f>Renta_Alta!BE86+Masivo!BE86+Consumo_Inicial!BE86</f>
        <v>-1854.7230496018001</v>
      </c>
      <c r="BF86" s="8">
        <f>Renta_Alta!BF86+Masivo!BF86+Consumo_Inicial!BF86</f>
        <v>-1720.3027546175999</v>
      </c>
      <c r="BG86" s="8">
        <f>Renta_Alta!BG86+Masivo!BG86+Consumo_Inicial!BG86</f>
        <v>-1774.1045748554002</v>
      </c>
      <c r="BH86" s="8">
        <f>Renta_Alta!BH86+Masivo!BH86+Consumo_Inicial!BH86</f>
        <v>-1822.1833770150999</v>
      </c>
      <c r="BI86" s="8">
        <f>Renta_Alta!BI86+Masivo!BI86+Consumo_Inicial!BI86</f>
        <v>-1756.0767059351001</v>
      </c>
      <c r="BJ86" s="8">
        <f>Renta_Alta!BJ86+Masivo!BJ86+Consumo_Inicial!BJ86</f>
        <v>-1771.1827236030999</v>
      </c>
      <c r="BK86" s="8">
        <f>Renta_Alta!BK86+Masivo!BK86+Consumo_Inicial!BK86</f>
        <v>-1785.5442807024001</v>
      </c>
      <c r="BO86" s="24">
        <f t="shared" ref="BO86:BT88" si="252">SUMIFS($D86:$BM86,$D$6:$BM$6,"&gt;="&amp;BO$2,$D$6:$BM$6,"&lt;="&amp;BO$6,$D$5:$BM$5,BO$5)</f>
        <v>-5158.2413143519998</v>
      </c>
      <c r="BP86" s="24">
        <f t="shared" si="252"/>
        <v>-4987.0605797009002</v>
      </c>
      <c r="BQ86" s="24">
        <f t="shared" si="252"/>
        <v>-3280.8482005378</v>
      </c>
      <c r="BR86" s="24">
        <f t="shared" si="252"/>
        <v>-4076.5968297078002</v>
      </c>
      <c r="BS86" s="24">
        <f t="shared" si="252"/>
        <v>-4103.9796030089001</v>
      </c>
      <c r="BT86" s="24">
        <f t="shared" si="252"/>
        <v>-4747.7988493336998</v>
      </c>
    </row>
    <row r="87" spans="1:72" hidden="1" outlineLevel="1" x14ac:dyDescent="0.25">
      <c r="A87" s="11" t="s">
        <v>76</v>
      </c>
      <c r="C87" s="2" t="s">
        <v>78</v>
      </c>
      <c r="D87" s="8">
        <f>Renta_Alta!D87+Masivo!D87+Consumo_Inicial!D87</f>
        <v>-1021.2752175117</v>
      </c>
      <c r="E87" s="8">
        <f>Renta_Alta!E87+Masivo!E87+Consumo_Inicial!E87</f>
        <v>-1040.6650547844997</v>
      </c>
      <c r="F87" s="8">
        <f>Renta_Alta!F87+Masivo!F87+Consumo_Inicial!F87</f>
        <v>-1206.6795354897001</v>
      </c>
      <c r="G87" s="8">
        <f>Renta_Alta!G87+Masivo!G87+Consumo_Inicial!G87</f>
        <v>-1056.4030830422</v>
      </c>
      <c r="H87" s="8">
        <f>Renta_Alta!H87+Masivo!H87+Consumo_Inicial!H87</f>
        <v>-1175.5128051518</v>
      </c>
      <c r="I87" s="8">
        <f>Renta_Alta!I87+Masivo!I87+Consumo_Inicial!I87</f>
        <v>-1085.0360034831999</v>
      </c>
      <c r="J87" s="8">
        <f>Renta_Alta!J87+Masivo!J87+Consumo_Inicial!J87</f>
        <v>-1003.5387291474999</v>
      </c>
      <c r="K87" s="8">
        <f>Renta_Alta!K87+Masivo!K87+Consumo_Inicial!K87</f>
        <v>-1063.3875675959</v>
      </c>
      <c r="L87" s="8">
        <f>Renta_Alta!L87+Masivo!L87+Consumo_Inicial!L87</f>
        <v>-988.21946941940007</v>
      </c>
      <c r="M87" s="8">
        <f>Renta_Alta!M87+Masivo!M87+Consumo_Inicial!M87</f>
        <v>-923.36399646929999</v>
      </c>
      <c r="N87" s="8">
        <f>Renta_Alta!N87+Masivo!N87+Consumo_Inicial!N87</f>
        <v>-923.46817403929992</v>
      </c>
      <c r="O87" s="8">
        <f>Renta_Alta!O87+Masivo!O87+Consumo_Inicial!O87</f>
        <v>-888.04203176139993</v>
      </c>
      <c r="P87" s="8">
        <f>Renta_Alta!P87+Masivo!P87+Consumo_Inicial!P87</f>
        <v>-1078.6393536660999</v>
      </c>
      <c r="Q87" s="8">
        <f>Renta_Alta!Q87+Masivo!Q87+Consumo_Inicial!Q87</f>
        <v>-1001.6857515458</v>
      </c>
      <c r="R87" s="8">
        <f>Renta_Alta!R87+Masivo!R87+Consumo_Inicial!R87</f>
        <v>-1017.2740078141999</v>
      </c>
      <c r="S87" s="8">
        <f>Renta_Alta!S87+Masivo!S87+Consumo_Inicial!S87</f>
        <v>-1001.4470855104</v>
      </c>
      <c r="T87" s="8">
        <f>Renta_Alta!T87+Masivo!T87+Consumo_Inicial!T87</f>
        <v>-1018.1917210772</v>
      </c>
      <c r="U87" s="8">
        <f>Renta_Alta!U87+Masivo!U87+Consumo_Inicial!U87</f>
        <v>-878.43067401889994</v>
      </c>
      <c r="V87" s="8">
        <f>Renta_Alta!V87+Masivo!V87+Consumo_Inicial!V87</f>
        <v>-1062.4672563624999</v>
      </c>
      <c r="W87" s="8">
        <f>Renta_Alta!W87+Masivo!W87+Consumo_Inicial!W87</f>
        <v>-1030.8455206794999</v>
      </c>
      <c r="X87" s="8">
        <f>Renta_Alta!X87+Masivo!X87+Consumo_Inicial!X87</f>
        <v>-1008.2874483482001</v>
      </c>
      <c r="Y87" s="8">
        <f>Renta_Alta!Y87+Masivo!Y87+Consumo_Inicial!Y87</f>
        <v>-1030.3384797006001</v>
      </c>
      <c r="Z87" s="8">
        <f>Renta_Alta!Z87+Masivo!Z87+Consumo_Inicial!Z87</f>
        <v>-947.95057029930001</v>
      </c>
      <c r="AA87" s="8">
        <f>Renta_Alta!AA87+Masivo!AA87+Consumo_Inicial!AA87</f>
        <v>-889.76943482000013</v>
      </c>
      <c r="AB87" s="8">
        <f>Renta_Alta!AB87+Masivo!AB87+Consumo_Inicial!AB87</f>
        <v>-1019.3522051528</v>
      </c>
      <c r="AC87" s="8">
        <f>Renta_Alta!AC87+Masivo!AC87+Consumo_Inicial!AC87</f>
        <v>-945.72358603990017</v>
      </c>
      <c r="AD87" s="8">
        <f>Renta_Alta!AD87+Masivo!AD87+Consumo_Inicial!AD87</f>
        <v>-1011.9328746947001</v>
      </c>
      <c r="AE87" s="8">
        <f>Renta_Alta!AE87+Masivo!AE87+Consumo_Inicial!AE87</f>
        <v>-938.41728998300005</v>
      </c>
      <c r="AF87" s="8">
        <f>Renta_Alta!AF87+Masivo!AF87+Consumo_Inicial!AF87</f>
        <v>-982.12897005240006</v>
      </c>
      <c r="AG87" s="8">
        <f>Renta_Alta!AG87+Masivo!AG87+Consumo_Inicial!AG87</f>
        <v>-924.62651588150015</v>
      </c>
      <c r="AH87" s="8">
        <f>Renta_Alta!AH87+Masivo!AH87+Consumo_Inicial!AH87</f>
        <v>-955.68015949209996</v>
      </c>
      <c r="AI87" s="8">
        <f>Renta_Alta!AI87+Masivo!AI87+Consumo_Inicial!AI87</f>
        <v>-924.85692413200013</v>
      </c>
      <c r="AJ87" s="8">
        <f>Renta_Alta!AJ87+Masivo!AJ87+Consumo_Inicial!AJ87</f>
        <v>-856.5087420758</v>
      </c>
      <c r="AK87" s="8">
        <f>Renta_Alta!AK87+Masivo!AK87+Consumo_Inicial!AK87</f>
        <v>-892.16828355869995</v>
      </c>
      <c r="AL87" s="8">
        <f>Renta_Alta!AL87+Masivo!AL87+Consumo_Inicial!AL87</f>
        <v>-832.26649074750003</v>
      </c>
      <c r="AM87" s="8">
        <f>Renta_Alta!AM87+Masivo!AM87+Consumo_Inicial!AM87</f>
        <v>-830.73080488159997</v>
      </c>
      <c r="AN87" s="8">
        <f>Renta_Alta!AN87+Masivo!AN87+Consumo_Inicial!AN87</f>
        <v>-972.97751487459982</v>
      </c>
      <c r="AO87" s="8">
        <f>Renta_Alta!AO87+Masivo!AO87+Consumo_Inicial!AO87</f>
        <v>-1131.4858148684002</v>
      </c>
      <c r="AP87" s="8">
        <f>Renta_Alta!AP87+Masivo!AP87+Consumo_Inicial!AP87</f>
        <v>-1140.0579918296</v>
      </c>
      <c r="AQ87" s="8">
        <f>Renta_Alta!AQ87+Masivo!AQ87+Consumo_Inicial!AQ87</f>
        <v>-1285.1194484157998</v>
      </c>
      <c r="AR87" s="8">
        <f>Renta_Alta!AR87+Masivo!AR87+Consumo_Inicial!AR87</f>
        <v>-1187.9190301853002</v>
      </c>
      <c r="AS87" s="8">
        <f>Renta_Alta!AS87+Masivo!AS87+Consumo_Inicial!AS87</f>
        <v>-1196.8395294824002</v>
      </c>
      <c r="AT87" s="8">
        <f>Renta_Alta!AT87+Masivo!AT87+Consumo_Inicial!AT87</f>
        <v>0</v>
      </c>
      <c r="AU87" s="8">
        <f>Renta_Alta!AU87+Masivo!AU87+Consumo_Inicial!AU87</f>
        <v>0</v>
      </c>
      <c r="AV87" s="8">
        <f>Renta_Alta!AV87+Masivo!AV87+Consumo_Inicial!AV87</f>
        <v>0</v>
      </c>
      <c r="AW87" s="8">
        <f>Renta_Alta!AW87+Masivo!AW87+Consumo_Inicial!AW87</f>
        <v>0</v>
      </c>
      <c r="AX87" s="8">
        <f>Renta_Alta!AX87+Masivo!AX87+Consumo_Inicial!AX87</f>
        <v>0</v>
      </c>
      <c r="AY87" s="8">
        <f>Renta_Alta!AY87+Masivo!AY87+Consumo_Inicial!AY87</f>
        <v>0</v>
      </c>
      <c r="AZ87" s="8">
        <f>Renta_Alta!AZ87+Masivo!AZ87+Consumo_Inicial!AZ87</f>
        <v>-1051.3677139423</v>
      </c>
      <c r="BA87" s="8">
        <f>Renta_Alta!BA87+Masivo!BA87+Consumo_Inicial!BA87</f>
        <v>-1043.4154580769</v>
      </c>
      <c r="BB87" s="8">
        <f>Renta_Alta!BB87+Masivo!BB87+Consumo_Inicial!BB87</f>
        <v>-1098.7537074939999</v>
      </c>
      <c r="BC87" s="8">
        <f>Renta_Alta!BC87+Masivo!BC87+Consumo_Inicial!BC87</f>
        <v>-1083.5533589948</v>
      </c>
      <c r="BD87" s="8">
        <f>Renta_Alta!BD87+Masivo!BD87+Consumo_Inicial!BD87</f>
        <v>-1105.4081825198</v>
      </c>
      <c r="BE87" s="8">
        <f>Renta_Alta!BE87+Masivo!BE87+Consumo_Inicial!BE87</f>
        <v>-1108.1063382494001</v>
      </c>
      <c r="BF87" s="8">
        <f>Renta_Alta!BF87+Masivo!BF87+Consumo_Inicial!BF87</f>
        <v>-1073.0746574705001</v>
      </c>
      <c r="BG87" s="8">
        <f>Renta_Alta!BG87+Masivo!BG87+Consumo_Inicial!BG87</f>
        <v>-1081.7586833217999</v>
      </c>
      <c r="BH87" s="8">
        <f>Renta_Alta!BH87+Masivo!BH87+Consumo_Inicial!BH87</f>
        <v>-1094.378324323</v>
      </c>
      <c r="BI87" s="8">
        <f>Renta_Alta!BI87+Masivo!BI87+Consumo_Inicial!BI87</f>
        <v>-1102.4807325936999</v>
      </c>
      <c r="BJ87" s="8">
        <f>Renta_Alta!BJ87+Masivo!BJ87+Consumo_Inicial!BJ87</f>
        <v>-1095.3576007524</v>
      </c>
      <c r="BK87" s="8">
        <f>Renta_Alta!BK87+Masivo!BK87+Consumo_Inicial!BK87</f>
        <v>-1089.6759384069001</v>
      </c>
      <c r="BO87" s="24">
        <f t="shared" si="252"/>
        <v>-3244.5213215725998</v>
      </c>
      <c r="BP87" s="24">
        <f t="shared" si="252"/>
        <v>-3193.5368795131999</v>
      </c>
      <c r="BQ87" s="24">
        <f t="shared" si="252"/>
        <v>-2104.463329743</v>
      </c>
      <c r="BR87" s="24">
        <f t="shared" si="252"/>
        <v>-2977.0086658874006</v>
      </c>
      <c r="BS87" s="24">
        <f t="shared" si="252"/>
        <v>-3097.5991130261</v>
      </c>
      <c r="BT87" s="24">
        <f t="shared" si="252"/>
        <v>-3268.6198077858999</v>
      </c>
    </row>
    <row r="88" spans="1:72" hidden="1" outlineLevel="1" x14ac:dyDescent="0.25">
      <c r="A88" s="11" t="s">
        <v>76</v>
      </c>
      <c r="C88" s="2" t="s">
        <v>80</v>
      </c>
      <c r="D88" s="8">
        <f>Renta_Alta!D88+Masivo!D88+Consumo_Inicial!D88</f>
        <v>-1883.8883187803001</v>
      </c>
      <c r="E88" s="8">
        <f>Renta_Alta!E88+Masivo!E88+Consumo_Inicial!E88</f>
        <v>-2135.6845992834001</v>
      </c>
      <c r="F88" s="8">
        <f>Renta_Alta!F88+Masivo!F88+Consumo_Inicial!F88</f>
        <v>-1952.7376119901</v>
      </c>
      <c r="G88" s="8">
        <f>Renta_Alta!G88+Masivo!G88+Consumo_Inicial!G88</f>
        <v>-2095.1783098526003</v>
      </c>
      <c r="H88" s="8">
        <f>Renta_Alta!H88+Masivo!H88+Consumo_Inicial!H88</f>
        <v>-2024.7599423414997</v>
      </c>
      <c r="I88" s="8">
        <f>Renta_Alta!I88+Masivo!I88+Consumo_Inicial!I88</f>
        <v>-1876.4754309111001</v>
      </c>
      <c r="J88" s="8">
        <f>Renta_Alta!J88+Masivo!J88+Consumo_Inicial!J88</f>
        <v>-2208.4679172849001</v>
      </c>
      <c r="K88" s="8">
        <f>Renta_Alta!K88+Masivo!K88+Consumo_Inicial!K88</f>
        <v>-1911.1280180474998</v>
      </c>
      <c r="L88" s="8">
        <f>Renta_Alta!L88+Masivo!L88+Consumo_Inicial!L88</f>
        <v>-2062.9174386625</v>
      </c>
      <c r="M88" s="8">
        <f>Renta_Alta!M88+Masivo!M88+Consumo_Inicial!M88</f>
        <v>-2031.1317775990003</v>
      </c>
      <c r="N88" s="8">
        <f>Renta_Alta!N88+Masivo!N88+Consumo_Inicial!N88</f>
        <v>-2283.6609333232</v>
      </c>
      <c r="O88" s="8">
        <f>Renta_Alta!O88+Masivo!O88+Consumo_Inicial!O88</f>
        <v>-1930.2544888133</v>
      </c>
      <c r="P88" s="8">
        <f>Renta_Alta!P88+Masivo!P88+Consumo_Inicial!P88</f>
        <v>-1867.7237373877997</v>
      </c>
      <c r="Q88" s="8">
        <f>Renta_Alta!Q88+Masivo!Q88+Consumo_Inicial!Q88</f>
        <v>-1956.4702813095</v>
      </c>
      <c r="R88" s="8">
        <f>Renta_Alta!R88+Masivo!R88+Consumo_Inicial!R88</f>
        <v>-1849.5380798900001</v>
      </c>
      <c r="S88" s="8">
        <f>Renta_Alta!S88+Masivo!S88+Consumo_Inicial!S88</f>
        <v>-1968.2290923538999</v>
      </c>
      <c r="T88" s="8">
        <f>Renta_Alta!T88+Masivo!T88+Consumo_Inicial!T88</f>
        <v>-2305.7224476409001</v>
      </c>
      <c r="U88" s="8">
        <f>Renta_Alta!U88+Masivo!U88+Consumo_Inicial!U88</f>
        <v>-3169.8167832846002</v>
      </c>
      <c r="V88" s="8">
        <f>Renta_Alta!V88+Masivo!V88+Consumo_Inicial!V88</f>
        <v>-2736.1897240722001</v>
      </c>
      <c r="W88" s="8">
        <f>Renta_Alta!W88+Masivo!W88+Consumo_Inicial!W88</f>
        <v>-2311.7629717005998</v>
      </c>
      <c r="X88" s="8">
        <f>Renta_Alta!X88+Masivo!X88+Consumo_Inicial!X88</f>
        <v>-2137.6925521373</v>
      </c>
      <c r="Y88" s="8">
        <f>Renta_Alta!Y88+Masivo!Y88+Consumo_Inicial!Y88</f>
        <v>-2018.8014483191</v>
      </c>
      <c r="Z88" s="8">
        <f>Renta_Alta!Z88+Masivo!Z88+Consumo_Inicial!Z88</f>
        <v>-2173.2822143983999</v>
      </c>
      <c r="AA88" s="8">
        <f>Renta_Alta!AA88+Masivo!AA88+Consumo_Inicial!AA88</f>
        <v>-2096.2855130801004</v>
      </c>
      <c r="AB88" s="8">
        <f>Renta_Alta!AB88+Masivo!AB88+Consumo_Inicial!AB88</f>
        <v>-2313.7181720812</v>
      </c>
      <c r="AC88" s="8">
        <f>Renta_Alta!AC88+Masivo!AC88+Consumo_Inicial!AC88</f>
        <v>-1938.3283367798003</v>
      </c>
      <c r="AD88" s="8">
        <f>Renta_Alta!AD88+Masivo!AD88+Consumo_Inicial!AD88</f>
        <v>-2089.8883320753002</v>
      </c>
      <c r="AE88" s="8">
        <f>Renta_Alta!AE88+Masivo!AE88+Consumo_Inicial!AE88</f>
        <v>-2087.5540446598002</v>
      </c>
      <c r="AF88" s="8">
        <f>Renta_Alta!AF88+Masivo!AF88+Consumo_Inicial!AF88</f>
        <v>-2185.3175340243997</v>
      </c>
      <c r="AG88" s="8">
        <f>Renta_Alta!AG88+Masivo!AG88+Consumo_Inicial!AG88</f>
        <v>-2223.6253782657996</v>
      </c>
      <c r="AH88" s="8">
        <f>Renta_Alta!AH88+Masivo!AH88+Consumo_Inicial!AH88</f>
        <v>-2128.3566175000001</v>
      </c>
      <c r="AI88" s="8">
        <f>Renta_Alta!AI88+Masivo!AI88+Consumo_Inicial!AI88</f>
        <v>-2157.7223405218001</v>
      </c>
      <c r="AJ88" s="8">
        <f>Renta_Alta!AJ88+Masivo!AJ88+Consumo_Inicial!AJ88</f>
        <v>-2291.9190962748003</v>
      </c>
      <c r="AK88" s="8">
        <f>Renta_Alta!AK88+Masivo!AK88+Consumo_Inicial!AK88</f>
        <v>-2006.9006405109001</v>
      </c>
      <c r="AL88" s="8">
        <f>Renta_Alta!AL88+Masivo!AL88+Consumo_Inicial!AL88</f>
        <v>-2451.5378302406993</v>
      </c>
      <c r="AM88" s="8">
        <f>Renta_Alta!AM88+Masivo!AM88+Consumo_Inicial!AM88</f>
        <v>-2261.6814559266004</v>
      </c>
      <c r="AN88" s="8">
        <f>Renta_Alta!AN88+Masivo!AN88+Consumo_Inicial!AN88</f>
        <v>-2658.4325645864005</v>
      </c>
      <c r="AO88" s="8">
        <f>Renta_Alta!AO88+Masivo!AO88+Consumo_Inicial!AO88</f>
        <v>-2465.9749832319999</v>
      </c>
      <c r="AP88" s="8">
        <f>Renta_Alta!AP88+Masivo!AP88+Consumo_Inicial!AP88</f>
        <v>-2551.3516253045</v>
      </c>
      <c r="AQ88" s="8">
        <f>Renta_Alta!AQ88+Masivo!AQ88+Consumo_Inicial!AQ88</f>
        <v>-2762.3450899107997</v>
      </c>
      <c r="AR88" s="8">
        <f>Renta_Alta!AR88+Masivo!AR88+Consumo_Inicial!AR88</f>
        <v>-2353.2866959533003</v>
      </c>
      <c r="AS88" s="8">
        <f>Renta_Alta!AS88+Masivo!AS88+Consumo_Inicial!AS88</f>
        <v>-2727.7928559447</v>
      </c>
      <c r="AT88" s="8">
        <f>Renta_Alta!AT88+Masivo!AT88+Consumo_Inicial!AT88</f>
        <v>0</v>
      </c>
      <c r="AU88" s="8">
        <f>Renta_Alta!AU88+Masivo!AU88+Consumo_Inicial!AU88</f>
        <v>0</v>
      </c>
      <c r="AV88" s="8">
        <f>Renta_Alta!AV88+Masivo!AV88+Consumo_Inicial!AV88</f>
        <v>0</v>
      </c>
      <c r="AW88" s="8">
        <f>Renta_Alta!AW88+Masivo!AW88+Consumo_Inicial!AW88</f>
        <v>0</v>
      </c>
      <c r="AX88" s="8">
        <f>Renta_Alta!AX88+Masivo!AX88+Consumo_Inicial!AX88</f>
        <v>0</v>
      </c>
      <c r="AY88" s="8">
        <f>Renta_Alta!AY88+Masivo!AY88+Consumo_Inicial!AY88</f>
        <v>0</v>
      </c>
      <c r="AZ88" s="8">
        <f>Renta_Alta!AZ88+Masivo!AZ88+Consumo_Inicial!AZ88</f>
        <v>-2496.5013163584999</v>
      </c>
      <c r="BA88" s="8">
        <f>Renta_Alta!BA88+Masivo!BA88+Consumo_Inicial!BA88</f>
        <v>-2483.5987737896999</v>
      </c>
      <c r="BB88" s="8">
        <f>Renta_Alta!BB88+Masivo!BB88+Consumo_Inicial!BB88</f>
        <v>-2537.0327490956997</v>
      </c>
      <c r="BC88" s="8">
        <f>Renta_Alta!BC88+Masivo!BC88+Consumo_Inicial!BC88</f>
        <v>-2481.9518770505001</v>
      </c>
      <c r="BD88" s="8">
        <f>Renta_Alta!BD88+Masivo!BD88+Consumo_Inicial!BD88</f>
        <v>-2572.4037578942998</v>
      </c>
      <c r="BE88" s="8">
        <f>Renta_Alta!BE88+Masivo!BE88+Consumo_Inicial!BE88</f>
        <v>-2638.0634071227996</v>
      </c>
      <c r="BF88" s="8">
        <f>Renta_Alta!BF88+Masivo!BF88+Consumo_Inicial!BF88</f>
        <v>-2560.6247239502</v>
      </c>
      <c r="BG88" s="8">
        <f>Renta_Alta!BG88+Masivo!BG88+Consumo_Inicial!BG88</f>
        <v>-2548.3113143508999</v>
      </c>
      <c r="BH88" s="8">
        <f>Renta_Alta!BH88+Masivo!BH88+Consumo_Inicial!BH88</f>
        <v>-2730.7651160895998</v>
      </c>
      <c r="BI88" s="8">
        <f>Renta_Alta!BI88+Masivo!BI88+Consumo_Inicial!BI88</f>
        <v>-2638.0432461431001</v>
      </c>
      <c r="BJ88" s="8">
        <f>Renta_Alta!BJ88+Masivo!BJ88+Consumo_Inicial!BJ88</f>
        <v>-2613.6491601224998</v>
      </c>
      <c r="BK88" s="8">
        <f>Renta_Alta!BK88+Masivo!BK88+Consumo_Inicial!BK88</f>
        <v>-2653.9272044704003</v>
      </c>
      <c r="BO88" s="24">
        <f t="shared" si="252"/>
        <v>-7675.7591731229004</v>
      </c>
      <c r="BP88" s="24">
        <f t="shared" si="252"/>
        <v>-7517.1328392439</v>
      </c>
      <c r="BQ88" s="24">
        <f t="shared" si="252"/>
        <v>-5124.4075478184004</v>
      </c>
      <c r="BR88" s="24">
        <f t="shared" si="252"/>
        <v>-6341.9348409363001</v>
      </c>
      <c r="BS88" s="24">
        <f t="shared" si="252"/>
        <v>-5673.7320985872993</v>
      </c>
      <c r="BT88" s="24">
        <f t="shared" si="252"/>
        <v>-5972.3105300538</v>
      </c>
    </row>
    <row r="89" spans="1:72" collapsed="1" x14ac:dyDescent="0.25">
      <c r="C89" s="3" t="s">
        <v>76</v>
      </c>
      <c r="D89" s="10">
        <f>SUM(D86:D88)</f>
        <v>-4492.1545951063999</v>
      </c>
      <c r="E89" s="10">
        <f t="shared" ref="E89:AY89" si="253">SUM(E86:E88)</f>
        <v>-4733.0406929129003</v>
      </c>
      <c r="F89" s="10">
        <f t="shared" si="253"/>
        <v>-4763.5338991541003</v>
      </c>
      <c r="G89" s="10">
        <f t="shared" si="253"/>
        <v>-4814.7517270245999</v>
      </c>
      <c r="H89" s="10">
        <f t="shared" si="253"/>
        <v>-4872.4870096492996</v>
      </c>
      <c r="I89" s="10">
        <f t="shared" si="253"/>
        <v>-4774.2008092158003</v>
      </c>
      <c r="J89" s="10">
        <f t="shared" si="253"/>
        <v>-4667.5721105219</v>
      </c>
      <c r="K89" s="10">
        <f t="shared" si="253"/>
        <v>-4552.5200400077001</v>
      </c>
      <c r="L89" s="10">
        <f t="shared" si="253"/>
        <v>-4637.0190303303998</v>
      </c>
      <c r="M89" s="10">
        <f t="shared" si="253"/>
        <v>-4370.7123208681005</v>
      </c>
      <c r="N89" s="10">
        <f t="shared" si="253"/>
        <v>-4649.0118065631996</v>
      </c>
      <c r="O89" s="10">
        <f t="shared" si="253"/>
        <v>-4209.7157180139002</v>
      </c>
      <c r="P89" s="10">
        <f t="shared" si="253"/>
        <v>-4274.6089685765</v>
      </c>
      <c r="Q89" s="10">
        <f t="shared" si="253"/>
        <v>-4415.0190819887994</v>
      </c>
      <c r="R89" s="10">
        <f t="shared" si="253"/>
        <v>-4185.682764057</v>
      </c>
      <c r="S89" s="10">
        <f t="shared" si="253"/>
        <v>-4432.5929025548994</v>
      </c>
      <c r="T89" s="10">
        <f t="shared" si="253"/>
        <v>-4657.6369608143996</v>
      </c>
      <c r="U89" s="10">
        <f t="shared" si="253"/>
        <v>-5345.7339364494001</v>
      </c>
      <c r="V89" s="10">
        <f t="shared" si="253"/>
        <v>-5295.3092822792996</v>
      </c>
      <c r="W89" s="10">
        <f t="shared" si="253"/>
        <v>-4785.8628174677997</v>
      </c>
      <c r="X89" s="10">
        <f t="shared" si="253"/>
        <v>-4665.8717903681008</v>
      </c>
      <c r="Y89" s="10">
        <f t="shared" si="253"/>
        <v>-4413.0464933657004</v>
      </c>
      <c r="Z89" s="10">
        <f t="shared" si="253"/>
        <v>-4383.3985442761004</v>
      </c>
      <c r="AA89" s="10">
        <f t="shared" si="253"/>
        <v>-4362.396596562201</v>
      </c>
      <c r="AB89" s="10">
        <f t="shared" si="253"/>
        <v>-4609.4261114801993</v>
      </c>
      <c r="AC89" s="10">
        <f t="shared" si="253"/>
        <v>-4133.1314068346001</v>
      </c>
      <c r="AD89" s="10">
        <f t="shared" si="253"/>
        <v>-4652.9828182167003</v>
      </c>
      <c r="AE89" s="10">
        <f t="shared" si="253"/>
        <v>-4606.3419190880004</v>
      </c>
      <c r="AF89" s="10">
        <f t="shared" si="253"/>
        <v>-4743.6518656789995</v>
      </c>
      <c r="AG89" s="10">
        <f t="shared" si="253"/>
        <v>-4755.9797579075002</v>
      </c>
      <c r="AH89" s="10">
        <f t="shared" si="253"/>
        <v>-4766.4135892438999</v>
      </c>
      <c r="AI89" s="10">
        <f t="shared" si="253"/>
        <v>-4879.7671913660006</v>
      </c>
      <c r="AJ89" s="10">
        <f t="shared" si="253"/>
        <v>-4651.0296147813006</v>
      </c>
      <c r="AK89" s="10">
        <f t="shared" si="253"/>
        <v>-4388.8909712488003</v>
      </c>
      <c r="AL89" s="10">
        <f t="shared" si="253"/>
        <v>-4762.7441077317999</v>
      </c>
      <c r="AM89" s="10">
        <f t="shared" si="253"/>
        <v>-5268.7022544837</v>
      </c>
      <c r="AN89" s="10">
        <f t="shared" si="253"/>
        <v>-5211.2893832449008</v>
      </c>
      <c r="AO89" s="10">
        <f t="shared" si="253"/>
        <v>-5298.4296948542997</v>
      </c>
      <c r="AP89" s="10">
        <f t="shared" si="253"/>
        <v>-5568.8027309482995</v>
      </c>
      <c r="AQ89" s="10">
        <f t="shared" si="253"/>
        <v>-5920.3572644864998</v>
      </c>
      <c r="AR89" s="10">
        <f t="shared" si="253"/>
        <v>-5262.8306063371001</v>
      </c>
      <c r="AS89" s="10">
        <f t="shared" si="253"/>
        <v>-5858.9299170491004</v>
      </c>
      <c r="AT89" s="10">
        <f t="shared" si="253"/>
        <v>0</v>
      </c>
      <c r="AU89" s="10">
        <f t="shared" si="253"/>
        <v>0</v>
      </c>
      <c r="AV89" s="10">
        <f t="shared" si="253"/>
        <v>0</v>
      </c>
      <c r="AW89" s="10">
        <f t="shared" si="253"/>
        <v>0</v>
      </c>
      <c r="AX89" s="10">
        <f t="shared" si="253"/>
        <v>0</v>
      </c>
      <c r="AY89" s="10">
        <f t="shared" si="253"/>
        <v>0</v>
      </c>
      <c r="AZ89" s="10">
        <f t="shared" ref="AZ89:BK89" si="254">SUM(AZ86:AZ88)</f>
        <v>-5220.5647956400999</v>
      </c>
      <c r="BA89" s="10">
        <f t="shared" si="254"/>
        <v>-5162.2369390550994</v>
      </c>
      <c r="BB89" s="10">
        <f t="shared" si="254"/>
        <v>-5314.9285637628</v>
      </c>
      <c r="BC89" s="10">
        <f t="shared" si="254"/>
        <v>-5256.8070240801007</v>
      </c>
      <c r="BD89" s="10">
        <f t="shared" si="254"/>
        <v>-5424.7785784913995</v>
      </c>
      <c r="BE89" s="10">
        <f t="shared" si="254"/>
        <v>-5600.892794974</v>
      </c>
      <c r="BF89" s="10">
        <f t="shared" si="254"/>
        <v>-5354.0021360382998</v>
      </c>
      <c r="BG89" s="10">
        <f t="shared" si="254"/>
        <v>-5404.1745725280998</v>
      </c>
      <c r="BH89" s="10">
        <f t="shared" si="254"/>
        <v>-5647.3268174277</v>
      </c>
      <c r="BI89" s="10">
        <f t="shared" si="254"/>
        <v>-5496.6006846719001</v>
      </c>
      <c r="BJ89" s="10">
        <f t="shared" si="254"/>
        <v>-5480.1894844779999</v>
      </c>
      <c r="BK89" s="10">
        <f t="shared" si="254"/>
        <v>-5529.1474235797004</v>
      </c>
      <c r="BO89" s="23">
        <f t="shared" ref="BO89:BT89" si="255">SUM(BO86:BO88)</f>
        <v>-16078.521809047499</v>
      </c>
      <c r="BP89" s="23">
        <f t="shared" si="255"/>
        <v>-15697.730298458</v>
      </c>
      <c r="BQ89" s="23">
        <f t="shared" si="255"/>
        <v>-10509.7190780992</v>
      </c>
      <c r="BR89" s="23">
        <f t="shared" si="255"/>
        <v>-13395.5403365315</v>
      </c>
      <c r="BS89" s="23">
        <f t="shared" si="255"/>
        <v>-12875.310814622298</v>
      </c>
      <c r="BT89" s="23">
        <f t="shared" si="255"/>
        <v>-13988.7291871734</v>
      </c>
    </row>
    <row r="91" spans="1:72" hidden="1" outlineLevel="1" x14ac:dyDescent="0.25">
      <c r="A91" s="11" t="s">
        <v>81</v>
      </c>
      <c r="C91" s="2" t="s">
        <v>85</v>
      </c>
      <c r="D91" s="8">
        <f>Renta_Alta!D91+Masivo!D91+Consumo_Inicial!D91</f>
        <v>0</v>
      </c>
      <c r="E91" s="8">
        <f>Renta_Alta!E91+Masivo!E91+Consumo_Inicial!E91</f>
        <v>0</v>
      </c>
      <c r="F91" s="8">
        <f>Renta_Alta!F91+Masivo!F91+Consumo_Inicial!F91</f>
        <v>0</v>
      </c>
      <c r="G91" s="8">
        <f>Renta_Alta!G91+Masivo!G91+Consumo_Inicial!G91</f>
        <v>0</v>
      </c>
      <c r="H91" s="8">
        <f>Renta_Alta!H91+Masivo!H91+Consumo_Inicial!H91</f>
        <v>0</v>
      </c>
      <c r="I91" s="8">
        <f>Renta_Alta!I91+Masivo!I91+Consumo_Inicial!I91</f>
        <v>0</v>
      </c>
      <c r="J91" s="8">
        <f>Renta_Alta!J91+Masivo!J91+Consumo_Inicial!J91</f>
        <v>0</v>
      </c>
      <c r="K91" s="8">
        <f>Renta_Alta!K91+Masivo!K91+Consumo_Inicial!K91</f>
        <v>0</v>
      </c>
      <c r="L91" s="8">
        <f>Renta_Alta!L91+Masivo!L91+Consumo_Inicial!L91</f>
        <v>0</v>
      </c>
      <c r="M91" s="8">
        <f>Renta_Alta!M91+Masivo!M91+Consumo_Inicial!M91</f>
        <v>0</v>
      </c>
      <c r="N91" s="8">
        <f>Renta_Alta!N91+Masivo!N91+Consumo_Inicial!N91</f>
        <v>0</v>
      </c>
      <c r="O91" s="8">
        <f>Renta_Alta!O91+Masivo!O91+Consumo_Inicial!O91</f>
        <v>0</v>
      </c>
      <c r="P91" s="8">
        <f>Renta_Alta!P91+Masivo!P91+Consumo_Inicial!P91</f>
        <v>0</v>
      </c>
      <c r="Q91" s="8">
        <f>Renta_Alta!Q91+Masivo!Q91+Consumo_Inicial!Q91</f>
        <v>0</v>
      </c>
      <c r="R91" s="8">
        <f>Renta_Alta!R91+Masivo!R91+Consumo_Inicial!R91</f>
        <v>0</v>
      </c>
      <c r="S91" s="8">
        <f>Renta_Alta!S91+Masivo!S91+Consumo_Inicial!S91</f>
        <v>0</v>
      </c>
      <c r="T91" s="8">
        <f>Renta_Alta!T91+Masivo!T91+Consumo_Inicial!T91</f>
        <v>0</v>
      </c>
      <c r="U91" s="8">
        <f>Renta_Alta!U91+Masivo!U91+Consumo_Inicial!U91</f>
        <v>0</v>
      </c>
      <c r="V91" s="8">
        <f>Renta_Alta!V91+Masivo!V91+Consumo_Inicial!V91</f>
        <v>0</v>
      </c>
      <c r="W91" s="8">
        <f>Renta_Alta!W91+Masivo!W91+Consumo_Inicial!W91</f>
        <v>0</v>
      </c>
      <c r="X91" s="8">
        <f>Renta_Alta!X91+Masivo!X91+Consumo_Inicial!X91</f>
        <v>0</v>
      </c>
      <c r="Y91" s="8">
        <f>Renta_Alta!Y91+Masivo!Y91+Consumo_Inicial!Y91</f>
        <v>0</v>
      </c>
      <c r="Z91" s="8">
        <f>Renta_Alta!Z91+Masivo!Z91+Consumo_Inicial!Z91</f>
        <v>0</v>
      </c>
      <c r="AA91" s="8">
        <f>Renta_Alta!AA91+Masivo!AA91+Consumo_Inicial!AA91</f>
        <v>0</v>
      </c>
      <c r="AB91" s="8">
        <f>Renta_Alta!AB91+Masivo!AB91+Consumo_Inicial!AB91</f>
        <v>0</v>
      </c>
      <c r="AC91" s="8">
        <f>Renta_Alta!AC91+Masivo!AC91+Consumo_Inicial!AC91</f>
        <v>0</v>
      </c>
      <c r="AD91" s="8">
        <f>Renta_Alta!AD91+Masivo!AD91+Consumo_Inicial!AD91</f>
        <v>0</v>
      </c>
      <c r="AE91" s="8">
        <f>Renta_Alta!AE91+Masivo!AE91+Consumo_Inicial!AE91</f>
        <v>0</v>
      </c>
      <c r="AF91" s="8">
        <f>Renta_Alta!AF91+Masivo!AF91+Consumo_Inicial!AF91</f>
        <v>0</v>
      </c>
      <c r="AG91" s="8">
        <f>Renta_Alta!AG91+Masivo!AG91+Consumo_Inicial!AG91</f>
        <v>0</v>
      </c>
      <c r="AH91" s="8">
        <f>Renta_Alta!AH91+Masivo!AH91+Consumo_Inicial!AH91</f>
        <v>0</v>
      </c>
      <c r="AI91" s="8">
        <f>Renta_Alta!AI91+Masivo!AI91+Consumo_Inicial!AI91</f>
        <v>0</v>
      </c>
      <c r="AJ91" s="8">
        <f>Renta_Alta!AJ91+Masivo!AJ91+Consumo_Inicial!AJ91</f>
        <v>0</v>
      </c>
      <c r="AK91" s="8">
        <f>Renta_Alta!AK91+Masivo!AK91+Consumo_Inicial!AK91</f>
        <v>0</v>
      </c>
      <c r="AL91" s="8">
        <f>Renta_Alta!AL91+Masivo!AL91+Consumo_Inicial!AL91</f>
        <v>0</v>
      </c>
      <c r="AM91" s="8">
        <f>Renta_Alta!AM91+Masivo!AM91+Consumo_Inicial!AM91</f>
        <v>0</v>
      </c>
      <c r="AN91" s="8">
        <f>Renta_Alta!AN91+Masivo!AN91+Consumo_Inicial!AN91</f>
        <v>0</v>
      </c>
      <c r="AO91" s="8">
        <f>Renta_Alta!AO91+Masivo!AO91+Consumo_Inicial!AO91</f>
        <v>0</v>
      </c>
      <c r="AP91" s="8">
        <f>Renta_Alta!AP91+Masivo!AP91+Consumo_Inicial!AP91</f>
        <v>0</v>
      </c>
      <c r="AQ91" s="8">
        <f>Renta_Alta!AQ91+Masivo!AQ91+Consumo_Inicial!AQ91</f>
        <v>0</v>
      </c>
      <c r="AR91" s="8">
        <f>Renta_Alta!AR91+Masivo!AR91+Consumo_Inicial!AR91</f>
        <v>0</v>
      </c>
      <c r="AS91" s="8">
        <f>Renta_Alta!AS91+Masivo!AS91+Consumo_Inicial!AS91</f>
        <v>0</v>
      </c>
      <c r="AT91" s="8">
        <f>Renta_Alta!AT91+Masivo!AT91+Consumo_Inicial!AT91</f>
        <v>0</v>
      </c>
      <c r="AU91" s="8">
        <f>Renta_Alta!AU91+Masivo!AU91+Consumo_Inicial!AU91</f>
        <v>0</v>
      </c>
      <c r="AV91" s="8">
        <f>Renta_Alta!AV91+Masivo!AV91+Consumo_Inicial!AV91</f>
        <v>0</v>
      </c>
      <c r="AW91" s="8">
        <f>Renta_Alta!AW91+Masivo!AW91+Consumo_Inicial!AW91</f>
        <v>0</v>
      </c>
      <c r="AX91" s="8">
        <f>Renta_Alta!AX91+Masivo!AX91+Consumo_Inicial!AX91</f>
        <v>0</v>
      </c>
      <c r="AY91" s="8">
        <f>Renta_Alta!AY91+Masivo!AY91+Consumo_Inicial!AY91</f>
        <v>0</v>
      </c>
      <c r="AZ91" s="8">
        <f>Renta_Alta!AZ91+Masivo!AZ91+Consumo_Inicial!AZ91</f>
        <v>0</v>
      </c>
      <c r="BA91" s="8">
        <f>Renta_Alta!BA91+Masivo!BA91+Consumo_Inicial!BA91</f>
        <v>0</v>
      </c>
      <c r="BB91" s="8">
        <f>Renta_Alta!BB91+Masivo!BB91+Consumo_Inicial!BB91</f>
        <v>0</v>
      </c>
      <c r="BC91" s="8">
        <f>Renta_Alta!BC91+Masivo!BC91+Consumo_Inicial!BC91</f>
        <v>0</v>
      </c>
      <c r="BD91" s="8">
        <f>Renta_Alta!BD91+Masivo!BD91+Consumo_Inicial!BD91</f>
        <v>0</v>
      </c>
      <c r="BE91" s="8">
        <f>Renta_Alta!BE91+Masivo!BE91+Consumo_Inicial!BE91</f>
        <v>0</v>
      </c>
      <c r="BF91" s="8">
        <f>Renta_Alta!BF91+Masivo!BF91+Consumo_Inicial!BF91</f>
        <v>0</v>
      </c>
      <c r="BG91" s="8">
        <f>Renta_Alta!BG91+Masivo!BG91+Consumo_Inicial!BG91</f>
        <v>0</v>
      </c>
      <c r="BH91" s="8">
        <f>Renta_Alta!BH91+Masivo!BH91+Consumo_Inicial!BH91</f>
        <v>0</v>
      </c>
      <c r="BI91" s="8">
        <f>Renta_Alta!BI91+Masivo!BI91+Consumo_Inicial!BI91</f>
        <v>0</v>
      </c>
      <c r="BJ91" s="8">
        <f>Renta_Alta!BJ91+Masivo!BJ91+Consumo_Inicial!BJ91</f>
        <v>0</v>
      </c>
      <c r="BK91" s="8">
        <f>Renta_Alta!BK91+Masivo!BK91+Consumo_Inicial!BK91</f>
        <v>0</v>
      </c>
      <c r="BO91" s="24">
        <f t="shared" ref="BO91:BT92" si="256">SUMIFS($D91:$BM91,$D$6:$BM$6,"&gt;="&amp;BO$2,$D$6:$BM$6,"&lt;="&amp;BO$6,$D$5:$BM$5,BO$5)</f>
        <v>0</v>
      </c>
      <c r="BP91" s="24">
        <f t="shared" si="256"/>
        <v>0</v>
      </c>
      <c r="BQ91" s="24">
        <f t="shared" si="256"/>
        <v>0</v>
      </c>
      <c r="BR91" s="24">
        <f t="shared" si="256"/>
        <v>0</v>
      </c>
      <c r="BS91" s="24">
        <f t="shared" si="256"/>
        <v>0</v>
      </c>
      <c r="BT91" s="24">
        <f t="shared" si="256"/>
        <v>0</v>
      </c>
    </row>
    <row r="92" spans="1:72" hidden="1" outlineLevel="1" x14ac:dyDescent="0.25">
      <c r="A92" s="11" t="s">
        <v>81</v>
      </c>
      <c r="C92" s="2" t="s">
        <v>48</v>
      </c>
      <c r="D92" s="8">
        <f>Renta_Alta!D92+Masivo!D92+Consumo_Inicial!D92</f>
        <v>-182.6519716710302</v>
      </c>
      <c r="E92" s="8">
        <f>Renta_Alta!E92+Masivo!E92+Consumo_Inicial!E92</f>
        <v>-147.82116167103007</v>
      </c>
      <c r="F92" s="8">
        <f>Renta_Alta!F92+Masivo!F92+Consumo_Inicial!F92</f>
        <v>-51.149913060445378</v>
      </c>
      <c r="G92" s="8">
        <f>Renta_Alta!G92+Masivo!G92+Consumo_Inicial!G92</f>
        <v>-133.3724016710301</v>
      </c>
      <c r="H92" s="8">
        <f>Renta_Alta!H92+Masivo!H92+Consumo_Inicial!H92</f>
        <v>-97.97264167103009</v>
      </c>
      <c r="I92" s="8">
        <f>Renta_Alta!I92+Masivo!I92+Consumo_Inicial!I92</f>
        <v>-263.83044284781903</v>
      </c>
      <c r="J92" s="8">
        <f>Renta_Alta!J92+Masivo!J92+Consumo_Inicial!J92</f>
        <v>-197.57804186860818</v>
      </c>
      <c r="K92" s="8">
        <f>Renta_Alta!K92+Masivo!K92+Consumo_Inicial!K92</f>
        <v>-603.70026832896997</v>
      </c>
      <c r="L92" s="8">
        <f>Renta_Alta!L92+Masivo!L92+Consumo_Inicial!L92</f>
        <v>-54.233505455994241</v>
      </c>
      <c r="M92" s="8">
        <f>Renta_Alta!M92+Masivo!M92+Consumo_Inicial!M92</f>
        <v>-384.60948304602493</v>
      </c>
      <c r="N92" s="8">
        <f>Renta_Alta!N92+Masivo!N92+Consumo_Inicial!N92</f>
        <v>-203.95961471968391</v>
      </c>
      <c r="O92" s="8">
        <f>Renta_Alta!O92+Masivo!O92+Consumo_Inicial!O92</f>
        <v>-144.5302181872475</v>
      </c>
      <c r="P92" s="8">
        <f>Renta_Alta!P92+Masivo!P92+Consumo_Inicial!P92</f>
        <v>-215.92816951308995</v>
      </c>
      <c r="Q92" s="8">
        <f>Renta_Alta!Q92+Masivo!Q92+Consumo_Inicial!Q92</f>
        <v>-170.97149144227819</v>
      </c>
      <c r="R92" s="8">
        <f>Renta_Alta!R92+Masivo!R92+Consumo_Inicial!R92</f>
        <v>-105.16542302070052</v>
      </c>
      <c r="S92" s="8">
        <f>Renta_Alta!S92+Masivo!S92+Consumo_Inicial!S92</f>
        <v>-288.67693198571351</v>
      </c>
      <c r="T92" s="8">
        <f>Renta_Alta!T92+Masivo!T92+Consumo_Inicial!T92</f>
        <v>-416.01698005430654</v>
      </c>
      <c r="U92" s="8">
        <f>Renta_Alta!U92+Masivo!U92+Consumo_Inicial!U92</f>
        <v>-422.25888749479537</v>
      </c>
      <c r="V92" s="8">
        <f>Renta_Alta!V92+Masivo!V92+Consumo_Inicial!V92</f>
        <v>-269.48420921622875</v>
      </c>
      <c r="W92" s="8">
        <f>Renta_Alta!W92+Masivo!W92+Consumo_Inicial!W92</f>
        <v>-250.32857019867518</v>
      </c>
      <c r="X92" s="8">
        <f>Renta_Alta!X92+Masivo!X92+Consumo_Inicial!X92</f>
        <v>-482.87609984046708</v>
      </c>
      <c r="Y92" s="8">
        <f>Renta_Alta!Y92+Masivo!Y92+Consumo_Inicial!Y92</f>
        <v>-181.53387786747138</v>
      </c>
      <c r="Z92" s="8">
        <f>Renta_Alta!Z92+Masivo!Z92+Consumo_Inicial!Z92</f>
        <v>-170.293295836683</v>
      </c>
      <c r="AA92" s="8">
        <f>Renta_Alta!AA92+Masivo!AA92+Consumo_Inicial!AA92</f>
        <v>-248.62925363208473</v>
      </c>
      <c r="AB92" s="8">
        <f>Renta_Alta!AB92+Masivo!AB92+Consumo_Inicial!AB92</f>
        <v>-93.907376340042319</v>
      </c>
      <c r="AC92" s="8">
        <f>Renta_Alta!AC92+Masivo!AC92+Consumo_Inicial!AC92</f>
        <v>-83.980518542885548</v>
      </c>
      <c r="AD92" s="8">
        <f>Renta_Alta!AD92+Masivo!AD92+Consumo_Inicial!AD92</f>
        <v>-77.861820232411489</v>
      </c>
      <c r="AE92" s="8">
        <f>Renta_Alta!AE92+Masivo!AE92+Consumo_Inicial!AE92</f>
        <v>-602.8806538886796</v>
      </c>
      <c r="AF92" s="8">
        <f>Renta_Alta!AF92+Masivo!AF92+Consumo_Inicial!AF92</f>
        <v>-368.22557922192868</v>
      </c>
      <c r="AG92" s="8">
        <f>Renta_Alta!AG92+Masivo!AG92+Consumo_Inicial!AG92</f>
        <v>24.231889190057338</v>
      </c>
      <c r="AH92" s="8">
        <f>Renta_Alta!AH92+Masivo!AH92+Consumo_Inicial!AH92</f>
        <v>-173.53798146438075</v>
      </c>
      <c r="AI92" s="8">
        <f>Renta_Alta!AI92+Masivo!AI92+Consumo_Inicial!AI92</f>
        <v>-57.386259289462011</v>
      </c>
      <c r="AJ92" s="8">
        <f>Renta_Alta!AJ92+Masivo!AJ92+Consumo_Inicial!AJ92</f>
        <v>-232.57339488360776</v>
      </c>
      <c r="AK92" s="8">
        <f>Renta_Alta!AK92+Masivo!AK92+Consumo_Inicial!AK92</f>
        <v>-87.667587319007382</v>
      </c>
      <c r="AL92" s="8">
        <f>Renta_Alta!AL92+Masivo!AL92+Consumo_Inicial!AL92</f>
        <v>-46.255638634456531</v>
      </c>
      <c r="AM92" s="8">
        <f>Renta_Alta!AM92+Masivo!AM92+Consumo_Inicial!AM92</f>
        <v>-304.15677236611327</v>
      </c>
      <c r="AN92" s="8">
        <f>Renta_Alta!AN92+Masivo!AN92+Consumo_Inicial!AN92</f>
        <v>-38.056087050755039</v>
      </c>
      <c r="AO92" s="8">
        <f>Renta_Alta!AO92+Masivo!AO92+Consumo_Inicial!AO92</f>
        <v>-19.984786268692808</v>
      </c>
      <c r="AP92" s="8">
        <f>Renta_Alta!AP92+Masivo!AP92+Consumo_Inicial!AP92</f>
        <v>-160.0727860651167</v>
      </c>
      <c r="AQ92" s="8">
        <f>Renta_Alta!AQ92+Masivo!AQ92+Consumo_Inicial!AQ92</f>
        <v>-30.513929219577147</v>
      </c>
      <c r="AR92" s="8">
        <f>Renta_Alta!AR92+Masivo!AR92+Consumo_Inicial!AR92</f>
        <v>-35.716324561893913</v>
      </c>
      <c r="AS92" s="8">
        <f>Renta_Alta!AS92+Masivo!AS92+Consumo_Inicial!AS92</f>
        <v>-143.0760260995666</v>
      </c>
      <c r="AT92" s="8">
        <f>Renta_Alta!AT92+Masivo!AT92+Consumo_Inicial!AT92</f>
        <v>0</v>
      </c>
      <c r="AU92" s="8">
        <f>Renta_Alta!AU92+Masivo!AU92+Consumo_Inicial!AU92</f>
        <v>0</v>
      </c>
      <c r="AV92" s="8">
        <f>Renta_Alta!AV92+Masivo!AV92+Consumo_Inicial!AV92</f>
        <v>0</v>
      </c>
      <c r="AW92" s="8">
        <f>Renta_Alta!AW92+Masivo!AW92+Consumo_Inicial!AW92</f>
        <v>0</v>
      </c>
      <c r="AX92" s="8">
        <f>Renta_Alta!AX92+Masivo!AX92+Consumo_Inicial!AX92</f>
        <v>0</v>
      </c>
      <c r="AY92" s="8">
        <f>Renta_Alta!AY92+Masivo!AY92+Consumo_Inicial!AY92</f>
        <v>0</v>
      </c>
      <c r="AZ92" s="8">
        <f>Renta_Alta!AZ92+Masivo!AZ92+Consumo_Inicial!AZ92</f>
        <v>-182.70307034423789</v>
      </c>
      <c r="BA92" s="8">
        <f>Renta_Alta!BA92+Masivo!BA92+Consumo_Inicial!BA92</f>
        <v>-182.70307034423791</v>
      </c>
      <c r="BB92" s="8">
        <f>Renta_Alta!BB92+Masivo!BB92+Consumo_Inicial!BB92</f>
        <v>-190.71378011092122</v>
      </c>
      <c r="BC92" s="8">
        <f>Renta_Alta!BC92+Masivo!BC92+Consumo_Inicial!BC92</f>
        <v>-188.26792016309562</v>
      </c>
      <c r="BD92" s="8">
        <f>Renta_Alta!BD92+Masivo!BD92+Consumo_Inicial!BD92</f>
        <v>-188.26792016309577</v>
      </c>
      <c r="BE92" s="8">
        <f>Renta_Alta!BE92+Masivo!BE92+Consumo_Inicial!BE92</f>
        <v>-196.27862992977904</v>
      </c>
      <c r="BF92" s="8">
        <f>Renta_Alta!BF92+Masivo!BF92+Consumo_Inicial!BF92</f>
        <v>-187.58279197227614</v>
      </c>
      <c r="BG92" s="8">
        <f>Renta_Alta!BG92+Masivo!BG92+Consumo_Inicial!BG92</f>
        <v>-187.58279197227611</v>
      </c>
      <c r="BH92" s="8">
        <f>Renta_Alta!BH92+Masivo!BH92+Consumo_Inicial!BH92</f>
        <v>-193.40876271168219</v>
      </c>
      <c r="BI92" s="8">
        <f>Renta_Alta!BI92+Masivo!BI92+Consumo_Inicial!BI92</f>
        <v>-187.93755405856442</v>
      </c>
      <c r="BJ92" s="8">
        <f>Renta_Alta!BJ92+Masivo!BJ92+Consumo_Inicial!BJ92</f>
        <v>-187.93755405856442</v>
      </c>
      <c r="BK92" s="8">
        <f>Renta_Alta!BK92+Masivo!BK92+Consumo_Inicial!BK92</f>
        <v>-195.22001748282202</v>
      </c>
      <c r="BO92" s="24">
        <f t="shared" si="256"/>
        <v>-218.11365938456456</v>
      </c>
      <c r="BP92" s="24">
        <f t="shared" si="256"/>
        <v>-556.11992079939705</v>
      </c>
      <c r="BQ92" s="24">
        <f t="shared" si="256"/>
        <v>-58.040873319447847</v>
      </c>
      <c r="BR92" s="24">
        <f t="shared" si="256"/>
        <v>-255.74971511533937</v>
      </c>
      <c r="BS92" s="24">
        <f t="shared" si="256"/>
        <v>-492.06508397606871</v>
      </c>
      <c r="BT92" s="24">
        <f t="shared" si="256"/>
        <v>-381.62304640250562</v>
      </c>
    </row>
    <row r="93" spans="1:72" collapsed="1" x14ac:dyDescent="0.25">
      <c r="C93" s="3" t="s">
        <v>81</v>
      </c>
      <c r="D93" s="10">
        <f>SUM(D91:D92)</f>
        <v>-182.6519716710302</v>
      </c>
      <c r="E93" s="10">
        <f t="shared" ref="E93:AY93" si="257">SUM(E91:E92)</f>
        <v>-147.82116167103007</v>
      </c>
      <c r="F93" s="10">
        <f t="shared" si="257"/>
        <v>-51.149913060445378</v>
      </c>
      <c r="G93" s="10">
        <f t="shared" si="257"/>
        <v>-133.3724016710301</v>
      </c>
      <c r="H93" s="10">
        <f t="shared" si="257"/>
        <v>-97.97264167103009</v>
      </c>
      <c r="I93" s="10">
        <f t="shared" si="257"/>
        <v>-263.83044284781903</v>
      </c>
      <c r="J93" s="10">
        <f t="shared" si="257"/>
        <v>-197.57804186860818</v>
      </c>
      <c r="K93" s="10">
        <f t="shared" si="257"/>
        <v>-603.70026832896997</v>
      </c>
      <c r="L93" s="10">
        <f t="shared" si="257"/>
        <v>-54.233505455994241</v>
      </c>
      <c r="M93" s="10">
        <f t="shared" si="257"/>
        <v>-384.60948304602493</v>
      </c>
      <c r="N93" s="10">
        <f t="shared" si="257"/>
        <v>-203.95961471968391</v>
      </c>
      <c r="O93" s="10">
        <f t="shared" si="257"/>
        <v>-144.5302181872475</v>
      </c>
      <c r="P93" s="10">
        <f t="shared" si="257"/>
        <v>-215.92816951308995</v>
      </c>
      <c r="Q93" s="10">
        <f t="shared" si="257"/>
        <v>-170.97149144227819</v>
      </c>
      <c r="R93" s="10">
        <f t="shared" si="257"/>
        <v>-105.16542302070052</v>
      </c>
      <c r="S93" s="10">
        <f t="shared" si="257"/>
        <v>-288.67693198571351</v>
      </c>
      <c r="T93" s="10">
        <f t="shared" si="257"/>
        <v>-416.01698005430654</v>
      </c>
      <c r="U93" s="10">
        <f t="shared" si="257"/>
        <v>-422.25888749479537</v>
      </c>
      <c r="V93" s="10">
        <f t="shared" si="257"/>
        <v>-269.48420921622875</v>
      </c>
      <c r="W93" s="10">
        <f t="shared" si="257"/>
        <v>-250.32857019867518</v>
      </c>
      <c r="X93" s="10">
        <f t="shared" si="257"/>
        <v>-482.87609984046708</v>
      </c>
      <c r="Y93" s="10">
        <f t="shared" si="257"/>
        <v>-181.53387786747138</v>
      </c>
      <c r="Z93" s="10">
        <f t="shared" si="257"/>
        <v>-170.293295836683</v>
      </c>
      <c r="AA93" s="10">
        <f t="shared" si="257"/>
        <v>-248.62925363208473</v>
      </c>
      <c r="AB93" s="10">
        <f t="shared" si="257"/>
        <v>-93.907376340042319</v>
      </c>
      <c r="AC93" s="10">
        <f t="shared" si="257"/>
        <v>-83.980518542885548</v>
      </c>
      <c r="AD93" s="10">
        <f t="shared" si="257"/>
        <v>-77.861820232411489</v>
      </c>
      <c r="AE93" s="10">
        <f t="shared" si="257"/>
        <v>-602.8806538886796</v>
      </c>
      <c r="AF93" s="10">
        <f t="shared" si="257"/>
        <v>-368.22557922192868</v>
      </c>
      <c r="AG93" s="10">
        <f t="shared" si="257"/>
        <v>24.231889190057338</v>
      </c>
      <c r="AH93" s="10">
        <f t="shared" si="257"/>
        <v>-173.53798146438075</v>
      </c>
      <c r="AI93" s="10">
        <f t="shared" si="257"/>
        <v>-57.386259289462011</v>
      </c>
      <c r="AJ93" s="10">
        <f t="shared" si="257"/>
        <v>-232.57339488360776</v>
      </c>
      <c r="AK93" s="10">
        <f t="shared" si="257"/>
        <v>-87.667587319007382</v>
      </c>
      <c r="AL93" s="10">
        <f t="shared" si="257"/>
        <v>-46.255638634456531</v>
      </c>
      <c r="AM93" s="10">
        <f t="shared" si="257"/>
        <v>-304.15677236611327</v>
      </c>
      <c r="AN93" s="10">
        <f t="shared" si="257"/>
        <v>-38.056087050755039</v>
      </c>
      <c r="AO93" s="10">
        <f t="shared" si="257"/>
        <v>-19.984786268692808</v>
      </c>
      <c r="AP93" s="10">
        <f t="shared" si="257"/>
        <v>-160.0727860651167</v>
      </c>
      <c r="AQ93" s="10">
        <f t="shared" si="257"/>
        <v>-30.513929219577147</v>
      </c>
      <c r="AR93" s="10">
        <f t="shared" si="257"/>
        <v>-35.716324561893913</v>
      </c>
      <c r="AS93" s="10">
        <f t="shared" si="257"/>
        <v>-143.0760260995666</v>
      </c>
      <c r="AT93" s="10">
        <f t="shared" si="257"/>
        <v>0</v>
      </c>
      <c r="AU93" s="10">
        <f t="shared" si="257"/>
        <v>0</v>
      </c>
      <c r="AV93" s="10">
        <f t="shared" si="257"/>
        <v>0</v>
      </c>
      <c r="AW93" s="10">
        <f t="shared" si="257"/>
        <v>0</v>
      </c>
      <c r="AX93" s="10">
        <f t="shared" si="257"/>
        <v>0</v>
      </c>
      <c r="AY93" s="10">
        <f t="shared" si="257"/>
        <v>0</v>
      </c>
      <c r="AZ93" s="10">
        <f t="shared" ref="AZ93:BK93" si="258">SUM(AZ91:AZ92)</f>
        <v>-182.70307034423789</v>
      </c>
      <c r="BA93" s="10">
        <f t="shared" si="258"/>
        <v>-182.70307034423791</v>
      </c>
      <c r="BB93" s="10">
        <f t="shared" si="258"/>
        <v>-190.71378011092122</v>
      </c>
      <c r="BC93" s="10">
        <f t="shared" si="258"/>
        <v>-188.26792016309562</v>
      </c>
      <c r="BD93" s="10">
        <f t="shared" si="258"/>
        <v>-188.26792016309577</v>
      </c>
      <c r="BE93" s="10">
        <f t="shared" si="258"/>
        <v>-196.27862992977904</v>
      </c>
      <c r="BF93" s="10">
        <f t="shared" si="258"/>
        <v>-187.58279197227614</v>
      </c>
      <c r="BG93" s="10">
        <f t="shared" si="258"/>
        <v>-187.58279197227611</v>
      </c>
      <c r="BH93" s="10">
        <f t="shared" si="258"/>
        <v>-193.40876271168219</v>
      </c>
      <c r="BI93" s="10">
        <f t="shared" si="258"/>
        <v>-187.93755405856442</v>
      </c>
      <c r="BJ93" s="10">
        <f t="shared" si="258"/>
        <v>-187.93755405856442</v>
      </c>
      <c r="BK93" s="10">
        <f t="shared" si="258"/>
        <v>-195.22001748282202</v>
      </c>
      <c r="BO93" s="23">
        <f t="shared" ref="BO93:BT93" si="259">SUM(BO91:BO92)</f>
        <v>-218.11365938456456</v>
      </c>
      <c r="BP93" s="23">
        <f t="shared" si="259"/>
        <v>-556.11992079939705</v>
      </c>
      <c r="BQ93" s="23">
        <f t="shared" si="259"/>
        <v>-58.040873319447847</v>
      </c>
      <c r="BR93" s="23">
        <f t="shared" si="259"/>
        <v>-255.74971511533937</v>
      </c>
      <c r="BS93" s="23">
        <f t="shared" si="259"/>
        <v>-492.06508397606871</v>
      </c>
      <c r="BT93" s="23">
        <f t="shared" si="259"/>
        <v>-381.62304640250562</v>
      </c>
    </row>
    <row r="95" spans="1:72" hidden="1" outlineLevel="1" x14ac:dyDescent="0.25">
      <c r="A95" s="11" t="s">
        <v>82</v>
      </c>
      <c r="C95" s="2" t="s">
        <v>83</v>
      </c>
      <c r="D95" s="8">
        <f>Renta_Alta!D95+Masivo!D95+Consumo_Inicial!D95</f>
        <v>0</v>
      </c>
      <c r="E95" s="8">
        <f>Renta_Alta!E95+Masivo!E95+Consumo_Inicial!E95</f>
        <v>0</v>
      </c>
      <c r="F95" s="8">
        <f>Renta_Alta!F95+Masivo!F95+Consumo_Inicial!F95</f>
        <v>0</v>
      </c>
      <c r="G95" s="8">
        <f>Renta_Alta!G95+Masivo!G95+Consumo_Inicial!G95</f>
        <v>0</v>
      </c>
      <c r="H95" s="8">
        <f>Renta_Alta!H95+Masivo!H95+Consumo_Inicial!H95</f>
        <v>0</v>
      </c>
      <c r="I95" s="8">
        <f>Renta_Alta!I95+Masivo!I95+Consumo_Inicial!I95</f>
        <v>0</v>
      </c>
      <c r="J95" s="8">
        <f>Renta_Alta!J95+Masivo!J95+Consumo_Inicial!J95</f>
        <v>0</v>
      </c>
      <c r="K95" s="8">
        <f>Renta_Alta!K95+Masivo!K95+Consumo_Inicial!K95</f>
        <v>2367.47721</v>
      </c>
      <c r="L95" s="8">
        <f>Renta_Alta!L95+Masivo!L95+Consumo_Inicial!L95</f>
        <v>0</v>
      </c>
      <c r="M95" s="8">
        <f>Renta_Alta!M95+Masivo!M95+Consumo_Inicial!M95</f>
        <v>1185.1146388148852</v>
      </c>
      <c r="N95" s="8">
        <f>Renta_Alta!N95+Masivo!N95+Consumo_Inicial!N95</f>
        <v>0</v>
      </c>
      <c r="O95" s="8">
        <f>Renta_Alta!O95+Masivo!O95+Consumo_Inicial!O95</f>
        <v>0</v>
      </c>
      <c r="P95" s="8">
        <f>Renta_Alta!P95+Masivo!P95+Consumo_Inicial!P95</f>
        <v>0</v>
      </c>
      <c r="Q95" s="8">
        <f>Renta_Alta!Q95+Masivo!Q95+Consumo_Inicial!Q95</f>
        <v>0</v>
      </c>
      <c r="R95" s="8">
        <f>Renta_Alta!R95+Masivo!R95+Consumo_Inicial!R95</f>
        <v>0</v>
      </c>
      <c r="S95" s="8">
        <f>Renta_Alta!S95+Masivo!S95+Consumo_Inicial!S95</f>
        <v>0</v>
      </c>
      <c r="T95" s="8">
        <f>Renta_Alta!T95+Masivo!T95+Consumo_Inicial!T95</f>
        <v>0</v>
      </c>
      <c r="U95" s="8">
        <f>Renta_Alta!U95+Masivo!U95+Consumo_Inicial!U95</f>
        <v>0</v>
      </c>
      <c r="V95" s="8">
        <f>Renta_Alta!V95+Masivo!V95+Consumo_Inicial!V95</f>
        <v>0</v>
      </c>
      <c r="W95" s="8">
        <f>Renta_Alta!W95+Masivo!W95+Consumo_Inicial!W95</f>
        <v>0</v>
      </c>
      <c r="X95" s="8">
        <f>Renta_Alta!X95+Masivo!X95+Consumo_Inicial!X95</f>
        <v>0</v>
      </c>
      <c r="Y95" s="8">
        <f>Renta_Alta!Y95+Masivo!Y95+Consumo_Inicial!Y95</f>
        <v>400</v>
      </c>
      <c r="Z95" s="8">
        <f>Renta_Alta!Z95+Masivo!Z95+Consumo_Inicial!Z95</f>
        <v>5.915</v>
      </c>
      <c r="AA95" s="8">
        <f>Renta_Alta!AA95+Masivo!AA95+Consumo_Inicial!AA95</f>
        <v>-0.78200000000000003</v>
      </c>
      <c r="AB95" s="8">
        <f>Renta_Alta!AB95+Masivo!AB95+Consumo_Inicial!AB95</f>
        <v>0</v>
      </c>
      <c r="AC95" s="8">
        <f>Renta_Alta!AC95+Masivo!AC95+Consumo_Inicial!AC95</f>
        <v>0</v>
      </c>
      <c r="AD95" s="8">
        <f>Renta_Alta!AD95+Masivo!AD95+Consumo_Inicial!AD95</f>
        <v>2363.9500023639498</v>
      </c>
      <c r="AE95" s="8">
        <f>Renta_Alta!AE95+Masivo!AE95+Consumo_Inicial!AE95</f>
        <v>-17.710000017710001</v>
      </c>
      <c r="AF95" s="8">
        <f>Renta_Alta!AF95+Masivo!AF95+Consumo_Inicial!AF95</f>
        <v>0</v>
      </c>
      <c r="AG95" s="8">
        <f>Renta_Alta!AG95+Masivo!AG95+Consumo_Inicial!AG95</f>
        <v>2993.2499970067497</v>
      </c>
      <c r="AH95" s="8">
        <f>Renta_Alta!AH95+Masivo!AH95+Consumo_Inicial!AH95</f>
        <v>0</v>
      </c>
      <c r="AI95" s="8">
        <f>Renta_Alta!AI95+Masivo!AI95+Consumo_Inicial!AI95</f>
        <v>0</v>
      </c>
      <c r="AJ95" s="8">
        <f>Renta_Alta!AJ95+Masivo!AJ95+Consumo_Inicial!AJ95</f>
        <v>2766.65</v>
      </c>
      <c r="AK95" s="8">
        <f>Renta_Alta!AK95+Masivo!AK95+Consumo_Inicial!AK95</f>
        <v>-0.26</v>
      </c>
      <c r="AL95" s="8">
        <f>Renta_Alta!AL95+Masivo!AL95+Consumo_Inicial!AL95</f>
        <v>2946.5189970534807</v>
      </c>
      <c r="AM95" s="8">
        <f>Renta_Alta!AM95+Masivo!AM95+Consumo_Inicial!AM95</f>
        <v>-0.93799999999999994</v>
      </c>
      <c r="AN95" s="8">
        <f>Renta_Alta!AN95+Masivo!AN95+Consumo_Inicial!AN95</f>
        <v>0</v>
      </c>
      <c r="AO95" s="8">
        <f>Renta_Alta!AO95+Masivo!AO95+Consumo_Inicial!AO95</f>
        <v>0</v>
      </c>
      <c r="AP95" s="8">
        <f>Renta_Alta!AP95+Masivo!AP95+Consumo_Inicial!AP95</f>
        <v>0</v>
      </c>
      <c r="AQ95" s="8">
        <f>Renta_Alta!AQ95+Masivo!AQ95+Consumo_Inicial!AQ95</f>
        <v>0</v>
      </c>
      <c r="AR95" s="8">
        <f>Renta_Alta!AR95+Masivo!AR95+Consumo_Inicial!AR95</f>
        <v>0</v>
      </c>
      <c r="AS95" s="8">
        <f>Renta_Alta!AS95+Masivo!AS95+Consumo_Inicial!AS95</f>
        <v>2411.4690000000001</v>
      </c>
      <c r="AT95" s="8">
        <f>Renta_Alta!AT95+Masivo!AT95+Consumo_Inicial!AT95</f>
        <v>0</v>
      </c>
      <c r="AU95" s="8">
        <f>Renta_Alta!AU95+Masivo!AU95+Consumo_Inicial!AU95</f>
        <v>0</v>
      </c>
      <c r="AV95" s="8">
        <f>Renta_Alta!AV95+Masivo!AV95+Consumo_Inicial!AV95</f>
        <v>0</v>
      </c>
      <c r="AW95" s="8">
        <f>Renta_Alta!AW95+Masivo!AW95+Consumo_Inicial!AW95</f>
        <v>0</v>
      </c>
      <c r="AX95" s="8">
        <f>Renta_Alta!AX95+Masivo!AX95+Consumo_Inicial!AX95</f>
        <v>0</v>
      </c>
      <c r="AY95" s="8">
        <f>Renta_Alta!AY95+Masivo!AY95+Consumo_Inicial!AY95</f>
        <v>0</v>
      </c>
      <c r="AZ95" s="8">
        <f>Renta_Alta!AZ95+Masivo!AZ95+Consumo_Inicial!AZ95</f>
        <v>0</v>
      </c>
      <c r="BA95" s="8">
        <f>Renta_Alta!BA95+Masivo!BA95+Consumo_Inicial!BA95</f>
        <v>0</v>
      </c>
      <c r="BB95" s="8">
        <f>Renta_Alta!BB95+Masivo!BB95+Consumo_Inicial!BB95</f>
        <v>0</v>
      </c>
      <c r="BC95" s="8">
        <f>Renta_Alta!BC95+Masivo!BC95+Consumo_Inicial!BC95</f>
        <v>0</v>
      </c>
      <c r="BD95" s="8">
        <f>Renta_Alta!BD95+Masivo!BD95+Consumo_Inicial!BD95</f>
        <v>0</v>
      </c>
      <c r="BE95" s="8">
        <f>Renta_Alta!BE95+Masivo!BE95+Consumo_Inicial!BE95</f>
        <v>1644.2318975904698</v>
      </c>
      <c r="BF95" s="8">
        <f>Renta_Alta!BF95+Masivo!BF95+Consumo_Inicial!BF95</f>
        <v>0</v>
      </c>
      <c r="BG95" s="8">
        <f>Renta_Alta!BG95+Masivo!BG95+Consumo_Inicial!BG95</f>
        <v>0</v>
      </c>
      <c r="BH95" s="8">
        <f>Renta_Alta!BH95+Masivo!BH95+Consumo_Inicial!BH95</f>
        <v>3414.9899641409097</v>
      </c>
      <c r="BI95" s="8">
        <f>Renta_Alta!BI95+Masivo!BI95+Consumo_Inicial!BI95</f>
        <v>0</v>
      </c>
      <c r="BJ95" s="8">
        <f>Renta_Alta!BJ95+Masivo!BJ95+Consumo_Inicial!BJ95</f>
        <v>0</v>
      </c>
      <c r="BK95" s="8">
        <f>Renta_Alta!BK95+Masivo!BK95+Consumo_Inicial!BK95</f>
        <v>0</v>
      </c>
      <c r="BO95" s="24">
        <f t="shared" ref="BO95:BT95" si="260">SUMIFS($D95:$BM95,$D$6:$BM$6,"&gt;="&amp;BO$2,$D$6:$BM$6,"&lt;="&amp;BO$6,$D$5:$BM$5,BO$5)</f>
        <v>0</v>
      </c>
      <c r="BP95" s="24">
        <f t="shared" si="260"/>
        <v>0</v>
      </c>
      <c r="BQ95" s="24">
        <f t="shared" si="260"/>
        <v>0</v>
      </c>
      <c r="BR95" s="24">
        <f t="shared" si="260"/>
        <v>2363.9500023639498</v>
      </c>
      <c r="BS95" s="24">
        <f t="shared" si="260"/>
        <v>0</v>
      </c>
      <c r="BT95" s="24">
        <f t="shared" si="260"/>
        <v>0</v>
      </c>
    </row>
    <row r="96" spans="1:72" collapsed="1" x14ac:dyDescent="0.25">
      <c r="C96" s="3" t="s">
        <v>82</v>
      </c>
      <c r="D96" s="10">
        <f>SUM(D95:D95)</f>
        <v>0</v>
      </c>
      <c r="E96" s="10">
        <f t="shared" ref="E96:AY96" si="261">SUM(E95:E95)</f>
        <v>0</v>
      </c>
      <c r="F96" s="10">
        <f t="shared" si="261"/>
        <v>0</v>
      </c>
      <c r="G96" s="10">
        <f t="shared" si="261"/>
        <v>0</v>
      </c>
      <c r="H96" s="10">
        <f t="shared" si="261"/>
        <v>0</v>
      </c>
      <c r="I96" s="10">
        <f t="shared" si="261"/>
        <v>0</v>
      </c>
      <c r="J96" s="10">
        <f t="shared" si="261"/>
        <v>0</v>
      </c>
      <c r="K96" s="10">
        <f t="shared" si="261"/>
        <v>2367.47721</v>
      </c>
      <c r="L96" s="10">
        <f t="shared" si="261"/>
        <v>0</v>
      </c>
      <c r="M96" s="10">
        <f t="shared" si="261"/>
        <v>1185.1146388148852</v>
      </c>
      <c r="N96" s="10">
        <f t="shared" si="261"/>
        <v>0</v>
      </c>
      <c r="O96" s="10">
        <f t="shared" si="261"/>
        <v>0</v>
      </c>
      <c r="P96" s="10">
        <f t="shared" si="261"/>
        <v>0</v>
      </c>
      <c r="Q96" s="10">
        <f t="shared" si="261"/>
        <v>0</v>
      </c>
      <c r="R96" s="10">
        <f t="shared" si="261"/>
        <v>0</v>
      </c>
      <c r="S96" s="10">
        <f t="shared" si="261"/>
        <v>0</v>
      </c>
      <c r="T96" s="10">
        <f t="shared" si="261"/>
        <v>0</v>
      </c>
      <c r="U96" s="10">
        <f t="shared" si="261"/>
        <v>0</v>
      </c>
      <c r="V96" s="10">
        <f t="shared" si="261"/>
        <v>0</v>
      </c>
      <c r="W96" s="10">
        <f t="shared" si="261"/>
        <v>0</v>
      </c>
      <c r="X96" s="10">
        <f t="shared" si="261"/>
        <v>0</v>
      </c>
      <c r="Y96" s="10">
        <f t="shared" si="261"/>
        <v>400</v>
      </c>
      <c r="Z96" s="10">
        <f t="shared" si="261"/>
        <v>5.915</v>
      </c>
      <c r="AA96" s="10">
        <f t="shared" si="261"/>
        <v>-0.78200000000000003</v>
      </c>
      <c r="AB96" s="10">
        <f t="shared" si="261"/>
        <v>0</v>
      </c>
      <c r="AC96" s="10">
        <f t="shared" si="261"/>
        <v>0</v>
      </c>
      <c r="AD96" s="10">
        <f t="shared" si="261"/>
        <v>2363.9500023639498</v>
      </c>
      <c r="AE96" s="10">
        <f t="shared" si="261"/>
        <v>-17.710000017710001</v>
      </c>
      <c r="AF96" s="10">
        <f t="shared" si="261"/>
        <v>0</v>
      </c>
      <c r="AG96" s="10">
        <f t="shared" si="261"/>
        <v>2993.2499970067497</v>
      </c>
      <c r="AH96" s="10">
        <f t="shared" si="261"/>
        <v>0</v>
      </c>
      <c r="AI96" s="10">
        <f t="shared" si="261"/>
        <v>0</v>
      </c>
      <c r="AJ96" s="10">
        <f t="shared" si="261"/>
        <v>2766.65</v>
      </c>
      <c r="AK96" s="10">
        <f t="shared" si="261"/>
        <v>-0.26</v>
      </c>
      <c r="AL96" s="10">
        <f t="shared" si="261"/>
        <v>2946.5189970534807</v>
      </c>
      <c r="AM96" s="10">
        <f t="shared" si="261"/>
        <v>-0.93799999999999994</v>
      </c>
      <c r="AN96" s="10">
        <f t="shared" si="261"/>
        <v>0</v>
      </c>
      <c r="AO96" s="10">
        <f t="shared" si="261"/>
        <v>0</v>
      </c>
      <c r="AP96" s="10">
        <f t="shared" si="261"/>
        <v>0</v>
      </c>
      <c r="AQ96" s="10">
        <f t="shared" si="261"/>
        <v>0</v>
      </c>
      <c r="AR96" s="10">
        <f t="shared" si="261"/>
        <v>0</v>
      </c>
      <c r="AS96" s="10">
        <f t="shared" si="261"/>
        <v>2411.4690000000001</v>
      </c>
      <c r="AT96" s="10">
        <f t="shared" si="261"/>
        <v>0</v>
      </c>
      <c r="AU96" s="10">
        <f t="shared" si="261"/>
        <v>0</v>
      </c>
      <c r="AV96" s="10">
        <f t="shared" si="261"/>
        <v>0</v>
      </c>
      <c r="AW96" s="10">
        <f t="shared" si="261"/>
        <v>0</v>
      </c>
      <c r="AX96" s="10">
        <f t="shared" si="261"/>
        <v>0</v>
      </c>
      <c r="AY96" s="10">
        <f t="shared" si="261"/>
        <v>0</v>
      </c>
      <c r="AZ96" s="10">
        <f t="shared" ref="AZ96:BK96" si="262">SUM(AZ95:AZ95)</f>
        <v>0</v>
      </c>
      <c r="BA96" s="10">
        <f t="shared" si="262"/>
        <v>0</v>
      </c>
      <c r="BB96" s="10">
        <f t="shared" si="262"/>
        <v>0</v>
      </c>
      <c r="BC96" s="10">
        <f t="shared" si="262"/>
        <v>0</v>
      </c>
      <c r="BD96" s="10">
        <f t="shared" si="262"/>
        <v>0</v>
      </c>
      <c r="BE96" s="10">
        <f t="shared" si="262"/>
        <v>1644.2318975904698</v>
      </c>
      <c r="BF96" s="10">
        <f t="shared" si="262"/>
        <v>0</v>
      </c>
      <c r="BG96" s="10">
        <f t="shared" si="262"/>
        <v>0</v>
      </c>
      <c r="BH96" s="10">
        <f t="shared" si="262"/>
        <v>3414.9899641409097</v>
      </c>
      <c r="BI96" s="10">
        <f t="shared" si="262"/>
        <v>0</v>
      </c>
      <c r="BJ96" s="10">
        <f t="shared" si="262"/>
        <v>0</v>
      </c>
      <c r="BK96" s="10">
        <f t="shared" si="262"/>
        <v>0</v>
      </c>
      <c r="BO96" s="23">
        <f>SUM(BO95)</f>
        <v>0</v>
      </c>
      <c r="BP96" s="23">
        <f t="shared" ref="BP96:BT96" si="263">SUM(BP95)</f>
        <v>0</v>
      </c>
      <c r="BQ96" s="23">
        <f t="shared" si="263"/>
        <v>0</v>
      </c>
      <c r="BR96" s="23">
        <f t="shared" si="263"/>
        <v>2363.9500023639498</v>
      </c>
      <c r="BS96" s="23">
        <f t="shared" si="263"/>
        <v>0</v>
      </c>
      <c r="BT96" s="23">
        <f t="shared" si="263"/>
        <v>0</v>
      </c>
    </row>
    <row r="98" spans="3:72" x14ac:dyDescent="0.25">
      <c r="C98" s="3" t="s">
        <v>84</v>
      </c>
      <c r="D98" s="10">
        <f t="shared" ref="D98:AY98" si="264">D60+D83+D89+D93+D96</f>
        <v>430.16164007022212</v>
      </c>
      <c r="E98" s="10">
        <f t="shared" si="264"/>
        <v>7931.5527918580265</v>
      </c>
      <c r="F98" s="10">
        <f t="shared" si="264"/>
        <v>251.26492224180657</v>
      </c>
      <c r="G98" s="10">
        <f t="shared" si="264"/>
        <v>-96.197457432288331</v>
      </c>
      <c r="H98" s="10">
        <f t="shared" si="264"/>
        <v>-10572.436178207174</v>
      </c>
      <c r="I98" s="10">
        <f t="shared" si="264"/>
        <v>-18778.550917226159</v>
      </c>
      <c r="J98" s="10">
        <f t="shared" si="264"/>
        <v>-21133.974502740737</v>
      </c>
      <c r="K98" s="10">
        <f t="shared" si="264"/>
        <v>-36268.609754480531</v>
      </c>
      <c r="L98" s="10">
        <f t="shared" si="264"/>
        <v>-19282.868274144184</v>
      </c>
      <c r="M98" s="10">
        <f t="shared" si="264"/>
        <v>-43946.45345817686</v>
      </c>
      <c r="N98" s="10">
        <f t="shared" si="264"/>
        <v>-25730.630349076713</v>
      </c>
      <c r="O98" s="10">
        <f t="shared" si="264"/>
        <v>-38154.074773293883</v>
      </c>
      <c r="P98" s="10">
        <f t="shared" si="264"/>
        <v>-61979.31162458504</v>
      </c>
      <c r="Q98" s="10">
        <f t="shared" si="264"/>
        <v>-37870.188563184965</v>
      </c>
      <c r="R98" s="10">
        <f t="shared" si="264"/>
        <v>-55858.659109058295</v>
      </c>
      <c r="S98" s="10">
        <f t="shared" si="264"/>
        <v>-51194.717838565528</v>
      </c>
      <c r="T98" s="10">
        <f t="shared" si="264"/>
        <v>-45383.194939728484</v>
      </c>
      <c r="U98" s="10">
        <f t="shared" si="264"/>
        <v>-38342.240787850926</v>
      </c>
      <c r="V98" s="10">
        <f t="shared" si="264"/>
        <v>-26690.842409350178</v>
      </c>
      <c r="W98" s="10">
        <f t="shared" si="264"/>
        <v>-18346.053454267494</v>
      </c>
      <c r="X98" s="10">
        <f t="shared" si="264"/>
        <v>-15432.834767846347</v>
      </c>
      <c r="Y98" s="10">
        <f t="shared" si="264"/>
        <v>-20797.065216133524</v>
      </c>
      <c r="Z98" s="10">
        <f t="shared" si="264"/>
        <v>-1883.6539785197381</v>
      </c>
      <c r="AA98" s="10">
        <f t="shared" si="264"/>
        <v>-8379.7138415990703</v>
      </c>
      <c r="AB98" s="10">
        <f t="shared" si="264"/>
        <v>-18994.970191514574</v>
      </c>
      <c r="AC98" s="10">
        <f t="shared" si="264"/>
        <v>-3222.0365513594638</v>
      </c>
      <c r="AD98" s="10">
        <f t="shared" si="264"/>
        <v>-4308.2717423034082</v>
      </c>
      <c r="AE98" s="10">
        <f t="shared" si="264"/>
        <v>-8411.3357483925774</v>
      </c>
      <c r="AF98" s="10">
        <f t="shared" si="264"/>
        <v>-2740.1149260593138</v>
      </c>
      <c r="AG98" s="10">
        <f t="shared" si="264"/>
        <v>-2368.8561425939538</v>
      </c>
      <c r="AH98" s="10">
        <f t="shared" si="264"/>
        <v>-2350.6788866342613</v>
      </c>
      <c r="AI98" s="10">
        <f t="shared" si="264"/>
        <v>-786.22717653660857</v>
      </c>
      <c r="AJ98" s="10">
        <f t="shared" si="264"/>
        <v>2643.738528476752</v>
      </c>
      <c r="AK98" s="10">
        <f t="shared" si="264"/>
        <v>-5652.8898189416013</v>
      </c>
      <c r="AL98" s="10">
        <f t="shared" si="264"/>
        <v>10235.83769304795</v>
      </c>
      <c r="AM98" s="10">
        <f t="shared" si="264"/>
        <v>6539.0904738681711</v>
      </c>
      <c r="AN98" s="10">
        <f t="shared" si="264"/>
        <v>7214.726110519031</v>
      </c>
      <c r="AO98" s="10">
        <f t="shared" si="264"/>
        <v>4305.2552261081746</v>
      </c>
      <c r="AP98" s="10">
        <f t="shared" si="264"/>
        <v>8067.3064603263811</v>
      </c>
      <c r="AQ98" s="10">
        <f t="shared" si="264"/>
        <v>4955.5848474850509</v>
      </c>
      <c r="AR98" s="10">
        <f t="shared" si="264"/>
        <v>7606.6516414712059</v>
      </c>
      <c r="AS98" s="10">
        <f t="shared" si="264"/>
        <v>6478.0110054416255</v>
      </c>
      <c r="AT98" s="10">
        <f t="shared" si="264"/>
        <v>0</v>
      </c>
      <c r="AU98" s="10">
        <f t="shared" si="264"/>
        <v>0</v>
      </c>
      <c r="AV98" s="10">
        <f t="shared" si="264"/>
        <v>0</v>
      </c>
      <c r="AW98" s="10">
        <f t="shared" si="264"/>
        <v>0</v>
      </c>
      <c r="AX98" s="10">
        <f t="shared" si="264"/>
        <v>0</v>
      </c>
      <c r="AY98" s="10">
        <f t="shared" si="264"/>
        <v>0</v>
      </c>
      <c r="AZ98" s="10">
        <f t="shared" ref="AZ98:BK98" si="265">AZ60+AZ83+AZ89+AZ93+AZ96</f>
        <v>3103.2049629550884</v>
      </c>
      <c r="BA98" s="10">
        <f t="shared" si="265"/>
        <v>-3059.951222789864</v>
      </c>
      <c r="BB98" s="10">
        <f t="shared" si="265"/>
        <v>-400.31545787271818</v>
      </c>
      <c r="BC98" s="10">
        <f t="shared" si="265"/>
        <v>-465.1951760042441</v>
      </c>
      <c r="BD98" s="10">
        <f t="shared" si="265"/>
        <v>1420.6963114948744</v>
      </c>
      <c r="BE98" s="10">
        <f t="shared" si="265"/>
        <v>2196.701625200486</v>
      </c>
      <c r="BF98" s="10">
        <f t="shared" si="265"/>
        <v>5103.641760285991</v>
      </c>
      <c r="BG98" s="10">
        <f t="shared" si="265"/>
        <v>-1942.239049920644</v>
      </c>
      <c r="BH98" s="10">
        <f t="shared" si="265"/>
        <v>12089.057126297015</v>
      </c>
      <c r="BI98" s="10">
        <f t="shared" si="265"/>
        <v>4334.1400219785473</v>
      </c>
      <c r="BJ98" s="10">
        <f t="shared" si="265"/>
        <v>4920.9760322663133</v>
      </c>
      <c r="BK98" s="10">
        <f t="shared" si="265"/>
        <v>8453.9306759160208</v>
      </c>
      <c r="BO98" s="23">
        <f>BO60+BO83+BO89+BO93+BO96</f>
        <v>19587.287796953573</v>
      </c>
      <c r="BP98" s="23">
        <f t="shared" ref="BP98:BT98" si="266">BP60+BP83+BP89+BP93+BP96</f>
        <v>-357.06171770748847</v>
      </c>
      <c r="BQ98" s="23">
        <f t="shared" si="266"/>
        <v>11519.981336627192</v>
      </c>
      <c r="BR98" s="23">
        <f t="shared" si="266"/>
        <v>-26525.278485177423</v>
      </c>
      <c r="BS98" s="23">
        <f t="shared" si="266"/>
        <v>-155708.15929682832</v>
      </c>
      <c r="BT98" s="23">
        <f t="shared" si="266"/>
        <v>8612.9793541700637</v>
      </c>
    </row>
    <row r="102" spans="3:72" s="48" customFormat="1" x14ac:dyDescent="0.25">
      <c r="C102" s="46" t="s">
        <v>110</v>
      </c>
      <c r="D102" s="47">
        <f>D11</f>
        <v>3296914.7808294995</v>
      </c>
      <c r="E102" s="47">
        <f>IFERROR(AVERAGE(D11:E11),0)</f>
        <v>3341468.63320708</v>
      </c>
      <c r="F102" s="47">
        <f t="shared" ref="F102:BK102" si="267">IFERROR(AVERAGE(E11:F11),0)</f>
        <v>3443124.7735079001</v>
      </c>
      <c r="G102" s="47">
        <f t="shared" si="267"/>
        <v>3536071.2465580702</v>
      </c>
      <c r="H102" s="47">
        <f t="shared" si="267"/>
        <v>3607044.6471809251</v>
      </c>
      <c r="I102" s="47">
        <f t="shared" si="267"/>
        <v>3673389.5336335851</v>
      </c>
      <c r="J102" s="48">
        <f t="shared" si="267"/>
        <v>3731406.2047703499</v>
      </c>
      <c r="K102" s="48">
        <f t="shared" si="267"/>
        <v>3821688.5968338898</v>
      </c>
      <c r="L102" s="48">
        <f t="shared" si="267"/>
        <v>3900284.541935035</v>
      </c>
      <c r="M102" s="48">
        <f t="shared" si="267"/>
        <v>3916027.1705095549</v>
      </c>
      <c r="N102" s="48">
        <f t="shared" si="267"/>
        <v>3904503.1240512598</v>
      </c>
      <c r="O102" s="48">
        <f t="shared" si="267"/>
        <v>3855190.7615180453</v>
      </c>
      <c r="P102" s="48">
        <f t="shared" si="267"/>
        <v>3780160.8898962848</v>
      </c>
      <c r="Q102" s="48">
        <f t="shared" si="267"/>
        <v>3700891.3820504798</v>
      </c>
      <c r="R102" s="48">
        <f t="shared" si="267"/>
        <v>3634287.6656267298</v>
      </c>
      <c r="S102" s="48">
        <f t="shared" si="267"/>
        <v>3574018.8837287049</v>
      </c>
      <c r="T102" s="48">
        <f t="shared" si="267"/>
        <v>3494204.923531435</v>
      </c>
      <c r="U102" s="48">
        <f t="shared" si="267"/>
        <v>3400371.1784425299</v>
      </c>
      <c r="V102" s="48">
        <f t="shared" si="267"/>
        <v>3297625.7931467248</v>
      </c>
      <c r="W102" s="47">
        <f t="shared" si="267"/>
        <v>3212016.2653305447</v>
      </c>
      <c r="X102" s="47">
        <f t="shared" si="267"/>
        <v>3159088.7386026196</v>
      </c>
      <c r="Y102" s="47">
        <f t="shared" si="267"/>
        <v>3122510.9287919803</v>
      </c>
      <c r="Z102" s="47">
        <f t="shared" si="267"/>
        <v>3084018.04243998</v>
      </c>
      <c r="AA102" s="47">
        <f t="shared" si="267"/>
        <v>3046667.6113783</v>
      </c>
      <c r="AB102" s="47">
        <f t="shared" si="267"/>
        <v>3019723.0079212599</v>
      </c>
      <c r="AC102" s="48">
        <f t="shared" si="267"/>
        <v>3000183.6066955505</v>
      </c>
      <c r="AD102" s="48">
        <f t="shared" si="267"/>
        <v>3006933.2425295003</v>
      </c>
      <c r="AE102" s="48">
        <f t="shared" si="267"/>
        <v>3019671.8850743398</v>
      </c>
      <c r="AF102" s="48">
        <f t="shared" si="267"/>
        <v>3026952.3333037696</v>
      </c>
      <c r="AG102" s="48">
        <f t="shared" si="267"/>
        <v>3025369.6986688096</v>
      </c>
      <c r="AH102" s="48">
        <f t="shared" si="267"/>
        <v>3020814.5398648446</v>
      </c>
      <c r="AI102" s="48">
        <f t="shared" si="267"/>
        <v>3044012.8939313795</v>
      </c>
      <c r="AJ102" s="48">
        <f t="shared" si="267"/>
        <v>3075239.238049875</v>
      </c>
      <c r="AK102" s="48">
        <f t="shared" si="267"/>
        <v>3122672.3682515752</v>
      </c>
      <c r="AL102" s="48">
        <f t="shared" si="267"/>
        <v>3167074.0862101652</v>
      </c>
      <c r="AM102" s="48">
        <f t="shared" si="267"/>
        <v>3179225.5167519995</v>
      </c>
      <c r="AN102" s="48">
        <f t="shared" si="267"/>
        <v>3199457.3233730099</v>
      </c>
      <c r="AO102" s="48">
        <f t="shared" si="267"/>
        <v>3249119.625</v>
      </c>
      <c r="AP102" s="48">
        <f t="shared" si="267"/>
        <v>3300761.6150000002</v>
      </c>
      <c r="AQ102" s="48">
        <f t="shared" si="267"/>
        <v>3345878.1892914753</v>
      </c>
      <c r="AR102" s="48">
        <f t="shared" si="267"/>
        <v>3401797.7867406555</v>
      </c>
      <c r="AS102" s="48">
        <f t="shared" si="267"/>
        <v>3475169.3084485307</v>
      </c>
      <c r="AT102" s="48">
        <f t="shared" si="267"/>
        <v>1758655.3759993501</v>
      </c>
      <c r="AU102" s="48">
        <f t="shared" si="267"/>
        <v>0</v>
      </c>
      <c r="AV102" s="48">
        <f t="shared" si="267"/>
        <v>0</v>
      </c>
      <c r="AW102" s="48">
        <f t="shared" si="267"/>
        <v>0</v>
      </c>
      <c r="AX102" s="48">
        <f t="shared" si="267"/>
        <v>0</v>
      </c>
      <c r="AY102" s="48">
        <f t="shared" si="267"/>
        <v>0</v>
      </c>
      <c r="AZ102" s="48">
        <f>AZ11</f>
        <v>3206378.7069383352</v>
      </c>
      <c r="BA102" s="48">
        <f t="shared" si="267"/>
        <v>3208160.8125716173</v>
      </c>
      <c r="BB102" s="48">
        <f t="shared" si="267"/>
        <v>3227708.5154567668</v>
      </c>
      <c r="BC102" s="48">
        <f t="shared" si="267"/>
        <v>3269328.4855218334</v>
      </c>
      <c r="BD102" s="48">
        <f t="shared" si="267"/>
        <v>3324308.5547340503</v>
      </c>
      <c r="BE102" s="48">
        <f t="shared" si="267"/>
        <v>3371614.2559104795</v>
      </c>
      <c r="BF102" s="48">
        <f t="shared" si="267"/>
        <v>3396542.3443184653</v>
      </c>
      <c r="BG102" s="48">
        <f t="shared" si="267"/>
        <v>3424732.956362511</v>
      </c>
      <c r="BH102" s="48">
        <f t="shared" si="267"/>
        <v>3472215.5522770793</v>
      </c>
      <c r="BI102" s="48">
        <f t="shared" si="267"/>
        <v>3528473.5954664676</v>
      </c>
      <c r="BJ102" s="48">
        <f t="shared" si="267"/>
        <v>3569718.6862644628</v>
      </c>
      <c r="BK102" s="48">
        <f t="shared" si="267"/>
        <v>3589906.546657817</v>
      </c>
      <c r="BO102" s="48">
        <f>IFERROR(AVERAGEIFS($D11:$BM11,$D$6:$BM$6,"&gt;="&amp;EOMONTH(BO$2,-1),$D$6:$BM$6,"&lt;="&amp;BO$6,$D$5:$BM$5,BO$5,$D11:$BM11,"&lt;&gt;0"),0)</f>
        <v>3250109.4691865048</v>
      </c>
      <c r="BP102" s="48">
        <f>IFERROR(AVERAGEIFS($D11:$BM11,$D$6:$BM$6,"&gt;="&amp;EOMONTH(BP$2,-1),$D$6:$BM$6,"&lt;="&amp;BP$6,$D$5:$BM$5,BP$5,$D11:$BM11,"&lt;&gt;0"),0)</f>
        <v>3220598.5792839564</v>
      </c>
      <c r="BQ102" s="48">
        <f>IFERROR(AVERAGEIFS($D11:$BM11,$D$6:$BM$6,"&gt;="&amp;EOMONTH(BQ$2,-1),$D$6:$BM$6,"&lt;="&amp;BQ$6,$D$5:$BM$5,BQ$5,$D11:$BM11,"&lt;&gt;0"),0)</f>
        <v>3226416.4022486731</v>
      </c>
      <c r="BR102" s="48">
        <f>IFERROR(AVERAGEIFS($D11:$BM11,$D$6:$BM$6,"&gt;="&amp;EOMONTH(BR$2,-1),$D$6:$BM$6,"&lt;="&amp;BR$6,$D$5:$BM$5,BR$5,$D11:$BM11,"&lt;&gt;0"),0)</f>
        <v>3013328.1252253801</v>
      </c>
      <c r="BS102" s="48">
        <f t="shared" ref="BS102:BT102" si="268">IFERROR(AVERAGEIFS($D11:$BM11,$D$6:$BM$6,"&gt;="&amp;EOMONTH(BS$2,-1),$D$6:$BM$6,"&lt;="&amp;BS$6,$D$5:$BM$5,BS$5,$D11:$BM11,"&lt;&gt;0"),0)</f>
        <v>3707224.2777615073</v>
      </c>
      <c r="BT102" s="48">
        <f t="shared" si="268"/>
        <v>3394388.1092817667</v>
      </c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5D81-59C3-41AE-8F5F-B922789C8D26}">
  <sheetPr codeName="Hoja7"/>
  <dimension ref="A1:CC104"/>
  <sheetViews>
    <sheetView showGridLines="0" zoomScale="80" zoomScaleNormal="80" workbookViewId="0">
      <pane xSplit="3" ySplit="6" topLeftCell="O7" activePane="bottomRight" state="frozen"/>
      <selection activeCell="AT11" sqref="AT11"/>
      <selection pane="topRight" activeCell="AT11" sqref="AT11"/>
      <selection pane="bottomLeft" activeCell="AT11" sqref="AT11"/>
      <selection pane="bottomRight" activeCell="AQ9" sqref="AQ9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hidden="1" customWidth="1" outlineLevel="1"/>
    <col min="15" max="15" width="11.28515625" bestFit="1" customWidth="1" collapsed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2" width="11.28515625" bestFit="1" customWidth="1"/>
    <col min="43" max="44" width="12.28515625" bestFit="1" customWidth="1"/>
    <col min="45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</cols>
  <sheetData>
    <row r="1" spans="1:81" ht="15.75" x14ac:dyDescent="0.25">
      <c r="D1" s="67" t="s">
        <v>92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8" t="s">
        <v>93</v>
      </c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O1" s="69" t="s">
        <v>90</v>
      </c>
      <c r="BP1" s="69"/>
      <c r="BQ1" s="69"/>
      <c r="BR1" s="69"/>
      <c r="BS1" s="69"/>
      <c r="BT1" s="69"/>
      <c r="BW1" s="69" t="s">
        <v>91</v>
      </c>
      <c r="BX1" s="69"/>
      <c r="BY1" s="69"/>
      <c r="BZ1" s="69"/>
      <c r="CA1" s="69"/>
      <c r="CB1" s="69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</v>
      </c>
      <c r="BP3" s="12">
        <f t="shared" ref="BP3:BT4" si="2">AVERAGEIFS($D3:$BM3,$D$6:$BM$6,"&gt;="&amp;BP$2,$D$6:$BM$6,"&lt;="&amp;BP$6,$D$5:$BM$5,BP$5)</f>
        <v>30</v>
      </c>
      <c r="BQ3" s="12">
        <f t="shared" si="2"/>
        <v>29.5</v>
      </c>
      <c r="BR3" s="12">
        <f t="shared" si="2"/>
        <v>30</v>
      </c>
      <c r="BS3" s="12">
        <f t="shared" si="2"/>
        <v>30.333333333333332</v>
      </c>
      <c r="BT3" s="12">
        <f t="shared" si="2"/>
        <v>30</v>
      </c>
    </row>
    <row r="4" spans="1:81" x14ac:dyDescent="0.25">
      <c r="C4" s="13" t="s">
        <v>62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7">
        <f>AVERAGEIFS($D4:$BM4,$D$6:$BM$6,"&gt;="&amp;BO$2,$D$6:$BM$6,"&lt;="&amp;BO$6,$D$5:$BM$5,BO$5)</f>
        <v>30</v>
      </c>
      <c r="BP4" s="27">
        <f t="shared" si="2"/>
        <v>30</v>
      </c>
      <c r="BQ4" s="27">
        <f t="shared" si="2"/>
        <v>29.5</v>
      </c>
      <c r="BR4" s="27">
        <f t="shared" si="2"/>
        <v>30</v>
      </c>
      <c r="BS4" s="27">
        <f t="shared" si="2"/>
        <v>30.333333333333332</v>
      </c>
      <c r="BT4" s="27">
        <f t="shared" si="2"/>
        <v>30</v>
      </c>
    </row>
    <row r="5" spans="1:81" ht="15.75" thickBot="1" x14ac:dyDescent="0.3">
      <c r="C5" s="13" t="s">
        <v>86</v>
      </c>
      <c r="D5" s="12" t="s">
        <v>87</v>
      </c>
      <c r="E5" s="12" t="s">
        <v>87</v>
      </c>
      <c r="F5" s="12" t="s">
        <v>87</v>
      </c>
      <c r="G5" s="12" t="s">
        <v>87</v>
      </c>
      <c r="H5" s="12" t="s">
        <v>87</v>
      </c>
      <c r="I5" s="12" t="s">
        <v>87</v>
      </c>
      <c r="J5" s="12" t="s">
        <v>87</v>
      </c>
      <c r="K5" s="12" t="s">
        <v>87</v>
      </c>
      <c r="L5" s="12" t="s">
        <v>87</v>
      </c>
      <c r="M5" s="12" t="s">
        <v>87</v>
      </c>
      <c r="N5" s="12" t="s">
        <v>87</v>
      </c>
      <c r="O5" s="12" t="s">
        <v>87</v>
      </c>
      <c r="P5" s="12" t="s">
        <v>87</v>
      </c>
      <c r="Q5" s="12" t="s">
        <v>87</v>
      </c>
      <c r="R5" s="12" t="s">
        <v>87</v>
      </c>
      <c r="S5" s="12" t="s">
        <v>87</v>
      </c>
      <c r="T5" s="12" t="s">
        <v>87</v>
      </c>
      <c r="U5" s="12" t="s">
        <v>87</v>
      </c>
      <c r="V5" s="12" t="s">
        <v>87</v>
      </c>
      <c r="W5" s="12" t="s">
        <v>87</v>
      </c>
      <c r="X5" s="12" t="s">
        <v>87</v>
      </c>
      <c r="Y5" s="12" t="s">
        <v>87</v>
      </c>
      <c r="Z5" s="12" t="s">
        <v>87</v>
      </c>
      <c r="AA5" s="12" t="s">
        <v>87</v>
      </c>
      <c r="AB5" s="12" t="s">
        <v>87</v>
      </c>
      <c r="AC5" s="12" t="s">
        <v>87</v>
      </c>
      <c r="AD5" s="12" t="s">
        <v>87</v>
      </c>
      <c r="AE5" s="12" t="s">
        <v>87</v>
      </c>
      <c r="AF5" s="12" t="s">
        <v>87</v>
      </c>
      <c r="AG5" s="12" t="s">
        <v>87</v>
      </c>
      <c r="AH5" s="12" t="s">
        <v>87</v>
      </c>
      <c r="AI5" s="12" t="s">
        <v>87</v>
      </c>
      <c r="AJ5" s="12" t="s">
        <v>87</v>
      </c>
      <c r="AK5" s="12" t="s">
        <v>87</v>
      </c>
      <c r="AL5" s="12" t="s">
        <v>87</v>
      </c>
      <c r="AM5" s="12" t="s">
        <v>87</v>
      </c>
      <c r="AN5" s="12" t="s">
        <v>87</v>
      </c>
      <c r="AO5" s="12" t="s">
        <v>87</v>
      </c>
      <c r="AP5" s="12" t="s">
        <v>87</v>
      </c>
      <c r="AQ5" s="12" t="s">
        <v>87</v>
      </c>
      <c r="AR5" s="12" t="s">
        <v>87</v>
      </c>
      <c r="AS5" s="12" t="s">
        <v>87</v>
      </c>
      <c r="AT5" s="12" t="s">
        <v>87</v>
      </c>
      <c r="AU5" s="12" t="s">
        <v>87</v>
      </c>
      <c r="AV5" s="12" t="s">
        <v>87</v>
      </c>
      <c r="AW5" s="12" t="s">
        <v>87</v>
      </c>
      <c r="AX5" s="12" t="s">
        <v>87</v>
      </c>
      <c r="AY5" s="12" t="s">
        <v>87</v>
      </c>
      <c r="AZ5" s="12" t="s">
        <v>88</v>
      </c>
      <c r="BA5" s="12" t="s">
        <v>88</v>
      </c>
      <c r="BB5" s="12" t="s">
        <v>88</v>
      </c>
      <c r="BC5" s="12" t="s">
        <v>88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O5" s="12" t="s">
        <v>87</v>
      </c>
      <c r="BP5" s="12" t="s">
        <v>88</v>
      </c>
      <c r="BQ5" s="12" t="s">
        <v>87</v>
      </c>
      <c r="BR5" s="12" t="s">
        <v>87</v>
      </c>
      <c r="BS5" s="12" t="s">
        <v>87</v>
      </c>
      <c r="BT5" s="12" t="s">
        <v>87</v>
      </c>
    </row>
    <row r="6" spans="1:81" ht="16.5" thickTop="1" thickBot="1" x14ac:dyDescent="0.3">
      <c r="C6" s="45" t="s">
        <v>49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46112</v>
      </c>
      <c r="BP6" s="22">
        <f>BO6</f>
        <v>46112</v>
      </c>
      <c r="BQ6" s="1">
        <f>EOMONTH(BO6,-1)</f>
        <v>46081</v>
      </c>
      <c r="BR6" s="1">
        <f>EOMONTH(BO6,-12)</f>
        <v>45747</v>
      </c>
      <c r="BS6" s="1">
        <f>EOMONTH(BO6,-24)</f>
        <v>45382</v>
      </c>
      <c r="BT6" s="1">
        <f>EOMONTH(BO6,-36)</f>
        <v>45016</v>
      </c>
      <c r="BW6" s="1">
        <f>BO6</f>
        <v>46112</v>
      </c>
      <c r="BX6" s="22">
        <f t="shared" ref="BX6:CB6" si="4">BP6</f>
        <v>46112</v>
      </c>
      <c r="BY6" s="1">
        <f t="shared" si="4"/>
        <v>46081</v>
      </c>
      <c r="BZ6" s="1">
        <f t="shared" si="4"/>
        <v>45747</v>
      </c>
      <c r="CA6" s="1">
        <f t="shared" si="4"/>
        <v>45382</v>
      </c>
      <c r="CB6" s="1">
        <f t="shared" si="4"/>
        <v>45016</v>
      </c>
      <c r="CC6" s="26"/>
    </row>
    <row r="7" spans="1:81" ht="15.75" thickTop="1" x14ac:dyDescent="0.25"/>
    <row r="8" spans="1:81" outlineLevel="1" x14ac:dyDescent="0.25">
      <c r="A8" s="11" t="s">
        <v>51</v>
      </c>
      <c r="C8" s="2" t="s">
        <v>0</v>
      </c>
      <c r="D8" s="8">
        <f>IFERROR(
GETPIVOTDATA(
"[Base].[Importe]",
TDinamica_R!$A$5,
"[Calendario].[AñoMes]",
"[Calendario].[AñoMes].&amp;[" &amp; TEXT(D$6,"yyyymm") &amp; "]",
"[Base].[Metrica]",
"[Base].[Metrica].&amp;[" &amp; $A8 &amp; "]",
"[Base].[SEGMENTO_DESCRIP]",
"[Base].[SEGMENTO_DESCRIP].&amp;[" &amp; $C$6 &amp; "]",
"[Base].[SITUACION]",
"[Base].[SITUACION].&amp;[" &amp; $C8 &amp; "]"
),0)/1000</f>
        <v>782495.80663810018</v>
      </c>
      <c r="E8" s="8">
        <f>IFERROR(
GETPIVOTDATA(
"[Base].[Importe]",
TDinamica_R!$A$5,
"[Calendario].[AñoMes]",
"[Calendario].[AñoMes].&amp;[" &amp; TEXT(E$6,"yyyymm") &amp; "]",
"[Base].[Metrica]",
"[Base].[Metrica].&amp;[" &amp; $A8 &amp; "]",
"[Base].[SEGMENTO_DESCRIP]",
"[Base].[SEGMENTO_DESCRIP].&amp;[" &amp; $C$6 &amp; "]",
"[Base].[SITUACION]",
"[Base].[SITUACION].&amp;[" &amp; $C8 &amp; "]"
),0)/1000</f>
        <v>805369.11831749999</v>
      </c>
      <c r="F8" s="8">
        <f>IFERROR(
GETPIVOTDATA(
"[Base].[Importe]",
TDinamica_R!$A$5,
"[Calendario].[AñoMes]",
"[Calendario].[AñoMes].&amp;[" &amp; TEXT(F$6,"yyyymm") &amp; "]",
"[Base].[Metrica]",
"[Base].[Metrica].&amp;[" &amp; $A8 &amp; "]",
"[Base].[SEGMENTO_DESCRIP]",
"[Base].[SEGMENTO_DESCRIP].&amp;[" &amp; $C$6 &amp; "]",
"[Base].[SITUACION]",
"[Base].[SITUACION].&amp;[" &amp; $C8 &amp; "]"
),0)/1000</f>
        <v>826765.65834189998</v>
      </c>
      <c r="G8" s="8">
        <f>IFERROR(
GETPIVOTDATA(
"[Base].[Importe]",
TDinamica_R!$A$5,
"[Calendario].[AñoMes]",
"[Calendario].[AñoMes].&amp;[" &amp; TEXT(G$6,"yyyymm") &amp; "]",
"[Base].[Metrica]",
"[Base].[Metrica].&amp;[" &amp; $A8 &amp; "]",
"[Base].[SEGMENTO_DESCRIP]",
"[Base].[SEGMENTO_DESCRIP].&amp;[" &amp; $C$6 &amp; "]",
"[Base].[SITUACION]",
"[Base].[SITUACION].&amp;[" &amp; $C8 &amp; "]"
),0)/1000</f>
        <v>847847.06047620007</v>
      </c>
      <c r="H8" s="8">
        <f>IFERROR(
GETPIVOTDATA(
"[Base].[Importe]",
TDinamica_R!$A$5,
"[Calendario].[AñoMes]",
"[Calendario].[AñoMes].&amp;[" &amp; TEXT(H$6,"yyyymm") &amp; "]",
"[Base].[Metrica]",
"[Base].[Metrica].&amp;[" &amp; $A8 &amp; "]",
"[Base].[SEGMENTO_DESCRIP]",
"[Base].[SEGMENTO_DESCRIP].&amp;[" &amp; $C$6 &amp; "]",
"[Base].[SITUACION]",
"[Base].[SITUACION].&amp;[" &amp; $C8 &amp; "]"
),0)/1000</f>
        <v>869089.15198219998</v>
      </c>
      <c r="I8" s="8">
        <f>IFERROR(
GETPIVOTDATA(
"[Base].[Importe]",
TDinamica_R!$A$5,
"[Calendario].[AñoMes]",
"[Calendario].[AñoMes].&amp;[" &amp; TEXT(I$6,"yyyymm") &amp; "]",
"[Base].[Metrica]",
"[Base].[Metrica].&amp;[" &amp; $A8 &amp; "]",
"[Base].[SEGMENTO_DESCRIP]",
"[Base].[SEGMENTO_DESCRIP].&amp;[" &amp; $C$6 &amp; "]",
"[Base].[SITUACION]",
"[Base].[SITUACION].&amp;[" &amp; $C8 &amp; "]"
),0)/1000</f>
        <v>886814.08284989989</v>
      </c>
      <c r="J8" s="8">
        <f>IFERROR(
GETPIVOTDATA(
"[Base].[Importe]",
TDinamica_R!$A$5,
"[Calendario].[AñoMes]",
"[Calendario].[AñoMes].&amp;[" &amp; TEXT(J$6,"yyyymm") &amp; "]",
"[Base].[Metrica]",
"[Base].[Metrica].&amp;[" &amp; $A8 &amp; "]",
"[Base].[SEGMENTO_DESCRIP]",
"[Base].[SEGMENTO_DESCRIP].&amp;[" &amp; $C$6 &amp; "]",
"[Base].[SITUACION]",
"[Base].[SITUACION].&amp;[" &amp; $C8 &amp; "]"
),0)/1000</f>
        <v>911633.97474659991</v>
      </c>
      <c r="K8" s="8">
        <f>IFERROR(
GETPIVOTDATA(
"[Base].[Importe]",
TDinamica_R!$A$5,
"[Calendario].[AñoMes]",
"[Calendario].[AñoMes].&amp;[" &amp; TEXT(K$6,"yyyymm") &amp; "]",
"[Base].[Metrica]",
"[Base].[Metrica].&amp;[" &amp; $A8 &amp; "]",
"[Base].[SEGMENTO_DESCRIP]",
"[Base].[SEGMENTO_DESCRIP].&amp;[" &amp; $C$6 &amp; "]",
"[Base].[SITUACION]",
"[Base].[SITUACION].&amp;[" &amp; $C8 &amp; "]"
),0)/1000</f>
        <v>948809.80781519995</v>
      </c>
      <c r="L8" s="8">
        <f>IFERROR(
GETPIVOTDATA(
"[Base].[Importe]",
TDinamica_R!$A$5,
"[Calendario].[AñoMes]",
"[Calendario].[AñoMes].&amp;[" &amp; TEXT(L$6,"yyyymm") &amp; "]",
"[Base].[Metrica]",
"[Base].[Metrica].&amp;[" &amp; $A8 &amp; "]",
"[Base].[SEGMENTO_DESCRIP]",
"[Base].[SEGMENTO_DESCRIP].&amp;[" &amp; $C$6 &amp; "]",
"[Base].[SITUACION]",
"[Base].[SITUACION].&amp;[" &amp; $C8 &amp; "]"
),0)/1000</f>
        <v>973941.32087279984</v>
      </c>
      <c r="M8" s="8">
        <f>IFERROR(
GETPIVOTDATA(
"[Base].[Importe]",
TDinamica_R!$A$5,
"[Calendario].[AñoMes]",
"[Calendario].[AñoMes].&amp;[" &amp; TEXT(M$6,"yyyymm") &amp; "]",
"[Base].[Metrica]",
"[Base].[Metrica].&amp;[" &amp; $A8 &amp; "]",
"[Base].[SEGMENTO_DESCRIP]",
"[Base].[SEGMENTO_DESCRIP].&amp;[" &amp; $C$6 &amp; "]",
"[Base].[SITUACION]",
"[Base].[SITUACION].&amp;[" &amp; $C8 &amp; "]"
),0)/1000</f>
        <v>976218.42881710001</v>
      </c>
      <c r="N8" s="8">
        <f>IFERROR(
GETPIVOTDATA(
"[Base].[Importe]",
TDinamica_R!$A$5,
"[Calendario].[AñoMes]",
"[Calendario].[AñoMes].&amp;[" &amp; TEXT(N$6,"yyyymm") &amp; "]",
"[Base].[Metrica]",
"[Base].[Metrica].&amp;[" &amp; $A8 &amp; "]",
"[Base].[SEGMENTO_DESCRIP]",
"[Base].[SEGMENTO_DESCRIP].&amp;[" &amp; $C$6 &amp; "]",
"[Base].[SITUACION]",
"[Base].[SITUACION].&amp;[" &amp; $C8 &amp; "]"
),0)/1000</f>
        <v>984195.72319340007</v>
      </c>
      <c r="O8" s="8">
        <f>IFERROR(
GETPIVOTDATA(
"[Base].[Importe]",
TDinamica_R!$A$5,
"[Calendario].[AñoMes]",
"[Calendario].[AñoMes].&amp;[" &amp; TEXT(O$6,"yyyymm") &amp; "]",
"[Base].[Metrica]",
"[Base].[Metrica].&amp;[" &amp; $A8 &amp; "]",
"[Base].[SEGMENTO_DESCRIP]",
"[Base].[SEGMENTO_DESCRIP].&amp;[" &amp; $C$6 &amp; "]",
"[Base].[SITUACION]",
"[Base].[SITUACION].&amp;[" &amp; $C8 &amp; "]"
),0)/1000</f>
        <v>980351.22422979993</v>
      </c>
      <c r="P8" s="8">
        <f>IFERROR(
GETPIVOTDATA(
"[Base].[Importe]",
TDinamica_R!$A$5,
"[Calendario].[AñoMes]",
"[Calendario].[AñoMes].&amp;[" &amp; TEXT(P$6,"yyyymm") &amp; "]",
"[Base].[Metrica]",
"[Base].[Metrica].&amp;[" &amp; $A8 &amp; "]",
"[Base].[SEGMENTO_DESCRIP]",
"[Base].[SEGMENTO_DESCRIP].&amp;[" &amp; $C$6 &amp; "]",
"[Base].[SITUACION]",
"[Base].[SITUACION].&amp;[" &amp; $C8 &amp; "]"
),0)/1000</f>
        <v>967162.14419229992</v>
      </c>
      <c r="Q8" s="8">
        <f>IFERROR(
GETPIVOTDATA(
"[Base].[Importe]",
TDinamica_R!$A$5,
"[Calendario].[AñoMes]",
"[Calendario].[AñoMes].&amp;[" &amp; TEXT(Q$6,"yyyymm") &amp; "]",
"[Base].[Metrica]",
"[Base].[Metrica].&amp;[" &amp; $A8 &amp; "]",
"[Base].[SEGMENTO_DESCRIP]",
"[Base].[SEGMENTO_DESCRIP].&amp;[" &amp; $C$6 &amp; "]",
"[Base].[SITUACION]",
"[Base].[SITUACION].&amp;[" &amp; $C8 &amp; "]"
),0)/1000</f>
        <v>960305.01186519989</v>
      </c>
      <c r="R8" s="8">
        <f>IFERROR(
GETPIVOTDATA(
"[Base].[Importe]",
TDinamica_R!$A$5,
"[Calendario].[AñoMes]",
"[Calendario].[AñoMes].&amp;[" &amp; TEXT(R$6,"yyyymm") &amp; "]",
"[Base].[Metrica]",
"[Base].[Metrica].&amp;[" &amp; $A8 &amp; "]",
"[Base].[SEGMENTO_DESCRIP]",
"[Base].[SEGMENTO_DESCRIP].&amp;[" &amp; $C$6 &amp; "]",
"[Base].[SITUACION]",
"[Base].[SITUACION].&amp;[" &amp; $C8 &amp; "]"
),0)/1000</f>
        <v>951168.10571809998</v>
      </c>
      <c r="S8" s="8">
        <f>IFERROR(
GETPIVOTDATA(
"[Base].[Importe]",
TDinamica_R!$A$5,
"[Calendario].[AñoMes]",
"[Calendario].[AñoMes].&amp;[" &amp; TEXT(S$6,"yyyymm") &amp; "]",
"[Base].[Metrica]",
"[Base].[Metrica].&amp;[" &amp; $A8 &amp; "]",
"[Base].[SEGMENTO_DESCRIP]",
"[Base].[SEGMENTO_DESCRIP].&amp;[" &amp; $C$6 &amp; "]",
"[Base].[SITUACION]",
"[Base].[SITUACION].&amp;[" &amp; $C8 &amp; "]"
),0)/1000</f>
        <v>934748.9901824001</v>
      </c>
      <c r="T8" s="8">
        <f>IFERROR(
GETPIVOTDATA(
"[Base].[Importe]",
TDinamica_R!$A$5,
"[Calendario].[AñoMes]",
"[Calendario].[AñoMes].&amp;[" &amp; TEXT(T$6,"yyyymm") &amp; "]",
"[Base].[Metrica]",
"[Base].[Metrica].&amp;[" &amp; $A8 &amp; "]",
"[Base].[SEGMENTO_DESCRIP]",
"[Base].[SEGMENTO_DESCRIP].&amp;[" &amp; $C$6 &amp; "]",
"[Base].[SITUACION]",
"[Base].[SITUACION].&amp;[" &amp; $C8 &amp; "]"
),0)/1000</f>
        <v>914583.18241439993</v>
      </c>
      <c r="U8" s="8">
        <f>IFERROR(
GETPIVOTDATA(
"[Base].[Importe]",
TDinamica_R!$A$5,
"[Calendario].[AñoMes]",
"[Calendario].[AñoMes].&amp;[" &amp; TEXT(U$6,"yyyymm") &amp; "]",
"[Base].[Metrica]",
"[Base].[Metrica].&amp;[" &amp; $A8 &amp; "]",
"[Base].[SEGMENTO_DESCRIP]",
"[Base].[SEGMENTO_DESCRIP].&amp;[" &amp; $C$6 &amp; "]",
"[Base].[SITUACION]",
"[Base].[SITUACION].&amp;[" &amp; $C8 &amp; "]"
),0)/1000</f>
        <v>895180.39453909977</v>
      </c>
      <c r="V8" s="8">
        <f>IFERROR(
GETPIVOTDATA(
"[Base].[Importe]",
TDinamica_R!$A$5,
"[Calendario].[AñoMes]",
"[Calendario].[AñoMes].&amp;[" &amp; TEXT(V$6,"yyyymm") &amp; "]",
"[Base].[Metrica]",
"[Base].[Metrica].&amp;[" &amp; $A8 &amp; "]",
"[Base].[SEGMENTO_DESCRIP]",
"[Base].[SEGMENTO_DESCRIP].&amp;[" &amp; $C$6 &amp; "]",
"[Base].[SITUACION]",
"[Base].[SITUACION].&amp;[" &amp; $C8 &amp; "]"
),0)/1000</f>
        <v>879459.79858319997</v>
      </c>
      <c r="W8" s="8">
        <f>IFERROR(
GETPIVOTDATA(
"[Base].[Importe]",
TDinamica_R!$A$5,
"[Calendario].[AñoMes]",
"[Calendario].[AñoMes].&amp;[" &amp; TEXT(W$6,"yyyymm") &amp; "]",
"[Base].[Metrica]",
"[Base].[Metrica].&amp;[" &amp; $A8 &amp; "]",
"[Base].[SEGMENTO_DESCRIP]",
"[Base].[SEGMENTO_DESCRIP].&amp;[" &amp; $C$6 &amp; "]",
"[Base].[SITUACION]",
"[Base].[SITUACION].&amp;[" &amp; $C8 &amp; "]"
),0)/1000</f>
        <v>873690.24710849987</v>
      </c>
      <c r="X8" s="8">
        <f>IFERROR(
GETPIVOTDATA(
"[Base].[Importe]",
TDinamica_R!$A$5,
"[Calendario].[AñoMes]",
"[Calendario].[AñoMes].&amp;[" &amp; TEXT(X$6,"yyyymm") &amp; "]",
"[Base].[Metrica]",
"[Base].[Metrica].&amp;[" &amp; $A8 &amp; "]",
"[Base].[SEGMENTO_DESCRIP]",
"[Base].[SEGMENTO_DESCRIP].&amp;[" &amp; $C$6 &amp; "]",
"[Base].[SITUACION]",
"[Base].[SITUACION].&amp;[" &amp; $C8 &amp; "]"
),0)/1000</f>
        <v>881947.05296660005</v>
      </c>
      <c r="Y8" s="8">
        <f>IFERROR(
GETPIVOTDATA(
"[Base].[Importe]",
TDinamica_R!$A$5,
"[Calendario].[AñoMes]",
"[Calendario].[AñoMes].&amp;[" &amp; TEXT(Y$6,"yyyymm") &amp; "]",
"[Base].[Metrica]",
"[Base].[Metrica].&amp;[" &amp; $A8 &amp; "]",
"[Base].[SEGMENTO_DESCRIP]",
"[Base].[SEGMENTO_DESCRIP].&amp;[" &amp; $C$6 &amp; "]",
"[Base].[SITUACION]",
"[Base].[SITUACION].&amp;[" &amp; $C8 &amp; "]"
),0)/1000</f>
        <v>888670.61800149991</v>
      </c>
      <c r="Z8" s="8">
        <f>IFERROR(
GETPIVOTDATA(
"[Base].[Importe]",
TDinamica_R!$A$5,
"[Calendario].[AñoMes]",
"[Calendario].[AñoMes].&amp;[" &amp; TEXT(Z$6,"yyyymm") &amp; "]",
"[Base].[Metrica]",
"[Base].[Metrica].&amp;[" &amp; $A8 &amp; "]",
"[Base].[SEGMENTO_DESCRIP]",
"[Base].[SEGMENTO_DESCRIP].&amp;[" &amp; $C$6 &amp; "]",
"[Base].[SITUACION]",
"[Base].[SITUACION].&amp;[" &amp; $C8 &amp; "]"
),0)/1000</f>
        <v>904200.69299130014</v>
      </c>
      <c r="AA8" s="8">
        <f>IFERROR(
GETPIVOTDATA(
"[Base].[Importe]",
TDinamica_R!$A$5,
"[Calendario].[AñoMes]",
"[Calendario].[AñoMes].&amp;[" &amp; TEXT(AA$6,"yyyymm") &amp; "]",
"[Base].[Metrica]",
"[Base].[Metrica].&amp;[" &amp; $A8 &amp; "]",
"[Base].[SEGMENTO_DESCRIP]",
"[Base].[SEGMENTO_DESCRIP].&amp;[" &amp; $C$6 &amp; "]",
"[Base].[SITUACION]",
"[Base].[SITUACION].&amp;[" &amp; $C8 &amp; "]"
),0)/1000</f>
        <v>911397.3710377001</v>
      </c>
      <c r="AB8" s="8">
        <f>IFERROR(
GETPIVOTDATA(
"[Base].[Importe]",
TDinamica_R!$A$5,
"[Calendario].[AñoMes]",
"[Calendario].[AñoMes].&amp;[" &amp; TEXT(AB$6,"yyyymm") &amp; "]",
"[Base].[Metrica]",
"[Base].[Metrica].&amp;[" &amp; $A8 &amp; "]",
"[Base].[SEGMENTO_DESCRIP]",
"[Base].[SEGMENTO_DESCRIP].&amp;[" &amp; $C$6 &amp; "]",
"[Base].[SITUACION]",
"[Base].[SITUACION].&amp;[" &amp; $C8 &amp; "]"
),0)/1000</f>
        <v>923267.30400309991</v>
      </c>
      <c r="AC8" s="8">
        <f>IFERROR(
GETPIVOTDATA(
"[Base].[Importe]",
TDinamica_R!$A$5,
"[Calendario].[AñoMes]",
"[Calendario].[AñoMes].&amp;[" &amp; TEXT(AC$6,"yyyymm") &amp; "]",
"[Base].[Metrica]",
"[Base].[Metrica].&amp;[" &amp; $A8 &amp; "]",
"[Base].[SEGMENTO_DESCRIP]",
"[Base].[SEGMENTO_DESCRIP].&amp;[" &amp; $C$6 &amp; "]",
"[Base].[SITUACION]",
"[Base].[SITUACION].&amp;[" &amp; $C8 &amp; "]"
),0)/1000</f>
        <v>940799.58846589993</v>
      </c>
      <c r="AD8" s="8">
        <f>IFERROR(
GETPIVOTDATA(
"[Base].[Importe]",
TDinamica_R!$A$5,
"[Calendario].[AñoMes]",
"[Calendario].[AñoMes].&amp;[" &amp; TEXT(AD$6,"yyyymm") &amp; "]",
"[Base].[Metrica]",
"[Base].[Metrica].&amp;[" &amp; $A8 &amp; "]",
"[Base].[SEGMENTO_DESCRIP]",
"[Base].[SEGMENTO_DESCRIP].&amp;[" &amp; $C$6 &amp; "]",
"[Base].[SITUACION]",
"[Base].[SITUACION].&amp;[" &amp; $C8 &amp; "]"
),0)/1000</f>
        <v>965430.16987990006</v>
      </c>
      <c r="AE8" s="8">
        <f>IFERROR(
GETPIVOTDATA(
"[Base].[Importe]",
TDinamica_R!$A$5,
"[Calendario].[AñoMes]",
"[Calendario].[AñoMes].&amp;[" &amp; TEXT(AE$6,"yyyymm") &amp; "]",
"[Base].[Metrica]",
"[Base].[Metrica].&amp;[" &amp; $A8 &amp; "]",
"[Base].[SEGMENTO_DESCRIP]",
"[Base].[SEGMENTO_DESCRIP].&amp;[" &amp; $C$6 &amp; "]",
"[Base].[SITUACION]",
"[Base].[SITUACION].&amp;[" &amp; $C8 &amp; "]"
),0)/1000</f>
        <v>985382.87416529993</v>
      </c>
      <c r="AF8" s="8">
        <f>IFERROR(
GETPIVOTDATA(
"[Base].[Importe]",
TDinamica_R!$A$5,
"[Calendario].[AñoMes]",
"[Calendario].[AñoMes].&amp;[" &amp; TEXT(AF$6,"yyyymm") &amp; "]",
"[Base].[Metrica]",
"[Base].[Metrica].&amp;[" &amp; $A8 &amp; "]",
"[Base].[SEGMENTO_DESCRIP]",
"[Base].[SEGMENTO_DESCRIP].&amp;[" &amp; $C$6 &amp; "]",
"[Base].[SITUACION]",
"[Base].[SITUACION].&amp;[" &amp; $C8 &amp; "]"
),0)/1000</f>
        <v>1013279.4737489001</v>
      </c>
      <c r="AG8" s="8">
        <f>IFERROR(
GETPIVOTDATA(
"[Base].[Importe]",
TDinamica_R!$A$5,
"[Calendario].[AñoMes]",
"[Calendario].[AñoMes].&amp;[" &amp; TEXT(AG$6,"yyyymm") &amp; "]",
"[Base].[Metrica]",
"[Base].[Metrica].&amp;[" &amp; $A8 &amp; "]",
"[Base].[SEGMENTO_DESCRIP]",
"[Base].[SEGMENTO_DESCRIP].&amp;[" &amp; $C$6 &amp; "]",
"[Base].[SITUACION]",
"[Base].[SITUACION].&amp;[" &amp; $C8 &amp; "]"
),0)/1000</f>
        <v>1021680.0506859</v>
      </c>
      <c r="AH8" s="8">
        <f>IFERROR(
GETPIVOTDATA(
"[Base].[Importe]",
TDinamica_R!$A$5,
"[Calendario].[AñoMes]",
"[Calendario].[AñoMes].&amp;[" &amp; TEXT(AH$6,"yyyymm") &amp; "]",
"[Base].[Metrica]",
"[Base].[Metrica].&amp;[" &amp; $A8 &amp; "]",
"[Base].[SEGMENTO_DESCRIP]",
"[Base].[SEGMENTO_DESCRIP].&amp;[" &amp; $C$6 &amp; "]",
"[Base].[SITUACION]",
"[Base].[SITUACION].&amp;[" &amp; $C8 &amp; "]"
),0)/1000</f>
        <v>1037982.7019874002</v>
      </c>
      <c r="AI8" s="8">
        <f>IFERROR(
GETPIVOTDATA(
"[Base].[Importe]",
TDinamica_R!$A$5,
"[Calendario].[AñoMes]",
"[Calendario].[AñoMes].&amp;[" &amp; TEXT(AI$6,"yyyymm") &amp; "]",
"[Base].[Metrica]",
"[Base].[Metrica].&amp;[" &amp; $A8 &amp; "]",
"[Base].[SEGMENTO_DESCRIP]",
"[Base].[SEGMENTO_DESCRIP].&amp;[" &amp; $C$6 &amp; "]",
"[Base].[SITUACION]",
"[Base].[SITUACION].&amp;[" &amp; $C8 &amp; "]"
),0)/1000</f>
        <v>1061774.5906251001</v>
      </c>
      <c r="AJ8" s="8">
        <f>IFERROR(
GETPIVOTDATA(
"[Base].[Importe]",
TDinamica_R!$A$5,
"[Calendario].[AñoMes]",
"[Calendario].[AñoMes].&amp;[" &amp; TEXT(AJ$6,"yyyymm") &amp; "]",
"[Base].[Metrica]",
"[Base].[Metrica].&amp;[" &amp; $A8 &amp; "]",
"[Base].[SEGMENTO_DESCRIP]",
"[Base].[SEGMENTO_DESCRIP].&amp;[" &amp; $C$6 &amp; "]",
"[Base].[SITUACION]",
"[Base].[SITUACION].&amp;[" &amp; $C8 &amp; "]"
),0)/1000</f>
        <v>1098399.3132660999</v>
      </c>
      <c r="AK8" s="8">
        <f>IFERROR(
GETPIVOTDATA(
"[Base].[Importe]",
TDinamica_R!$A$5,
"[Calendario].[AñoMes]",
"[Calendario].[AñoMes].&amp;[" &amp; TEXT(AK$6,"yyyymm") &amp; "]",
"[Base].[Metrica]",
"[Base].[Metrica].&amp;[" &amp; $A8 &amp; "]",
"[Base].[SEGMENTO_DESCRIP]",
"[Base].[SEGMENTO_DESCRIP].&amp;[" &amp; $C$6 &amp; "]",
"[Base].[SITUACION]",
"[Base].[SITUACION].&amp;[" &amp; $C8 &amp; "]"
),0)/1000</f>
        <v>1154276.8696152999</v>
      </c>
      <c r="AL8" s="8">
        <f>IFERROR(
GETPIVOTDATA(
"[Base].[Importe]",
TDinamica_R!$A$5,
"[Calendario].[AñoMes]",
"[Calendario].[AñoMes].&amp;[" &amp; TEXT(AL$6,"yyyymm") &amp; "]",
"[Base].[Metrica]",
"[Base].[Metrica].&amp;[" &amp; $A8 &amp; "]",
"[Base].[SEGMENTO_DESCRIP]",
"[Base].[SEGMENTO_DESCRIP].&amp;[" &amp; $C$6 &amp; "]",
"[Base].[SITUACION]",
"[Base].[SITUACION].&amp;[" &amp; $C8 &amp; "]"
),0)/1000</f>
        <v>1190491.0786480999</v>
      </c>
      <c r="AM8" s="8">
        <f>IFERROR(
GETPIVOTDATA(
"[Base].[Importe]",
TDinamica_R!$A$5,
"[Calendario].[AñoMes]",
"[Calendario].[AñoMes].&amp;[" &amp; TEXT(AM$6,"yyyymm") &amp; "]",
"[Base].[Metrica]",
"[Base].[Metrica].&amp;[" &amp; $A8 &amp; "]",
"[Base].[SEGMENTO_DESCRIP]",
"[Base].[SEGMENTO_DESCRIP].&amp;[" &amp; $C$6 &amp; "]",
"[Base].[SITUACION]",
"[Base].[SITUACION].&amp;[" &amp; $C8 &amp; "]"
),0)/1000</f>
        <v>1199628.4494211997</v>
      </c>
      <c r="AN8" s="8">
        <f>IFERROR(
GETPIVOTDATA(
"[Base].[Importe]",
TDinamica_R!$A$5,
"[Calendario].[AñoMes]",
"[Calendario].[AñoMes].&amp;[" &amp; TEXT(AN$6,"yyyymm") &amp; "]",
"[Base].[Metrica]",
"[Base].[Metrica].&amp;[" &amp; $A8 &amp; "]",
"[Base].[SEGMENTO_DESCRIP]",
"[Base].[SEGMENTO_DESCRIP].&amp;[" &amp; $C$6 &amp; "]",
"[Base].[SITUACION]",
"[Base].[SITUACION].&amp;[" &amp; $C8 &amp; "]"
),0)/1000</f>
        <v>1217347.24</v>
      </c>
      <c r="AO8" s="8">
        <f>IFERROR(
GETPIVOTDATA(
"[Base].[Importe]",
TDinamica_R!$A$5,
"[Calendario].[AñoMes]",
"[Calendario].[AñoMes].&amp;[" &amp; TEXT(AO$6,"yyyymm") &amp; "]",
"[Base].[Metrica]",
"[Base].[Metrica].&amp;[" &amp; $A8 &amp; "]",
"[Base].[SEGMENTO_DESCRIP]",
"[Base].[SEGMENTO_DESCRIP].&amp;[" &amp; $C$6 &amp; "]",
"[Base].[SITUACION]",
"[Base].[SITUACION].&amp;[" &amp; $C8 &amp; "]"
),0)/1000</f>
        <v>1252992.08</v>
      </c>
      <c r="AP8" s="8">
        <f>IFERROR(
GETPIVOTDATA(
"[Base].[Importe]",
TDinamica_R!$A$5,
"[Calendario].[AñoMes]",
"[Calendario].[AñoMes].&amp;[" &amp; TEXT(AP$6,"yyyymm") &amp; "]",
"[Base].[Metrica]",
"[Base].[Metrica].&amp;[" &amp; $A8 &amp; "]",
"[Base].[SEGMENTO_DESCRIP]",
"[Base].[SEGMENTO_DESCRIP].&amp;[" &amp; $C$6 &amp; "]",
"[Base].[SITUACION]",
"[Base].[SITUACION].&amp;[" &amp; $C8 &amp; "]"
),0)/1000</f>
        <v>1284008.57</v>
      </c>
      <c r="AQ8" s="8">
        <f>IFERROR(
GETPIVOTDATA(
"[Base].[Importe]",
TDinamica_R!$A$5,
"[Calendario].[AñoMes]",
"[Calendario].[AñoMes].&amp;[" &amp; TEXT(AQ$6,"yyyymm") &amp; "]",
"[Base].[Metrica]",
"[Base].[Metrica].&amp;[" &amp; $A8 &amp; "]",
"[Base].[SEGMENTO_DESCRIP]",
"[Base].[SEGMENTO_DESCRIP].&amp;[" &amp; $C$6 &amp; "]",
"[Base].[SITUACION]",
"[Base].[SITUACION].&amp;[" &amp; $C8 &amp; "]"
),0)/1000</f>
        <v>1306492.9509908003</v>
      </c>
      <c r="AR8" s="8">
        <f>IFERROR(
GETPIVOTDATA(
"[Base].[Importe]",
TDinamica_R!$A$5,
"[Calendario].[AñoMes]",
"[Calendario].[AñoMes].&amp;[" &amp; TEXT(AR$6,"yyyymm") &amp; "]",
"[Base].[Metrica]",
"[Base].[Metrica].&amp;[" &amp; $A8 &amp; "]",
"[Base].[SEGMENTO_DESCRIP]",
"[Base].[SEGMENTO_DESCRIP].&amp;[" &amp; $C$6 &amp; "]",
"[Base].[SITUACION]",
"[Base].[SITUACION].&amp;[" &amp; $C8 &amp; "]"
),0)/1000</f>
        <v>1337059.5235750601</v>
      </c>
      <c r="AS8" s="8">
        <f>IFERROR(
GETPIVOTDATA(
"[Base].[Importe]",
TDinamica_R!$A$5,
"[Calendario].[AñoMes]",
"[Calendario].[AñoMes].&amp;[" &amp; TEXT(AS$6,"yyyymm") &amp; "]",
"[Base].[Metrica]",
"[Base].[Metrica].&amp;[" &amp; $A8 &amp; "]",
"[Base].[SEGMENTO_DESCRIP]",
"[Base].[SEGMENTO_DESCRIP].&amp;[" &amp; $C$6 &amp; "]",
"[Base].[SITUACION]",
"[Base].[SITUACION].&amp;[" &amp; $C8 &amp; "]"
),0)/1000</f>
        <v>1379611.8473673</v>
      </c>
      <c r="AT8" s="8">
        <f>IFERROR(
GETPIVOTDATA(
"[Base].[Importe]",
TDinamica_R!$A$5,
"[Calendario].[AñoMes]",
"[Calendario].[AñoMes].&amp;[" &amp; TEXT(AT$6,"yyyymm")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U8" s="8">
        <f>IFERROR(
GETPIVOTDATA(
"[Base].[Importe]",
TDinamica_R!$A$5,
"[Calendario].[AñoMes]",
"[Calendario].[AñoMes].&amp;[" &amp; TEXT(AU$6,"yyyymm")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V8" s="8">
        <f>IFERROR(
GETPIVOTDATA(
"[Base].[Importe]",
TDinamica_R!$A$5,
"[Calendario].[AñoMes]",
"[Calendario].[AñoMes].&amp;[" &amp; TEXT(AV$6,"yyyymm")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W8" s="8">
        <f>IFERROR(
GETPIVOTDATA(
"[Base].[Importe]",
TDinamica_R!$A$5,
"[Calendario].[AñoMes]",
"[Calendario].[AñoMes].&amp;[" &amp; TEXT(AW$6,"yyyymm")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X8" s="8">
        <f>IFERROR(
GETPIVOTDATA(
"[Base].[Importe]",
TDinamica_R!$A$5,
"[Calendario].[AñoMes]",
"[Calendario].[AñoMes].&amp;[" &amp; TEXT(AX$6,"yyyymm")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Y8" s="8">
        <f>IFERROR(
GETPIVOTDATA(
"[Base].[Importe]",
TDinamica_R!$A$5,
"[Calendario].[AñoMes]",
"[Calendario].[AñoMes].&amp;[" &amp; TEXT(AY$6,"yyyymm")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Z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TEXT(AZ$6,"yyyymm") &amp; "]"
),
0
)</f>
        <v>1221796.2893310764</v>
      </c>
      <c r="BA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TEXT(BA$6,"yyyymm") &amp; "]"
),
0
)</f>
        <v>1238488.4162529567</v>
      </c>
      <c r="BB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TEXT(BB$6,"yyyymm") &amp; "]"
),
0
)</f>
        <v>1267256.2103172692</v>
      </c>
      <c r="BC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TEXT(BC$6,"yyyymm") &amp; "]"
),
0
)</f>
        <v>1302433.9301087456</v>
      </c>
      <c r="BD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TEXT(BD$6,"yyyymm") &amp; "]"
),
0
)</f>
        <v>1341615.3818657941</v>
      </c>
      <c r="BE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TEXT(BE$6,"yyyymm") &amp; "]"
),
0
)</f>
        <v>1368060.4611320994</v>
      </c>
      <c r="BF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TEXT(BF$6,"yyyymm") &amp; "]"
),
0
)</f>
        <v>1382229.827891432</v>
      </c>
      <c r="BG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TEXT(BG$6,"yyyymm") &amp; "]"
),
0
)</f>
        <v>1402870.1949542272</v>
      </c>
      <c r="BH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TEXT(BH$6,"yyyymm") &amp; "]"
),
0
)</f>
        <v>1432270.1329686928</v>
      </c>
      <c r="BI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TEXT(BI$6,"yyyymm") &amp; "]"
),
0
)</f>
        <v>1459475.0106054046</v>
      </c>
      <c r="BJ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TEXT(BJ$6,"yyyymm") &amp; "]"
),
0
)</f>
        <v>1475438.6726431751</v>
      </c>
      <c r="BK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TEXT(BK$6,"yyyymm") &amp; "]"
),
0
)</f>
        <v>1482834.6312147588</v>
      </c>
      <c r="BO8" s="24">
        <f t="shared" ref="BO8:BO10" si="5">_xlfn.XLOOKUP(BO$6,$D$6:$BM$6,$D8:$BM8,,0,1)</f>
        <v>1284008.57</v>
      </c>
      <c r="BP8" s="24">
        <f>_xlfn.XLOOKUP(BP$6,$D$6:$BM$6,$D8:$BM8,,0,-1)</f>
        <v>1267256.2103172692</v>
      </c>
      <c r="BQ8" s="24">
        <f t="shared" ref="BQ8:BT10" si="6">_xlfn.XLOOKUP(BQ$6,$D$6:$BM$6,$D8:$BM8,,0,1)</f>
        <v>1252992.08</v>
      </c>
      <c r="BR8" s="24">
        <f t="shared" si="6"/>
        <v>965430.16987990006</v>
      </c>
      <c r="BS8" s="24">
        <f t="shared" si="6"/>
        <v>951168.10571809998</v>
      </c>
      <c r="BT8" s="24">
        <f t="shared" si="6"/>
        <v>826765.65834189998</v>
      </c>
    </row>
    <row r="9" spans="1:81" outlineLevel="1" x14ac:dyDescent="0.25">
      <c r="A9" s="11" t="s">
        <v>51</v>
      </c>
      <c r="C9" s="2" t="s">
        <v>1</v>
      </c>
      <c r="D9" s="8">
        <f>IFERROR(
GETPIVOTDATA(
"[Base].[Importe]",
TDinamica_R!$A$5,
"[Calendario].[AñoMes]",
"[Calendario].[AñoMes].&amp;[" &amp; TEXT(D$6,"yyyymm") &amp; "]",
"[Base].[Metrica]",
"[Base].[Metrica].&amp;[" &amp; $A9 &amp; "]",
"[Base].[SEGMENTO_DESCRIP]",
"[Base].[SEGMENTO_DESCRIP].&amp;[" &amp; $C$6 &amp; "]",
"[Base].[SITUACION]",
"[Base].[SITUACION].&amp;[" &amp; $C9 &amp; "]"
),0)/1000</f>
        <v>350.65035999999998</v>
      </c>
      <c r="E9" s="8">
        <f>IFERROR(
GETPIVOTDATA(
"[Base].[Importe]",
TDinamica_R!$A$5,
"[Calendario].[AñoMes]",
"[Calendario].[AñoMes].&amp;[" &amp; TEXT(E$6,"yyyymm") &amp; "]",
"[Base].[Metrica]",
"[Base].[Metrica].&amp;[" &amp; $A9 &amp; "]",
"[Base].[SEGMENTO_DESCRIP]",
"[Base].[SEGMENTO_DESCRIP].&amp;[" &amp; $C$6 &amp; "]",
"[Base].[SITUACION]",
"[Base].[SITUACION].&amp;[" &amp; $C9 &amp; "]"
),0)/1000</f>
        <v>341.16179999999997</v>
      </c>
      <c r="F9" s="8">
        <f>IFERROR(
GETPIVOTDATA(
"[Base].[Importe]",
TDinamica_R!$A$5,
"[Calendario].[AñoMes]",
"[Calendario].[AñoMes].&amp;[" &amp; TEXT(F$6,"yyyymm") &amp; "]",
"[Base].[Metrica]",
"[Base].[Metrica].&amp;[" &amp; $A9 &amp; "]",
"[Base].[SEGMENTO_DESCRIP]",
"[Base].[SEGMENTO_DESCRIP].&amp;[" &amp; $C$6 &amp; "]",
"[Base].[SITUACION]",
"[Base].[SITUACION].&amp;[" &amp; $C9 &amp; "]"
),0)/1000</f>
        <v>322.63907</v>
      </c>
      <c r="G9" s="8">
        <f>IFERROR(
GETPIVOTDATA(
"[Base].[Importe]",
TDinamica_R!$A$5,
"[Calendario].[AñoMes]",
"[Calendario].[AñoMes].&amp;[" &amp; TEXT(G$6,"yyyymm") &amp; "]",
"[Base].[Metrica]",
"[Base].[Metrica].&amp;[" &amp; $A9 &amp; "]",
"[Base].[SEGMENTO_DESCRIP]",
"[Base].[SEGMENTO_DESCRIP].&amp;[" &amp; $C$6 &amp; "]",
"[Base].[SITUACION]",
"[Base].[SITUACION].&amp;[" &amp; $C9 &amp; "]"
),0)/1000</f>
        <v>313.60444000000001</v>
      </c>
      <c r="H9" s="8">
        <f>IFERROR(
GETPIVOTDATA(
"[Base].[Importe]",
TDinamica_R!$A$5,
"[Calendario].[AñoMes]",
"[Calendario].[AñoMes].&amp;[" &amp; TEXT(H$6,"yyyymm") &amp; "]",
"[Base].[Metrica]",
"[Base].[Metrica].&amp;[" &amp; $A9 &amp; "]",
"[Base].[SEGMENTO_DESCRIP]",
"[Base].[SEGMENTO_DESCRIP].&amp;[" &amp; $C$6 &amp; "]",
"[Base].[SITUACION]",
"[Base].[SITUACION].&amp;[" &amp; $C9 &amp; "]"
),0)/1000</f>
        <v>268.98432000000003</v>
      </c>
      <c r="I9" s="8">
        <f>IFERROR(
GETPIVOTDATA(
"[Base].[Importe]",
TDinamica_R!$A$5,
"[Calendario].[AñoMes]",
"[Calendario].[AñoMes].&amp;[" &amp; TEXT(I$6,"yyyymm") &amp; "]",
"[Base].[Metrica]",
"[Base].[Metrica].&amp;[" &amp; $A9 &amp; "]",
"[Base].[SEGMENTO_DESCRIP]",
"[Base].[SEGMENTO_DESCRIP].&amp;[" &amp; $C$6 &amp; "]",
"[Base].[SITUACION]",
"[Base].[SITUACION].&amp;[" &amp; $C9 &amp; "]"
),0)/1000</f>
        <v>265.08873</v>
      </c>
      <c r="J9" s="8">
        <f>IFERROR(
GETPIVOTDATA(
"[Base].[Importe]",
TDinamica_R!$A$5,
"[Calendario].[AñoMes]",
"[Calendario].[AñoMes].&amp;[" &amp; TEXT(J$6,"yyyymm") &amp; "]",
"[Base].[Metrica]",
"[Base].[Metrica].&amp;[" &amp; $A9 &amp; "]",
"[Base].[SEGMENTO_DESCRIP]",
"[Base].[SEGMENTO_DESCRIP].&amp;[" &amp; $C$6 &amp; "]",
"[Base].[SITUACION]",
"[Base].[SITUACION].&amp;[" &amp; $C9 &amp; "]"
),0)/1000</f>
        <v>210.98188000000002</v>
      </c>
      <c r="K9" s="8">
        <f>IFERROR(
GETPIVOTDATA(
"[Base].[Importe]",
TDinamica_R!$A$5,
"[Calendario].[AñoMes]",
"[Calendario].[AñoMes].&amp;[" &amp; TEXT(K$6,"yyyymm") &amp; "]",
"[Base].[Metrica]",
"[Base].[Metrica].&amp;[" &amp; $A9 &amp; "]",
"[Base].[SEGMENTO_DESCRIP]",
"[Base].[SEGMENTO_DESCRIP].&amp;[" &amp; $C$6 &amp; "]",
"[Base].[SITUACION]",
"[Base].[SITUACION].&amp;[" &amp; $C9 &amp; "]"
),0)/1000</f>
        <v>206.51439999999999</v>
      </c>
      <c r="L9" s="8">
        <f>IFERROR(
GETPIVOTDATA(
"[Base].[Importe]",
TDinamica_R!$A$5,
"[Calendario].[AñoMes]",
"[Calendario].[AñoMes].&amp;[" &amp; TEXT(L$6,"yyyymm") &amp; "]",
"[Base].[Metrica]",
"[Base].[Metrica].&amp;[" &amp; $A9 &amp; "]",
"[Base].[SEGMENTO_DESCRIP]",
"[Base].[SEGMENTO_DESCRIP].&amp;[" &amp; $C$6 &amp; "]",
"[Base].[SITUACION]",
"[Base].[SITUACION].&amp;[" &amp; $C9 &amp; "]"
),0)/1000</f>
        <v>405.89418000000001</v>
      </c>
      <c r="M9" s="8">
        <f>IFERROR(
GETPIVOTDATA(
"[Base].[Importe]",
TDinamica_R!$A$5,
"[Calendario].[AñoMes]",
"[Calendario].[AñoMes].&amp;[" &amp; TEXT(M$6,"yyyymm") &amp; "]",
"[Base].[Metrica]",
"[Base].[Metrica].&amp;[" &amp; $A9 &amp; "]",
"[Base].[SEGMENTO_DESCRIP]",
"[Base].[SEGMENTO_DESCRIP].&amp;[" &amp; $C$6 &amp; "]",
"[Base].[SITUACION]",
"[Base].[SITUACION].&amp;[" &amp; $C9 &amp; "]"
),0)/1000</f>
        <v>397.58391999999998</v>
      </c>
      <c r="N9" s="8">
        <f>IFERROR(
GETPIVOTDATA(
"[Base].[Importe]",
TDinamica_R!$A$5,
"[Calendario].[AñoMes]",
"[Calendario].[AñoMes].&amp;[" &amp; TEXT(N$6,"yyyymm") &amp; "]",
"[Base].[Metrica]",
"[Base].[Metrica].&amp;[" &amp; $A9 &amp; "]",
"[Base].[SEGMENTO_DESCRIP]",
"[Base].[SEGMENTO_DESCRIP].&amp;[" &amp; $C$6 &amp; "]",
"[Base].[SITUACION]",
"[Base].[SITUACION].&amp;[" &amp; $C9 &amp; "]"
),0)/1000</f>
        <v>389.10649999999998</v>
      </c>
      <c r="O9" s="8">
        <f>IFERROR(
GETPIVOTDATA(
"[Base].[Importe]",
TDinamica_R!$A$5,
"[Calendario].[AñoMes]",
"[Calendario].[AñoMes].&amp;[" &amp; TEXT(O$6,"yyyymm") &amp; "]",
"[Base].[Metrica]",
"[Base].[Metrica].&amp;[" &amp; $A9 &amp; "]",
"[Base].[SEGMENTO_DESCRIP]",
"[Base].[SEGMENTO_DESCRIP].&amp;[" &amp; $C$6 &amp; "]",
"[Base].[SITUACION]",
"[Base].[SITUACION].&amp;[" &amp; $C9 &amp; "]"
),0)/1000</f>
        <v>383.05631</v>
      </c>
      <c r="P9" s="8">
        <f>IFERROR(
GETPIVOTDATA(
"[Base].[Importe]",
TDinamica_R!$A$5,
"[Calendario].[AñoMes]",
"[Calendario].[AñoMes].&amp;[" &amp; TEXT(P$6,"yyyymm") &amp; "]",
"[Base].[Metrica]",
"[Base].[Metrica].&amp;[" &amp; $A9 &amp; "]",
"[Base].[SEGMENTO_DESCRIP]",
"[Base].[SEGMENTO_DESCRIP].&amp;[" &amp; $C$6 &amp; "]",
"[Base].[SITUACION]",
"[Base].[SITUACION].&amp;[" &amp; $C9 &amp; "]"
),0)/1000</f>
        <v>420.51263</v>
      </c>
      <c r="Q9" s="8">
        <f>IFERROR(
GETPIVOTDATA(
"[Base].[Importe]",
TDinamica_R!$A$5,
"[Calendario].[AñoMes]",
"[Calendario].[AñoMes].&amp;[" &amp; TEXT(Q$6,"yyyymm") &amp; "]",
"[Base].[Metrica]",
"[Base].[Metrica].&amp;[" &amp; $A9 &amp; "]",
"[Base].[SEGMENTO_DESCRIP]",
"[Base].[SEGMENTO_DESCRIP].&amp;[" &amp; $C$6 &amp; "]",
"[Base].[SITUACION]",
"[Base].[SITUACION].&amp;[" &amp; $C9 &amp; "]"
),0)/1000</f>
        <v>460.89461999999997</v>
      </c>
      <c r="R9" s="8">
        <f>IFERROR(
GETPIVOTDATA(
"[Base].[Importe]",
TDinamica_R!$A$5,
"[Calendario].[AñoMes]",
"[Calendario].[AñoMes].&amp;[" &amp; TEXT(R$6,"yyyymm") &amp; "]",
"[Base].[Metrica]",
"[Base].[Metrica].&amp;[" &amp; $A9 &amp; "]",
"[Base].[SEGMENTO_DESCRIP]",
"[Base].[SEGMENTO_DESCRIP].&amp;[" &amp; $C$6 &amp; "]",
"[Base].[SITUACION]",
"[Base].[SITUACION].&amp;[" &amp; $C9 &amp; "]"
),0)/1000</f>
        <v>431.03028999999998</v>
      </c>
      <c r="S9" s="8">
        <f>IFERROR(
GETPIVOTDATA(
"[Base].[Importe]",
TDinamica_R!$A$5,
"[Calendario].[AñoMes]",
"[Calendario].[AñoMes].&amp;[" &amp; TEXT(S$6,"yyyymm") &amp; "]",
"[Base].[Metrica]",
"[Base].[Metrica].&amp;[" &amp; $A9 &amp; "]",
"[Base].[SEGMENTO_DESCRIP]",
"[Base].[SEGMENTO_DESCRIP].&amp;[" &amp; $C$6 &amp; "]",
"[Base].[SITUACION]",
"[Base].[SITUACION].&amp;[" &amp; $C9 &amp; "]"
),0)/1000</f>
        <v>772.26500999999996</v>
      </c>
      <c r="T9" s="8">
        <f>IFERROR(
GETPIVOTDATA(
"[Base].[Importe]",
TDinamica_R!$A$5,
"[Calendario].[AñoMes]",
"[Calendario].[AñoMes].&amp;[" &amp; TEXT(T$6,"yyyymm") &amp; "]",
"[Base].[Metrica]",
"[Base].[Metrica].&amp;[" &amp; $A9 &amp; "]",
"[Base].[SEGMENTO_DESCRIP]",
"[Base].[SEGMENTO_DESCRIP].&amp;[" &amp; $C$6 &amp; "]",
"[Base].[SITUACION]",
"[Base].[SITUACION].&amp;[" &amp; $C9 &amp; "]"
),0)/1000</f>
        <v>1236.4941299999998</v>
      </c>
      <c r="U9" s="8">
        <f>IFERROR(
GETPIVOTDATA(
"[Base].[Importe]",
TDinamica_R!$A$5,
"[Calendario].[AñoMes]",
"[Calendario].[AñoMes].&amp;[" &amp; TEXT(U$6,"yyyymm") &amp; "]",
"[Base].[Metrica]",
"[Base].[Metrica].&amp;[" &amp; $A9 &amp; "]",
"[Base].[SEGMENTO_DESCRIP]",
"[Base].[SEGMENTO_DESCRIP].&amp;[" &amp; $C$6 &amp; "]",
"[Base].[SITUACION]",
"[Base].[SITUACION].&amp;[" &amp; $C9 &amp; "]"
),0)/1000</f>
        <v>1599.73615</v>
      </c>
      <c r="V9" s="8">
        <f>IFERROR(
GETPIVOTDATA(
"[Base].[Importe]",
TDinamica_R!$A$5,
"[Calendario].[AñoMes]",
"[Calendario].[AñoMes].&amp;[" &amp; TEXT(V$6,"yyyymm") &amp; "]",
"[Base].[Metrica]",
"[Base].[Metrica].&amp;[" &amp; $A9 &amp; "]",
"[Base].[SEGMENTO_DESCRIP]",
"[Base].[SEGMENTO_DESCRIP].&amp;[" &amp; $C$6 &amp; "]",
"[Base].[SITUACION]",
"[Base].[SITUACION].&amp;[" &amp; $C9 &amp; "]"
),0)/1000</f>
        <v>1955.72747</v>
      </c>
      <c r="W9" s="8">
        <f>IFERROR(
GETPIVOTDATA(
"[Base].[Importe]",
TDinamica_R!$A$5,
"[Calendario].[AñoMes]",
"[Calendario].[AñoMes].&amp;[" &amp; TEXT(W$6,"yyyymm") &amp; "]",
"[Base].[Metrica]",
"[Base].[Metrica].&amp;[" &amp; $A9 &amp; "]",
"[Base].[SEGMENTO_DESCRIP]",
"[Base].[SEGMENTO_DESCRIP].&amp;[" &amp; $C$6 &amp; "]",
"[Base].[SITUACION]",
"[Base].[SITUACION].&amp;[" &amp; $C9 &amp; "]"
),0)/1000</f>
        <v>2313.08572</v>
      </c>
      <c r="X9" s="8">
        <f>IFERROR(
GETPIVOTDATA(
"[Base].[Importe]",
TDinamica_R!$A$5,
"[Calendario].[AñoMes]",
"[Calendario].[AñoMes].&amp;[" &amp; TEXT(X$6,"yyyymm") &amp; "]",
"[Base].[Metrica]",
"[Base].[Metrica].&amp;[" &amp; $A9 &amp; "]",
"[Base].[SEGMENTO_DESCRIP]",
"[Base].[SEGMENTO_DESCRIP].&amp;[" &amp; $C$6 &amp; "]",
"[Base].[SITUACION]",
"[Base].[SITUACION].&amp;[" &amp; $C9 &amp; "]"
),0)/1000</f>
        <v>2711.6229800000001</v>
      </c>
      <c r="Y9" s="8">
        <f>IFERROR(
GETPIVOTDATA(
"[Base].[Importe]",
TDinamica_R!$A$5,
"[Calendario].[AñoMes]",
"[Calendario].[AñoMes].&amp;[" &amp; TEXT(Y$6,"yyyymm") &amp; "]",
"[Base].[Metrica]",
"[Base].[Metrica].&amp;[" &amp; $A9 &amp; "]",
"[Base].[SEGMENTO_DESCRIP]",
"[Base].[SEGMENTO_DESCRIP].&amp;[" &amp; $C$6 &amp; "]",
"[Base].[SITUACION]",
"[Base].[SITUACION].&amp;[" &amp; $C9 &amp; "]"
),0)/1000</f>
        <v>2730.7274500000003</v>
      </c>
      <c r="Z9" s="8">
        <f>IFERROR(
GETPIVOTDATA(
"[Base].[Importe]",
TDinamica_R!$A$5,
"[Calendario].[AñoMes]",
"[Calendario].[AñoMes].&amp;[" &amp; TEXT(Z$6,"yyyymm") &amp; "]",
"[Base].[Metrica]",
"[Base].[Metrica].&amp;[" &amp; $A9 &amp; "]",
"[Base].[SEGMENTO_DESCRIP]",
"[Base].[SEGMENTO_DESCRIP].&amp;[" &amp; $C$6 &amp; "]",
"[Base].[SITUACION]",
"[Base].[SITUACION].&amp;[" &amp; $C9 &amp; "]"
),0)/1000</f>
        <v>2507.33808</v>
      </c>
      <c r="AA9" s="8">
        <f>IFERROR(
GETPIVOTDATA(
"[Base].[Importe]",
TDinamica_R!$A$5,
"[Calendario].[AñoMes]",
"[Calendario].[AñoMes].&amp;[" &amp; TEXT(AA$6,"yyyymm") &amp; "]",
"[Base].[Metrica]",
"[Base].[Metrica].&amp;[" &amp; $A9 &amp; "]",
"[Base].[SEGMENTO_DESCRIP]",
"[Base].[SEGMENTO_DESCRIP].&amp;[" &amp; $C$6 &amp; "]",
"[Base].[SITUACION]",
"[Base].[SITUACION].&amp;[" &amp; $C9 &amp; "]"
),0)/1000</f>
        <v>2184.0440899999999</v>
      </c>
      <c r="AB9" s="8">
        <f>IFERROR(
GETPIVOTDATA(
"[Base].[Importe]",
TDinamica_R!$A$5,
"[Calendario].[AñoMes]",
"[Calendario].[AñoMes].&amp;[" &amp; TEXT(AB$6,"yyyymm") &amp; "]",
"[Base].[Metrica]",
"[Base].[Metrica].&amp;[" &amp; $A9 &amp; "]",
"[Base].[SEGMENTO_DESCRIP]",
"[Base].[SEGMENTO_DESCRIP].&amp;[" &amp; $C$6 &amp; "]",
"[Base].[SITUACION]",
"[Base].[SITUACION].&amp;[" &amp; $C9 &amp; "]"
),0)/1000</f>
        <v>2268.0915099999997</v>
      </c>
      <c r="AC9" s="8">
        <f>IFERROR(
GETPIVOTDATA(
"[Base].[Importe]",
TDinamica_R!$A$5,
"[Calendario].[AñoMes]",
"[Calendario].[AñoMes].&amp;[" &amp; TEXT(AC$6,"yyyymm") &amp; "]",
"[Base].[Metrica]",
"[Base].[Metrica].&amp;[" &amp; $A9 &amp; "]",
"[Base].[SEGMENTO_DESCRIP]",
"[Base].[SEGMENTO_DESCRIP].&amp;[" &amp; $C$6 &amp; "]",
"[Base].[SITUACION]",
"[Base].[SITUACION].&amp;[" &amp; $C9 &amp; "]"
),0)/1000</f>
        <v>2374.4734800000001</v>
      </c>
      <c r="AD9" s="8">
        <f>IFERROR(
GETPIVOTDATA(
"[Base].[Importe]",
TDinamica_R!$A$5,
"[Calendario].[AñoMes]",
"[Calendario].[AñoMes].&amp;[" &amp; TEXT(AD$6,"yyyymm") &amp; "]",
"[Base].[Metrica]",
"[Base].[Metrica].&amp;[" &amp; $A9 &amp; "]",
"[Base].[SEGMENTO_DESCRIP]",
"[Base].[SEGMENTO_DESCRIP].&amp;[" &amp; $C$6 &amp; "]",
"[Base].[SITUACION]",
"[Base].[SITUACION].&amp;[" &amp; $C9 &amp; "]"
),0)/1000</f>
        <v>2439.4450099999999</v>
      </c>
      <c r="AE9" s="8">
        <f>IFERROR(
GETPIVOTDATA(
"[Base].[Importe]",
TDinamica_R!$A$5,
"[Calendario].[AñoMes]",
"[Calendario].[AñoMes].&amp;[" &amp; TEXT(AE$6,"yyyymm") &amp; "]",
"[Base].[Metrica]",
"[Base].[Metrica].&amp;[" &amp; $A9 &amp; "]",
"[Base].[SEGMENTO_DESCRIP]",
"[Base].[SEGMENTO_DESCRIP].&amp;[" &amp; $C$6 &amp; "]",
"[Base].[SITUACION]",
"[Base].[SITUACION].&amp;[" &amp; $C9 &amp; "]"
),0)/1000</f>
        <v>2292.0335299999997</v>
      </c>
      <c r="AF9" s="8">
        <f>IFERROR(
GETPIVOTDATA(
"[Base].[Importe]",
TDinamica_R!$A$5,
"[Calendario].[AñoMes]",
"[Calendario].[AñoMes].&amp;[" &amp; TEXT(AF$6,"yyyymm") &amp; "]",
"[Base].[Metrica]",
"[Base].[Metrica].&amp;[" &amp; $A9 &amp; "]",
"[Base].[SEGMENTO_DESCRIP]",
"[Base].[SEGMENTO_DESCRIP].&amp;[" &amp; $C$6 &amp; "]",
"[Base].[SITUACION]",
"[Base].[SITUACION].&amp;[" &amp; $C9 &amp; "]"
),0)/1000</f>
        <v>2339.8519799999999</v>
      </c>
      <c r="AG9" s="8">
        <f>IFERROR(
GETPIVOTDATA(
"[Base].[Importe]",
TDinamica_R!$A$5,
"[Calendario].[AñoMes]",
"[Calendario].[AñoMes].&amp;[" &amp; TEXT(AG$6,"yyyymm") &amp; "]",
"[Base].[Metrica]",
"[Base].[Metrica].&amp;[" &amp; $A9 &amp; "]",
"[Base].[SEGMENTO_DESCRIP]",
"[Base].[SEGMENTO_DESCRIP].&amp;[" &amp; $C$6 &amp; "]",
"[Base].[SITUACION]",
"[Base].[SITUACION].&amp;[" &amp; $C9 &amp; "]"
),0)/1000</f>
        <v>2528.0954300000003</v>
      </c>
      <c r="AH9" s="8">
        <f>IFERROR(
GETPIVOTDATA(
"[Base].[Importe]",
TDinamica_R!$A$5,
"[Calendario].[AñoMes]",
"[Calendario].[AñoMes].&amp;[" &amp; TEXT(AH$6,"yyyymm") &amp; "]",
"[Base].[Metrica]",
"[Base].[Metrica].&amp;[" &amp; $A9 &amp; "]",
"[Base].[SEGMENTO_DESCRIP]",
"[Base].[SEGMENTO_DESCRIP].&amp;[" &amp; $C$6 &amp; "]",
"[Base].[SITUACION]",
"[Base].[SITUACION].&amp;[" &amp; $C9 &amp; "]"
),0)/1000</f>
        <v>2849.5359700000004</v>
      </c>
      <c r="AI9" s="8">
        <f>IFERROR(
GETPIVOTDATA(
"[Base].[Importe]",
TDinamica_R!$A$5,
"[Calendario].[AñoMes]",
"[Calendario].[AñoMes].&amp;[" &amp; TEXT(AI$6,"yyyymm") &amp; "]",
"[Base].[Metrica]",
"[Base].[Metrica].&amp;[" &amp; $A9 &amp; "]",
"[Base].[SEGMENTO_DESCRIP]",
"[Base].[SEGMENTO_DESCRIP].&amp;[" &amp; $C$6 &amp; "]",
"[Base].[SITUACION]",
"[Base].[SITUACION].&amp;[" &amp; $C9 &amp; "]"
),0)/1000</f>
        <v>2886.04225</v>
      </c>
      <c r="AJ9" s="8">
        <f>IFERROR(
GETPIVOTDATA(
"[Base].[Importe]",
TDinamica_R!$A$5,
"[Calendario].[AñoMes]",
"[Calendario].[AñoMes].&amp;[" &amp; TEXT(AJ$6,"yyyymm") &amp; "]",
"[Base].[Metrica]",
"[Base].[Metrica].&amp;[" &amp; $A9 &amp; "]",
"[Base].[SEGMENTO_DESCRIP]",
"[Base].[SEGMENTO_DESCRIP].&amp;[" &amp; $C$6 &amp; "]",
"[Base].[SITUACION]",
"[Base].[SITUACION].&amp;[" &amp; $C9 &amp; "]"
),0)/1000</f>
        <v>3244.10151</v>
      </c>
      <c r="AK9" s="8">
        <f>IFERROR(
GETPIVOTDATA(
"[Base].[Importe]",
TDinamica_R!$A$5,
"[Calendario].[AñoMes]",
"[Calendario].[AñoMes].&amp;[" &amp; TEXT(AK$6,"yyyymm") &amp; "]",
"[Base].[Metrica]",
"[Base].[Metrica].&amp;[" &amp; $A9 &amp; "]",
"[Base].[SEGMENTO_DESCRIP]",
"[Base].[SEGMENTO_DESCRIP].&amp;[" &amp; $C$6 &amp; "]",
"[Base].[SITUACION]",
"[Base].[SITUACION].&amp;[" &amp; $C9 &amp; "]"
),0)/1000</f>
        <v>3257.98108</v>
      </c>
      <c r="AL9" s="8">
        <f>IFERROR(
GETPIVOTDATA(
"[Base].[Importe]",
TDinamica_R!$A$5,
"[Calendario].[AñoMes]",
"[Calendario].[AñoMes].&amp;[" &amp; TEXT(AL$6,"yyyymm") &amp; "]",
"[Base].[Metrica]",
"[Base].[Metrica].&amp;[" &amp; $A9 &amp; "]",
"[Base].[SEGMENTO_DESCRIP]",
"[Base].[SEGMENTO_DESCRIP].&amp;[" &amp; $C$6 &amp; "]",
"[Base].[SITUACION]",
"[Base].[SITUACION].&amp;[" &amp; $C9 &amp; "]"
),0)/1000</f>
        <v>3261.1358100000002</v>
      </c>
      <c r="AM9" s="8">
        <f>IFERROR(
GETPIVOTDATA(
"[Base].[Importe]",
TDinamica_R!$A$5,
"[Calendario].[AñoMes]",
"[Calendario].[AñoMes].&amp;[" &amp; TEXT(AM$6,"yyyymm") &amp; "]",
"[Base].[Metrica]",
"[Base].[Metrica].&amp;[" &amp; $A9 &amp; "]",
"[Base].[SEGMENTO_DESCRIP]",
"[Base].[SEGMENTO_DESCRIP].&amp;[" &amp; $C$6 &amp; "]",
"[Base].[SITUACION]",
"[Base].[SITUACION].&amp;[" &amp; $C9 &amp; "]"
),0)/1000</f>
        <v>3136.05411</v>
      </c>
      <c r="AN9" s="8">
        <f>IFERROR(
GETPIVOTDATA(
"[Base].[Importe]",
TDinamica_R!$A$5,
"[Calendario].[AñoMes]",
"[Calendario].[AñoMes].&amp;[" &amp; TEXT(AN$6,"yyyymm") &amp; "]",
"[Base].[Metrica]",
"[Base].[Metrica].&amp;[" &amp; $A9 &amp; "]",
"[Base].[SEGMENTO_DESCRIP]",
"[Base].[SEGMENTO_DESCRIP].&amp;[" &amp; $C$6 &amp; "]",
"[Base].[SITUACION]",
"[Base].[SITUACION].&amp;[" &amp; $C9 &amp; "]"
),0)/1000</f>
        <v>3063.84</v>
      </c>
      <c r="AO9" s="8">
        <f>IFERROR(
GETPIVOTDATA(
"[Base].[Importe]",
TDinamica_R!$A$5,
"[Calendario].[AñoMes]",
"[Calendario].[AñoMes].&amp;[" &amp; TEXT(AO$6,"yyyymm") &amp; "]",
"[Base].[Metrica]",
"[Base].[Metrica].&amp;[" &amp; $A9 &amp; "]",
"[Base].[SEGMENTO_DESCRIP]",
"[Base].[SEGMENTO_DESCRIP].&amp;[" &amp; $C$6 &amp; "]",
"[Base].[SITUACION]",
"[Base].[SITUACION].&amp;[" &amp; $C9 &amp; "]"
),0)/1000</f>
        <v>3064.67</v>
      </c>
      <c r="AP9" s="8">
        <f>IFERROR(
GETPIVOTDATA(
"[Base].[Importe]",
TDinamica_R!$A$5,
"[Calendario].[AñoMes]",
"[Calendario].[AñoMes].&amp;[" &amp; TEXT(AP$6,"yyyymm") &amp; "]",
"[Base].[Metrica]",
"[Base].[Metrica].&amp;[" &amp; $A9 &amp; "]",
"[Base].[SEGMENTO_DESCRIP]",
"[Base].[SEGMENTO_DESCRIP].&amp;[" &amp; $C$6 &amp; "]",
"[Base].[SITUACION]",
"[Base].[SITUACION].&amp;[" &amp; $C9 &amp; "]"
),0)/1000</f>
        <v>3013.61</v>
      </c>
      <c r="AQ9" s="8">
        <f>IFERROR(
GETPIVOTDATA(
"[Base].[Importe]",
TDinamica_R!$A$5,
"[Calendario].[AñoMes]",
"[Calendario].[AñoMes].&amp;[" &amp; TEXT(AQ$6,"yyyymm") &amp; "]",
"[Base].[Metrica]",
"[Base].[Metrica].&amp;[" &amp; $A9 &amp; "]",
"[Base].[SEGMENTO_DESCRIP]",
"[Base].[SEGMENTO_DESCRIP].&amp;[" &amp; $C$6 &amp; "]",
"[Base].[SITUACION]",
"[Base].[SITUACION].&amp;[" &amp; $C9 &amp; "]"
),0)/1000</f>
        <v>3163.0823799999989</v>
      </c>
      <c r="AR9" s="8">
        <f>IFERROR(
GETPIVOTDATA(
"[Base].[Importe]",
TDinamica_R!$A$5,
"[Calendario].[AñoMes]",
"[Calendario].[AñoMes].&amp;[" &amp; TEXT(AR$6,"yyyymm") &amp; "]",
"[Base].[Metrica]",
"[Base].[Metrica].&amp;[" &amp; $A9 &amp; "]",
"[Base].[SEGMENTO_DESCRIP]",
"[Base].[SEGMENTO_DESCRIP].&amp;[" &amp; $C$6 &amp; "]",
"[Base].[SITUACION]",
"[Base].[SITUACION].&amp;[" &amp; $C9 &amp; "]"
),0)/1000</f>
        <v>3401.9563399999997</v>
      </c>
      <c r="AS9" s="8">
        <f>IFERROR(
GETPIVOTDATA(
"[Base].[Importe]",
TDinamica_R!$A$5,
"[Calendario].[AñoMes]",
"[Calendario].[AñoMes].&amp;[" &amp; TEXT(AS$6,"yyyymm") &amp; "]",
"[Base].[Metrica]",
"[Base].[Metrica].&amp;[" &amp; $A9 &amp; "]",
"[Base].[SEGMENTO_DESCRIP]",
"[Base].[SEGMENTO_DESCRIP].&amp;[" &amp; $C$6 &amp; "]",
"[Base].[SITUACION]",
"[Base].[SITUACION].&amp;[" &amp; $C9 &amp; "]"
),0)/1000</f>
        <v>3440.4277800000004</v>
      </c>
      <c r="AT9" s="8">
        <f>IFERROR(
GETPIVOTDATA(
"[Base].[Importe]",
TDinamica_R!$A$5,
"[Calendario].[AñoMes]",
"[Calendario].[AñoMes].&amp;[" &amp; TEXT(AT$6,"yyyymm")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U9" s="8">
        <f>IFERROR(
GETPIVOTDATA(
"[Base].[Importe]",
TDinamica_R!$A$5,
"[Calendario].[AñoMes]",
"[Calendario].[AñoMes].&amp;[" &amp; TEXT(AU$6,"yyyymm")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V9" s="8">
        <f>IFERROR(
GETPIVOTDATA(
"[Base].[Importe]",
TDinamica_R!$A$5,
"[Calendario].[AñoMes]",
"[Calendario].[AñoMes].&amp;[" &amp; TEXT(AV$6,"yyyymm")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W9" s="8">
        <f>IFERROR(
GETPIVOTDATA(
"[Base].[Importe]",
TDinamica_R!$A$5,
"[Calendario].[AñoMes]",
"[Calendario].[AñoMes].&amp;[" &amp; TEXT(AW$6,"yyyymm")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X9" s="8">
        <f>IFERROR(
GETPIVOTDATA(
"[Base].[Importe]",
TDinamica_R!$A$5,
"[Calendario].[AñoMes]",
"[Calendario].[AñoMes].&amp;[" &amp; TEXT(AX$6,"yyyymm")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Y9" s="8">
        <f>IFERROR(
GETPIVOTDATA(
"[Base].[Importe]",
TDinamica_R!$A$5,
"[Calendario].[AñoMes]",
"[Calendario].[AñoMes].&amp;[" &amp; TEXT(AY$6,"yyyymm")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Z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TEXT(AZ$6,"yyyymm") &amp; "]"
),
0
)</f>
        <v>2767.4310304485712</v>
      </c>
      <c r="BA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TEXT(BA$6,"yyyymm") &amp; "]"
),
0
)</f>
        <v>2625.456093379004</v>
      </c>
      <c r="BB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TEXT(BB$6,"yyyymm") &amp; "]"
),
0
)</f>
        <v>2500.7554827553836</v>
      </c>
      <c r="BC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TEXT(BC$6,"yyyymm") &amp; "]"
),
0
)</f>
        <v>2435.40673387897</v>
      </c>
      <c r="BD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TEXT(BD$6,"yyyymm") &amp; "]"
),
0
)</f>
        <v>2348.0427972510961</v>
      </c>
      <c r="BE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TEXT(BE$6,"yyyymm") &amp; "]"
),
0
)</f>
        <v>2250.4871477683159</v>
      </c>
      <c r="BF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TEXT(BF$6,"yyyymm") &amp; "]"
),
0
)</f>
        <v>2197.338029055677</v>
      </c>
      <c r="BG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TEXT(BG$6,"yyyymm") &amp; "]"
),
0
)</f>
        <v>2123.8834946551015</v>
      </c>
      <c r="BH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TEXT(BH$6,"yyyymm") &amp; "]"
),
0
)</f>
        <v>2037.4597687349674</v>
      </c>
      <c r="BI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TEXT(BI$6,"yyyymm") &amp; "]"
),
0
)</f>
        <v>1988.7539974429355</v>
      </c>
      <c r="BJ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TEXT(BJ$6,"yyyymm") &amp; "]"
),
0
)</f>
        <v>1930.8657833146463</v>
      </c>
      <c r="BK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TEXT(BK$6,"yyyymm") &amp; "]"
),
0
)</f>
        <v>1904.705216590196</v>
      </c>
      <c r="BO9" s="24">
        <f t="shared" si="5"/>
        <v>3013.61</v>
      </c>
      <c r="BP9" s="24">
        <f t="shared" ref="BP9:BP10" si="7">_xlfn.XLOOKUP(BP$6,$D$6:$BM$6,$D9:$BM9,,0,-1)</f>
        <v>2500.7554827553836</v>
      </c>
      <c r="BQ9" s="24">
        <f t="shared" si="6"/>
        <v>3064.67</v>
      </c>
      <c r="BR9" s="24">
        <f t="shared" si="6"/>
        <v>2439.4450099999999</v>
      </c>
      <c r="BS9" s="24">
        <f t="shared" si="6"/>
        <v>431.03028999999998</v>
      </c>
      <c r="BT9" s="24">
        <f t="shared" si="6"/>
        <v>322.63907</v>
      </c>
    </row>
    <row r="10" spans="1:81" ht="14.45" customHeight="1" outlineLevel="1" x14ac:dyDescent="0.25">
      <c r="A10" s="11" t="s">
        <v>51</v>
      </c>
      <c r="C10" s="2" t="s">
        <v>45</v>
      </c>
      <c r="D10" s="8">
        <f>IFERROR(
GETPIVOTDATA(
"[Base].[Importe]",
TDinamica_R!$A$5,
"[Calendario].[AñoMes]",
"[Calendario].[AñoMes].&amp;[" &amp; TEXT(D$6,"yyyymm") &amp; "]",
"[Base].[Metrica]",
"[Base].[Metrica].&amp;[" &amp; $A10 &amp; "]",
"[Base].[SEGMENTO_DESCRIP]",
"[Base].[SEGMENTO_DESCRIP].&amp;[" &amp; $C$6 &amp; "]",
"[Base].[SITUACION]",
"[Base].[SITUACION].&amp;[" &amp; $C10 &amp; "]"
),0)/1000</f>
        <v>786.12525000000005</v>
      </c>
      <c r="E10" s="8">
        <f>IFERROR(
GETPIVOTDATA(
"[Base].[Importe]",
TDinamica_R!$A$5,
"[Calendario].[AñoMes]",
"[Calendario].[AñoMes].&amp;[" &amp; TEXT(E$6,"yyyymm") &amp; "]",
"[Base].[Metrica]",
"[Base].[Metrica].&amp;[" &amp; $A10 &amp; "]",
"[Base].[SEGMENTO_DESCRIP]",
"[Base].[SEGMENTO_DESCRIP].&amp;[" &amp; $C$6 &amp; "]",
"[Base].[SITUACION]",
"[Base].[SITUACION].&amp;[" &amp; $C10 &amp; "]"
),0)/1000</f>
        <v>958.72167000000002</v>
      </c>
      <c r="F10" s="8">
        <f>IFERROR(
GETPIVOTDATA(
"[Base].[Importe]",
TDinamica_R!$A$5,
"[Calendario].[AñoMes]",
"[Calendario].[AñoMes].&amp;[" &amp; TEXT(F$6,"yyyymm") &amp; "]",
"[Base].[Metrica]",
"[Base].[Metrica].&amp;[" &amp; $A10 &amp; "]",
"[Base].[SEGMENTO_DESCRIP]",
"[Base].[SEGMENTO_DESCRIP].&amp;[" &amp; $C$6 &amp; "]",
"[Base].[SITUACION]",
"[Base].[SITUACION].&amp;[" &amp; $C10 &amp; "]"
),0)/1000</f>
        <v>656.34908000000007</v>
      </c>
      <c r="G10" s="8">
        <f>IFERROR(
GETPIVOTDATA(
"[Base].[Importe]",
TDinamica_R!$A$5,
"[Calendario].[AñoMes]",
"[Calendario].[AñoMes].&amp;[" &amp; TEXT(G$6,"yyyymm") &amp; "]",
"[Base].[Metrica]",
"[Base].[Metrica].&amp;[" &amp; $A10 &amp; "]",
"[Base].[SEGMENTO_DESCRIP]",
"[Base].[SEGMENTO_DESCRIP].&amp;[" &amp; $C$6 &amp; "]",
"[Base].[SITUACION]",
"[Base].[SITUACION].&amp;[" &amp; $C10 &amp; "]"
),0)/1000</f>
        <v>638.7733300000001</v>
      </c>
      <c r="H10" s="8">
        <f>IFERROR(
GETPIVOTDATA(
"[Base].[Importe]",
TDinamica_R!$A$5,
"[Calendario].[AñoMes]",
"[Calendario].[AñoMes].&amp;[" &amp; TEXT(H$6,"yyyymm") &amp; "]",
"[Base].[Metrica]",
"[Base].[Metrica].&amp;[" &amp; $A10 &amp; "]",
"[Base].[SEGMENTO_DESCRIP]",
"[Base].[SEGMENTO_DESCRIP].&amp;[" &amp; $C$6 &amp; "]",
"[Base].[SITUACION]",
"[Base].[SITUACION].&amp;[" &amp; $C10 &amp; "]"
),0)/1000</f>
        <v>504.32396999999997</v>
      </c>
      <c r="I10" s="8">
        <f>IFERROR(
GETPIVOTDATA(
"[Base].[Importe]",
TDinamica_R!$A$5,
"[Calendario].[AñoMes]",
"[Calendario].[AñoMes].&amp;[" &amp; TEXT(I$6,"yyyymm") &amp; "]",
"[Base].[Metrica]",
"[Base].[Metrica].&amp;[" &amp; $A10 &amp; "]",
"[Base].[SEGMENTO_DESCRIP]",
"[Base].[SEGMENTO_DESCRIP].&amp;[" &amp; $C$6 &amp; "]",
"[Base].[SITUACION]",
"[Base].[SITUACION].&amp;[" &amp; $C10 &amp; "]"
),0)/1000</f>
        <v>715.08963000000006</v>
      </c>
      <c r="J10" s="8">
        <f>IFERROR(
GETPIVOTDATA(
"[Base].[Importe]",
TDinamica_R!$A$5,
"[Calendario].[AñoMes]",
"[Calendario].[AñoMes].&amp;[" &amp; TEXT(J$6,"yyyymm") &amp; "]",
"[Base].[Metrica]",
"[Base].[Metrica].&amp;[" &amp; $A10 &amp; "]",
"[Base].[SEGMENTO_DESCRIP]",
"[Base].[SEGMENTO_DESCRIP].&amp;[" &amp; $C$6 &amp; "]",
"[Base].[SITUACION]",
"[Base].[SITUACION].&amp;[" &amp; $C10 &amp; "]"
),0)/1000</f>
        <v>896.80485343999999</v>
      </c>
      <c r="K10" s="8">
        <f>IFERROR(
GETPIVOTDATA(
"[Base].[Importe]",
TDinamica_R!$A$5,
"[Calendario].[AñoMes]",
"[Calendario].[AñoMes].&amp;[" &amp; TEXT(K$6,"yyyymm") &amp; "]",
"[Base].[Metrica]",
"[Base].[Metrica].&amp;[" &amp; $A10 &amp; "]",
"[Base].[SEGMENTO_DESCRIP]",
"[Base].[SEGMENTO_DESCRIP].&amp;[" &amp; $C$6 &amp; "]",
"[Base].[SITUACION]",
"[Base].[SITUACION].&amp;[" &amp; $C10 &amp; "]"
),0)/1000</f>
        <v>1149.4633200000001</v>
      </c>
      <c r="L10" s="8">
        <f>IFERROR(
GETPIVOTDATA(
"[Base].[Importe]",
TDinamica_R!$A$5,
"[Calendario].[AñoMes]",
"[Calendario].[AñoMes].&amp;[" &amp; TEXT(L$6,"yyyymm") &amp; "]",
"[Base].[Metrica]",
"[Base].[Metrica].&amp;[" &amp; $A10 &amp; "]",
"[Base].[SEGMENTO_DESCRIP]",
"[Base].[SEGMENTO_DESCRIP].&amp;[" &amp; $C$6 &amp; "]",
"[Base].[SITUACION]",
"[Base].[SITUACION].&amp;[" &amp; $C10 &amp; "]"
),0)/1000</f>
        <v>1714.7482997900004</v>
      </c>
      <c r="M10" s="8">
        <f>IFERROR(
GETPIVOTDATA(
"[Base].[Importe]",
TDinamica_R!$A$5,
"[Calendario].[AñoMes]",
"[Calendario].[AñoMes].&amp;[" &amp; TEXT(M$6,"yyyymm") &amp; "]",
"[Base].[Metrica]",
"[Base].[Metrica].&amp;[" &amp; $A10 &amp; "]",
"[Base].[SEGMENTO_DESCRIP]",
"[Base].[SEGMENTO_DESCRIP].&amp;[" &amp; $C$6 &amp; "]",
"[Base].[SITUACION]",
"[Base].[SITUACION].&amp;[" &amp; $C10 &amp; "]"
),0)/1000</f>
        <v>1755.9478411399998</v>
      </c>
      <c r="N10" s="8">
        <f>IFERROR(
GETPIVOTDATA(
"[Base].[Importe]",
TDinamica_R!$A$5,
"[Calendario].[AñoMes]",
"[Calendario].[AñoMes].&amp;[" &amp; TEXT(N$6,"yyyymm") &amp; "]",
"[Base].[Metrica]",
"[Base].[Metrica].&amp;[" &amp; $A10 &amp; "]",
"[Base].[SEGMENTO_DESCRIP]",
"[Base].[SEGMENTO_DESCRIP].&amp;[" &amp; $C$6 &amp; "]",
"[Base].[SITUACION]",
"[Base].[SITUACION].&amp;[" &amp; $C10 &amp; "]"
),0)/1000</f>
        <v>2146.9553840799999</v>
      </c>
      <c r="O10" s="8">
        <f>IFERROR(
GETPIVOTDATA(
"[Base].[Importe]",
TDinamica_R!$A$5,
"[Calendario].[AñoMes]",
"[Calendario].[AñoMes].&amp;[" &amp; TEXT(O$6,"yyyymm") &amp; "]",
"[Base].[Metrica]",
"[Base].[Metrica].&amp;[" &amp; $A10 &amp; "]",
"[Base].[SEGMENTO_DESCRIP]",
"[Base].[SEGMENTO_DESCRIP].&amp;[" &amp; $C$6 &amp; "]",
"[Base].[SITUACION]",
"[Base].[SITUACION].&amp;[" &amp; $C10 &amp; "]"
),0)/1000</f>
        <v>2876.4341424000004</v>
      </c>
      <c r="P10" s="8">
        <f>IFERROR(
GETPIVOTDATA(
"[Base].[Importe]",
TDinamica_R!$A$5,
"[Calendario].[AñoMes]",
"[Calendario].[AñoMes].&amp;[" &amp; TEXT(P$6,"yyyymm") &amp; "]",
"[Base].[Metrica]",
"[Base].[Metrica].&amp;[" &amp; $A10 &amp; "]",
"[Base].[SEGMENTO_DESCRIP]",
"[Base].[SEGMENTO_DESCRIP].&amp;[" &amp; $C$6 &amp; "]",
"[Base].[SITUACION]",
"[Base].[SITUACION].&amp;[" &amp; $C10 &amp; "]"
),0)/1000</f>
        <v>3485.8869944000003</v>
      </c>
      <c r="Q10" s="8">
        <f>IFERROR(
GETPIVOTDATA(
"[Base].[Importe]",
TDinamica_R!$A$5,
"[Calendario].[AñoMes]",
"[Calendario].[AñoMes].&amp;[" &amp; TEXT(Q$6,"yyyymm") &amp; "]",
"[Base].[Metrica]",
"[Base].[Metrica].&amp;[" &amp; $A10 &amp; "]",
"[Base].[SEGMENTO_DESCRIP]",
"[Base].[SEGMENTO_DESCRIP].&amp;[" &amp; $C$6 &amp; "]",
"[Base].[SITUACION]",
"[Base].[SITUACION].&amp;[" &amp; $C10 &amp; "]"
),0)/1000</f>
        <v>4760.5762579999991</v>
      </c>
      <c r="R10" s="8">
        <f>IFERROR(
GETPIVOTDATA(
"[Base].[Importe]",
TDinamica_R!$A$5,
"[Calendario].[AñoMes]",
"[Calendario].[AñoMes].&amp;[" &amp; TEXT(R$6,"yyyymm") &amp; "]",
"[Base].[Metrica]",
"[Base].[Metrica].&amp;[" &amp; $A10 &amp; "]",
"[Base].[SEGMENTO_DESCRIP]",
"[Base].[SEGMENTO_DESCRIP].&amp;[" &amp; $C$6 &amp; "]",
"[Base].[SITUACION]",
"[Base].[SITUACION].&amp;[" &amp; $C10 &amp; "]"
),0)/1000</f>
        <v>8351.859155600001</v>
      </c>
      <c r="S10" s="8">
        <f>IFERROR(
GETPIVOTDATA(
"[Base].[Importe]",
TDinamica_R!$A$5,
"[Calendario].[AñoMes]",
"[Calendario].[AñoMes].&amp;[" &amp; TEXT(S$6,"yyyymm") &amp; "]",
"[Base].[Metrica]",
"[Base].[Metrica].&amp;[" &amp; $A10 &amp; "]",
"[Base].[SEGMENTO_DESCRIP]",
"[Base].[SEGMENTO_DESCRIP].&amp;[" &amp; $C$6 &amp; "]",
"[Base].[SITUACION]",
"[Base].[SITUACION].&amp;[" &amp; $C10 &amp; "]"
),0)/1000</f>
        <v>14511.824329320001</v>
      </c>
      <c r="T10" s="8">
        <f>IFERROR(
GETPIVOTDATA(
"[Base].[Importe]",
TDinamica_R!$A$5,
"[Calendario].[AñoMes]",
"[Calendario].[AñoMes].&amp;[" &amp; TEXT(T$6,"yyyymm") &amp; "]",
"[Base].[Metrica]",
"[Base].[Metrica].&amp;[" &amp; $A10 &amp; "]",
"[Base].[SEGMENTO_DESCRIP]",
"[Base].[SEGMENTO_DESCRIP].&amp;[" &amp; $C$6 &amp; "]",
"[Base].[SITUACION]",
"[Base].[SITUACION].&amp;[" &amp; $C10 &amp; "]"
),0)/1000</f>
        <v>21668.877344519999</v>
      </c>
      <c r="U10" s="8">
        <f>IFERROR(
GETPIVOTDATA(
"[Base].[Importe]",
TDinamica_R!$A$5,
"[Calendario].[AñoMes]",
"[Calendario].[AñoMes].&amp;[" &amp; TEXT(U$6,"yyyymm") &amp; "]",
"[Base].[Metrica]",
"[Base].[Metrica].&amp;[" &amp; $A10 &amp; "]",
"[Base].[SEGMENTO_DESCRIP]",
"[Base].[SEGMENTO_DESCRIP].&amp;[" &amp; $C$6 &amp; "]",
"[Base].[SITUACION]",
"[Base].[SITUACION].&amp;[" &amp; $C10 &amp; "]"
),0)/1000</f>
        <v>21994.113615259997</v>
      </c>
      <c r="V10" s="8">
        <f>IFERROR(
GETPIVOTDATA(
"[Base].[Importe]",
TDinamica_R!$A$5,
"[Calendario].[AñoMes]",
"[Calendario].[AñoMes].&amp;[" &amp; TEXT(V$6,"yyyymm") &amp; "]",
"[Base].[Metrica]",
"[Base].[Metrica].&amp;[" &amp; $A10 &amp; "]",
"[Base].[SEGMENTO_DESCRIP]",
"[Base].[SEGMENTO_DESCRIP].&amp;[" &amp; $C$6 &amp; "]",
"[Base].[SITUACION]",
"[Base].[SITUACION].&amp;[" &amp; $C10 &amp; "]"
),0)/1000</f>
        <v>19419.515911320002</v>
      </c>
      <c r="W10" s="8">
        <f>IFERROR(
GETPIVOTDATA(
"[Base].[Importe]",
TDinamica_R!$A$5,
"[Calendario].[AñoMes]",
"[Calendario].[AñoMes].&amp;[" &amp; TEXT(W$6,"yyyymm") &amp; "]",
"[Base].[Metrica]",
"[Base].[Metrica].&amp;[" &amp; $A10 &amp; "]",
"[Base].[SEGMENTO_DESCRIP]",
"[Base].[SEGMENTO_DESCRIP].&amp;[" &amp; $C$6 &amp; "]",
"[Base].[SITUACION]",
"[Base].[SITUACION].&amp;[" &amp; $C10 &amp; "]"
),0)/1000</f>
        <v>18358.841378040004</v>
      </c>
      <c r="X10" s="8">
        <f>IFERROR(
GETPIVOTDATA(
"[Base].[Importe]",
TDinamica_R!$A$5,
"[Calendario].[AñoMes]",
"[Calendario].[AñoMes].&amp;[" &amp; TEXT(X$6,"yyyymm") &amp; "]",
"[Base].[Metrica]",
"[Base].[Metrica].&amp;[" &amp; $A10 &amp; "]",
"[Base].[SEGMENTO_DESCRIP]",
"[Base].[SEGMENTO_DESCRIP].&amp;[" &amp; $C$6 &amp; "]",
"[Base].[SITUACION]",
"[Base].[SITUACION].&amp;[" &amp; $C10 &amp; "]"
),0)/1000</f>
        <v>15076.990324730001</v>
      </c>
      <c r="Y10" s="8">
        <f>IFERROR(
GETPIVOTDATA(
"[Base].[Importe]",
TDinamica_R!$A$5,
"[Calendario].[AñoMes]",
"[Calendario].[AñoMes].&amp;[" &amp; TEXT(Y$6,"yyyymm") &amp; "]",
"[Base].[Metrica]",
"[Base].[Metrica].&amp;[" &amp; $A10 &amp; "]",
"[Base].[SEGMENTO_DESCRIP]",
"[Base].[SEGMENTO_DESCRIP].&amp;[" &amp; $C$6 &amp; "]",
"[Base].[SITUACION]",
"[Base].[SITUACION].&amp;[" &amp; $C10 &amp; "]"
),0)/1000</f>
        <v>14127.159989039999</v>
      </c>
      <c r="Z10" s="8">
        <f>IFERROR(
GETPIVOTDATA(
"[Base].[Importe]",
TDinamica_R!$A$5,
"[Calendario].[AñoMes]",
"[Calendario].[AñoMes].&amp;[" &amp; TEXT(Z$6,"yyyymm") &amp; "]",
"[Base].[Metrica]",
"[Base].[Metrica].&amp;[" &amp; $A10 &amp; "]",
"[Base].[SEGMENTO_DESCRIP]",
"[Base].[SEGMENTO_DESCRIP].&amp;[" &amp; $C$6 &amp; "]",
"[Base].[SITUACION]",
"[Base].[SITUACION].&amp;[" &amp; $C10 &amp; "]"
),0)/1000</f>
        <v>11675.580821180001</v>
      </c>
      <c r="AA10" s="8">
        <f>IFERROR(
GETPIVOTDATA(
"[Base].[Importe]",
TDinamica_R!$A$5,
"[Calendario].[AñoMes]",
"[Calendario].[AñoMes].&amp;[" &amp; TEXT(AA$6,"yyyymm") &amp; "]",
"[Base].[Metrica]",
"[Base].[Metrica].&amp;[" &amp; $A10 &amp; "]",
"[Base].[SEGMENTO_DESCRIP]",
"[Base].[SEGMENTO_DESCRIP].&amp;[" &amp; $C$6 &amp; "]",
"[Base].[SITUACION]",
"[Base].[SITUACION].&amp;[" &amp; $C10 &amp; "]"
),0)/1000</f>
        <v>11716.935844879999</v>
      </c>
      <c r="AB10" s="8">
        <f>IFERROR(
GETPIVOTDATA(
"[Base].[Importe]",
TDinamica_R!$A$5,
"[Calendario].[AñoMes]",
"[Calendario].[AñoMes].&amp;[" &amp; TEXT(AB$6,"yyyymm") &amp; "]",
"[Base].[Metrica]",
"[Base].[Metrica].&amp;[" &amp; $A10 &amp; "]",
"[Base].[SEGMENTO_DESCRIP]",
"[Base].[SEGMENTO_DESCRIP].&amp;[" &amp; $C$6 &amp; "]",
"[Base].[SITUACION]",
"[Base].[SITUACION].&amp;[" &amp; $C10 &amp; "]"
),0)/1000</f>
        <v>11954.751330159999</v>
      </c>
      <c r="AC10" s="8">
        <f>IFERROR(
GETPIVOTDATA(
"[Base].[Importe]",
TDinamica_R!$A$5,
"[Calendario].[AñoMes]",
"[Calendario].[AñoMes].&amp;[" &amp; TEXT(AC$6,"yyyymm") &amp; "]",
"[Base].[Metrica]",
"[Base].[Metrica].&amp;[" &amp; $A10 &amp; "]",
"[Base].[SEGMENTO_DESCRIP]",
"[Base].[SEGMENTO_DESCRIP].&amp;[" &amp; $C$6 &amp; "]",
"[Base].[SITUACION]",
"[Base].[SITUACION].&amp;[" &amp; $C10 &amp; "]"
),0)/1000</f>
        <v>8182.4229133299987</v>
      </c>
      <c r="AD10" s="8">
        <f>IFERROR(
GETPIVOTDATA(
"[Base].[Importe]",
TDinamica_R!$A$5,
"[Calendario].[AñoMes]",
"[Calendario].[AñoMes].&amp;[" &amp; TEXT(AD$6,"yyyymm") &amp; "]",
"[Base].[Metrica]",
"[Base].[Metrica].&amp;[" &amp; $A10 &amp; "]",
"[Base].[SEGMENTO_DESCRIP]",
"[Base].[SEGMENTO_DESCRIP].&amp;[" &amp; $C$6 &amp; "]",
"[Base].[SITUACION]",
"[Base].[SITUACION].&amp;[" &amp; $C10 &amp; "]"
),0)/1000</f>
        <v>7060.9354005200003</v>
      </c>
      <c r="AE10" s="8">
        <f>IFERROR(
GETPIVOTDATA(
"[Base].[Importe]",
TDinamica_R!$A$5,
"[Calendario].[AñoMes]",
"[Calendario].[AñoMes].&amp;[" &amp; TEXT(AE$6,"yyyymm") &amp; "]",
"[Base].[Metrica]",
"[Base].[Metrica].&amp;[" &amp; $A10 &amp; "]",
"[Base].[SEGMENTO_DESCRIP]",
"[Base].[SEGMENTO_DESCRIP].&amp;[" &amp; $C$6 &amp; "]",
"[Base].[SITUACION]",
"[Base].[SITUACION].&amp;[" &amp; $C10 &amp; "]"
),0)/1000</f>
        <v>7347.1941762499991</v>
      </c>
      <c r="AF10" s="8">
        <f>IFERROR(
GETPIVOTDATA(
"[Base].[Importe]",
TDinamica_R!$A$5,
"[Calendario].[AñoMes]",
"[Calendario].[AñoMes].&amp;[" &amp; TEXT(AF$6,"yyyymm") &amp; "]",
"[Base].[Metrica]",
"[Base].[Metrica].&amp;[" &amp; $A10 &amp; "]",
"[Base].[SEGMENTO_DESCRIP]",
"[Base].[SEGMENTO_DESCRIP].&amp;[" &amp; $C$6 &amp; "]",
"[Base].[SITUACION]",
"[Base].[SITUACION].&amp;[" &amp; $C10 &amp; "]"
),0)/1000</f>
        <v>7897.5572771400011</v>
      </c>
      <c r="AG10" s="8">
        <f>IFERROR(
GETPIVOTDATA(
"[Base].[Importe]",
TDinamica_R!$A$5,
"[Calendario].[AñoMes]",
"[Calendario].[AñoMes].&amp;[" &amp; TEXT(AG$6,"yyyymm") &amp; "]",
"[Base].[Metrica]",
"[Base].[Metrica].&amp;[" &amp; $A10 &amp; "]",
"[Base].[SEGMENTO_DESCRIP]",
"[Base].[SEGMENTO_DESCRIP].&amp;[" &amp; $C$6 &amp; "]",
"[Base].[SITUACION]",
"[Base].[SITUACION].&amp;[" &amp; $C10 &amp; "]"
),0)/1000</f>
        <v>7875.7323523799996</v>
      </c>
      <c r="AH10" s="8">
        <f>IFERROR(
GETPIVOTDATA(
"[Base].[Importe]",
TDinamica_R!$A$5,
"[Calendario].[AñoMes]",
"[Calendario].[AñoMes].&amp;[" &amp; TEXT(AH$6,"yyyymm") &amp; "]",
"[Base].[Metrica]",
"[Base].[Metrica].&amp;[" &amp; $A10 &amp; "]",
"[Base].[SEGMENTO_DESCRIP]",
"[Base].[SEGMENTO_DESCRIP].&amp;[" &amp; $C$6 &amp; "]",
"[Base].[SITUACION]",
"[Base].[SITUACION].&amp;[" &amp; $C10 &amp; "]"
),0)/1000</f>
        <v>7891.3392194899998</v>
      </c>
      <c r="AI10" s="8">
        <f>IFERROR(
GETPIVOTDATA(
"[Base].[Importe]",
TDinamica_R!$A$5,
"[Calendario].[AñoMes]",
"[Calendario].[AñoMes].&amp;[" &amp; TEXT(AI$6,"yyyymm") &amp; "]",
"[Base].[Metrica]",
"[Base].[Metrica].&amp;[" &amp; $A10 &amp; "]",
"[Base].[SEGMENTO_DESCRIP]",
"[Base].[SEGMENTO_DESCRIP].&amp;[" &amp; $C$6 &amp; "]",
"[Base].[SITUACION]",
"[Base].[SITUACION].&amp;[" &amp; $C10 &amp; "]"
),0)/1000</f>
        <v>8814.2065501500019</v>
      </c>
      <c r="AJ10" s="8">
        <f>IFERROR(
GETPIVOTDATA(
"[Base].[Importe]",
TDinamica_R!$A$5,
"[Calendario].[AñoMes]",
"[Calendario].[AñoMes].&amp;[" &amp; TEXT(AJ$6,"yyyymm") &amp; "]",
"[Base].[Metrica]",
"[Base].[Metrica].&amp;[" &amp; $A10 &amp; "]",
"[Base].[SEGMENTO_DESCRIP]",
"[Base].[SEGMENTO_DESCRIP].&amp;[" &amp; $C$6 &amp; "]",
"[Base].[SITUACION]",
"[Base].[SITUACION].&amp;[" &amp; $C10 &amp; "]"
),0)/1000</f>
        <v>9467.4290563000013</v>
      </c>
      <c r="AK10" s="8">
        <f>IFERROR(
GETPIVOTDATA(
"[Base].[Importe]",
TDinamica_R!$A$5,
"[Calendario].[AñoMes]",
"[Calendario].[AñoMes].&amp;[" &amp; TEXT(AK$6,"yyyymm") &amp; "]",
"[Base].[Metrica]",
"[Base].[Metrica].&amp;[" &amp; $A10 &amp; "]",
"[Base].[SEGMENTO_DESCRIP]",
"[Base].[SEGMENTO_DESCRIP].&amp;[" &amp; $C$6 &amp; "]",
"[Base].[SITUACION]",
"[Base].[SITUACION].&amp;[" &amp; $C10 &amp; "]"
),0)/1000</f>
        <v>9958.8954037500007</v>
      </c>
      <c r="AL10" s="8">
        <f>IFERROR(
GETPIVOTDATA(
"[Base].[Importe]",
TDinamica_R!$A$5,
"[Calendario].[AñoMes]",
"[Calendario].[AñoMes].&amp;[" &amp; TEXT(AL$6,"yyyymm") &amp; "]",
"[Base].[Metrica]",
"[Base].[Metrica].&amp;[" &amp; $A10 &amp; "]",
"[Base].[SEGMENTO_DESCRIP]",
"[Base].[SEGMENTO_DESCRIP].&amp;[" &amp; $C$6 &amp; "]",
"[Base].[SITUACION]",
"[Base].[SITUACION].&amp;[" &amp; $C10 &amp; "]"
),0)/1000</f>
        <v>9123.2847869799989</v>
      </c>
      <c r="AM10" s="8">
        <f>IFERROR(
GETPIVOTDATA(
"[Base].[Importe]",
TDinamica_R!$A$5,
"[Calendario].[AñoMes]",
"[Calendario].[AñoMes].&amp;[" &amp; TEXT(AM$6,"yyyymm") &amp; "]",
"[Base].[Metrica]",
"[Base].[Metrica].&amp;[" &amp; $A10 &amp; "]",
"[Base].[SEGMENTO_DESCRIP]",
"[Base].[SEGMENTO_DESCRIP].&amp;[" &amp; $C$6 &amp; "]",
"[Base].[SITUACION]",
"[Base].[SITUACION].&amp;[" &amp; $C10 &amp; "]"
),0)/1000</f>
        <v>10707.412418269998</v>
      </c>
      <c r="AN10" s="8">
        <f>IFERROR(
GETPIVOTDATA(
"[Base].[Importe]",
TDinamica_R!$A$5,
"[Calendario].[AñoMes]",
"[Calendario].[AñoMes].&amp;[" &amp; TEXT(AN$6,"yyyymm") &amp; "]",
"[Base].[Metrica]",
"[Base].[Metrica].&amp;[" &amp; $A10 &amp; "]",
"[Base].[SEGMENTO_DESCRIP]",
"[Base].[SEGMENTO_DESCRIP].&amp;[" &amp; $C$6 &amp; "]",
"[Base].[SITUACION]",
"[Base].[SITUACION].&amp;[" &amp; $C10 &amp; "]"
),0)/1000</f>
        <v>12348.42</v>
      </c>
      <c r="AO10" s="8">
        <f>IFERROR(
GETPIVOTDATA(
"[Base].[Importe]",
TDinamica_R!$A$5,
"[Calendario].[AñoMes]",
"[Calendario].[AñoMes].&amp;[" &amp; TEXT(AO$6,"yyyymm") &amp; "]",
"[Base].[Metrica]",
"[Base].[Metrica].&amp;[" &amp; $A10 &amp; "]",
"[Base].[SEGMENTO_DESCRIP]",
"[Base].[SEGMENTO_DESCRIP].&amp;[" &amp; $C$6 &amp; "]",
"[Base].[SITUACION]",
"[Base].[SITUACION].&amp;[" &amp; $C10 &amp; "]"
),0)/1000</f>
        <v>12614.89</v>
      </c>
      <c r="AP10" s="8">
        <f>IFERROR(
GETPIVOTDATA(
"[Base].[Importe]",
TDinamica_R!$A$5,
"[Calendario].[AñoMes]",
"[Calendario].[AñoMes].&amp;[" &amp; TEXT(AP$6,"yyyymm") &amp; "]",
"[Base].[Metrica]",
"[Base].[Metrica].&amp;[" &amp; $A10 &amp; "]",
"[Base].[SEGMENTO_DESCRIP]",
"[Base].[SEGMENTO_DESCRIP].&amp;[" &amp; $C$6 &amp; "]",
"[Base].[SITUACION]",
"[Base].[SITUACION].&amp;[" &amp; $C10 &amp; "]"
),0)/1000</f>
        <v>12837.1</v>
      </c>
      <c r="AQ10" s="8">
        <f>IFERROR(
GETPIVOTDATA(
"[Base].[Importe]",
TDinamica_R!$A$5,
"[Calendario].[AñoMes]",
"[Calendario].[AñoMes].&amp;[" &amp; TEXT(AQ$6,"yyyymm") &amp; "]",
"[Base].[Metrica]",
"[Base].[Metrica].&amp;[" &amp; $A10 &amp; "]",
"[Base].[SEGMENTO_DESCRIP]",
"[Base].[SEGMENTO_DESCRIP].&amp;[" &amp; $C$6 &amp; "]",
"[Base].[SITUACION]",
"[Base].[SITUACION].&amp;[" &amp; $C10 &amp; "]"
),0)/1000</f>
        <v>12429.331428920001</v>
      </c>
      <c r="AR10" s="8">
        <f>IFERROR(
GETPIVOTDATA(
"[Base].[Importe]",
TDinamica_R!$A$5,
"[Calendario].[AñoMes]",
"[Calendario].[AñoMes].&amp;[" &amp; TEXT(AR$6,"yyyymm") &amp; "]",
"[Base].[Metrica]",
"[Base].[Metrica].&amp;[" &amp; $A10 &amp; "]",
"[Base].[SEGMENTO_DESCRIP]",
"[Base].[SEGMENTO_DESCRIP].&amp;[" &amp; $C$6 &amp; "]",
"[Base].[SITUACION]",
"[Base].[SITUACION].&amp;[" &amp; $C10 &amp; "]"
),0)/1000</f>
        <v>12846.873850220001</v>
      </c>
      <c r="AS10" s="8">
        <f>IFERROR(
GETPIVOTDATA(
"[Base].[Importe]",
TDinamica_R!$A$5,
"[Calendario].[AñoMes]",
"[Calendario].[AñoMes].&amp;[" &amp; TEXT(AS$6,"yyyymm") &amp; "]",
"[Base].[Metrica]",
"[Base].[Metrica].&amp;[" &amp; $A10 &amp; "]",
"[Base].[SEGMENTO_DESCRIP]",
"[Base].[SEGMENTO_DESCRIP].&amp;[" &amp; $C$6 &amp; "]",
"[Base].[SITUACION]",
"[Base].[SITUACION].&amp;[" &amp; $C10 &amp; "]"
),0)/1000</f>
        <v>13609.727308900003</v>
      </c>
      <c r="AT10" s="8">
        <f>IFERROR(
GETPIVOTDATA(
"[Base].[Importe]",
TDinamica_R!$A$5,
"[Calendario].[AñoMes]",
"[Calendario].[AñoMes].&amp;[" &amp; TEXT(AT$6,"yyyymm")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U10" s="8">
        <f>IFERROR(
GETPIVOTDATA(
"[Base].[Importe]",
TDinamica_R!$A$5,
"[Calendario].[AñoMes]",
"[Calendario].[AñoMes].&amp;[" &amp; TEXT(AU$6,"yyyymm")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V10" s="8">
        <f>IFERROR(
GETPIVOTDATA(
"[Base].[Importe]",
TDinamica_R!$A$5,
"[Calendario].[AñoMes]",
"[Calendario].[AñoMes].&amp;[" &amp; TEXT(AV$6,"yyyymm")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W10" s="8">
        <f>IFERROR(
GETPIVOTDATA(
"[Base].[Importe]",
TDinamica_R!$A$5,
"[Calendario].[AñoMes]",
"[Calendario].[AñoMes].&amp;[" &amp; TEXT(AW$6,"yyyymm")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X10" s="8">
        <f>IFERROR(
GETPIVOTDATA(
"[Base].[Importe]",
TDinamica_R!$A$5,
"[Calendario].[AñoMes]",
"[Calendario].[AñoMes].&amp;[" &amp; TEXT(AX$6,"yyyymm")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Y10" s="8">
        <f>IFERROR(
GETPIVOTDATA(
"[Base].[Importe]",
TDinamica_R!$A$5,
"[Calendario].[AñoMes]",
"[Calendario].[AñoMes].&amp;[" &amp; TEXT(AY$6,"yyyymm")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Z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TEXT(AZ$6,"yyyymm") &amp; "]"
),
0
)</f>
        <v>10889.961594218936</v>
      </c>
      <c r="BA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TEXT(BA$6,"yyyymm") &amp; "]"
),
0
)</f>
        <v>11020.665212161142</v>
      </c>
      <c r="BB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TEXT(BB$6,"yyyymm") &amp; "]"
),
0
)</f>
        <v>10796.360381081216</v>
      </c>
      <c r="BC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TEXT(BC$6,"yyyymm") &amp; "]"
),
0
)</f>
        <v>10876.454093332086</v>
      </c>
      <c r="BD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TEXT(BD$6,"yyyymm") &amp; "]"
),
0
)</f>
        <v>11299.550257443821</v>
      </c>
      <c r="BE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TEXT(BE$6,"yyyymm") &amp; "]"
),
0
)</f>
        <v>10930.194238833905</v>
      </c>
      <c r="BF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TEXT(BF$6,"yyyymm") &amp; "]"
),
0
)</f>
        <v>10966.42985023789</v>
      </c>
      <c r="BG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TEXT(BG$6,"yyyymm") &amp; "]"
),
0
)</f>
        <v>11958.880128103698</v>
      </c>
      <c r="BH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TEXT(BH$6,"yyyymm") &amp; "]"
),
0
)</f>
        <v>12541.404918173619</v>
      </c>
      <c r="BI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TEXT(BI$6,"yyyymm") &amp; "]"
),
0
)</f>
        <v>13147.123547835663</v>
      </c>
      <c r="BJ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TEXT(BJ$6,"yyyymm") &amp; "]"
),
0
)</f>
        <v>13241.907795883892</v>
      </c>
      <c r="BK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TEXT(BK$6,"yyyymm") &amp; "]"
),
0
)</f>
        <v>13842.795186560121</v>
      </c>
      <c r="BO10" s="24">
        <f t="shared" si="5"/>
        <v>12837.1</v>
      </c>
      <c r="BP10" s="24">
        <f t="shared" si="7"/>
        <v>10796.360381081216</v>
      </c>
      <c r="BQ10" s="24">
        <f t="shared" si="6"/>
        <v>12614.89</v>
      </c>
      <c r="BR10" s="24">
        <f t="shared" si="6"/>
        <v>7060.9354005200003</v>
      </c>
      <c r="BS10" s="24">
        <f t="shared" si="6"/>
        <v>8351.859155600001</v>
      </c>
      <c r="BT10" s="24">
        <f t="shared" si="6"/>
        <v>656.34908000000007</v>
      </c>
    </row>
    <row r="11" spans="1:81" x14ac:dyDescent="0.25">
      <c r="C11" s="3" t="s">
        <v>2</v>
      </c>
      <c r="D11" s="10">
        <f>SUM(D8:D10)</f>
        <v>783632.5822481002</v>
      </c>
      <c r="E11" s="10">
        <f t="shared" ref="E11:AY11" si="8">SUM(E8:E10)</f>
        <v>806669.00178749999</v>
      </c>
      <c r="F11" s="10">
        <f t="shared" si="8"/>
        <v>827744.64649189997</v>
      </c>
      <c r="G11" s="10">
        <f t="shared" si="8"/>
        <v>848799.43824620009</v>
      </c>
      <c r="H11" s="10">
        <f t="shared" si="8"/>
        <v>869862.46027220006</v>
      </c>
      <c r="I11" s="10">
        <f t="shared" si="8"/>
        <v>887794.26120989979</v>
      </c>
      <c r="J11" s="10">
        <f t="shared" si="8"/>
        <v>912741.76148003992</v>
      </c>
      <c r="K11" s="10">
        <f t="shared" si="8"/>
        <v>950165.78553519992</v>
      </c>
      <c r="L11" s="10">
        <f t="shared" si="8"/>
        <v>976061.96335258975</v>
      </c>
      <c r="M11" s="10">
        <f t="shared" si="8"/>
        <v>978371.96057823999</v>
      </c>
      <c r="N11" s="10">
        <f t="shared" si="8"/>
        <v>986731.78507748002</v>
      </c>
      <c r="O11" s="10">
        <f t="shared" si="8"/>
        <v>983610.71468219999</v>
      </c>
      <c r="P11" s="10">
        <f t="shared" si="8"/>
        <v>971068.54381669988</v>
      </c>
      <c r="Q11" s="10">
        <f t="shared" si="8"/>
        <v>965526.48274319991</v>
      </c>
      <c r="R11" s="10">
        <f t="shared" si="8"/>
        <v>959950.99516369996</v>
      </c>
      <c r="S11" s="10">
        <f t="shared" si="8"/>
        <v>950033.07952172006</v>
      </c>
      <c r="T11" s="10">
        <f t="shared" si="8"/>
        <v>937488.55388891988</v>
      </c>
      <c r="U11" s="10">
        <f t="shared" si="8"/>
        <v>918774.24430435977</v>
      </c>
      <c r="V11" s="10">
        <f t="shared" si="8"/>
        <v>900835.04196452</v>
      </c>
      <c r="W11" s="10">
        <f t="shared" si="8"/>
        <v>894362.17420653987</v>
      </c>
      <c r="X11" s="10">
        <f t="shared" si="8"/>
        <v>899735.66627133009</v>
      </c>
      <c r="Y11" s="10">
        <f t="shared" si="8"/>
        <v>905528.50544053991</v>
      </c>
      <c r="Z11" s="10">
        <f t="shared" si="8"/>
        <v>918383.61189248017</v>
      </c>
      <c r="AA11" s="10">
        <f t="shared" si="8"/>
        <v>925298.35097258002</v>
      </c>
      <c r="AB11" s="10">
        <f t="shared" si="8"/>
        <v>937490.14684325992</v>
      </c>
      <c r="AC11" s="10">
        <f t="shared" si="8"/>
        <v>951356.48485923</v>
      </c>
      <c r="AD11" s="10">
        <f t="shared" si="8"/>
        <v>974930.55029042007</v>
      </c>
      <c r="AE11" s="10">
        <f t="shared" si="8"/>
        <v>995022.10187154997</v>
      </c>
      <c r="AF11" s="10">
        <f t="shared" si="8"/>
        <v>1023516.8830060401</v>
      </c>
      <c r="AG11" s="10">
        <f t="shared" si="8"/>
        <v>1032083.87846828</v>
      </c>
      <c r="AH11" s="10">
        <f t="shared" si="8"/>
        <v>1048723.5771768901</v>
      </c>
      <c r="AI11" s="10">
        <f t="shared" si="8"/>
        <v>1073474.83942525</v>
      </c>
      <c r="AJ11" s="10">
        <f t="shared" si="8"/>
        <v>1111110.8438323999</v>
      </c>
      <c r="AK11" s="10">
        <f t="shared" si="8"/>
        <v>1167493.7460990499</v>
      </c>
      <c r="AL11" s="10">
        <f t="shared" si="8"/>
        <v>1202875.4992450797</v>
      </c>
      <c r="AM11" s="10">
        <f t="shared" si="8"/>
        <v>1213471.9159494697</v>
      </c>
      <c r="AN11" s="10">
        <f t="shared" si="8"/>
        <v>1232759.5</v>
      </c>
      <c r="AO11" s="10">
        <f t="shared" si="8"/>
        <v>1268671.6399999999</v>
      </c>
      <c r="AP11" s="10">
        <f t="shared" si="8"/>
        <v>1299859.2800000003</v>
      </c>
      <c r="AQ11" s="10">
        <f t="shared" si="8"/>
        <v>1322085.3647997202</v>
      </c>
      <c r="AR11" s="10">
        <f t="shared" si="8"/>
        <v>1353308.3537652802</v>
      </c>
      <c r="AS11" s="10">
        <f t="shared" si="8"/>
        <v>1396662.0024562001</v>
      </c>
      <c r="AT11" s="10">
        <f t="shared" si="8"/>
        <v>0</v>
      </c>
      <c r="AU11" s="10">
        <f t="shared" si="8"/>
        <v>0</v>
      </c>
      <c r="AV11" s="10">
        <f t="shared" si="8"/>
        <v>0</v>
      </c>
      <c r="AW11" s="10">
        <f t="shared" si="8"/>
        <v>0</v>
      </c>
      <c r="AX11" s="10">
        <f t="shared" si="8"/>
        <v>0</v>
      </c>
      <c r="AY11" s="10">
        <f t="shared" si="8"/>
        <v>0</v>
      </c>
      <c r="AZ11" s="10">
        <f t="shared" ref="AZ11:BK11" si="9">SUM(AZ8:AZ10)</f>
        <v>1235453.6819557438</v>
      </c>
      <c r="BA11" s="10">
        <f t="shared" si="9"/>
        <v>1252134.5375584969</v>
      </c>
      <c r="BB11" s="10">
        <f t="shared" si="9"/>
        <v>1280553.3261811058</v>
      </c>
      <c r="BC11" s="10">
        <f t="shared" si="9"/>
        <v>1315745.7909359566</v>
      </c>
      <c r="BD11" s="10">
        <f t="shared" si="9"/>
        <v>1355262.9749204891</v>
      </c>
      <c r="BE11" s="10">
        <f t="shared" si="9"/>
        <v>1381241.1425187015</v>
      </c>
      <c r="BF11" s="10">
        <f t="shared" si="9"/>
        <v>1395393.5957707255</v>
      </c>
      <c r="BG11" s="10">
        <f t="shared" si="9"/>
        <v>1416952.9585769861</v>
      </c>
      <c r="BH11" s="10">
        <f t="shared" si="9"/>
        <v>1446848.9976556012</v>
      </c>
      <c r="BI11" s="10">
        <f t="shared" si="9"/>
        <v>1474610.8881506834</v>
      </c>
      <c r="BJ11" s="10">
        <f t="shared" si="9"/>
        <v>1490611.4462223738</v>
      </c>
      <c r="BK11" s="10">
        <f t="shared" si="9"/>
        <v>1498582.1316179091</v>
      </c>
      <c r="BO11" s="23">
        <f>SUM(BO8:BO10)</f>
        <v>1299859.2800000003</v>
      </c>
      <c r="BP11" s="23">
        <f>SUM(BP8:BP10)</f>
        <v>1280553.3261811058</v>
      </c>
      <c r="BQ11" s="23">
        <f t="shared" ref="BQ11:BT11" si="10">SUM(BQ8:BQ10)</f>
        <v>1268671.6399999999</v>
      </c>
      <c r="BR11" s="23">
        <f t="shared" si="10"/>
        <v>974930.55029042007</v>
      </c>
      <c r="BS11" s="23">
        <f t="shared" si="10"/>
        <v>959950.99516369996</v>
      </c>
      <c r="BT11" s="23">
        <f t="shared" si="10"/>
        <v>827744.64649189997</v>
      </c>
    </row>
    <row r="14" spans="1:81" hidden="1" outlineLevel="1" x14ac:dyDescent="0.25">
      <c r="A14" s="11" t="s">
        <v>52</v>
      </c>
      <c r="C14" s="2" t="s">
        <v>0</v>
      </c>
      <c r="D14" s="8">
        <f>IFERROR(
GETPIVOTDATA(
"[Base].[Importe]",
TDinamica_R!$A$5,
"[Calendario].[AñoMes]",
"[Calendario].[AñoMes].&amp;[" &amp; TEXT(D$6,"yyyymm") &amp; "]",
"[Base].[Metrica]",
"[Base].[Metrica].&amp;[" &amp; $A14 &amp; "]",
"[Base].[SEGMENTO_DESCRIP]",
"[Base].[SEGMENTO_DESCRIP].&amp;[" &amp; $C$6 &amp; "]",
"[Base].[SITUACION]",
"[Base].[SITUACION].&amp;[" &amp; $C14 &amp; "]"
),0)/1000</f>
        <v>775624.02471560007</v>
      </c>
      <c r="E14" s="8">
        <f>IFERROR(
GETPIVOTDATA(
"[Base].[Importe]",
TDinamica_R!$A$5,
"[Calendario].[AñoMes]",
"[Calendario].[AñoMes].&amp;[" &amp; TEXT(E$6,"yyyymm") &amp; "]",
"[Base].[Metrica]",
"[Base].[Metrica].&amp;[" &amp; $A14 &amp; "]",
"[Base].[SEGMENTO_DESCRIP]",
"[Base].[SEGMENTO_DESCRIP].&amp;[" &amp; $C$6 &amp; "]",
"[Base].[SITUACION]",
"[Base].[SITUACION].&amp;[" &amp; $C14 &amp; "]"
),0)/1000</f>
        <v>789194.8777233999</v>
      </c>
      <c r="F14" s="8">
        <f>IFERROR(
GETPIVOTDATA(
"[Base].[Importe]",
TDinamica_R!$A$5,
"[Calendario].[AñoMes]",
"[Calendario].[AñoMes].&amp;[" &amp; TEXT(F$6,"yyyymm") &amp; "]",
"[Base].[Metrica]",
"[Base].[Metrica].&amp;[" &amp; $A14 &amp; "]",
"[Base].[SEGMENTO_DESCRIP]",
"[Base].[SEGMENTO_DESCRIP].&amp;[" &amp; $C$6 &amp; "]",
"[Base].[SITUACION]",
"[Base].[SITUACION].&amp;[" &amp; $C14 &amp; "]"
),0)/1000</f>
        <v>814833.22044120007</v>
      </c>
      <c r="G14" s="8">
        <f>IFERROR(
GETPIVOTDATA(
"[Base].[Importe]",
TDinamica_R!$A$5,
"[Calendario].[AñoMes]",
"[Calendario].[AñoMes].&amp;[" &amp; TEXT(G$6,"yyyymm") &amp; "]",
"[Base].[Metrica]",
"[Base].[Metrica].&amp;[" &amp; $A14 &amp; "]",
"[Base].[SEGMENTO_DESCRIP]",
"[Base].[SEGMENTO_DESCRIP].&amp;[" &amp; $C$6 &amp; "]",
"[Base].[SITUACION]",
"[Base].[SITUACION].&amp;[" &amp; $C14 &amp; "]"
),0)/1000</f>
        <v>838408.07384809991</v>
      </c>
      <c r="H14" s="8">
        <f>IFERROR(
GETPIVOTDATA(
"[Base].[Importe]",
TDinamica_R!$A$5,
"[Calendario].[AñoMes]",
"[Calendario].[AñoMes].&amp;[" &amp; TEXT(H$6,"yyyymm") &amp; "]",
"[Base].[Metrica]",
"[Base].[Metrica].&amp;[" &amp; $A14 &amp; "]",
"[Base].[SEGMENTO_DESCRIP]",
"[Base].[SEGMENTO_DESCRIP].&amp;[" &amp; $C$6 &amp; "]",
"[Base].[SITUACION]",
"[Base].[SITUACION].&amp;[" &amp; $C14 &amp; "]"
),0)/1000</f>
        <v>858979.05269559997</v>
      </c>
      <c r="I14" s="8">
        <f>IFERROR(
GETPIVOTDATA(
"[Base].[Importe]",
TDinamica_R!$A$5,
"[Calendario].[AñoMes]",
"[Calendario].[AñoMes].&amp;[" &amp; TEXT(I$6,"yyyymm") &amp; "]",
"[Base].[Metrica]",
"[Base].[Metrica].&amp;[" &amp; $A14 &amp; "]",
"[Base].[SEGMENTO_DESCRIP]",
"[Base].[SEGMENTO_DESCRIP].&amp;[" &amp; $C$6 &amp; "]",
"[Base].[SITUACION]",
"[Base].[SITUACION].&amp;[" &amp; $C14 &amp; "]"
),0)/1000</f>
        <v>873350.51247800002</v>
      </c>
      <c r="J14" s="8">
        <f>IFERROR(
GETPIVOTDATA(
"[Base].[Importe]",
TDinamica_R!$A$5,
"[Calendario].[AñoMes]",
"[Calendario].[AñoMes].&amp;[" &amp; TEXT(J$6,"yyyymm") &amp; "]",
"[Base].[Metrica]",
"[Base].[Metrica].&amp;[" &amp; $A14 &amp; "]",
"[Base].[SEGMENTO_DESCRIP]",
"[Base].[SEGMENTO_DESCRIP].&amp;[" &amp; $C$6 &amp; "]",
"[Base].[SITUACION]",
"[Base].[SITUACION].&amp;[" &amp; $C14 &amp; "]"
),0)/1000</f>
        <v>895880.65846579988</v>
      </c>
      <c r="K14" s="8">
        <f>IFERROR(
GETPIVOTDATA(
"[Base].[Importe]",
TDinamica_R!$A$5,
"[Calendario].[AñoMes]",
"[Calendario].[AñoMes].&amp;[" &amp; TEXT(K$6,"yyyymm") &amp; "]",
"[Base].[Metrica]",
"[Base].[Metrica].&amp;[" &amp; $A14 &amp; "]",
"[Base].[SEGMENTO_DESCRIP]",
"[Base].[SEGMENTO_DESCRIP].&amp;[" &amp; $C$6 &amp; "]",
"[Base].[SITUACION]",
"[Base].[SITUACION].&amp;[" &amp; $C14 &amp; "]"
),0)/1000</f>
        <v>925058.03540629998</v>
      </c>
      <c r="L14" s="8">
        <f>IFERROR(
GETPIVOTDATA(
"[Base].[Importe]",
TDinamica_R!$A$5,
"[Calendario].[AñoMes]",
"[Calendario].[AñoMes].&amp;[" &amp; TEXT(L$6,"yyyymm") &amp; "]",
"[Base].[Metrica]",
"[Base].[Metrica].&amp;[" &amp; $A14 &amp; "]",
"[Base].[SEGMENTO_DESCRIP]",
"[Base].[SEGMENTO_DESCRIP].&amp;[" &amp; $C$6 &amp; "]",
"[Base].[SITUACION]",
"[Base].[SITUACION].&amp;[" &amp; $C14 &amp; "]"
),0)/1000</f>
        <v>960997.38488141401</v>
      </c>
      <c r="M14" s="8">
        <f>IFERROR(
GETPIVOTDATA(
"[Base].[Importe]",
TDinamica_R!$A$5,
"[Calendario].[AñoMes]",
"[Calendario].[AñoMes].&amp;[" &amp; TEXT(M$6,"yyyymm") &amp; "]",
"[Base].[Metrica]",
"[Base].[Metrica].&amp;[" &amp; $A14 &amp; "]",
"[Base].[SEGMENTO_DESCRIP]",
"[Base].[SEGMENTO_DESCRIP].&amp;[" &amp; $C$6 &amp; "]",
"[Base].[SITUACION]",
"[Base].[SITUACION].&amp;[" &amp; $C14 &amp; "]"
),0)/1000</f>
        <v>972825.18166590005</v>
      </c>
      <c r="N14" s="8">
        <f>IFERROR(
GETPIVOTDATA(
"[Base].[Importe]",
TDinamica_R!$A$5,
"[Calendario].[AñoMes]",
"[Calendario].[AñoMes].&amp;[" &amp; TEXT(N$6,"yyyymm") &amp; "]",
"[Base].[Metrica]",
"[Base].[Metrica].&amp;[" &amp; $A14 &amp; "]",
"[Base].[SEGMENTO_DESCRIP]",
"[Base].[SEGMENTO_DESCRIP].&amp;[" &amp; $C$6 &amp; "]",
"[Base].[SITUACION]",
"[Base].[SITUACION].&amp;[" &amp; $C14 &amp; "]"
),0)/1000</f>
        <v>979070.48275289999</v>
      </c>
      <c r="O14" s="8">
        <f>IFERROR(
GETPIVOTDATA(
"[Base].[Importe]",
TDinamica_R!$A$5,
"[Calendario].[AñoMes]",
"[Calendario].[AñoMes].&amp;[" &amp; TEXT(O$6,"yyyymm") &amp; "]",
"[Base].[Metrica]",
"[Base].[Metrica].&amp;[" &amp; $A14 &amp; "]",
"[Base].[SEGMENTO_DESCRIP]",
"[Base].[SEGMENTO_DESCRIP].&amp;[" &amp; $C$6 &amp; "]",
"[Base].[SITUACION]",
"[Base].[SITUACION].&amp;[" &amp; $C14 &amp; "]"
),0)/1000</f>
        <v>981603.9096284</v>
      </c>
      <c r="P14" s="8">
        <f>IFERROR(
GETPIVOTDATA(
"[Base].[Importe]",
TDinamica_R!$A$5,
"[Calendario].[AñoMes]",
"[Calendario].[AñoMes].&amp;[" &amp; TEXT(P$6,"yyyymm") &amp; "]",
"[Base].[Metrica]",
"[Base].[Metrica].&amp;[" &amp; $A14 &amp; "]",
"[Base].[SEGMENTO_DESCRIP]",
"[Base].[SEGMENTO_DESCRIP].&amp;[" &amp; $C$6 &amp; "]",
"[Base].[SITUACION]",
"[Base].[SITUACION].&amp;[" &amp; $C14 &amp; "]"
),0)/1000</f>
        <v>972300.64842460002</v>
      </c>
      <c r="Q14" s="8">
        <f>IFERROR(
GETPIVOTDATA(
"[Base].[Importe]",
TDinamica_R!$A$5,
"[Calendario].[AñoMes]",
"[Calendario].[AñoMes].&amp;[" &amp; TEXT(Q$6,"yyyymm") &amp; "]",
"[Base].[Metrica]",
"[Base].[Metrica].&amp;[" &amp; $A14 &amp; "]",
"[Base].[SEGMENTO_DESCRIP]",
"[Base].[SEGMENTO_DESCRIP].&amp;[" &amp; $C$6 &amp; "]",
"[Base].[SITUACION]",
"[Base].[SITUACION].&amp;[" &amp; $C14 &amp; "]"
),0)/1000</f>
        <v>960568.53961820004</v>
      </c>
      <c r="R14" s="8">
        <f>IFERROR(
GETPIVOTDATA(
"[Base].[Importe]",
TDinamica_R!$A$5,
"[Calendario].[AñoMes]",
"[Calendario].[AñoMes].&amp;[" &amp; TEXT(R$6,"yyyymm") &amp; "]",
"[Base].[Metrica]",
"[Base].[Metrica].&amp;[" &amp; $A14 &amp; "]",
"[Base].[SEGMENTO_DESCRIP]",
"[Base].[SEGMENTO_DESCRIP].&amp;[" &amp; $C$6 &amp; "]",
"[Base].[SITUACION]",
"[Base].[SITUACION].&amp;[" &amp; $C14 &amp; "]"
),0)/1000</f>
        <v>954292.33553589997</v>
      </c>
      <c r="S14" s="8">
        <f>IFERROR(
GETPIVOTDATA(
"[Base].[Importe]",
TDinamica_R!$A$5,
"[Calendario].[AñoMes]",
"[Calendario].[AñoMes].&amp;[" &amp; TEXT(S$6,"yyyymm") &amp; "]",
"[Base].[Metrica]",
"[Base].[Metrica].&amp;[" &amp; $A14 &amp; "]",
"[Base].[SEGMENTO_DESCRIP]",
"[Base].[SEGMENTO_DESCRIP].&amp;[" &amp; $C$6 &amp; "]",
"[Base].[SITUACION]",
"[Base].[SITUACION].&amp;[" &amp; $C14 &amp; "]"
),0)/1000</f>
        <v>937493.92453289998</v>
      </c>
      <c r="T14" s="8">
        <f>IFERROR(
GETPIVOTDATA(
"[Base].[Importe]",
TDinamica_R!$A$5,
"[Calendario].[AñoMes]",
"[Calendario].[AñoMes].&amp;[" &amp; TEXT(T$6,"yyyymm") &amp; "]",
"[Base].[Metrica]",
"[Base].[Metrica].&amp;[" &amp; $A14 &amp; "]",
"[Base].[SEGMENTO_DESCRIP]",
"[Base].[SEGMENTO_DESCRIP].&amp;[" &amp; $C$6 &amp; "]",
"[Base].[SITUACION]",
"[Base].[SITUACION].&amp;[" &amp; $C14 &amp; "]"
),0)/1000</f>
        <v>919900.10911219998</v>
      </c>
      <c r="U14" s="8">
        <f>IFERROR(
GETPIVOTDATA(
"[Base].[Importe]",
TDinamica_R!$A$5,
"[Calendario].[AñoMes]",
"[Calendario].[AñoMes].&amp;[" &amp; TEXT(U$6,"yyyymm") &amp; "]",
"[Base].[Metrica]",
"[Base].[Metrica].&amp;[" &amp; $A14 &amp; "]",
"[Base].[SEGMENTO_DESCRIP]",
"[Base].[SEGMENTO_DESCRIP].&amp;[" &amp; $C$6 &amp; "]",
"[Base].[SITUACION]",
"[Base].[SITUACION].&amp;[" &amp; $C14 &amp; "]"
),0)/1000</f>
        <v>898571.4298388001</v>
      </c>
      <c r="V14" s="8">
        <f>IFERROR(
GETPIVOTDATA(
"[Base].[Importe]",
TDinamica_R!$A$5,
"[Calendario].[AñoMes]",
"[Calendario].[AñoMes].&amp;[" &amp; TEXT(V$6,"yyyymm") &amp; "]",
"[Base].[Metrica]",
"[Base].[Metrica].&amp;[" &amp; $A14 &amp; "]",
"[Base].[SEGMENTO_DESCRIP]",
"[Base].[SEGMENTO_DESCRIP].&amp;[" &amp; $C$6 &amp; "]",
"[Base].[SITUACION]",
"[Base].[SITUACION].&amp;[" &amp; $C14 &amp; "]"
),0)/1000</f>
        <v>880152.59185600001</v>
      </c>
      <c r="W14" s="8">
        <f>IFERROR(
GETPIVOTDATA(
"[Base].[Importe]",
TDinamica_R!$A$5,
"[Calendario].[AñoMes]",
"[Calendario].[AñoMes].&amp;[" &amp; TEXT(W$6,"yyyymm") &amp; "]",
"[Base].[Metrica]",
"[Base].[Metrica].&amp;[" &amp; $A14 &amp; "]",
"[Base].[SEGMENTO_DESCRIP]",
"[Base].[SEGMENTO_DESCRIP].&amp;[" &amp; $C$6 &amp; "]",
"[Base].[SITUACION]",
"[Base].[SITUACION].&amp;[" &amp; $C14 &amp; "]"
),0)/1000</f>
        <v>872638.56976770004</v>
      </c>
      <c r="X14" s="8">
        <f>IFERROR(
GETPIVOTDATA(
"[Base].[Importe]",
TDinamica_R!$A$5,
"[Calendario].[AñoMes]",
"[Calendario].[AñoMes].&amp;[" &amp; TEXT(X$6,"yyyymm") &amp; "]",
"[Base].[Metrica]",
"[Base].[Metrica].&amp;[" &amp; $A14 &amp; "]",
"[Base].[SEGMENTO_DESCRIP]",
"[Base].[SEGMENTO_DESCRIP].&amp;[" &amp; $C$6 &amp; "]",
"[Base].[SITUACION]",
"[Base].[SITUACION].&amp;[" &amp; $C14 &amp; "]"
),0)/1000</f>
        <v>869198.2126043</v>
      </c>
      <c r="Y14" s="8">
        <f>IFERROR(
GETPIVOTDATA(
"[Base].[Importe]",
TDinamica_R!$A$5,
"[Calendario].[AñoMes]",
"[Calendario].[AñoMes].&amp;[" &amp; TEXT(Y$6,"yyyymm") &amp; "]",
"[Base].[Metrica]",
"[Base].[Metrica].&amp;[" &amp; $A14 &amp; "]",
"[Base].[SEGMENTO_DESCRIP]",
"[Base].[SEGMENTO_DESCRIP].&amp;[" &amp; $C$6 &amp; "]",
"[Base].[SITUACION]",
"[Base].[SITUACION].&amp;[" &amp; $C14 &amp; "]"
),0)/1000</f>
        <v>878775.16981630004</v>
      </c>
      <c r="Z14" s="8">
        <f>IFERROR(
GETPIVOTDATA(
"[Base].[Importe]",
TDinamica_R!$A$5,
"[Calendario].[AñoMes]",
"[Calendario].[AñoMes].&amp;[" &amp; TEXT(Z$6,"yyyymm") &amp; "]",
"[Base].[Metrica]",
"[Base].[Metrica].&amp;[" &amp; $A14 &amp; "]",
"[Base].[SEGMENTO_DESCRIP]",
"[Base].[SEGMENTO_DESCRIP].&amp;[" &amp; $C$6 &amp; "]",
"[Base].[SITUACION]",
"[Base].[SITUACION].&amp;[" &amp; $C14 &amp; "]"
),0)/1000</f>
        <v>889103.69865429995</v>
      </c>
      <c r="AA14" s="8">
        <f>IFERROR(
GETPIVOTDATA(
"[Base].[Importe]",
TDinamica_R!$A$5,
"[Calendario].[AñoMes]",
"[Calendario].[AñoMes].&amp;[" &amp; TEXT(AA$6,"yyyymm") &amp; "]",
"[Base].[Metrica]",
"[Base].[Metrica].&amp;[" &amp; $A14 &amp; "]",
"[Base].[SEGMENTO_DESCRIP]",
"[Base].[SEGMENTO_DESCRIP].&amp;[" &amp; $C$6 &amp; "]",
"[Base].[SITUACION]",
"[Base].[SITUACION].&amp;[" &amp; $C14 &amp; "]"
),0)/1000</f>
        <v>906526.45905369997</v>
      </c>
      <c r="AB14" s="8">
        <f>IFERROR(
GETPIVOTDATA(
"[Base].[Importe]",
TDinamica_R!$A$5,
"[Calendario].[AñoMes]",
"[Calendario].[AñoMes].&amp;[" &amp; TEXT(AB$6,"yyyymm") &amp; "]",
"[Base].[Metrica]",
"[Base].[Metrica].&amp;[" &amp; $A14 &amp; "]",
"[Base].[SEGMENTO_DESCRIP]",
"[Base].[SEGMENTO_DESCRIP].&amp;[" &amp; $C$6 &amp; "]",
"[Base].[SITUACION]",
"[Base].[SITUACION].&amp;[" &amp; $C14 &amp; "]"
),0)/1000</f>
        <v>911746.99074719998</v>
      </c>
      <c r="AC14" s="8">
        <f>IFERROR(
GETPIVOTDATA(
"[Base].[Importe]",
TDinamica_R!$A$5,
"[Calendario].[AñoMes]",
"[Calendario].[AñoMes].&amp;[" &amp; TEXT(AC$6,"yyyymm") &amp; "]",
"[Base].[Metrica]",
"[Base].[Metrica].&amp;[" &amp; $A14 &amp; "]",
"[Base].[SEGMENTO_DESCRIP]",
"[Base].[SEGMENTO_DESCRIP].&amp;[" &amp; $C$6 &amp; "]",
"[Base].[SITUACION]",
"[Base].[SITUACION].&amp;[" &amp; $C14 &amp; "]"
),0)/1000</f>
        <v>928636.39421400009</v>
      </c>
      <c r="AD14" s="8">
        <f>IFERROR(
GETPIVOTDATA(
"[Base].[Importe]",
TDinamica_R!$A$5,
"[Calendario].[AñoMes]",
"[Calendario].[AñoMes].&amp;[" &amp; TEXT(AD$6,"yyyymm") &amp; "]",
"[Base].[Metrica]",
"[Base].[Metrica].&amp;[" &amp; $A14 &amp; "]",
"[Base].[SEGMENTO_DESCRIP]",
"[Base].[SEGMENTO_DESCRIP].&amp;[" &amp; $C$6 &amp; "]",
"[Base].[SITUACION]",
"[Base].[SITUACION].&amp;[" &amp; $C14 &amp; "]"
),0)/1000</f>
        <v>952989.85941969999</v>
      </c>
      <c r="AE14" s="8">
        <f>IFERROR(
GETPIVOTDATA(
"[Base].[Importe]",
TDinamica_R!$A$5,
"[Calendario].[AñoMes]",
"[Calendario].[AñoMes].&amp;[" &amp; TEXT(AE$6,"yyyymm") &amp; "]",
"[Base].[Metrica]",
"[Base].[Metrica].&amp;[" &amp; $A14 &amp; "]",
"[Base].[SEGMENTO_DESCRIP]",
"[Base].[SEGMENTO_DESCRIP].&amp;[" &amp; $C$6 &amp; "]",
"[Base].[SITUACION]",
"[Base].[SITUACION].&amp;[" &amp; $C14 &amp; "]"
),0)/1000</f>
        <v>972911.38979839999</v>
      </c>
      <c r="AF14" s="8">
        <f>IFERROR(
GETPIVOTDATA(
"[Base].[Importe]",
TDinamica_R!$A$5,
"[Calendario].[AñoMes]",
"[Calendario].[AñoMes].&amp;[" &amp; TEXT(AF$6,"yyyymm") &amp; "]",
"[Base].[Metrica]",
"[Base].[Metrica].&amp;[" &amp; $A14 &amp; "]",
"[Base].[SEGMENTO_DESCRIP]",
"[Base].[SEGMENTO_DESCRIP].&amp;[" &amp; $C$6 &amp; "]",
"[Base].[SITUACION]",
"[Base].[SITUACION].&amp;[" &amp; $C14 &amp; "]"
),0)/1000</f>
        <v>994209.43579400016</v>
      </c>
      <c r="AG14" s="8">
        <f>IFERROR(
GETPIVOTDATA(
"[Base].[Importe]",
TDinamica_R!$A$5,
"[Calendario].[AñoMes]",
"[Calendario].[AñoMes].&amp;[" &amp; TEXT(AG$6,"yyyymm") &amp; "]",
"[Base].[Metrica]",
"[Base].[Metrica].&amp;[" &amp; $A14 &amp; "]",
"[Base].[SEGMENTO_DESCRIP]",
"[Base].[SEGMENTO_DESCRIP].&amp;[" &amp; $C$6 &amp; "]",
"[Base].[SITUACION]",
"[Base].[SITUACION].&amp;[" &amp; $C14 &amp; "]"
),0)/1000</f>
        <v>1013336.7860666</v>
      </c>
      <c r="AH14" s="8">
        <f>IFERROR(
GETPIVOTDATA(
"[Base].[Importe]",
TDinamica_R!$A$5,
"[Calendario].[AñoMes]",
"[Calendario].[AñoMes].&amp;[" &amp; TEXT(AH$6,"yyyymm") &amp; "]",
"[Base].[Metrica]",
"[Base].[Metrica].&amp;[" &amp; $A14 &amp; "]",
"[Base].[SEGMENTO_DESCRIP]",
"[Base].[SEGMENTO_DESCRIP].&amp;[" &amp; $C$6 &amp; "]",
"[Base].[SITUACION]",
"[Base].[SITUACION].&amp;[" &amp; $C14 &amp; "]"
),0)/1000</f>
        <v>1023260.0865803</v>
      </c>
      <c r="AI14" s="8">
        <f>IFERROR(
GETPIVOTDATA(
"[Base].[Importe]",
TDinamica_R!$A$5,
"[Calendario].[AñoMes]",
"[Calendario].[AñoMes].&amp;[" &amp; TEXT(AI$6,"yyyymm") &amp; "]",
"[Base].[Metrica]",
"[Base].[Metrica].&amp;[" &amp; $A14 &amp; "]",
"[Base].[SEGMENTO_DESCRIP]",
"[Base].[SEGMENTO_DESCRIP].&amp;[" &amp; $C$6 &amp; "]",
"[Base].[SITUACION]",
"[Base].[SITUACION].&amp;[" &amp; $C14 &amp; "]"
),0)/1000</f>
        <v>1041141.4112174001</v>
      </c>
      <c r="AJ14" s="8">
        <f>IFERROR(
GETPIVOTDATA(
"[Base].[Importe]",
TDinamica_R!$A$5,
"[Calendario].[AñoMes]",
"[Calendario].[AñoMes].&amp;[" &amp; TEXT(AJ$6,"yyyymm") &amp; "]",
"[Base].[Metrica]",
"[Base].[Metrica].&amp;[" &amp; $A14 &amp; "]",
"[Base].[SEGMENTO_DESCRIP]",
"[Base].[SEGMENTO_DESCRIP].&amp;[" &amp; $C$6 &amp; "]",
"[Base].[SITUACION]",
"[Base].[SITUACION].&amp;[" &amp; $C14 &amp; "]"
),0)/1000</f>
        <v>1072653.1216473</v>
      </c>
      <c r="AK14" s="8">
        <f>IFERROR(
GETPIVOTDATA(
"[Base].[Importe]",
TDinamica_R!$A$5,
"[Calendario].[AñoMes]",
"[Calendario].[AñoMes].&amp;[" &amp; TEXT(AK$6,"yyyymm") &amp; "]",
"[Base].[Metrica]",
"[Base].[Metrica].&amp;[" &amp; $A14 &amp; "]",
"[Base].[SEGMENTO_DESCRIP]",
"[Base].[SEGMENTO_DESCRIP].&amp;[" &amp; $C$6 &amp; "]",
"[Base].[SITUACION]",
"[Base].[SITUACION].&amp;[" &amp; $C14 &amp; "]"
),0)/1000</f>
        <v>1120960.4120239001</v>
      </c>
      <c r="AL14" s="8">
        <f>IFERROR(
GETPIVOTDATA(
"[Base].[Importe]",
TDinamica_R!$A$5,
"[Calendario].[AñoMes]",
"[Calendario].[AñoMes].&amp;[" &amp; TEXT(AL$6,"yyyymm") &amp; "]",
"[Base].[Metrica]",
"[Base].[Metrica].&amp;[" &amp; $A14 &amp; "]",
"[Base].[SEGMENTO_DESCRIP]",
"[Base].[SEGMENTO_DESCRIP].&amp;[" &amp; $C$6 &amp; "]",
"[Base].[SITUACION]",
"[Base].[SITUACION].&amp;[" &amp; $C14 &amp; "]"
),0)/1000</f>
        <v>1163832.0626330001</v>
      </c>
      <c r="AM14" s="8">
        <f>IFERROR(
GETPIVOTDATA(
"[Base].[Importe]",
TDinamica_R!$A$5,
"[Calendario].[AñoMes]",
"[Calendario].[AñoMes].&amp;[" &amp; TEXT(AM$6,"yyyymm") &amp; "]",
"[Base].[Metrica]",
"[Base].[Metrica].&amp;[" &amp; $A14 &amp; "]",
"[Base].[SEGMENTO_DESCRIP]",
"[Base].[SEGMENTO_DESCRIP].&amp;[" &amp; $C$6 &amp; "]",
"[Base].[SITUACION]",
"[Base].[SITUACION].&amp;[" &amp; $C14 &amp; "]"
),0)/1000</f>
        <v>1188388.9898202</v>
      </c>
      <c r="AN14" s="8">
        <f>IFERROR(
GETPIVOTDATA(
"[Base].[Importe]",
TDinamica_R!$A$5,
"[Calendario].[AñoMes]",
"[Calendario].[AñoMes].&amp;[" &amp; TEXT(AN$6,"yyyymm") &amp; "]",
"[Base].[Metrica]",
"[Base].[Metrica].&amp;[" &amp; $A14 &amp; "]",
"[Base].[SEGMENTO_DESCRIP]",
"[Base].[SEGMENTO_DESCRIP].&amp;[" &amp; $C$6 &amp; "]",
"[Base].[SITUACION]",
"[Base].[SITUACION].&amp;[" &amp; $C14 &amp; "]"
),0)/1000</f>
        <v>1195622.68</v>
      </c>
      <c r="AO14" s="8">
        <f>IFERROR(
GETPIVOTDATA(
"[Base].[Importe]",
TDinamica_R!$A$5,
"[Calendario].[AñoMes]",
"[Calendario].[AñoMes].&amp;[" &amp; TEXT(AO$6,"yyyymm") &amp; "]",
"[Base].[Metrica]",
"[Base].[Metrica].&amp;[" &amp; $A14 &amp; "]",
"[Base].[SEGMENTO_DESCRIP]",
"[Base].[SEGMENTO_DESCRIP].&amp;[" &amp; $C$6 &amp; "]",
"[Base].[SITUACION]",
"[Base].[SITUACION].&amp;[" &amp; $C14 &amp; "]"
),0)/1000</f>
        <v>1223169.3500000001</v>
      </c>
      <c r="AP14" s="8">
        <f>IFERROR(
GETPIVOTDATA(
"[Base].[Importe]",
TDinamica_R!$A$5,
"[Calendario].[AñoMes]",
"[Calendario].[AñoMes].&amp;[" &amp; TEXT(AP$6,"yyyymm") &amp; "]",
"[Base].[Metrica]",
"[Base].[Metrica].&amp;[" &amp; $A14 &amp; "]",
"[Base].[SEGMENTO_DESCRIP]",
"[Base].[SEGMENTO_DESCRIP].&amp;[" &amp; $C$6 &amp; "]",
"[Base].[SITUACION]",
"[Base].[SITUACION].&amp;[" &amp; $C14 &amp; "]"
),0)/1000</f>
        <v>1266333.58</v>
      </c>
      <c r="AQ14" s="8">
        <f>IFERROR(
GETPIVOTDATA(
"[Base].[Importe]",
TDinamica_R!$A$5,
"[Calendario].[AñoMes]",
"[Calendario].[AñoMes].&amp;[" &amp; TEXT(AQ$6,"yyyymm") &amp; "]",
"[Base].[Metrica]",
"[Base].[Metrica].&amp;[" &amp; $A14 &amp; "]",
"[Base].[SEGMENTO_DESCRIP]",
"[Base].[SEGMENTO_DESCRIP].&amp;[" &amp; $C$6 &amp; "]",
"[Base].[SITUACION]",
"[Base].[SITUACION].&amp;[" &amp; $C14 &amp; "]"
),0)/1000</f>
        <v>1283202.3512269794</v>
      </c>
      <c r="AR14" s="8">
        <f>IFERROR(
GETPIVOTDATA(
"[Base].[Importe]",
TDinamica_R!$A$5,
"[Calendario].[AñoMes]",
"[Calendario].[AñoMes].&amp;[" &amp; TEXT(AR$6,"yyyymm") &amp; "]",
"[Base].[Metrica]",
"[Base].[Metrica].&amp;[" &amp; $A14 &amp; "]",
"[Base].[SEGMENTO_DESCRIP]",
"[Base].[SEGMENTO_DESCRIP].&amp;[" &amp; $C$6 &amp; "]",
"[Base].[SITUACION]",
"[Base].[SITUACION].&amp;[" &amp; $C14 &amp; "]"
),0)/1000</f>
        <v>1306208.5078526302</v>
      </c>
      <c r="AS14" s="8">
        <f>IFERROR(
GETPIVOTDATA(
"[Base].[Importe]",
TDinamica_R!$A$5,
"[Calendario].[AñoMes]",
"[Calendario].[AñoMes].&amp;[" &amp; TEXT(AS$6,"yyyymm") &amp; "]",
"[Base].[Metrica]",
"[Base].[Metrica].&amp;[" &amp; $A14 &amp; "]",
"[Base].[SEGMENTO_DESCRIP]",
"[Base].[SEGMENTO_DESCRIP].&amp;[" &amp; $C$6 &amp; "]",
"[Base].[SITUACION]",
"[Base].[SITUACION].&amp;[" &amp; $C14 &amp; "]"
),0)/1000</f>
        <v>1349717.3888920499</v>
      </c>
      <c r="AT14" s="8">
        <f>IFERROR(
GETPIVOTDATA(
"[Base].[Importe]",
TDinamica_R!$A$5,
"[Calendario].[AñoMes]",
"[Calendario].[AñoMes].&amp;[" &amp; TEXT(AT$6,"yyyymm")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U14" s="8">
        <f>IFERROR(
GETPIVOTDATA(
"[Base].[Importe]",
TDinamica_R!$A$5,
"[Calendario].[AñoMes]",
"[Calendario].[AñoMes].&amp;[" &amp; TEXT(AU$6,"yyyymm")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V14" s="8">
        <f>IFERROR(
GETPIVOTDATA(
"[Base].[Importe]",
TDinamica_R!$A$5,
"[Calendario].[AñoMes]",
"[Calendario].[AñoMes].&amp;[" &amp; TEXT(AV$6,"yyyymm")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W14" s="8">
        <f>IFERROR(
GETPIVOTDATA(
"[Base].[Importe]",
TDinamica_R!$A$5,
"[Calendario].[AñoMes]",
"[Calendario].[AñoMes].&amp;[" &amp; TEXT(AW$6,"yyyymm")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X14" s="8">
        <f>IFERROR(
GETPIVOTDATA(
"[Base].[Importe]",
TDinamica_R!$A$5,
"[Calendario].[AñoMes]",
"[Calendario].[AñoMes].&amp;[" &amp; TEXT(AX$6,"yyyymm")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Y14" s="8">
        <f>IFERROR(
GETPIVOTDATA(
"[Base].[Importe]",
TDinamica_R!$A$5,
"[Calendario].[AñoMes]",
"[Calendario].[AñoMes].&amp;[" &amp; TEXT(AY$6,"yyyymm")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Z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TEXT(AZ$6,"yyyymm") &amp; "]"
),
0
)</f>
        <v>1204154.4029426395</v>
      </c>
      <c r="BA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TEXT(BA$6,"yyyymm") &amp; "]"
),
0
)</f>
        <v>1221078.8061134589</v>
      </c>
      <c r="BB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TEXT(BB$6,"yyyymm") &amp; "]"
),
0
)</f>
        <v>1243697.6382729581</v>
      </c>
      <c r="BC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TEXT(BC$6,"yyyymm") &amp; "]"
),
0
)</f>
        <v>1275394.0584564798</v>
      </c>
      <c r="BD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TEXT(BD$6,"yyyymm") &amp; "]"
),
0
)</f>
        <v>1312292.9459027397</v>
      </c>
      <c r="BE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TEXT(BE$6,"yyyymm") &amp; "]"
),
0
)</f>
        <v>1344869.0109404037</v>
      </c>
      <c r="BF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TEXT(BF$6,"yyyymm") &amp; "]"
),
0
)</f>
        <v>1365012.6537681154</v>
      </c>
      <c r="BG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TEXT(BG$6,"yyyymm") &amp; "]"
),
0
)</f>
        <v>1382285.2444138026</v>
      </c>
      <c r="BH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TEXT(BH$6,"yyyymm") &amp; "]"
),
0
)</f>
        <v>1407117.3909767244</v>
      </c>
      <c r="BI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TEXT(BI$6,"yyyymm") &amp; "]"
),
0
)</f>
        <v>1435204.4490151161</v>
      </c>
      <c r="BJ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TEXT(BJ$6,"yyyymm") &amp; "]"
),
0
)</f>
        <v>1456625.6068408843</v>
      </c>
      <c r="BK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TEXT(BK$6,"yyyymm") &amp; "]"
),
0
)</f>
        <v>1468215.5265062137</v>
      </c>
      <c r="BO14" s="24">
        <f t="shared" ref="BO14:BT16" si="11">IFERROR(AVERAGEIFS($D14:$BM14,$D$6:$BM$6,"&gt;="&amp;BO$2,$D$6:$BM$6,"&lt;="&amp;BO$6,$D$5:$BM$5,BO$5,$D14:$BM14,"&lt;&gt;0"),0)</f>
        <v>1228375.2033333334</v>
      </c>
      <c r="BP14" s="24">
        <f t="shared" si="11"/>
        <v>1222976.9491096856</v>
      </c>
      <c r="BQ14" s="24">
        <f t="shared" si="11"/>
        <v>1209396.0150000001</v>
      </c>
      <c r="BR14" s="24">
        <f t="shared" si="11"/>
        <v>931124.41479363327</v>
      </c>
      <c r="BS14" s="24">
        <f t="shared" si="11"/>
        <v>962387.17452623323</v>
      </c>
      <c r="BT14" s="24">
        <f t="shared" si="11"/>
        <v>793217.37429339997</v>
      </c>
      <c r="BW14" s="24">
        <f t="shared" ref="BW14:CB16" si="12">SUMIFS($D14:$BM14,$D$6:$BM$6,"&gt;="&amp;BO$2,$D$6:$BM$6,"&lt;="&amp;BO$6,$D$5:$BM$5,BO$5)</f>
        <v>3685125.6100000003</v>
      </c>
      <c r="BX14" s="24">
        <f t="shared" si="12"/>
        <v>3668930.8473290568</v>
      </c>
      <c r="BY14" s="24">
        <f t="shared" si="12"/>
        <v>2418792.0300000003</v>
      </c>
      <c r="BZ14" s="24">
        <f t="shared" si="12"/>
        <v>2793373.2443808997</v>
      </c>
      <c r="CA14" s="24">
        <f t="shared" si="12"/>
        <v>2887161.5235786997</v>
      </c>
      <c r="CB14" s="24">
        <f t="shared" si="12"/>
        <v>2379652.1228801999</v>
      </c>
    </row>
    <row r="15" spans="1:81" hidden="1" outlineLevel="1" x14ac:dyDescent="0.25">
      <c r="A15" s="11" t="s">
        <v>52</v>
      </c>
      <c r="C15" s="2" t="s">
        <v>1</v>
      </c>
      <c r="D15" s="8">
        <f>IFERROR(
GETPIVOTDATA(
"[Base].[Importe]",
TDinamica_R!$A$5,
"[Calendario].[AñoMes]",
"[Calendario].[AñoMes].&amp;[" &amp; TEXT(D$6,"yyyymm") &amp; "]",
"[Base].[Metrica]",
"[Base].[Metrica].&amp;[" &amp; $A15 &amp; "]",
"[Base].[SEGMENTO_DESCRIP]",
"[Base].[SEGMENTO_DESCRIP].&amp;[" &amp; $C$6 &amp; "]",
"[Base].[SITUACION]",
"[Base].[SITUACION].&amp;[" &amp; $C15 &amp; "]"
),0)/1000</f>
        <v>342.09823</v>
      </c>
      <c r="E15" s="8">
        <f>IFERROR(
GETPIVOTDATA(
"[Base].[Importe]",
TDinamica_R!$A$5,
"[Calendario].[AñoMes]",
"[Calendario].[AñoMes].&amp;[" &amp; TEXT(E$6,"yyyymm") &amp; "]",
"[Base].[Metrica]",
"[Base].[Metrica].&amp;[" &amp; $A15 &amp; "]",
"[Base].[SEGMENTO_DESCRIP]",
"[Base].[SEGMENTO_DESCRIP].&amp;[" &amp; $C$6 &amp; "]",
"[Base].[SITUACION]",
"[Base].[SITUACION].&amp;[" &amp; $C15 &amp; "]"
),0)/1000</f>
        <v>344.29190999999997</v>
      </c>
      <c r="F15" s="8">
        <f>IFERROR(
GETPIVOTDATA(
"[Base].[Importe]",
TDinamica_R!$A$5,
"[Calendario].[AñoMes]",
"[Calendario].[AñoMes].&amp;[" &amp; TEXT(F$6,"yyyymm") &amp; "]",
"[Base].[Metrica]",
"[Base].[Metrica].&amp;[" &amp; $A15 &amp; "]",
"[Base].[SEGMENTO_DESCRIP]",
"[Base].[SEGMENTO_DESCRIP].&amp;[" &amp; $C$6 &amp; "]",
"[Base].[SITUACION]",
"[Base].[SITUACION].&amp;[" &amp; $C15 &amp; "]"
),0)/1000</f>
        <v>329.78654</v>
      </c>
      <c r="G15" s="8">
        <f>IFERROR(
GETPIVOTDATA(
"[Base].[Importe]",
TDinamica_R!$A$5,
"[Calendario].[AñoMes]",
"[Calendario].[AñoMes].&amp;[" &amp; TEXT(G$6,"yyyymm") &amp; "]",
"[Base].[Metrica]",
"[Base].[Metrica].&amp;[" &amp; $A15 &amp; "]",
"[Base].[SEGMENTO_DESCRIP]",
"[Base].[SEGMENTO_DESCRIP].&amp;[" &amp; $C$6 &amp; "]",
"[Base].[SITUACION]",
"[Base].[SITUACION].&amp;[" &amp; $C15 &amp; "]"
),0)/1000</f>
        <v>319.02746000000002</v>
      </c>
      <c r="H15" s="8">
        <f>IFERROR(
GETPIVOTDATA(
"[Base].[Importe]",
TDinamica_R!$A$5,
"[Calendario].[AñoMes]",
"[Calendario].[AñoMes].&amp;[" &amp; TEXT(H$6,"yyyymm") &amp; "]",
"[Base].[Metrica]",
"[Base].[Metrica].&amp;[" &amp; $A15 &amp; "]",
"[Base].[SEGMENTO_DESCRIP]",
"[Base].[SEGMENTO_DESCRIP].&amp;[" &amp; $C$6 &amp; "]",
"[Base].[SITUACION]",
"[Base].[SITUACION].&amp;[" &amp; $C15 &amp; "]"
),0)/1000</f>
        <v>274.83211</v>
      </c>
      <c r="I15" s="8">
        <f>IFERROR(
GETPIVOTDATA(
"[Base].[Importe]",
TDinamica_R!$A$5,
"[Calendario].[AñoMes]",
"[Calendario].[AñoMes].&amp;[" &amp; TEXT(I$6,"yyyymm") &amp; "]",
"[Base].[Metrica]",
"[Base].[Metrica].&amp;[" &amp; $A15 &amp; "]",
"[Base].[SEGMENTO_DESCRIP]",
"[Base].[SEGMENTO_DESCRIP].&amp;[" &amp; $C$6 &amp; "]",
"[Base].[SITUACION]",
"[Base].[SITUACION].&amp;[" &amp; $C15 &amp; "]"
),0)/1000</f>
        <v>266.51242999999999</v>
      </c>
      <c r="J15" s="8">
        <f>IFERROR(
GETPIVOTDATA(
"[Base].[Importe]",
TDinamica_R!$A$5,
"[Calendario].[AñoMes]",
"[Calendario].[AñoMes].&amp;[" &amp; TEXT(J$6,"yyyymm") &amp; "]",
"[Base].[Metrica]",
"[Base].[Metrica].&amp;[" &amp; $A15 &amp; "]",
"[Base].[SEGMENTO_DESCRIP]",
"[Base].[SEGMENTO_DESCRIP].&amp;[" &amp; $C$6 &amp; "]",
"[Base].[SITUACION]",
"[Base].[SITUACION].&amp;[" &amp; $C15 &amp; "]"
),0)/1000</f>
        <v>217.09121999999999</v>
      </c>
      <c r="K15" s="8">
        <f>IFERROR(
GETPIVOTDATA(
"[Base].[Importe]",
TDinamica_R!$A$5,
"[Calendario].[AñoMes]",
"[Calendario].[AñoMes].&amp;[" &amp; TEXT(K$6,"yyyymm") &amp; "]",
"[Base].[Metrica]",
"[Base].[Metrica].&amp;[" &amp; $A15 &amp; "]",
"[Base].[SEGMENTO_DESCRIP]",
"[Base].[SEGMENTO_DESCRIP].&amp;[" &amp; $C$6 &amp; "]",
"[Base].[SITUACION]",
"[Base].[SITUACION].&amp;[" &amp; $C15 &amp; "]"
),0)/1000</f>
        <v>208.59236999999999</v>
      </c>
      <c r="L15" s="8">
        <f>IFERROR(
GETPIVOTDATA(
"[Base].[Importe]",
TDinamica_R!$A$5,
"[Calendario].[AñoMes]",
"[Calendario].[AñoMes].&amp;[" &amp; TEXT(L$6,"yyyymm") &amp; "]",
"[Base].[Metrica]",
"[Base].[Metrica].&amp;[" &amp; $A15 &amp; "]",
"[Base].[SEGMENTO_DESCRIP]",
"[Base].[SEGMENTO_DESCRIP].&amp;[" &amp; $C$6 &amp; "]",
"[Base].[SITUACION]",
"[Base].[SITUACION].&amp;[" &amp; $C15 &amp; "]"
),0)/1000</f>
        <v>314.02590999999995</v>
      </c>
      <c r="M15" s="8">
        <f>IFERROR(
GETPIVOTDATA(
"[Base].[Importe]",
TDinamica_R!$A$5,
"[Calendario].[AñoMes]",
"[Calendario].[AñoMes].&amp;[" &amp; TEXT(M$6,"yyyymm") &amp; "]",
"[Base].[Metrica]",
"[Base].[Metrica].&amp;[" &amp; $A15 &amp; "]",
"[Base].[SEGMENTO_DESCRIP]",
"[Base].[SEGMENTO_DESCRIP].&amp;[" &amp; $C$6 &amp; "]",
"[Base].[SITUACION]",
"[Base].[SITUACION].&amp;[" &amp; $C15 &amp; "]"
),0)/1000</f>
        <v>399.41725000000002</v>
      </c>
      <c r="N15" s="8">
        <f>IFERROR(
GETPIVOTDATA(
"[Base].[Importe]",
TDinamica_R!$A$5,
"[Calendario].[AñoMes]",
"[Calendario].[AñoMes].&amp;[" &amp; TEXT(N$6,"yyyymm") &amp; "]",
"[Base].[Metrica]",
"[Base].[Metrica].&amp;[" &amp; $A15 &amp; "]",
"[Base].[SEGMENTO_DESCRIP]",
"[Base].[SEGMENTO_DESCRIP].&amp;[" &amp; $C$6 &amp; "]",
"[Base].[SITUACION]",
"[Base].[SITUACION].&amp;[" &amp; $C15 &amp; "]"
),0)/1000</f>
        <v>392.38380999999998</v>
      </c>
      <c r="O15" s="8">
        <f>IFERROR(
GETPIVOTDATA(
"[Base].[Importe]",
TDinamica_R!$A$5,
"[Calendario].[AñoMes]",
"[Calendario].[AñoMes].&amp;[" &amp; TEXT(O$6,"yyyymm") &amp; "]",
"[Base].[Metrica]",
"[Base].[Metrica].&amp;[" &amp; $A15 &amp; "]",
"[Base].[SEGMENTO_DESCRIP]",
"[Base].[SEGMENTO_DESCRIP].&amp;[" &amp; $C$6 &amp; "]",
"[Base].[SITUACION]",
"[Base].[SITUACION].&amp;[" &amp; $C15 &amp; "]"
),0)/1000</f>
        <v>385.53863000000001</v>
      </c>
      <c r="P15" s="8">
        <f>IFERROR(
GETPIVOTDATA(
"[Base].[Importe]",
TDinamica_R!$A$5,
"[Calendario].[AñoMes]",
"[Calendario].[AñoMes].&amp;[" &amp; TEXT(P$6,"yyyymm") &amp; "]",
"[Base].[Metrica]",
"[Base].[Metrica].&amp;[" &amp; $A15 &amp; "]",
"[Base].[SEGMENTO_DESCRIP]",
"[Base].[SEGMENTO_DESCRIP].&amp;[" &amp; $C$6 &amp; "]",
"[Base].[SITUACION]",
"[Base].[SITUACION].&amp;[" &amp; $C15 &amp; "]"
),0)/1000</f>
        <v>385.69832000000002</v>
      </c>
      <c r="Q15" s="8">
        <f>IFERROR(
GETPIVOTDATA(
"[Base].[Importe]",
TDinamica_R!$A$5,
"[Calendario].[AñoMes]",
"[Calendario].[AñoMes].&amp;[" &amp; TEXT(Q$6,"yyyymm") &amp; "]",
"[Base].[Metrica]",
"[Base].[Metrica].&amp;[" &amp; $A15 &amp; "]",
"[Base].[SEGMENTO_DESCRIP]",
"[Base].[SEGMENTO_DESCRIP].&amp;[" &amp; $C$6 &amp; "]",
"[Base].[SITUACION]",
"[Base].[SITUACION].&amp;[" &amp; $C15 &amp; "]"
),0)/1000</f>
        <v>451.76244000000003</v>
      </c>
      <c r="R15" s="8">
        <f>IFERROR(
GETPIVOTDATA(
"[Base].[Importe]",
TDinamica_R!$A$5,
"[Calendario].[AñoMes]",
"[Calendario].[AñoMes].&amp;[" &amp; TEXT(R$6,"yyyymm") &amp; "]",
"[Base].[Metrica]",
"[Base].[Metrica].&amp;[" &amp; $A15 &amp; "]",
"[Base].[SEGMENTO_DESCRIP]",
"[Base].[SEGMENTO_DESCRIP].&amp;[" &amp; $C$6 &amp; "]",
"[Base].[SITUACION]",
"[Base].[SITUACION].&amp;[" &amp; $C15 &amp; "]"
),0)/1000</f>
        <v>347.39409000000001</v>
      </c>
      <c r="S15" s="8">
        <f>IFERROR(
GETPIVOTDATA(
"[Base].[Importe]",
TDinamica_R!$A$5,
"[Calendario].[AñoMes]",
"[Calendario].[AñoMes].&amp;[" &amp; TEXT(S$6,"yyyymm") &amp; "]",
"[Base].[Metrica]",
"[Base].[Metrica].&amp;[" &amp; $A15 &amp; "]",
"[Base].[SEGMENTO_DESCRIP]",
"[Base].[SEGMENTO_DESCRIP].&amp;[" &amp; $C$6 &amp; "]",
"[Base].[SITUACION]",
"[Base].[SITUACION].&amp;[" &amp; $C15 &amp; "]"
),0)/1000</f>
        <v>584.13172999999995</v>
      </c>
      <c r="T15" s="8">
        <f>IFERROR(
GETPIVOTDATA(
"[Base].[Importe]",
TDinamica_R!$A$5,
"[Calendario].[AñoMes]",
"[Calendario].[AñoMes].&amp;[" &amp; TEXT(T$6,"yyyymm") &amp; "]",
"[Base].[Metrica]",
"[Base].[Metrica].&amp;[" &amp; $A15 &amp; "]",
"[Base].[SEGMENTO_DESCRIP]",
"[Base].[SEGMENTO_DESCRIP].&amp;[" &amp; $C$6 &amp; "]",
"[Base].[SITUACION]",
"[Base].[SITUACION].&amp;[" &amp; $C15 &amp; "]"
),0)/1000</f>
        <v>918.55441000000008</v>
      </c>
      <c r="U15" s="8">
        <f>IFERROR(
GETPIVOTDATA(
"[Base].[Importe]",
TDinamica_R!$A$5,
"[Calendario].[AñoMes]",
"[Calendario].[AñoMes].&amp;[" &amp; TEXT(U$6,"yyyymm") &amp; "]",
"[Base].[Metrica]",
"[Base].[Metrica].&amp;[" &amp; $A15 &amp; "]",
"[Base].[SEGMENTO_DESCRIP]",
"[Base].[SEGMENTO_DESCRIP].&amp;[" &amp; $C$6 &amp; "]",
"[Base].[SITUACION]",
"[Base].[SITUACION].&amp;[" &amp; $C15 &amp; "]"
),0)/1000</f>
        <v>1434.93399</v>
      </c>
      <c r="V15" s="8">
        <f>IFERROR(
GETPIVOTDATA(
"[Base].[Importe]",
TDinamica_R!$A$5,
"[Calendario].[AñoMes]",
"[Calendario].[AñoMes].&amp;[" &amp; TEXT(V$6,"yyyymm") &amp; "]",
"[Base].[Metrica]",
"[Base].[Metrica].&amp;[" &amp; $A15 &amp; "]",
"[Base].[SEGMENTO_DESCRIP]",
"[Base].[SEGMENTO_DESCRIP].&amp;[" &amp; $C$6 &amp; "]",
"[Base].[SITUACION]",
"[Base].[SITUACION].&amp;[" &amp; $C15 &amp; "]"
),0)/1000</f>
        <v>1800.3746599999999</v>
      </c>
      <c r="W15" s="8">
        <f>IFERROR(
GETPIVOTDATA(
"[Base].[Importe]",
TDinamica_R!$A$5,
"[Calendario].[AñoMes]",
"[Calendario].[AñoMes].&amp;[" &amp; TEXT(W$6,"yyyymm") &amp; "]",
"[Base].[Metrica]",
"[Base].[Metrica].&amp;[" &amp; $A15 &amp; "]",
"[Base].[SEGMENTO_DESCRIP]",
"[Base].[SEGMENTO_DESCRIP].&amp;[" &amp; $C$6 &amp; "]",
"[Base].[SITUACION]",
"[Base].[SITUACION].&amp;[" &amp; $C15 &amp; "]"
),0)/1000</f>
        <v>2001.8092799999999</v>
      </c>
      <c r="X15" s="8">
        <f>IFERROR(
GETPIVOTDATA(
"[Base].[Importe]",
TDinamica_R!$A$5,
"[Calendario].[AñoMes]",
"[Calendario].[AñoMes].&amp;[" &amp; TEXT(X$6,"yyyymm") &amp; "]",
"[Base].[Metrica]",
"[Base].[Metrica].&amp;[" &amp; $A15 &amp; "]",
"[Base].[SEGMENTO_DESCRIP]",
"[Base].[SEGMENTO_DESCRIP].&amp;[" &amp; $C$6 &amp; "]",
"[Base].[SITUACION]",
"[Base].[SITUACION].&amp;[" &amp; $C15 &amp; "]"
),0)/1000</f>
        <v>2494.0853299999999</v>
      </c>
      <c r="Y15" s="8">
        <f>IFERROR(
GETPIVOTDATA(
"[Base].[Importe]",
TDinamica_R!$A$5,
"[Calendario].[AñoMes]",
"[Calendario].[AñoMes].&amp;[" &amp; TEXT(Y$6,"yyyymm") &amp; "]",
"[Base].[Metrica]",
"[Base].[Metrica].&amp;[" &amp; $A15 &amp; "]",
"[Base].[SEGMENTO_DESCRIP]",
"[Base].[SEGMENTO_DESCRIP].&amp;[" &amp; $C$6 &amp; "]",
"[Base].[SITUACION]",
"[Base].[SITUACION].&amp;[" &amp; $C15 &amp; "]"
),0)/1000</f>
        <v>2468.7630399999998</v>
      </c>
      <c r="Z15" s="8">
        <f>IFERROR(
GETPIVOTDATA(
"[Base].[Importe]",
TDinamica_R!$A$5,
"[Calendario].[AñoMes]",
"[Calendario].[AñoMes].&amp;[" &amp; TEXT(Z$6,"yyyymm") &amp; "]",
"[Base].[Metrica]",
"[Base].[Metrica].&amp;[" &amp; $A15 &amp; "]",
"[Base].[SEGMENTO_DESCRIP]",
"[Base].[SEGMENTO_DESCRIP].&amp;[" &amp; $C$6 &amp; "]",
"[Base].[SITUACION]",
"[Base].[SITUACION].&amp;[" &amp; $C15 &amp; "]"
),0)/1000</f>
        <v>2488.9555</v>
      </c>
      <c r="AA15" s="8">
        <f>IFERROR(
GETPIVOTDATA(
"[Base].[Importe]",
TDinamica_R!$A$5,
"[Calendario].[AñoMes]",
"[Calendario].[AñoMes].&amp;[" &amp; TEXT(AA$6,"yyyymm") &amp; "]",
"[Base].[Metrica]",
"[Base].[Metrica].&amp;[" &amp; $A15 &amp; "]",
"[Base].[SEGMENTO_DESCRIP]",
"[Base].[SEGMENTO_DESCRIP].&amp;[" &amp; $C$6 &amp; "]",
"[Base].[SITUACION]",
"[Base].[SITUACION].&amp;[" &amp; $C15 &amp; "]"
),0)/1000</f>
        <v>2239.4584799999998</v>
      </c>
      <c r="AB15" s="8">
        <f>IFERROR(
GETPIVOTDATA(
"[Base].[Importe]",
TDinamica_R!$A$5,
"[Calendario].[AñoMes]",
"[Calendario].[AñoMes].&amp;[" &amp; TEXT(AB$6,"yyyymm") &amp; "]",
"[Base].[Metrica]",
"[Base].[Metrica].&amp;[" &amp; $A15 &amp; "]",
"[Base].[SEGMENTO_DESCRIP]",
"[Base].[SEGMENTO_DESCRIP].&amp;[" &amp; $C$6 &amp; "]",
"[Base].[SITUACION]",
"[Base].[SITUACION].&amp;[" &amp; $C15 &amp; "]"
),0)/1000</f>
        <v>2242.4906700000001</v>
      </c>
      <c r="AC15" s="8">
        <f>IFERROR(
GETPIVOTDATA(
"[Base].[Importe]",
TDinamica_R!$A$5,
"[Calendario].[AñoMes]",
"[Calendario].[AñoMes].&amp;[" &amp; TEXT(AC$6,"yyyymm") &amp; "]",
"[Base].[Metrica]",
"[Base].[Metrica].&amp;[" &amp; $A15 &amp; "]",
"[Base].[SEGMENTO_DESCRIP]",
"[Base].[SEGMENTO_DESCRIP].&amp;[" &amp; $C$6 &amp; "]",
"[Base].[SITUACION]",
"[Base].[SITUACION].&amp;[" &amp; $C15 &amp; "]"
),0)/1000</f>
        <v>2361.18496</v>
      </c>
      <c r="AD15" s="8">
        <f>IFERROR(
GETPIVOTDATA(
"[Base].[Importe]",
TDinamica_R!$A$5,
"[Calendario].[AñoMes]",
"[Calendario].[AñoMes].&amp;[" &amp; TEXT(AD$6,"yyyymm") &amp; "]",
"[Base].[Metrica]",
"[Base].[Metrica].&amp;[" &amp; $A15 &amp; "]",
"[Base].[SEGMENTO_DESCRIP]",
"[Base].[SEGMENTO_DESCRIP].&amp;[" &amp; $C$6 &amp; "]",
"[Base].[SITUACION]",
"[Base].[SITUACION].&amp;[" &amp; $C15 &amp; "]"
),0)/1000</f>
        <v>2346.5533500000001</v>
      </c>
      <c r="AE15" s="8">
        <f>IFERROR(
GETPIVOTDATA(
"[Base].[Importe]",
TDinamica_R!$A$5,
"[Calendario].[AñoMes]",
"[Calendario].[AñoMes].&amp;[" &amp; TEXT(AE$6,"yyyymm") &amp; "]",
"[Base].[Metrica]",
"[Base].[Metrica].&amp;[" &amp; $A15 &amp; "]",
"[Base].[SEGMENTO_DESCRIP]",
"[Base].[SEGMENTO_DESCRIP].&amp;[" &amp; $C$6 &amp; "]",
"[Base].[SITUACION]",
"[Base].[SITUACION].&amp;[" &amp; $C15 &amp; "]"
),0)/1000</f>
        <v>2313.94175</v>
      </c>
      <c r="AF15" s="8">
        <f>IFERROR(
GETPIVOTDATA(
"[Base].[Importe]",
TDinamica_R!$A$5,
"[Calendario].[AñoMes]",
"[Calendario].[AñoMes].&amp;[" &amp; TEXT(AF$6,"yyyymm") &amp; "]",
"[Base].[Metrica]",
"[Base].[Metrica].&amp;[" &amp; $A15 &amp; "]",
"[Base].[SEGMENTO_DESCRIP]",
"[Base].[SEGMENTO_DESCRIP].&amp;[" &amp; $C$6 &amp; "]",
"[Base].[SITUACION]",
"[Base].[SITUACION].&amp;[" &amp; $C15 &amp; "]"
),0)/1000</f>
        <v>2283.3210800000002</v>
      </c>
      <c r="AG15" s="8">
        <f>IFERROR(
GETPIVOTDATA(
"[Base].[Importe]",
TDinamica_R!$A$5,
"[Calendario].[AñoMes]",
"[Calendario].[AñoMes].&amp;[" &amp; TEXT(AG$6,"yyyymm") &amp; "]",
"[Base].[Metrica]",
"[Base].[Metrica].&amp;[" &amp; $A15 &amp; "]",
"[Base].[SEGMENTO_DESCRIP]",
"[Base].[SEGMENTO_DESCRIP].&amp;[" &amp; $C$6 &amp; "]",
"[Base].[SITUACION]",
"[Base].[SITUACION].&amp;[" &amp; $C15 &amp; "]"
),0)/1000</f>
        <v>2376.2645400000001</v>
      </c>
      <c r="AH15" s="8">
        <f>IFERROR(
GETPIVOTDATA(
"[Base].[Importe]",
TDinamica_R!$A$5,
"[Calendario].[AñoMes]",
"[Calendario].[AñoMes].&amp;[" &amp; TEXT(AH$6,"yyyymm") &amp; "]",
"[Base].[Metrica]",
"[Base].[Metrica].&amp;[" &amp; $A15 &amp; "]",
"[Base].[SEGMENTO_DESCRIP]",
"[Base].[SEGMENTO_DESCRIP].&amp;[" &amp; $C$6 &amp; "]",
"[Base].[SITUACION]",
"[Base].[SITUACION].&amp;[" &amp; $C15 &amp; "]"
),0)/1000</f>
        <v>2558.9977000000003</v>
      </c>
      <c r="AI15" s="8">
        <f>IFERROR(
GETPIVOTDATA(
"[Base].[Importe]",
TDinamica_R!$A$5,
"[Calendario].[AñoMes]",
"[Calendario].[AñoMes].&amp;[" &amp; TEXT(AI$6,"yyyymm") &amp; "]",
"[Base].[Metrica]",
"[Base].[Metrica].&amp;[" &amp; $A15 &amp; "]",
"[Base].[SEGMENTO_DESCRIP]",
"[Base].[SEGMENTO_DESCRIP].&amp;[" &amp; $C$6 &amp; "]",
"[Base].[SITUACION]",
"[Base].[SITUACION].&amp;[" &amp; $C15 &amp; "]"
),0)/1000</f>
        <v>2841.5475799999999</v>
      </c>
      <c r="AJ15" s="8">
        <f>IFERROR(
GETPIVOTDATA(
"[Base].[Importe]",
TDinamica_R!$A$5,
"[Calendario].[AñoMes]",
"[Calendario].[AñoMes].&amp;[" &amp; TEXT(AJ$6,"yyyymm") &amp; "]",
"[Base].[Metrica]",
"[Base].[Metrica].&amp;[" &amp; $A15 &amp; "]",
"[Base].[SEGMENTO_DESCRIP]",
"[Base].[SEGMENTO_DESCRIP].&amp;[" &amp; $C$6 &amp; "]",
"[Base].[SITUACION]",
"[Base].[SITUACION].&amp;[" &amp; $C15 &amp; "]"
),0)/1000</f>
        <v>3051.7256899999998</v>
      </c>
      <c r="AK15" s="8">
        <f>IFERROR(
GETPIVOTDATA(
"[Base].[Importe]",
TDinamica_R!$A$5,
"[Calendario].[AñoMes]",
"[Calendario].[AñoMes].&amp;[" &amp; TEXT(AK$6,"yyyymm") &amp; "]",
"[Base].[Metrica]",
"[Base].[Metrica].&amp;[" &amp; $A15 &amp; "]",
"[Base].[SEGMENTO_DESCRIP]",
"[Base].[SEGMENTO_DESCRIP].&amp;[" &amp; $C$6 &amp; "]",
"[Base].[SITUACION]",
"[Base].[SITUACION].&amp;[" &amp; $C15 &amp; "]"
),0)/1000</f>
        <v>3184.70496</v>
      </c>
      <c r="AL15" s="8">
        <f>IFERROR(
GETPIVOTDATA(
"[Base].[Importe]",
TDinamica_R!$A$5,
"[Calendario].[AñoMes]",
"[Calendario].[AñoMes].&amp;[" &amp; TEXT(AL$6,"yyyymm") &amp; "]",
"[Base].[Metrica]",
"[Base].[Metrica].&amp;[" &amp; $A15 &amp; "]",
"[Base].[SEGMENTO_DESCRIP]",
"[Base].[SEGMENTO_DESCRIP].&amp;[" &amp; $C$6 &amp; "]",
"[Base].[SITUACION]",
"[Base].[SITUACION].&amp;[" &amp; $C15 &amp; "]"
),0)/1000</f>
        <v>3244.2022299999999</v>
      </c>
      <c r="AM15" s="8">
        <f>IFERROR(
GETPIVOTDATA(
"[Base].[Importe]",
TDinamica_R!$A$5,
"[Calendario].[AñoMes]",
"[Calendario].[AñoMes].&amp;[" &amp; TEXT(AM$6,"yyyymm") &amp; "]",
"[Base].[Metrica]",
"[Base].[Metrica].&amp;[" &amp; $A15 &amp; "]",
"[Base].[SEGMENTO_DESCRIP]",
"[Base].[SEGMENTO_DESCRIP].&amp;[" &amp; $C$6 &amp; "]",
"[Base].[SITUACION]",
"[Base].[SITUACION].&amp;[" &amp; $C15 &amp; "]"
),0)/1000</f>
        <v>3032.9717599999999</v>
      </c>
      <c r="AN15" s="8">
        <f>IFERROR(
GETPIVOTDATA(
"[Base].[Importe]",
TDinamica_R!$A$5,
"[Calendario].[AñoMes]",
"[Calendario].[AñoMes].&amp;[" &amp; TEXT(AN$6,"yyyymm") &amp; "]",
"[Base].[Metrica]",
"[Base].[Metrica].&amp;[" &amp; $A15 &amp; "]",
"[Base].[SEGMENTO_DESCRIP]",
"[Base].[SEGMENTO_DESCRIP].&amp;[" &amp; $C$6 &amp; "]",
"[Base].[SITUACION]",
"[Base].[SITUACION].&amp;[" &amp; $C15 &amp; "]"
),0)/1000</f>
        <v>3077.29</v>
      </c>
      <c r="AO15" s="8">
        <f>IFERROR(
GETPIVOTDATA(
"[Base].[Importe]",
TDinamica_R!$A$5,
"[Calendario].[AñoMes]",
"[Calendario].[AñoMes].&amp;[" &amp; TEXT(AO$6,"yyyymm") &amp; "]",
"[Base].[Metrica]",
"[Base].[Metrica].&amp;[" &amp; $A15 &amp; "]",
"[Base].[SEGMENTO_DESCRIP]",
"[Base].[SEGMENTO_DESCRIP].&amp;[" &amp; $C$6 &amp; "]",
"[Base].[SITUACION]",
"[Base].[SITUACION].&amp;[" &amp; $C15 &amp; "]"
),0)/1000</f>
        <v>3064.26</v>
      </c>
      <c r="AP15" s="8">
        <f>IFERROR(
GETPIVOTDATA(
"[Base].[Importe]",
TDinamica_R!$A$5,
"[Calendario].[AñoMes]",
"[Calendario].[AñoMes].&amp;[" &amp; TEXT(AP$6,"yyyymm") &amp; "]",
"[Base].[Metrica]",
"[Base].[Metrica].&amp;[" &amp; $A15 &amp; "]",
"[Base].[SEGMENTO_DESCRIP]",
"[Base].[SEGMENTO_DESCRIP].&amp;[" &amp; $C$6 &amp; "]",
"[Base].[SITUACION]",
"[Base].[SITUACION].&amp;[" &amp; $C15 &amp; "]"
),0)/1000</f>
        <v>2948.29</v>
      </c>
      <c r="AQ15" s="8">
        <f>IFERROR(
GETPIVOTDATA(
"[Base].[Importe]",
TDinamica_R!$A$5,
"[Calendario].[AñoMes]",
"[Calendario].[AñoMes].&amp;[" &amp; TEXT(AQ$6,"yyyymm") &amp; "]",
"[Base].[Metrica]",
"[Base].[Metrica].&amp;[" &amp; $A15 &amp; "]",
"[Base].[SEGMENTO_DESCRIP]",
"[Base].[SEGMENTO_DESCRIP].&amp;[" &amp; $C$6 &amp; "]",
"[Base].[SITUACION]",
"[Base].[SITUACION].&amp;[" &amp; $C15 &amp; "]"
),0)/1000</f>
        <v>3062.4166699999987</v>
      </c>
      <c r="AR15" s="8">
        <f>IFERROR(
GETPIVOTDATA(
"[Base].[Importe]",
TDinamica_R!$A$5,
"[Calendario].[AñoMes]",
"[Calendario].[AñoMes].&amp;[" &amp; TEXT(AR$6,"yyyymm") &amp; "]",
"[Base].[Metrica]",
"[Base].[Metrica].&amp;[" &amp; $A15 &amp; "]",
"[Base].[SEGMENTO_DESCRIP]",
"[Base].[SEGMENTO_DESCRIP].&amp;[" &amp; $C$6 &amp; "]",
"[Base].[SITUACION]",
"[Base].[SITUACION].&amp;[" &amp; $C15 &amp; "]"
),0)/1000</f>
        <v>3259.1142799999998</v>
      </c>
      <c r="AS15" s="8">
        <f>IFERROR(
GETPIVOTDATA(
"[Base].[Importe]",
TDinamica_R!$A$5,
"[Calendario].[AñoMes]",
"[Calendario].[AñoMes].&amp;[" &amp; TEXT(AS$6,"yyyymm") &amp; "]",
"[Base].[Metrica]",
"[Base].[Metrica].&amp;[" &amp; $A15 &amp; "]",
"[Base].[SEGMENTO_DESCRIP]",
"[Base].[SEGMENTO_DESCRIP].&amp;[" &amp; $C$6 &amp; "]",
"[Base].[SITUACION]",
"[Base].[SITUACION].&amp;[" &amp; $C15 &amp; "]"
),0)/1000</f>
        <v>3306.9862599999988</v>
      </c>
      <c r="AT15" s="8">
        <f>IFERROR(
GETPIVOTDATA(
"[Base].[Importe]",
TDinamica_R!$A$5,
"[Calendario].[AñoMes]",
"[Calendario].[AñoMes].&amp;[" &amp; TEXT(AT$6,"yyyymm")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U15" s="8">
        <f>IFERROR(
GETPIVOTDATA(
"[Base].[Importe]",
TDinamica_R!$A$5,
"[Calendario].[AñoMes]",
"[Calendario].[AñoMes].&amp;[" &amp; TEXT(AU$6,"yyyymm")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V15" s="8">
        <f>IFERROR(
GETPIVOTDATA(
"[Base].[Importe]",
TDinamica_R!$A$5,
"[Calendario].[AñoMes]",
"[Calendario].[AñoMes].&amp;[" &amp; TEXT(AV$6,"yyyymm")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W15" s="8">
        <f>IFERROR(
GETPIVOTDATA(
"[Base].[Importe]",
TDinamica_R!$A$5,
"[Calendario].[AñoMes]",
"[Calendario].[AñoMes].&amp;[" &amp; TEXT(AW$6,"yyyymm")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X15" s="8">
        <f>IFERROR(
GETPIVOTDATA(
"[Base].[Importe]",
TDinamica_R!$A$5,
"[Calendario].[AñoMes]",
"[Calendario].[AñoMes].&amp;[" &amp; TEXT(AX$6,"yyyymm")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Y15" s="8">
        <f>IFERROR(
GETPIVOTDATA(
"[Base].[Importe]",
TDinamica_R!$A$5,
"[Calendario].[AñoMes]",
"[Calendario].[AñoMes].&amp;[" &amp; TEXT(AY$6,"yyyymm")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Z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TEXT(AZ$6,"yyyymm") &amp; "]"
),
0
)</f>
        <v>2796.9390732278844</v>
      </c>
      <c r="BA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TEXT(BA$6,"yyyymm") &amp; "]"
),
0
)</f>
        <v>2662.1438812181336</v>
      </c>
      <c r="BB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TEXT(BB$6,"yyyymm") &amp; "]"
),
0
)</f>
        <v>2529.3456370395661</v>
      </c>
      <c r="BC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TEXT(BC$6,"yyyymm") &amp; "]"
),
0
)</f>
        <v>2434.6954051371795</v>
      </c>
      <c r="BD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TEXT(BD$6,"yyyymm") &amp; "]"
),
0
)</f>
        <v>2360.2983729102616</v>
      </c>
      <c r="BE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TEXT(BE$6,"yyyymm") &amp; "]"
),
0
)</f>
        <v>2268.7321109057261</v>
      </c>
      <c r="BF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TEXT(BF$6,"yyyymm") &amp; "]"
),
0
)</f>
        <v>2194.300432612753</v>
      </c>
      <c r="BG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TEXT(BG$6,"yyyymm") &amp; "]"
),
0
)</f>
        <v>2131.993919894689</v>
      </c>
      <c r="BH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TEXT(BH$6,"yyyymm") &amp; "]"
),
0
)</f>
        <v>2053.0406346137634</v>
      </c>
      <c r="BI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TEXT(BI$6,"yyyymm") &amp; "]"
),
0
)</f>
        <v>1986.3728373734248</v>
      </c>
      <c r="BJ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TEXT(BJ$6,"yyyymm") &amp; "]"
),
0
)</f>
        <v>1933.8067204116617</v>
      </c>
      <c r="BK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TEXT(BK$6,"yyyymm") &amp; "]"
),
0
)</f>
        <v>1892.3249484913656</v>
      </c>
      <c r="BO15" s="24">
        <f t="shared" si="11"/>
        <v>3029.9466666666667</v>
      </c>
      <c r="BP15" s="24">
        <f t="shared" si="11"/>
        <v>2662.8095304951944</v>
      </c>
      <c r="BQ15" s="24">
        <f t="shared" si="11"/>
        <v>3070.7750000000001</v>
      </c>
      <c r="BR15" s="24">
        <f t="shared" si="11"/>
        <v>2316.7429933333333</v>
      </c>
      <c r="BS15" s="24">
        <f t="shared" si="11"/>
        <v>394.95161666666672</v>
      </c>
      <c r="BT15" s="24">
        <f t="shared" si="11"/>
        <v>338.72556000000003</v>
      </c>
      <c r="BW15" s="24">
        <f t="shared" si="12"/>
        <v>9089.84</v>
      </c>
      <c r="BX15" s="24">
        <f t="shared" si="12"/>
        <v>7988.4285914855836</v>
      </c>
      <c r="BY15" s="24">
        <f t="shared" si="12"/>
        <v>6141.55</v>
      </c>
      <c r="BZ15" s="24">
        <f t="shared" si="12"/>
        <v>6950.2289799999999</v>
      </c>
      <c r="CA15" s="24">
        <f t="shared" si="12"/>
        <v>1184.8548500000002</v>
      </c>
      <c r="CB15" s="24">
        <f t="shared" si="12"/>
        <v>1016.17668</v>
      </c>
    </row>
    <row r="16" spans="1:81" hidden="1" outlineLevel="1" x14ac:dyDescent="0.25">
      <c r="A16" s="11" t="s">
        <v>52</v>
      </c>
      <c r="C16" s="2" t="s">
        <v>45</v>
      </c>
      <c r="D16" s="8">
        <f>IFERROR(
GETPIVOTDATA(
"[Base].[Importe]",
TDinamica_R!$A$5,
"[Calendario].[AñoMes]",
"[Calendario].[AñoMes].&amp;[" &amp; TEXT(D$6,"yyyymm") &amp; "]",
"[Base].[Metrica]",
"[Base].[Metrica].&amp;[" &amp; $A16 &amp; "]",
"[Base].[SEGMENTO_DESCRIP]",
"[Base].[SEGMENTO_DESCRIP].&amp;[" &amp; $C$6 &amp; "]",
"[Base].[SITUACION]",
"[Base].[SITUACION].&amp;[" &amp; $C16 &amp; "]"
),0)/1000</f>
        <v>913.03018000000009</v>
      </c>
      <c r="E16" s="8">
        <f>IFERROR(
GETPIVOTDATA(
"[Base].[Importe]",
TDinamica_R!$A$5,
"[Calendario].[AñoMes]",
"[Calendario].[AñoMes].&amp;[" &amp; TEXT(E$6,"yyyymm") &amp; "]",
"[Base].[Metrica]",
"[Base].[Metrica].&amp;[" &amp; $A16 &amp; "]",
"[Base].[SEGMENTO_DESCRIP]",
"[Base].[SEGMENTO_DESCRIP].&amp;[" &amp; $C$6 &amp; "]",
"[Base].[SITUACION]",
"[Base].[SITUACION].&amp;[" &amp; $C16 &amp; "]"
),0)/1000</f>
        <v>848.56214</v>
      </c>
      <c r="F16" s="8">
        <f>IFERROR(
GETPIVOTDATA(
"[Base].[Importe]",
TDinamica_R!$A$5,
"[Calendario].[AñoMes]",
"[Calendario].[AñoMes].&amp;[" &amp; TEXT(F$6,"yyyymm") &amp; "]",
"[Base].[Metrica]",
"[Base].[Metrica].&amp;[" &amp; $A16 &amp; "]",
"[Base].[SEGMENTO_DESCRIP]",
"[Base].[SEGMENTO_DESCRIP].&amp;[" &amp; $C$6 &amp; "]",
"[Base].[SITUACION]",
"[Base].[SITUACION].&amp;[" &amp; $C16 &amp; "]"
),0)/1000</f>
        <v>811.45988999999997</v>
      </c>
      <c r="G16" s="8">
        <f>IFERROR(
GETPIVOTDATA(
"[Base].[Importe]",
TDinamica_R!$A$5,
"[Calendario].[AñoMes]",
"[Calendario].[AñoMes].&amp;[" &amp; TEXT(G$6,"yyyymm") &amp; "]",
"[Base].[Metrica]",
"[Base].[Metrica].&amp;[" &amp; $A16 &amp; "]",
"[Base].[SEGMENTO_DESCRIP]",
"[Base].[SEGMENTO_DESCRIP].&amp;[" &amp; $C$6 &amp; "]",
"[Base].[SITUACION]",
"[Base].[SITUACION].&amp;[" &amp; $C16 &amp; "]"
),0)/1000</f>
        <v>771.64783000000011</v>
      </c>
      <c r="H16" s="8">
        <f>IFERROR(
GETPIVOTDATA(
"[Base].[Importe]",
TDinamica_R!$A$5,
"[Calendario].[AñoMes]",
"[Calendario].[AñoMes].&amp;[" &amp; TEXT(H$6,"yyyymm") &amp; "]",
"[Base].[Metrica]",
"[Base].[Metrica].&amp;[" &amp; $A16 &amp; "]",
"[Base].[SEGMENTO_DESCRIP]",
"[Base].[SEGMENTO_DESCRIP].&amp;[" &amp; $C$6 &amp; "]",
"[Base].[SITUACION]",
"[Base].[SITUACION].&amp;[" &amp; $C16 &amp; "]"
),0)/1000</f>
        <v>682.64039000000002</v>
      </c>
      <c r="I16" s="8">
        <f>IFERROR(
GETPIVOTDATA(
"[Base].[Importe]",
TDinamica_R!$A$5,
"[Calendario].[AñoMes]",
"[Calendario].[AñoMes].&amp;[" &amp; TEXT(I$6,"yyyymm") &amp; "]",
"[Base].[Metrica]",
"[Base].[Metrica].&amp;[" &amp; $A16 &amp; "]",
"[Base].[SEGMENTO_DESCRIP]",
"[Base].[SEGMENTO_DESCRIP].&amp;[" &amp; $C$6 &amp; "]",
"[Base].[SITUACION]",
"[Base].[SITUACION].&amp;[" &amp; $C16 &amp; "]"
),0)/1000</f>
        <v>811.57828999999992</v>
      </c>
      <c r="J16" s="8">
        <f>IFERROR(
GETPIVOTDATA(
"[Base].[Importe]",
TDinamica_R!$A$5,
"[Calendario].[AñoMes]",
"[Calendario].[AñoMes].&amp;[" &amp; TEXT(J$6,"yyyymm") &amp; "]",
"[Base].[Metrica]",
"[Base].[Metrica].&amp;[" &amp; $A16 &amp; "]",
"[Base].[SEGMENTO_DESCRIP]",
"[Base].[SEGMENTO_DESCRIP].&amp;[" &amp; $C$6 &amp; "]",
"[Base].[SITUACION]",
"[Base].[SITUACION].&amp;[" &amp; $C16 &amp; "]"
),0)/1000</f>
        <v>935.07657350000011</v>
      </c>
      <c r="K16" s="8">
        <f>IFERROR(
GETPIVOTDATA(
"[Base].[Importe]",
TDinamica_R!$A$5,
"[Calendario].[AñoMes]",
"[Calendario].[AñoMes].&amp;[" &amp; TEXT(K$6,"yyyymm") &amp; "]",
"[Base].[Metrica]",
"[Base].[Metrica].&amp;[" &amp; $A16 &amp; "]",
"[Base].[SEGMENTO_DESCRIP]",
"[Base].[SEGMENTO_DESCRIP].&amp;[" &amp; $C$6 &amp; "]",
"[Base].[SITUACION]",
"[Base].[SITUACION].&amp;[" &amp; $C16 &amp; "]"
),0)/1000</f>
        <v>1273.9422503200001</v>
      </c>
      <c r="L16" s="8">
        <f>IFERROR(
GETPIVOTDATA(
"[Base].[Importe]",
TDinamica_R!$A$5,
"[Calendario].[AñoMes]",
"[Calendario].[AñoMes].&amp;[" &amp; TEXT(L$6,"yyyymm") &amp; "]",
"[Base].[Metrica]",
"[Base].[Metrica].&amp;[" &amp; $A16 &amp; "]",
"[Base].[SEGMENTO_DESCRIP]",
"[Base].[SEGMENTO_DESCRIP].&amp;[" &amp; $C$6 &amp; "]",
"[Base].[SITUACION]",
"[Base].[SITUACION].&amp;[" &amp; $C16 &amp; "]"
),0)/1000</f>
        <v>1667.7412783900002</v>
      </c>
      <c r="M16" s="8">
        <f>IFERROR(
GETPIVOTDATA(
"[Base].[Importe]",
TDinamica_R!$A$5,
"[Calendario].[AñoMes]",
"[Calendario].[AñoMes].&amp;[" &amp; TEXT(M$6,"yyyymm") &amp; "]",
"[Base].[Metrica]",
"[Base].[Metrica].&amp;[" &amp; $A16 &amp; "]",
"[Base].[SEGMENTO_DESCRIP]",
"[Base].[SEGMENTO_DESCRIP].&amp;[" &amp; $C$6 &amp; "]",
"[Base].[SITUACION]",
"[Base].[SITUACION].&amp;[" &amp; $C16 &amp; "]"
),0)/1000</f>
        <v>2085.83006535</v>
      </c>
      <c r="N16" s="8">
        <f>IFERROR(
GETPIVOTDATA(
"[Base].[Importe]",
TDinamica_R!$A$5,
"[Calendario].[AñoMes]",
"[Calendario].[AñoMes].&amp;[" &amp; TEXT(N$6,"yyyymm") &amp; "]",
"[Base].[Metrica]",
"[Base].[Metrica].&amp;[" &amp; $A16 &amp; "]",
"[Base].[SEGMENTO_DESCRIP]",
"[Base].[SEGMENTO_DESCRIP].&amp;[" &amp; $C$6 &amp; "]",
"[Base].[SITUACION]",
"[Base].[SITUACION].&amp;[" &amp; $C16 &amp; "]"
),0)/1000</f>
        <v>2277.6186154800002</v>
      </c>
      <c r="O16" s="8">
        <f>IFERROR(
GETPIVOTDATA(
"[Base].[Importe]",
TDinamica_R!$A$5,
"[Calendario].[AñoMes]",
"[Calendario].[AñoMes].&amp;[" &amp; TEXT(O$6,"yyyymm") &amp; "]",
"[Base].[Metrica]",
"[Base].[Metrica].&amp;[" &amp; $A16 &amp; "]",
"[Base].[SEGMENTO_DESCRIP]",
"[Base].[SEGMENTO_DESCRIP].&amp;[" &amp; $C$6 &amp; "]",
"[Base].[SITUACION]",
"[Base].[SITUACION].&amp;[" &amp; $C16 &amp; "]"
),0)/1000</f>
        <v>2659.4407770399998</v>
      </c>
      <c r="P16" s="8">
        <f>IFERROR(
GETPIVOTDATA(
"[Base].[Importe]",
TDinamica_R!$A$5,
"[Calendario].[AñoMes]",
"[Calendario].[AñoMes].&amp;[" &amp; TEXT(P$6,"yyyymm") &amp; "]",
"[Base].[Metrica]",
"[Base].[Metrica].&amp;[" &amp; $A16 &amp; "]",
"[Base].[SEGMENTO_DESCRIP]",
"[Base].[SEGMENTO_DESCRIP].&amp;[" &amp; $C$6 &amp; "]",
"[Base].[SITUACION]",
"[Base].[SITUACION].&amp;[" &amp; $C16 &amp; "]"
),0)/1000</f>
        <v>3752.4581264799999</v>
      </c>
      <c r="Q16" s="8">
        <f>IFERROR(
GETPIVOTDATA(
"[Base].[Importe]",
TDinamica_R!$A$5,
"[Calendario].[AñoMes]",
"[Calendario].[AñoMes].&amp;[" &amp; TEXT(Q$6,"yyyymm") &amp; "]",
"[Base].[Metrica]",
"[Base].[Metrica].&amp;[" &amp; $A16 &amp; "]",
"[Base].[SEGMENTO_DESCRIP]",
"[Base].[SEGMENTO_DESCRIP].&amp;[" &amp; $C$6 &amp; "]",
"[Base].[SITUACION]",
"[Base].[SITUACION].&amp;[" &amp; $C16 &amp; "]"
),0)/1000</f>
        <v>4853.0944107999994</v>
      </c>
      <c r="R16" s="8">
        <f>IFERROR(
GETPIVOTDATA(
"[Base].[Importe]",
TDinamica_R!$A$5,
"[Calendario].[AñoMes]",
"[Calendario].[AñoMes].&amp;[" &amp; TEXT(R$6,"yyyymm") &amp; "]",
"[Base].[Metrica]",
"[Base].[Metrica].&amp;[" &amp; $A16 &amp; "]",
"[Base].[SEGMENTO_DESCRIP]",
"[Base].[SEGMENTO_DESCRIP].&amp;[" &amp; $C$6 &amp; "]",
"[Base].[SITUACION]",
"[Base].[SITUACION].&amp;[" &amp; $C16 &amp; "]"
),0)/1000</f>
        <v>7818.3372364300003</v>
      </c>
      <c r="S16" s="8">
        <f>IFERROR(
GETPIVOTDATA(
"[Base].[Importe]",
TDinamica_R!$A$5,
"[Calendario].[AñoMes]",
"[Calendario].[AñoMes].&amp;[" &amp; TEXT(S$6,"yyyymm") &amp; "]",
"[Base].[Metrica]",
"[Base].[Metrica].&amp;[" &amp; $A16 &amp; "]",
"[Base].[SEGMENTO_DESCRIP]",
"[Base].[SEGMENTO_DESCRIP].&amp;[" &amp; $C$6 &amp; "]",
"[Base].[SITUACION]",
"[Base].[SITUACION].&amp;[" &amp; $C16 &amp; "]"
),0)/1000</f>
        <v>14280.44034952</v>
      </c>
      <c r="T16" s="8">
        <f>IFERROR(
GETPIVOTDATA(
"[Base].[Importe]",
TDinamica_R!$A$5,
"[Calendario].[AñoMes]",
"[Calendario].[AñoMes].&amp;[" &amp; TEXT(T$6,"yyyymm") &amp; "]",
"[Base].[Metrica]",
"[Base].[Metrica].&amp;[" &amp; $A16 &amp; "]",
"[Base].[SEGMENTO_DESCRIP]",
"[Base].[SEGMENTO_DESCRIP].&amp;[" &amp; $C$6 &amp; "]",
"[Base].[SITUACION]",
"[Base].[SITUACION].&amp;[" &amp; $C16 &amp; "]"
),0)/1000</f>
        <v>21765.893081100006</v>
      </c>
      <c r="U16" s="8">
        <f>IFERROR(
GETPIVOTDATA(
"[Base].[Importe]",
TDinamica_R!$A$5,
"[Calendario].[AñoMes]",
"[Calendario].[AñoMes].&amp;[" &amp; TEXT(U$6,"yyyymm") &amp; "]",
"[Base].[Metrica]",
"[Base].[Metrica].&amp;[" &amp; $A16 &amp; "]",
"[Base].[SEGMENTO_DESCRIP]",
"[Base].[SEGMENTO_DESCRIP].&amp;[" &amp; $C$6 &amp; "]",
"[Base].[SITUACION]",
"[Base].[SITUACION].&amp;[" &amp; $C16 &amp; "]"
),0)/1000</f>
        <v>24979.589727359999</v>
      </c>
      <c r="V16" s="8">
        <f>IFERROR(
GETPIVOTDATA(
"[Base].[Importe]",
TDinamica_R!$A$5,
"[Calendario].[AñoMes]",
"[Calendario].[AñoMes].&amp;[" &amp; TEXT(V$6,"yyyymm") &amp; "]",
"[Base].[Metrica]",
"[Base].[Metrica].&amp;[" &amp; $A16 &amp; "]",
"[Base].[SEGMENTO_DESCRIP]",
"[Base].[SEGMENTO_DESCRIP].&amp;[" &amp; $C$6 &amp; "]",
"[Base].[SITUACION]",
"[Base].[SITUACION].&amp;[" &amp; $C16 &amp; "]"
),0)/1000</f>
        <v>22943.146331820004</v>
      </c>
      <c r="W16" s="8">
        <f>IFERROR(
GETPIVOTDATA(
"[Base].[Importe]",
TDinamica_R!$A$5,
"[Calendario].[AñoMes]",
"[Calendario].[AñoMes].&amp;[" &amp; TEXT(W$6,"yyyymm") &amp; "]",
"[Base].[Metrica]",
"[Base].[Metrica].&amp;[" &amp; $A16 &amp; "]",
"[Base].[SEGMENTO_DESCRIP]",
"[Base].[SEGMENTO_DESCRIP].&amp;[" &amp; $C$6 &amp; "]",
"[Base].[SITUACION]",
"[Base].[SITUACION].&amp;[" &amp; $C16 &amp; "]"
),0)/1000</f>
        <v>20492.41481061</v>
      </c>
      <c r="X16" s="8">
        <f>IFERROR(
GETPIVOTDATA(
"[Base].[Importe]",
TDinamica_R!$A$5,
"[Calendario].[AñoMes]",
"[Calendario].[AñoMes].&amp;[" &amp; TEXT(X$6,"yyyymm") &amp; "]",
"[Base].[Metrica]",
"[Base].[Metrica].&amp;[" &amp; $A16 &amp; "]",
"[Base].[SEGMENTO_DESCRIP]",
"[Base].[SEGMENTO_DESCRIP].&amp;[" &amp; $C$6 &amp; "]",
"[Base].[SITUACION]",
"[Base].[SITUACION].&amp;[" &amp; $C16 &amp; "]"
),0)/1000</f>
        <v>20201.334801839999</v>
      </c>
      <c r="Y16" s="8">
        <f>IFERROR(
GETPIVOTDATA(
"[Base].[Importe]",
TDinamica_R!$A$5,
"[Calendario].[AñoMes]",
"[Calendario].[AñoMes].&amp;[" &amp; TEXT(Y$6,"yyyymm") &amp; "]",
"[Base].[Metrica]",
"[Base].[Metrica].&amp;[" &amp; $A16 &amp; "]",
"[Base].[SEGMENTO_DESCRIP]",
"[Base].[SEGMENTO_DESCRIP].&amp;[" &amp; $C$6 &amp; "]",
"[Base].[SITUACION]",
"[Base].[SITUACION].&amp;[" &amp; $C16 &amp; "]"
),0)/1000</f>
        <v>16316.286626479998</v>
      </c>
      <c r="Z16" s="8">
        <f>IFERROR(
GETPIVOTDATA(
"[Base].[Importe]",
TDinamica_R!$A$5,
"[Calendario].[AñoMes]",
"[Calendario].[AñoMes].&amp;[" &amp; TEXT(Z$6,"yyyymm") &amp; "]",
"[Base].[Metrica]",
"[Base].[Metrica].&amp;[" &amp; $A16 &amp; "]",
"[Base].[SEGMENTO_DESCRIP]",
"[Base].[SEGMENTO_DESCRIP].&amp;[" &amp; $C$6 &amp; "]",
"[Base].[SITUACION]",
"[Base].[SITUACION].&amp;[" &amp; $C16 &amp; "]"
),0)/1000</f>
        <v>14368.219916440001</v>
      </c>
      <c r="AA16" s="8">
        <f>IFERROR(
GETPIVOTDATA(
"[Base].[Importe]",
TDinamica_R!$A$5,
"[Calendario].[AñoMes]",
"[Calendario].[AñoMes].&amp;[" &amp; TEXT(AA$6,"yyyymm") &amp; "]",
"[Base].[Metrica]",
"[Base].[Metrica].&amp;[" &amp; $A16 &amp; "]",
"[Base].[SEGMENTO_DESCRIP]",
"[Base].[SEGMENTO_DESCRIP].&amp;[" &amp; $C$6 &amp; "]",
"[Base].[SITUACION]",
"[Base].[SITUACION].&amp;[" &amp; $C16 &amp; "]"
),0)/1000</f>
        <v>12073.419646750001</v>
      </c>
      <c r="AB16" s="8">
        <f>IFERROR(
GETPIVOTDATA(
"[Base].[Importe]",
TDinamica_R!$A$5,
"[Calendario].[AñoMes]",
"[Calendario].[AñoMes].&amp;[" &amp; TEXT(AB$6,"yyyymm") &amp; "]",
"[Base].[Metrica]",
"[Base].[Metrica].&amp;[" &amp; $A16 &amp; "]",
"[Base].[SEGMENTO_DESCRIP]",
"[Base].[SEGMENTO_DESCRIP].&amp;[" &amp; $C$6 &amp; "]",
"[Base].[SITUACION]",
"[Base].[SITUACION].&amp;[" &amp; $C16 &amp; "]"
),0)/1000</f>
        <v>14252.774432180002</v>
      </c>
      <c r="AC16" s="8">
        <f>IFERROR(
GETPIVOTDATA(
"[Base].[Importe]",
TDinamica_R!$A$5,
"[Calendario].[AñoMes]",
"[Calendario].[AñoMes].&amp;[" &amp; TEXT(AC$6,"yyyymm") &amp; "]",
"[Base].[Metrica]",
"[Base].[Metrica].&amp;[" &amp; $A16 &amp; "]",
"[Base].[SEGMENTO_DESCRIP]",
"[Base].[SEGMENTO_DESCRIP].&amp;[" &amp; $C$6 &amp; "]",
"[Base].[SITUACION]",
"[Base].[SITUACION].&amp;[" &amp; $C16 &amp; "]"
),0)/1000</f>
        <v>12405.626312</v>
      </c>
      <c r="AD16" s="8">
        <f>IFERROR(
GETPIVOTDATA(
"[Base].[Importe]",
TDinamica_R!$A$5,
"[Calendario].[AñoMes]",
"[Calendario].[AñoMes].&amp;[" &amp; TEXT(AD$6,"yyyymm") &amp; "]",
"[Base].[Metrica]",
"[Base].[Metrica].&amp;[" &amp; $A16 &amp; "]",
"[Base].[SEGMENTO_DESCRIP]",
"[Base].[SEGMENTO_DESCRIP].&amp;[" &amp; $C$6 &amp; "]",
"[Base].[SITUACION]",
"[Base].[SITUACION].&amp;[" &amp; $C16 &amp; "]"
),0)/1000</f>
        <v>8908.4348091100019</v>
      </c>
      <c r="AE16" s="8">
        <f>IFERROR(
GETPIVOTDATA(
"[Base].[Importe]",
TDinamica_R!$A$5,
"[Calendario].[AñoMes]",
"[Calendario].[AñoMes].&amp;[" &amp; TEXT(AE$6,"yyyymm") &amp; "]",
"[Base].[Metrica]",
"[Base].[Metrica].&amp;[" &amp; $A16 &amp; "]",
"[Base].[SEGMENTO_DESCRIP]",
"[Base].[SEGMENTO_DESCRIP].&amp;[" &amp; $C$6 &amp; "]",
"[Base].[SITUACION]",
"[Base].[SITUACION].&amp;[" &amp; $C16 &amp; "]"
),0)/1000</f>
        <v>7759.38033421</v>
      </c>
      <c r="AF16" s="8">
        <f>IFERROR(
GETPIVOTDATA(
"[Base].[Importe]",
TDinamica_R!$A$5,
"[Calendario].[AñoMes]",
"[Calendario].[AñoMes].&amp;[" &amp; TEXT(AF$6,"yyyymm") &amp; "]",
"[Base].[Metrica]",
"[Base].[Metrica].&amp;[" &amp; $A16 &amp; "]",
"[Base].[SEGMENTO_DESCRIP]",
"[Base].[SEGMENTO_DESCRIP].&amp;[" &amp; $C$6 &amp; "]",
"[Base].[SITUACION]",
"[Base].[SITUACION].&amp;[" &amp; $C16 &amp; "]"
),0)/1000</f>
        <v>8087.8304427999992</v>
      </c>
      <c r="AG16" s="8">
        <f>IFERROR(
GETPIVOTDATA(
"[Base].[Importe]",
TDinamica_R!$A$5,
"[Calendario].[AñoMes]",
"[Calendario].[AñoMes].&amp;[" &amp; TEXT(AG$6,"yyyymm") &amp; "]",
"[Base].[Metrica]",
"[Base].[Metrica].&amp;[" &amp; $A16 &amp; "]",
"[Base].[SEGMENTO_DESCRIP]",
"[Base].[SEGMENTO_DESCRIP].&amp;[" &amp; $C$6 &amp; "]",
"[Base].[SITUACION]",
"[Base].[SITUACION].&amp;[" &amp; $C16 &amp; "]"
),0)/1000</f>
        <v>8697.3915075599998</v>
      </c>
      <c r="AH16" s="8">
        <f>IFERROR(
GETPIVOTDATA(
"[Base].[Importe]",
TDinamica_R!$A$5,
"[Calendario].[AñoMes]",
"[Calendario].[AñoMes].&amp;[" &amp; TEXT(AH$6,"yyyymm") &amp; "]",
"[Base].[Metrica]",
"[Base].[Metrica].&amp;[" &amp; $A16 &amp; "]",
"[Base].[SEGMENTO_DESCRIP]",
"[Base].[SEGMENTO_DESCRIP].&amp;[" &amp; $C$6 &amp; "]",
"[Base].[SITUACION]",
"[Base].[SITUACION].&amp;[" &amp; $C16 &amp; "]"
),0)/1000</f>
        <v>8692.80037386</v>
      </c>
      <c r="AI16" s="8">
        <f>IFERROR(
GETPIVOTDATA(
"[Base].[Importe]",
TDinamica_R!$A$5,
"[Calendario].[AñoMes]",
"[Calendario].[AñoMes].&amp;[" &amp; TEXT(AI$6,"yyyymm") &amp; "]",
"[Base].[Metrica]",
"[Base].[Metrica].&amp;[" &amp; $A16 &amp; "]",
"[Base].[SEGMENTO_DESCRIP]",
"[Base].[SEGMENTO_DESCRIP].&amp;[" &amp; $C$6 &amp; "]",
"[Base].[SITUACION]",
"[Base].[SITUACION].&amp;[" &amp; $C16 &amp; "]"
),0)/1000</f>
        <v>9862.0836430500021</v>
      </c>
      <c r="AJ16" s="8">
        <f>IFERROR(
GETPIVOTDATA(
"[Base].[Importe]",
TDinamica_R!$A$5,
"[Calendario].[AñoMes]",
"[Calendario].[AñoMes].&amp;[" &amp; TEXT(AJ$6,"yyyymm") &amp; "]",
"[Base].[Metrica]",
"[Base].[Metrica].&amp;[" &amp; $A16 &amp; "]",
"[Base].[SEGMENTO_DESCRIP]",
"[Base].[SEGMENTO_DESCRIP].&amp;[" &amp; $C$6 &amp; "]",
"[Base].[SITUACION]",
"[Base].[SITUACION].&amp;[" &amp; $C16 &amp; "]"
),0)/1000</f>
        <v>10553.384798870002</v>
      </c>
      <c r="AK16" s="8">
        <f>IFERROR(
GETPIVOTDATA(
"[Base].[Importe]",
TDinamica_R!$A$5,
"[Calendario].[AñoMes]",
"[Calendario].[AñoMes].&amp;[" &amp; TEXT(AK$6,"yyyymm") &amp; "]",
"[Base].[Metrica]",
"[Base].[Metrica].&amp;[" &amp; $A16 &amp; "]",
"[Base].[SEGMENTO_DESCRIP]",
"[Base].[SEGMENTO_DESCRIP].&amp;[" &amp; $C$6 &amp; "]",
"[Base].[SITUACION]",
"[Base].[SITUACION].&amp;[" &amp; $C16 &amp; "]"
),0)/1000</f>
        <v>11452.976306640001</v>
      </c>
      <c r="AL16" s="8">
        <f>IFERROR(
GETPIVOTDATA(
"[Base].[Importe]",
TDinamica_R!$A$5,
"[Calendario].[AñoMes]",
"[Calendario].[AñoMes].&amp;[" &amp; TEXT(AL$6,"yyyymm") &amp; "]",
"[Base].[Metrica]",
"[Base].[Metrica].&amp;[" &amp; $A16 &amp; "]",
"[Base].[SEGMENTO_DESCRIP]",
"[Base].[SEGMENTO_DESCRIP].&amp;[" &amp; $C$6 &amp; "]",
"[Base].[SITUACION]",
"[Base].[SITUACION].&amp;[" &amp; $C16 &amp; "]"
),0)/1000</f>
        <v>10805.05101078</v>
      </c>
      <c r="AM16" s="8">
        <f>IFERROR(
GETPIVOTDATA(
"[Base].[Importe]",
TDinamica_R!$A$5,
"[Calendario].[AñoMes]",
"[Calendario].[AñoMes].&amp;[" &amp; TEXT(AM$6,"yyyymm") &amp; "]",
"[Base].[Metrica]",
"[Base].[Metrica].&amp;[" &amp; $A16 &amp; "]",
"[Base].[SEGMENTO_DESCRIP]",
"[Base].[SEGMENTO_DESCRIP].&amp;[" &amp; $C$6 &amp; "]",
"[Base].[SITUACION]",
"[Base].[SITUACION].&amp;[" &amp; $C16 &amp; "]"
),0)/1000</f>
        <v>10947.741642139999</v>
      </c>
      <c r="AN16" s="8">
        <f>IFERROR(
GETPIVOTDATA(
"[Base].[Importe]",
TDinamica_R!$A$5,
"[Calendario].[AñoMes]",
"[Calendario].[AñoMes].&amp;[" &amp; TEXT(AN$6,"yyyymm") &amp; "]",
"[Base].[Metrica]",
"[Base].[Metrica].&amp;[" &amp; $A16 &amp; "]",
"[Base].[SEGMENTO_DESCRIP]",
"[Base].[SEGMENTO_DESCRIP].&amp;[" &amp; $C$6 &amp; "]",
"[Base].[SITUACION]",
"[Base].[SITUACION].&amp;[" &amp; $C16 &amp; "]"
),0)/1000</f>
        <v>13718.37</v>
      </c>
      <c r="AO16" s="8">
        <f>IFERROR(
GETPIVOTDATA(
"[Base].[Importe]",
TDinamica_R!$A$5,
"[Calendario].[AñoMes]",
"[Calendario].[AñoMes].&amp;[" &amp; TEXT(AO$6,"yyyymm") &amp; "]",
"[Base].[Metrica]",
"[Base].[Metrica].&amp;[" &amp; $A16 &amp; "]",
"[Base].[SEGMENTO_DESCRIP]",
"[Base].[SEGMENTO_DESCRIP].&amp;[" &amp; $C$6 &amp; "]",
"[Base].[SITUACION]",
"[Base].[SITUACION].&amp;[" &amp; $C16 &amp; "]"
),0)/1000</f>
        <v>14645.48</v>
      </c>
      <c r="AP16" s="8">
        <f>IFERROR(
GETPIVOTDATA(
"[Base].[Importe]",
TDinamica_R!$A$5,
"[Calendario].[AñoMes]",
"[Calendario].[AñoMes].&amp;[" &amp; TEXT(AP$6,"yyyymm") &amp; "]",
"[Base].[Metrica]",
"[Base].[Metrica].&amp;[" &amp; $A16 &amp; "]",
"[Base].[SEGMENTO_DESCRIP]",
"[Base].[SEGMENTO_DESCRIP].&amp;[" &amp; $C$6 &amp; "]",
"[Base].[SITUACION]",
"[Base].[SITUACION].&amp;[" &amp; $C16 &amp; "]"
),0)/1000</f>
        <v>14381.41</v>
      </c>
      <c r="AQ16" s="8">
        <f>IFERROR(
GETPIVOTDATA(
"[Base].[Importe]",
TDinamica_R!$A$5,
"[Calendario].[AñoMes]",
"[Calendario].[AñoMes].&amp;[" &amp; TEXT(AQ$6,"yyyymm") &amp; "]",
"[Base].[Metrica]",
"[Base].[Metrica].&amp;[" &amp; $A16 &amp; "]",
"[Base].[SEGMENTO_DESCRIP]",
"[Base].[SEGMENTO_DESCRIP].&amp;[" &amp; $C$6 &amp; "]",
"[Base].[SITUACION]",
"[Base].[SITUACION].&amp;[" &amp; $C16 &amp; "]"
),0)/1000</f>
        <v>14170.406996380007</v>
      </c>
      <c r="AR16" s="8">
        <f>IFERROR(
GETPIVOTDATA(
"[Base].[Importe]",
TDinamica_R!$A$5,
"[Calendario].[AñoMes]",
"[Calendario].[AñoMes].&amp;[" &amp; TEXT(AR$6,"yyyymm") &amp; "]",
"[Base].[Metrica]",
"[Base].[Metrica].&amp;[" &amp; $A16 &amp; "]",
"[Base].[SEGMENTO_DESCRIP]",
"[Base].[SEGMENTO_DESCRIP].&amp;[" &amp; $C$6 &amp; "]",
"[Base].[SITUACION]",
"[Base].[SITUACION].&amp;[" &amp; $C16 &amp; "]"
),0)/1000</f>
        <v>13645.098320190002</v>
      </c>
      <c r="AS16" s="8">
        <f>IFERROR(
GETPIVOTDATA(
"[Base].[Importe]",
TDinamica_R!$A$5,
"[Calendario].[AñoMes]",
"[Calendario].[AñoMes].&amp;[" &amp; TEXT(AS$6,"yyyymm") &amp; "]",
"[Base].[Metrica]",
"[Base].[Metrica].&amp;[" &amp; $A16 &amp; "]",
"[Base].[SEGMENTO_DESCRIP]",
"[Base].[SEGMENTO_DESCRIP].&amp;[" &amp; $C$6 &amp; "]",
"[Base].[SITUACION]",
"[Base].[SITUACION].&amp;[" &amp; $C16 &amp; "]"
),0)/1000</f>
        <v>15363.662801650007</v>
      </c>
      <c r="AT16" s="8">
        <f>IFERROR(
GETPIVOTDATA(
"[Base].[Importe]",
TDinamica_R!$A$5,
"[Calendario].[AñoMes]",
"[Calendario].[AñoMes].&amp;[" &amp; TEXT(AT$6,"yyyymm")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U16" s="8">
        <f>IFERROR(
GETPIVOTDATA(
"[Base].[Importe]",
TDinamica_R!$A$5,
"[Calendario].[AñoMes]",
"[Calendario].[AñoMes].&amp;[" &amp; TEXT(AU$6,"yyyymm")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V16" s="8">
        <f>IFERROR(
GETPIVOTDATA(
"[Base].[Importe]",
TDinamica_R!$A$5,
"[Calendario].[AñoMes]",
"[Calendario].[AñoMes].&amp;[" &amp; TEXT(AV$6,"yyyymm")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W16" s="8">
        <f>IFERROR(
GETPIVOTDATA(
"[Base].[Importe]",
TDinamica_R!$A$5,
"[Calendario].[AñoMes]",
"[Calendario].[AñoMes].&amp;[" &amp; TEXT(AW$6,"yyyymm")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X16" s="8">
        <f>IFERROR(
GETPIVOTDATA(
"[Base].[Importe]",
TDinamica_R!$A$5,
"[Calendario].[AñoMes]",
"[Calendario].[AñoMes].&amp;[" &amp; TEXT(AX$6,"yyyymm")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Y16" s="8">
        <f>IFERROR(
GETPIVOTDATA(
"[Base].[Importe]",
TDinamica_R!$A$5,
"[Calendario].[AñoMes]",
"[Calendario].[AñoMes].&amp;[" &amp; TEXT(AY$6,"yyyymm")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Z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TEXT(AZ$6,"yyyymm") &amp; "]"
),
0
)</f>
        <v>11678.985259630583</v>
      </c>
      <c r="BA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TEXT(BA$6,"yyyymm") &amp; "]"
),
0
)</f>
        <v>12620.982506470158</v>
      </c>
      <c r="BB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TEXT(BB$6,"yyyymm") &amp; "]"
),
0
)</f>
        <v>12551.623447129963</v>
      </c>
      <c r="BC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TEXT(BC$6,"yyyymm") &amp; "]"
),
0
)</f>
        <v>12471.397440478622</v>
      </c>
      <c r="BD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TEXT(BD$6,"yyyymm") &amp; "]"
),
0
)</f>
        <v>12761.944166888296</v>
      </c>
      <c r="BE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TEXT(BE$6,"yyyymm") &amp; "]"
),
0
)</f>
        <v>12789.134397823756</v>
      </c>
      <c r="BF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TEXT(BF$6,"yyyymm") &amp; "]"
),
0
)</f>
        <v>12600.406220008972</v>
      </c>
      <c r="BG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TEXT(BG$6,"yyyymm") &amp; "]"
),
0
)</f>
        <v>13186.484318133436</v>
      </c>
      <c r="BH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TEXT(BH$6,"yyyymm") &amp; "]"
),
0
)</f>
        <v>14082.272439897402</v>
      </c>
      <c r="BI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TEXT(BI$6,"yyyymm") &amp; "]"
),
0
)</f>
        <v>14758.896391272014</v>
      </c>
      <c r="BJ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TEXT(BJ$6,"yyyymm") &amp; "]"
),
0
)</f>
        <v>15157.670291322713</v>
      </c>
      <c r="BK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TEXT(BK$6,"yyyymm") &amp; "]"
),
0
)</f>
        <v>15553.512672396875</v>
      </c>
      <c r="BO16" s="24">
        <f t="shared" si="11"/>
        <v>14248.419999999998</v>
      </c>
      <c r="BP16" s="24">
        <f t="shared" si="11"/>
        <v>12283.863737743568</v>
      </c>
      <c r="BQ16" s="24">
        <f t="shared" si="11"/>
        <v>14181.924999999999</v>
      </c>
      <c r="BR16" s="24">
        <f t="shared" si="11"/>
        <v>11855.611851096668</v>
      </c>
      <c r="BS16" s="24">
        <f t="shared" si="11"/>
        <v>5474.6299245700002</v>
      </c>
      <c r="BT16" s="24">
        <f t="shared" si="11"/>
        <v>857.68407000000013</v>
      </c>
      <c r="BW16" s="24">
        <f t="shared" si="12"/>
        <v>42745.259999999995</v>
      </c>
      <c r="BX16" s="24">
        <f t="shared" si="12"/>
        <v>36851.591213230706</v>
      </c>
      <c r="BY16" s="24">
        <f t="shared" si="12"/>
        <v>28363.85</v>
      </c>
      <c r="BZ16" s="24">
        <f t="shared" si="12"/>
        <v>35566.835553290002</v>
      </c>
      <c r="CA16" s="24">
        <f t="shared" si="12"/>
        <v>16423.889773710001</v>
      </c>
      <c r="CB16" s="24">
        <f t="shared" si="12"/>
        <v>2573.0522100000003</v>
      </c>
    </row>
    <row r="17" spans="1:80" collapsed="1" x14ac:dyDescent="0.25">
      <c r="C17" s="3" t="s">
        <v>56</v>
      </c>
      <c r="D17" s="10">
        <f>SUM(D14:D16)</f>
        <v>776879.15312560007</v>
      </c>
      <c r="E17" s="10">
        <f t="shared" ref="E17:AY17" si="13">SUM(E14:E16)</f>
        <v>790387.73177339998</v>
      </c>
      <c r="F17" s="10">
        <f t="shared" si="13"/>
        <v>815974.46687120013</v>
      </c>
      <c r="G17" s="10">
        <f t="shared" si="13"/>
        <v>839498.74913809996</v>
      </c>
      <c r="H17" s="10">
        <f t="shared" si="13"/>
        <v>859936.52519559988</v>
      </c>
      <c r="I17" s="10">
        <f t="shared" si="13"/>
        <v>874428.603198</v>
      </c>
      <c r="J17" s="10">
        <f t="shared" si="13"/>
        <v>897032.82625929976</v>
      </c>
      <c r="K17" s="10">
        <f t="shared" si="13"/>
        <v>926540.57002661994</v>
      </c>
      <c r="L17" s="10">
        <f t="shared" si="13"/>
        <v>962979.15206980403</v>
      </c>
      <c r="M17" s="10">
        <f t="shared" si="13"/>
        <v>975310.42898125015</v>
      </c>
      <c r="N17" s="10">
        <f t="shared" si="13"/>
        <v>981740.48517838004</v>
      </c>
      <c r="O17" s="10">
        <f t="shared" si="13"/>
        <v>984648.88903543993</v>
      </c>
      <c r="P17" s="10">
        <f t="shared" si="13"/>
        <v>976438.80487107998</v>
      </c>
      <c r="Q17" s="10">
        <f t="shared" si="13"/>
        <v>965873.39646900003</v>
      </c>
      <c r="R17" s="10">
        <f t="shared" si="13"/>
        <v>962458.06686232996</v>
      </c>
      <c r="S17" s="10">
        <f t="shared" si="13"/>
        <v>952358.49661241996</v>
      </c>
      <c r="T17" s="10">
        <f t="shared" si="13"/>
        <v>942584.55660329992</v>
      </c>
      <c r="U17" s="10">
        <f t="shared" si="13"/>
        <v>924985.95355616021</v>
      </c>
      <c r="V17" s="10">
        <f t="shared" si="13"/>
        <v>904896.11284782004</v>
      </c>
      <c r="W17" s="10">
        <f t="shared" si="13"/>
        <v>895132.79385831009</v>
      </c>
      <c r="X17" s="10">
        <f t="shared" si="13"/>
        <v>891893.63273614005</v>
      </c>
      <c r="Y17" s="10">
        <f t="shared" si="13"/>
        <v>897560.21948278008</v>
      </c>
      <c r="Z17" s="10">
        <f t="shared" si="13"/>
        <v>905960.87407073996</v>
      </c>
      <c r="AA17" s="10">
        <f t="shared" si="13"/>
        <v>920839.33718044998</v>
      </c>
      <c r="AB17" s="10">
        <f t="shared" si="13"/>
        <v>928242.25584937993</v>
      </c>
      <c r="AC17" s="10">
        <f t="shared" si="13"/>
        <v>943403.20548600005</v>
      </c>
      <c r="AD17" s="10">
        <f t="shared" si="13"/>
        <v>964244.84757880995</v>
      </c>
      <c r="AE17" s="10">
        <f t="shared" si="13"/>
        <v>982984.71188260999</v>
      </c>
      <c r="AF17" s="10">
        <f t="shared" si="13"/>
        <v>1004580.5873168001</v>
      </c>
      <c r="AG17" s="10">
        <f t="shared" si="13"/>
        <v>1024410.44211416</v>
      </c>
      <c r="AH17" s="10">
        <f t="shared" si="13"/>
        <v>1034511.88465416</v>
      </c>
      <c r="AI17" s="10">
        <f t="shared" si="13"/>
        <v>1053845.0424404501</v>
      </c>
      <c r="AJ17" s="10">
        <f t="shared" si="13"/>
        <v>1086258.2321361699</v>
      </c>
      <c r="AK17" s="10">
        <f t="shared" si="13"/>
        <v>1135598.0932905402</v>
      </c>
      <c r="AL17" s="10">
        <f t="shared" si="13"/>
        <v>1177881.3158737801</v>
      </c>
      <c r="AM17" s="10">
        <f t="shared" si="13"/>
        <v>1202369.7032223402</v>
      </c>
      <c r="AN17" s="10">
        <f t="shared" si="13"/>
        <v>1212418.3400000001</v>
      </c>
      <c r="AO17" s="10">
        <f t="shared" si="13"/>
        <v>1240879.0900000001</v>
      </c>
      <c r="AP17" s="10">
        <f t="shared" si="13"/>
        <v>1283663.28</v>
      </c>
      <c r="AQ17" s="10">
        <f t="shared" si="13"/>
        <v>1300435.1748933594</v>
      </c>
      <c r="AR17" s="10">
        <f t="shared" si="13"/>
        <v>1323112.7204528204</v>
      </c>
      <c r="AS17" s="10">
        <f t="shared" si="13"/>
        <v>1368388.0379536999</v>
      </c>
      <c r="AT17" s="10">
        <f t="shared" si="13"/>
        <v>0</v>
      </c>
      <c r="AU17" s="10">
        <f t="shared" si="13"/>
        <v>0</v>
      </c>
      <c r="AV17" s="10">
        <f t="shared" si="13"/>
        <v>0</v>
      </c>
      <c r="AW17" s="10">
        <f t="shared" si="13"/>
        <v>0</v>
      </c>
      <c r="AX17" s="10">
        <f t="shared" si="13"/>
        <v>0</v>
      </c>
      <c r="AY17" s="10">
        <f t="shared" si="13"/>
        <v>0</v>
      </c>
      <c r="AZ17" s="10">
        <f t="shared" ref="AZ17:BK17" si="14">SUM(AZ14:AZ16)</f>
        <v>1218630.3272754978</v>
      </c>
      <c r="BA17" s="10">
        <f t="shared" si="14"/>
        <v>1236361.932501147</v>
      </c>
      <c r="BB17" s="10">
        <f t="shared" si="14"/>
        <v>1258778.6073571276</v>
      </c>
      <c r="BC17" s="10">
        <f t="shared" si="14"/>
        <v>1290300.1513020957</v>
      </c>
      <c r="BD17" s="10">
        <f t="shared" si="14"/>
        <v>1327415.1884425383</v>
      </c>
      <c r="BE17" s="10">
        <f t="shared" si="14"/>
        <v>1359926.8774491332</v>
      </c>
      <c r="BF17" s="10">
        <f t="shared" si="14"/>
        <v>1379807.3604207372</v>
      </c>
      <c r="BG17" s="10">
        <f t="shared" si="14"/>
        <v>1397603.7226518309</v>
      </c>
      <c r="BH17" s="10">
        <f t="shared" si="14"/>
        <v>1423252.7040512355</v>
      </c>
      <c r="BI17" s="10">
        <f t="shared" si="14"/>
        <v>1451949.7182437617</v>
      </c>
      <c r="BJ17" s="10">
        <f t="shared" si="14"/>
        <v>1473717.0838526187</v>
      </c>
      <c r="BK17" s="10">
        <f t="shared" si="14"/>
        <v>1485661.3641271018</v>
      </c>
      <c r="BO17" s="23">
        <f>SUM(BO14:BO16)</f>
        <v>1245653.57</v>
      </c>
      <c r="BP17" s="23">
        <f t="shared" ref="BP17:BT17" si="15">SUM(BP14:BP16)</f>
        <v>1237923.6223779244</v>
      </c>
      <c r="BQ17" s="23">
        <f t="shared" si="15"/>
        <v>1226648.7150000001</v>
      </c>
      <c r="BR17" s="23">
        <f t="shared" si="15"/>
        <v>945296.76963806327</v>
      </c>
      <c r="BS17" s="23">
        <f t="shared" si="15"/>
        <v>968256.75606746983</v>
      </c>
      <c r="BT17" s="23">
        <f t="shared" si="15"/>
        <v>794413.78392339998</v>
      </c>
      <c r="BW17" s="23">
        <f>SUM(BW14:BW16)</f>
        <v>3736960.71</v>
      </c>
      <c r="BX17" s="23">
        <f t="shared" ref="BX17:CB17" si="16">SUM(BX14:BX16)</f>
        <v>3713770.8671337729</v>
      </c>
      <c r="BY17" s="23">
        <f t="shared" si="16"/>
        <v>2453297.4300000002</v>
      </c>
      <c r="BZ17" s="23">
        <f t="shared" si="16"/>
        <v>2835890.3089141897</v>
      </c>
      <c r="CA17" s="23">
        <f t="shared" si="16"/>
        <v>2904770.2682024096</v>
      </c>
      <c r="CB17" s="23">
        <f t="shared" si="16"/>
        <v>2383241.3517701998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11"/>
      <c r="C20" s="2" t="s">
        <v>0</v>
      </c>
      <c r="D20" s="14">
        <f>IFERROR(((1+D38/D14)^(360/D$3))-1,0)</f>
        <v>0.14684462224597561</v>
      </c>
      <c r="E20" s="14">
        <f t="shared" ref="E20:AY23" si="17">IFERROR(((1+E38/E14)^(360/E$3))-1,0)</f>
        <v>0.14577820985977619</v>
      </c>
      <c r="F20" s="14">
        <f t="shared" si="17"/>
        <v>0.14992095015196316</v>
      </c>
      <c r="G20" s="14">
        <f t="shared" si="17"/>
        <v>0.15175614782603919</v>
      </c>
      <c r="H20" s="14">
        <f t="shared" si="17"/>
        <v>0.15565592207986234</v>
      </c>
      <c r="I20" s="14">
        <f t="shared" si="17"/>
        <v>0.15667067930748813</v>
      </c>
      <c r="J20" s="14">
        <f t="shared" si="17"/>
        <v>0.156904078641807</v>
      </c>
      <c r="K20" s="14">
        <f t="shared" si="17"/>
        <v>0.15751312578507237</v>
      </c>
      <c r="L20" s="14">
        <f t="shared" si="17"/>
        <v>0.15682842573037026</v>
      </c>
      <c r="M20" s="14">
        <f t="shared" si="17"/>
        <v>0.15608806903746864</v>
      </c>
      <c r="N20" s="14">
        <f t="shared" si="17"/>
        <v>0.15451787881543688</v>
      </c>
      <c r="O20" s="14">
        <f t="shared" si="17"/>
        <v>0.15276565725771341</v>
      </c>
      <c r="P20" s="14">
        <f t="shared" si="17"/>
        <v>0.15032543875902449</v>
      </c>
      <c r="Q20" s="14">
        <f t="shared" si="17"/>
        <v>0.1476196429657457</v>
      </c>
      <c r="R20" s="14">
        <f t="shared" si="17"/>
        <v>0.14595147783867923</v>
      </c>
      <c r="S20" s="14">
        <f t="shared" si="17"/>
        <v>0.14617059698942669</v>
      </c>
      <c r="T20" s="14">
        <f t="shared" si="17"/>
        <v>0.14722259567078511</v>
      </c>
      <c r="U20" s="14">
        <f t="shared" si="17"/>
        <v>0.14617164485348311</v>
      </c>
      <c r="V20" s="14">
        <f t="shared" si="17"/>
        <v>0.14748430811602442</v>
      </c>
      <c r="W20" s="14">
        <f t="shared" si="17"/>
        <v>0.14641548687874129</v>
      </c>
      <c r="X20" s="14">
        <f t="shared" si="17"/>
        <v>0.14567556902032663</v>
      </c>
      <c r="Y20" s="14">
        <f t="shared" si="17"/>
        <v>0.14368838071351897</v>
      </c>
      <c r="Z20" s="14">
        <f t="shared" si="17"/>
        <v>0.14226740975125596</v>
      </c>
      <c r="AA20" s="14">
        <f t="shared" si="17"/>
        <v>0.1425199009600413</v>
      </c>
      <c r="AB20" s="14">
        <f t="shared" si="17"/>
        <v>0.14239358438026883</v>
      </c>
      <c r="AC20" s="14">
        <f t="shared" si="17"/>
        <v>0.14102685479560084</v>
      </c>
      <c r="AD20" s="14">
        <f t="shared" si="17"/>
        <v>0.13988549705058451</v>
      </c>
      <c r="AE20" s="14">
        <f t="shared" si="17"/>
        <v>0.13975367238653269</v>
      </c>
      <c r="AF20" s="14">
        <f t="shared" si="17"/>
        <v>0.13867711172336605</v>
      </c>
      <c r="AG20" s="14">
        <f t="shared" si="17"/>
        <v>0.13798895604021877</v>
      </c>
      <c r="AH20" s="14">
        <f t="shared" si="17"/>
        <v>0.13793041018608387</v>
      </c>
      <c r="AI20" s="14">
        <f t="shared" si="17"/>
        <v>0.13773356990173857</v>
      </c>
      <c r="AJ20" s="14">
        <f t="shared" si="17"/>
        <v>0.13758356161236307</v>
      </c>
      <c r="AK20" s="14">
        <f t="shared" si="17"/>
        <v>0.13738022842199982</v>
      </c>
      <c r="AL20" s="14">
        <f t="shared" si="17"/>
        <v>0.13663185938521116</v>
      </c>
      <c r="AM20" s="14">
        <f t="shared" si="17"/>
        <v>0.13643167339199769</v>
      </c>
      <c r="AN20" s="14">
        <f t="shared" si="17"/>
        <v>0.13612809688605743</v>
      </c>
      <c r="AO20" s="14">
        <f t="shared" si="17"/>
        <v>0.1355423222944081</v>
      </c>
      <c r="AP20" s="14">
        <f t="shared" si="17"/>
        <v>0.13337173528128976</v>
      </c>
      <c r="AQ20" s="14">
        <f t="shared" si="17"/>
        <v>0.13086883837081498</v>
      </c>
      <c r="AR20" s="14">
        <f t="shared" si="17"/>
        <v>0.12957335563763017</v>
      </c>
      <c r="AS20" s="14">
        <f t="shared" si="17"/>
        <v>0.12742251169920871</v>
      </c>
      <c r="AT20" s="14">
        <f t="shared" si="17"/>
        <v>0</v>
      </c>
      <c r="AU20" s="14">
        <f t="shared" si="17"/>
        <v>0</v>
      </c>
      <c r="AV20" s="14">
        <f t="shared" si="17"/>
        <v>0</v>
      </c>
      <c r="AW20" s="14">
        <f t="shared" si="17"/>
        <v>0</v>
      </c>
      <c r="AX20" s="14">
        <f t="shared" si="17"/>
        <v>0</v>
      </c>
      <c r="AY20" s="14">
        <f t="shared" si="17"/>
        <v>0</v>
      </c>
      <c r="AZ20" s="14">
        <f t="shared" ref="AZ20:BK20" si="18">IFERROR(((1+AZ38/AZ14)^(360/AZ$3))-1,0)</f>
        <v>0.13923759481827669</v>
      </c>
      <c r="BA20" s="14">
        <f t="shared" si="18"/>
        <v>0.1387608921718555</v>
      </c>
      <c r="BB20" s="14">
        <f t="shared" si="18"/>
        <v>0.13998899499341055</v>
      </c>
      <c r="BC20" s="14">
        <f t="shared" si="18"/>
        <v>0.14143100793304586</v>
      </c>
      <c r="BD20" s="14">
        <f t="shared" si="18"/>
        <v>0.14219046939254643</v>
      </c>
      <c r="BE20" s="14">
        <f t="shared" si="18"/>
        <v>0.14292468515810364</v>
      </c>
      <c r="BF20" s="14">
        <f t="shared" si="18"/>
        <v>0.14418219678330302</v>
      </c>
      <c r="BG20" s="14">
        <f t="shared" si="18"/>
        <v>0.14547059369937276</v>
      </c>
      <c r="BH20" s="14">
        <f t="shared" si="18"/>
        <v>0.14617402953941294</v>
      </c>
      <c r="BI20" s="14">
        <f t="shared" si="18"/>
        <v>0.14744127085551151</v>
      </c>
      <c r="BJ20" s="14">
        <f t="shared" si="18"/>
        <v>0.14809038892452309</v>
      </c>
      <c r="BK20" s="14">
        <f t="shared" si="18"/>
        <v>0.1501135706733332</v>
      </c>
      <c r="BO20" s="28">
        <f>IFERROR(((1+BO38/BW14)^(360/BO$3))-1,0)</f>
        <v>0.13498924486783692</v>
      </c>
      <c r="BP20" s="28">
        <f t="shared" ref="BP20:BT23" si="19">IFERROR(((1+BP38/BX14)^(360/BP$3))-1,0)</f>
        <v>0.13936229331669336</v>
      </c>
      <c r="BQ20" s="28">
        <f t="shared" si="19"/>
        <v>0.13576506584923997</v>
      </c>
      <c r="BR20" s="28">
        <f t="shared" si="19"/>
        <v>0.14110028543491882</v>
      </c>
      <c r="BS20" s="28">
        <f t="shared" si="19"/>
        <v>0.14799361649615927</v>
      </c>
      <c r="BT20" s="28">
        <f t="shared" si="19"/>
        <v>0.14763102000039408</v>
      </c>
    </row>
    <row r="21" spans="1:80" hidden="1" outlineLevel="1" x14ac:dyDescent="0.25">
      <c r="A21" s="11"/>
      <c r="C21" s="2" t="s">
        <v>1</v>
      </c>
      <c r="D21" s="14">
        <f t="shared" ref="D21:S23" si="20">IFERROR(((1+D39/D15)^(360/D$3))-1,0)</f>
        <v>8.4123921408793434E-2</v>
      </c>
      <c r="E21" s="14">
        <f t="shared" si="20"/>
        <v>0.10152714567158316</v>
      </c>
      <c r="F21" s="14">
        <f t="shared" si="20"/>
        <v>0.18191094898708715</v>
      </c>
      <c r="G21" s="14">
        <f t="shared" si="20"/>
        <v>0.15732796778794333</v>
      </c>
      <c r="H21" s="14">
        <f t="shared" si="20"/>
        <v>0.11428738623297474</v>
      </c>
      <c r="I21" s="14">
        <f t="shared" si="20"/>
        <v>4.5780532898012982E-2</v>
      </c>
      <c r="J21" s="14">
        <f t="shared" si="20"/>
        <v>0.16827646920440475</v>
      </c>
      <c r="K21" s="14">
        <f t="shared" si="20"/>
        <v>5.4092841238932099E-2</v>
      </c>
      <c r="L21" s="14">
        <f t="shared" si="20"/>
        <v>0.13839479205393501</v>
      </c>
      <c r="M21" s="14">
        <f t="shared" si="20"/>
        <v>0.11634336415502911</v>
      </c>
      <c r="N21" s="14">
        <f t="shared" si="20"/>
        <v>8.4687142275741367E-2</v>
      </c>
      <c r="O21" s="14">
        <f t="shared" si="20"/>
        <v>8.6724613316382371E-2</v>
      </c>
      <c r="P21" s="14">
        <f t="shared" si="20"/>
        <v>0.12282296765579637</v>
      </c>
      <c r="Q21" s="14">
        <f t="shared" si="20"/>
        <v>7.5253143131439604E-2</v>
      </c>
      <c r="R21" s="14">
        <f t="shared" si="20"/>
        <v>9.0201377787479498E-2</v>
      </c>
      <c r="S21" s="14">
        <f t="shared" si="20"/>
        <v>7.9290105287251222E-2</v>
      </c>
      <c r="T21" s="14">
        <f t="shared" si="17"/>
        <v>8.2437971982115554E-2</v>
      </c>
      <c r="U21" s="14">
        <f t="shared" si="17"/>
        <v>7.9820535501993195E-2</v>
      </c>
      <c r="V21" s="14">
        <f t="shared" si="17"/>
        <v>6.574790527966301E-2</v>
      </c>
      <c r="W21" s="14">
        <f t="shared" si="17"/>
        <v>6.1598661013376299E-2</v>
      </c>
      <c r="X21" s="14">
        <f t="shared" si="17"/>
        <v>6.2852554205127475E-2</v>
      </c>
      <c r="Y21" s="14">
        <f t="shared" si="17"/>
        <v>6.0003757976430094E-2</v>
      </c>
      <c r="Z21" s="14">
        <f t="shared" si="17"/>
        <v>6.638638522750373E-2</v>
      </c>
      <c r="AA21" s="14">
        <f t="shared" si="17"/>
        <v>8.0694726962756258E-2</v>
      </c>
      <c r="AB21" s="14">
        <f t="shared" si="17"/>
        <v>8.6779033700949304E-2</v>
      </c>
      <c r="AC21" s="14">
        <f t="shared" si="17"/>
        <v>7.5451758418118686E-2</v>
      </c>
      <c r="AD21" s="14">
        <f t="shared" si="17"/>
        <v>7.4934642317869615E-2</v>
      </c>
      <c r="AE21" s="14">
        <f t="shared" si="17"/>
        <v>7.4910626768469823E-2</v>
      </c>
      <c r="AF21" s="14">
        <f t="shared" si="17"/>
        <v>8.8499424938661031E-2</v>
      </c>
      <c r="AG21" s="14">
        <f t="shared" si="17"/>
        <v>7.3042680843393493E-2</v>
      </c>
      <c r="AH21" s="14">
        <f t="shared" si="17"/>
        <v>9.0268003714211398E-2</v>
      </c>
      <c r="AI21" s="14">
        <f t="shared" si="17"/>
        <v>7.8673243176327734E-2</v>
      </c>
      <c r="AJ21" s="14">
        <f t="shared" si="17"/>
        <v>6.7994773237949779E-2</v>
      </c>
      <c r="AK21" s="14">
        <f t="shared" si="17"/>
        <v>8.0518922882305555E-2</v>
      </c>
      <c r="AL21" s="14">
        <f t="shared" si="17"/>
        <v>6.6239472449981074E-2</v>
      </c>
      <c r="AM21" s="14">
        <f t="shared" si="17"/>
        <v>8.4541790750051193E-2</v>
      </c>
      <c r="AN21" s="14">
        <f t="shared" si="17"/>
        <v>7.2117958499031021E-2</v>
      </c>
      <c r="AO21" s="14">
        <f t="shared" si="17"/>
        <v>5.6392259271879297E-2</v>
      </c>
      <c r="AP21" s="14">
        <f t="shared" si="17"/>
        <v>7.8614542859486214E-2</v>
      </c>
      <c r="AQ21" s="14">
        <f t="shared" si="17"/>
        <v>7.4039769466371919E-2</v>
      </c>
      <c r="AR21" s="14">
        <f t="shared" si="17"/>
        <v>6.7473686308174852E-2</v>
      </c>
      <c r="AS21" s="14">
        <f t="shared" si="17"/>
        <v>8.1716238218434878E-2</v>
      </c>
      <c r="AT21" s="14">
        <f t="shared" si="17"/>
        <v>0</v>
      </c>
      <c r="AU21" s="14">
        <f t="shared" si="17"/>
        <v>0</v>
      </c>
      <c r="AV21" s="14">
        <f t="shared" si="17"/>
        <v>0</v>
      </c>
      <c r="AW21" s="14">
        <f t="shared" si="17"/>
        <v>0</v>
      </c>
      <c r="AX21" s="14">
        <f t="shared" si="17"/>
        <v>0</v>
      </c>
      <c r="AY21" s="14">
        <f t="shared" si="17"/>
        <v>0</v>
      </c>
      <c r="AZ21" s="14">
        <f t="shared" ref="AZ21:BK21" si="21">IFERROR(((1+AZ39/AZ15)^(360/AZ$3))-1,0)</f>
        <v>7.6731936090302932E-2</v>
      </c>
      <c r="BA21" s="14">
        <f t="shared" si="21"/>
        <v>7.5745338208507151E-2</v>
      </c>
      <c r="BB21" s="14">
        <f t="shared" si="21"/>
        <v>7.5746856716960798E-2</v>
      </c>
      <c r="BC21" s="14">
        <f t="shared" si="21"/>
        <v>7.607471033859059E-2</v>
      </c>
      <c r="BD21" s="14">
        <f t="shared" si="21"/>
        <v>7.5855635088020401E-2</v>
      </c>
      <c r="BE21" s="14">
        <f t="shared" si="21"/>
        <v>7.5892400714522745E-2</v>
      </c>
      <c r="BF21" s="14">
        <f t="shared" si="21"/>
        <v>7.5940915380377172E-2</v>
      </c>
      <c r="BG21" s="14">
        <f t="shared" si="21"/>
        <v>7.5896317060973439E-2</v>
      </c>
      <c r="BH21" s="14">
        <f t="shared" si="21"/>
        <v>7.590987771862312E-2</v>
      </c>
      <c r="BI21" s="14">
        <f t="shared" si="21"/>
        <v>7.5915703386657318E-2</v>
      </c>
      <c r="BJ21" s="14">
        <f t="shared" si="21"/>
        <v>7.5907299388751071E-2</v>
      </c>
      <c r="BK21" s="14">
        <f t="shared" si="21"/>
        <v>7.5910960164679242E-2</v>
      </c>
      <c r="BO21" s="28">
        <f t="shared" ref="BO21:BO23" si="22">IFERROR(((1+BO39/BW15)^(360/BO$3))-1,0)</f>
        <v>6.9285813959903075E-2</v>
      </c>
      <c r="BP21" s="28">
        <f t="shared" si="19"/>
        <v>7.6103943958470976E-2</v>
      </c>
      <c r="BQ21" s="28">
        <f t="shared" si="19"/>
        <v>6.4654635772394276E-2</v>
      </c>
      <c r="BR21" s="28">
        <f t="shared" si="19"/>
        <v>7.8986369431682357E-2</v>
      </c>
      <c r="BS21" s="28">
        <f t="shared" si="19"/>
        <v>9.5141039379764036E-2</v>
      </c>
      <c r="BT21" s="28">
        <f t="shared" si="19"/>
        <v>0.12164116958431959</v>
      </c>
    </row>
    <row r="22" spans="1:80" hidden="1" outlineLevel="1" x14ac:dyDescent="0.25">
      <c r="A22" s="11"/>
      <c r="C22" s="2" t="s">
        <v>45</v>
      </c>
      <c r="D22" s="14">
        <f t="shared" si="20"/>
        <v>0.29065218878180343</v>
      </c>
      <c r="E22" s="14">
        <f t="shared" si="17"/>
        <v>9.7809289892533124E-2</v>
      </c>
      <c r="F22" s="14">
        <f t="shared" si="17"/>
        <v>0.40320496949301332</v>
      </c>
      <c r="G22" s="14">
        <f t="shared" si="17"/>
        <v>0.32785303672816268</v>
      </c>
      <c r="H22" s="14">
        <f t="shared" si="17"/>
        <v>0.2852254057835899</v>
      </c>
      <c r="I22" s="14">
        <f t="shared" si="17"/>
        <v>0.52701912560567354</v>
      </c>
      <c r="J22" s="14">
        <f t="shared" si="17"/>
        <v>0.50508660875461286</v>
      </c>
      <c r="K22" s="14">
        <f t="shared" si="17"/>
        <v>0.38257349419218367</v>
      </c>
      <c r="L22" s="14">
        <f t="shared" si="17"/>
        <v>0.26379684796270397</v>
      </c>
      <c r="M22" s="14">
        <f t="shared" si="17"/>
        <v>0.30942399086466477</v>
      </c>
      <c r="N22" s="14">
        <f t="shared" si="17"/>
        <v>0.37759649319905186</v>
      </c>
      <c r="O22" s="14">
        <f t="shared" si="17"/>
        <v>0.28926984320536353</v>
      </c>
      <c r="P22" s="14">
        <f t="shared" si="17"/>
        <v>0.23341111413059235</v>
      </c>
      <c r="Q22" s="14">
        <f t="shared" si="17"/>
        <v>0.16912601591573995</v>
      </c>
      <c r="R22" s="14">
        <f t="shared" si="17"/>
        <v>0.12521046656654455</v>
      </c>
      <c r="S22" s="14">
        <f t="shared" si="17"/>
        <v>0.13845310699799307</v>
      </c>
      <c r="T22" s="14">
        <f t="shared" si="17"/>
        <v>7.1534056254177747E-2</v>
      </c>
      <c r="U22" s="14">
        <f t="shared" si="17"/>
        <v>6.2947838938103962E-2</v>
      </c>
      <c r="V22" s="14">
        <f t="shared" si="17"/>
        <v>6.4528695125565028E-2</v>
      </c>
      <c r="W22" s="14">
        <f t="shared" si="17"/>
        <v>5.028935342488472E-2</v>
      </c>
      <c r="X22" s="14">
        <f t="shared" si="17"/>
        <v>6.137474669470544E-2</v>
      </c>
      <c r="Y22" s="14">
        <f t="shared" si="17"/>
        <v>6.5013657547896564E-2</v>
      </c>
      <c r="Z22" s="14">
        <f t="shared" si="17"/>
        <v>7.0523074644590178E-2</v>
      </c>
      <c r="AA22" s="14">
        <f t="shared" si="17"/>
        <v>7.8354188010397952E-2</v>
      </c>
      <c r="AB22" s="14">
        <f t="shared" si="17"/>
        <v>5.8474110497780396E-2</v>
      </c>
      <c r="AC22" s="14">
        <f t="shared" si="17"/>
        <v>7.5070620995808524E-2</v>
      </c>
      <c r="AD22" s="14">
        <f t="shared" si="17"/>
        <v>0.15390506344879973</v>
      </c>
      <c r="AE22" s="14">
        <f t="shared" si="17"/>
        <v>0.15486839816004805</v>
      </c>
      <c r="AF22" s="14">
        <f t="shared" si="17"/>
        <v>0.12491464937639019</v>
      </c>
      <c r="AG22" s="14">
        <f t="shared" si="17"/>
        <v>0.10812507977777019</v>
      </c>
      <c r="AH22" s="14">
        <f t="shared" si="17"/>
        <v>0.10747427532967802</v>
      </c>
      <c r="AI22" s="14">
        <f t="shared" si="17"/>
        <v>0.11703262607683418</v>
      </c>
      <c r="AJ22" s="14">
        <f t="shared" si="17"/>
        <v>0.13083101893854243</v>
      </c>
      <c r="AK22" s="14">
        <f t="shared" si="17"/>
        <v>0.10141800567999493</v>
      </c>
      <c r="AL22" s="14">
        <f t="shared" si="17"/>
        <v>0.15391963555009069</v>
      </c>
      <c r="AM22" s="14">
        <f t="shared" si="17"/>
        <v>0.13890748795951979</v>
      </c>
      <c r="AN22" s="14">
        <f t="shared" si="17"/>
        <v>9.6071110033155493E-2</v>
      </c>
      <c r="AO22" s="14">
        <f t="shared" si="17"/>
        <v>0.10670921607286887</v>
      </c>
      <c r="AP22" s="14">
        <f t="shared" si="17"/>
        <v>0.10419811692543246</v>
      </c>
      <c r="AQ22" s="14">
        <f t="shared" si="17"/>
        <v>0.10370671008358223</v>
      </c>
      <c r="AR22" s="14">
        <f t="shared" si="17"/>
        <v>0.12166668221924981</v>
      </c>
      <c r="AS22" s="14">
        <f t="shared" si="17"/>
        <v>8.3991306368100149E-2</v>
      </c>
      <c r="AT22" s="14">
        <f t="shared" si="17"/>
        <v>0</v>
      </c>
      <c r="AU22" s="14">
        <f t="shared" si="17"/>
        <v>0</v>
      </c>
      <c r="AV22" s="14">
        <f t="shared" si="17"/>
        <v>0</v>
      </c>
      <c r="AW22" s="14">
        <f t="shared" si="17"/>
        <v>0</v>
      </c>
      <c r="AX22" s="14">
        <f t="shared" si="17"/>
        <v>0</v>
      </c>
      <c r="AY22" s="14">
        <f t="shared" si="17"/>
        <v>0</v>
      </c>
      <c r="AZ22" s="14">
        <f t="shared" ref="AZ22:BK22" si="23">IFERROR(((1+AZ40/AZ16)^(360/AZ$3))-1,0)</f>
        <v>0.11148038974932106</v>
      </c>
      <c r="BA22" s="14">
        <f t="shared" si="23"/>
        <v>0.12445596489277455</v>
      </c>
      <c r="BB22" s="14">
        <f t="shared" si="23"/>
        <v>0.11146945106595796</v>
      </c>
      <c r="BC22" s="14">
        <f t="shared" si="23"/>
        <v>0.11549732800941648</v>
      </c>
      <c r="BD22" s="14">
        <f t="shared" si="23"/>
        <v>0.11160148967551731</v>
      </c>
      <c r="BE22" s="14">
        <f t="shared" si="23"/>
        <v>0.11547261660037988</v>
      </c>
      <c r="BF22" s="14">
        <f t="shared" si="23"/>
        <v>0.11157336203055057</v>
      </c>
      <c r="BG22" s="14">
        <f t="shared" si="23"/>
        <v>0.11157407818705312</v>
      </c>
      <c r="BH22" s="14">
        <f t="shared" si="23"/>
        <v>0.11549082363503649</v>
      </c>
      <c r="BI22" s="14">
        <f t="shared" si="23"/>
        <v>0.11157079378596069</v>
      </c>
      <c r="BJ22" s="14">
        <f t="shared" si="23"/>
        <v>0.11549600496631163</v>
      </c>
      <c r="BK22" s="14">
        <f t="shared" si="23"/>
        <v>0.11156855754829809</v>
      </c>
      <c r="BO22" s="28">
        <f t="shared" si="22"/>
        <v>0.1021958364191673</v>
      </c>
      <c r="BP22" s="28">
        <f t="shared" si="19"/>
        <v>0.11549993421456906</v>
      </c>
      <c r="BQ22" s="28">
        <f t="shared" si="19"/>
        <v>0.10110399708243056</v>
      </c>
      <c r="BR22" s="28">
        <f t="shared" si="19"/>
        <v>8.7851658018260892E-2</v>
      </c>
      <c r="BS22" s="28">
        <f t="shared" si="19"/>
        <v>0.16250357001708826</v>
      </c>
      <c r="BT22" s="28">
        <f t="shared" si="19"/>
        <v>0.26258262448716274</v>
      </c>
    </row>
    <row r="23" spans="1:80" collapsed="1" x14ac:dyDescent="0.25">
      <c r="C23" s="3" t="s">
        <v>59</v>
      </c>
      <c r="D23" s="15">
        <f t="shared" si="20"/>
        <v>0.14697633148054856</v>
      </c>
      <c r="E23" s="15">
        <f t="shared" si="17"/>
        <v>0.14570606298558508</v>
      </c>
      <c r="F23" s="15">
        <f t="shared" si="17"/>
        <v>0.1501633467710064</v>
      </c>
      <c r="G23" s="15">
        <f t="shared" si="17"/>
        <v>0.15190978888200091</v>
      </c>
      <c r="H23" s="15">
        <f t="shared" si="17"/>
        <v>0.155740417190672</v>
      </c>
      <c r="I23" s="15">
        <f t="shared" si="17"/>
        <v>0.15693700237853547</v>
      </c>
      <c r="J23" s="15">
        <f t="shared" si="17"/>
        <v>0.15722777557045564</v>
      </c>
      <c r="K23" s="15">
        <f t="shared" si="17"/>
        <v>0.15777380441645605</v>
      </c>
      <c r="L23" s="15">
        <f t="shared" si="17"/>
        <v>0.1570002192625799</v>
      </c>
      <c r="M23" s="15">
        <f t="shared" si="17"/>
        <v>0.15638115397910779</v>
      </c>
      <c r="N23" s="15">
        <f t="shared" si="17"/>
        <v>0.15496591318541086</v>
      </c>
      <c r="O23" s="15">
        <f t="shared" si="17"/>
        <v>0.15308926113430155</v>
      </c>
      <c r="P23" s="15">
        <f t="shared" si="17"/>
        <v>0.15062371174124323</v>
      </c>
      <c r="Q23" s="15">
        <f t="shared" si="17"/>
        <v>0.14769191501188783</v>
      </c>
      <c r="R23" s="15">
        <f t="shared" si="17"/>
        <v>0.145761012637867</v>
      </c>
      <c r="S23" s="15">
        <f t="shared" si="17"/>
        <v>0.14601236484089131</v>
      </c>
      <c r="T23" s="15">
        <f t="shared" si="17"/>
        <v>0.1453563622925258</v>
      </c>
      <c r="U23" s="15">
        <f t="shared" si="17"/>
        <v>0.1437422906588417</v>
      </c>
      <c r="V23" s="15">
        <f t="shared" si="17"/>
        <v>0.14514216835841554</v>
      </c>
      <c r="W23" s="15">
        <f t="shared" si="17"/>
        <v>0.14393178677148688</v>
      </c>
      <c r="X23" s="15">
        <f t="shared" si="17"/>
        <v>0.14346087703439125</v>
      </c>
      <c r="Y23" s="15">
        <f t="shared" si="17"/>
        <v>0.14197408327086203</v>
      </c>
      <c r="Z23" s="15">
        <f t="shared" si="17"/>
        <v>0.14088110940470377</v>
      </c>
      <c r="AA23" s="15">
        <f t="shared" si="17"/>
        <v>0.14150241264524688</v>
      </c>
      <c r="AB23" s="15">
        <f t="shared" si="17"/>
        <v>0.14092306551373346</v>
      </c>
      <c r="AC23" s="15">
        <f t="shared" si="17"/>
        <v>0.1399673410205704</v>
      </c>
      <c r="AD23" s="15">
        <f t="shared" si="17"/>
        <v>0.13985196505353747</v>
      </c>
      <c r="AE23" s="15">
        <f t="shared" si="17"/>
        <v>0.13971549350341195</v>
      </c>
      <c r="AF23" s="15">
        <f t="shared" si="17"/>
        <v>0.13844930236824515</v>
      </c>
      <c r="AG23" s="15">
        <f t="shared" si="17"/>
        <v>0.13757763113457044</v>
      </c>
      <c r="AH23" s="15">
        <f t="shared" si="17"/>
        <v>0.13755114893102283</v>
      </c>
      <c r="AI23" s="15">
        <f t="shared" si="17"/>
        <v>0.13737511311095529</v>
      </c>
      <c r="AJ23" s="15">
        <f t="shared" si="17"/>
        <v>0.13731659996815937</v>
      </c>
      <c r="AK23" s="15">
        <f t="shared" si="17"/>
        <v>0.13684907263475465</v>
      </c>
      <c r="AL23" s="15">
        <f t="shared" si="17"/>
        <v>0.13658974013688718</v>
      </c>
      <c r="AM23" s="15">
        <f t="shared" si="17"/>
        <v>0.13632049334798513</v>
      </c>
      <c r="AN23" s="15">
        <f t="shared" si="17"/>
        <v>0.13550073832684872</v>
      </c>
      <c r="AO23" s="15">
        <f t="shared" si="17"/>
        <v>0.13499605724349961</v>
      </c>
      <c r="AP23" s="15">
        <f t="shared" si="17"/>
        <v>0.1329124372701147</v>
      </c>
      <c r="AQ23" s="15">
        <f t="shared" si="17"/>
        <v>0.13043261685606145</v>
      </c>
      <c r="AR23" s="15">
        <f t="shared" si="17"/>
        <v>0.12933462812695096</v>
      </c>
      <c r="AS23" s="15">
        <f t="shared" si="17"/>
        <v>0.12681364254999083</v>
      </c>
      <c r="AT23" s="15">
        <f t="shared" si="17"/>
        <v>0</v>
      </c>
      <c r="AU23" s="15">
        <f t="shared" si="17"/>
        <v>0</v>
      </c>
      <c r="AV23" s="15">
        <f t="shared" si="17"/>
        <v>0</v>
      </c>
      <c r="AW23" s="15">
        <f t="shared" si="17"/>
        <v>0</v>
      </c>
      <c r="AX23" s="15">
        <f t="shared" si="17"/>
        <v>0</v>
      </c>
      <c r="AY23" s="15">
        <f t="shared" si="17"/>
        <v>0</v>
      </c>
      <c r="AZ23" s="15">
        <f t="shared" ref="AZ23:BK23" si="24">IFERROR(((1+AZ41/AZ17)^(360/AZ$3))-1,0)</f>
        <v>0.1388214514491235</v>
      </c>
      <c r="BA23" s="15">
        <f t="shared" si="24"/>
        <v>0.13847476986403029</v>
      </c>
      <c r="BB23" s="15">
        <f t="shared" si="24"/>
        <v>0.13956885139396413</v>
      </c>
      <c r="BC23" s="15">
        <f t="shared" si="24"/>
        <v>0.141051072930785</v>
      </c>
      <c r="BD23" s="15">
        <f t="shared" si="24"/>
        <v>0.14177158922927191</v>
      </c>
      <c r="BE23" s="15">
        <f t="shared" si="24"/>
        <v>0.14254873633899812</v>
      </c>
      <c r="BF23" s="15">
        <f t="shared" si="24"/>
        <v>0.14376893199673302</v>
      </c>
      <c r="BG23" s="15">
        <f t="shared" si="24"/>
        <v>0.14503724669814222</v>
      </c>
      <c r="BH23" s="15">
        <f t="shared" si="24"/>
        <v>0.14576239399108371</v>
      </c>
      <c r="BI23" s="15">
        <f t="shared" si="24"/>
        <v>0.14697066968369032</v>
      </c>
      <c r="BJ23" s="15">
        <f t="shared" si="24"/>
        <v>0.14765321533911235</v>
      </c>
      <c r="BK23" s="15">
        <f t="shared" si="24"/>
        <v>0.14960640630670796</v>
      </c>
      <c r="BO23" s="29">
        <f t="shared" si="22"/>
        <v>0.13444497355694685</v>
      </c>
      <c r="BP23" s="29">
        <f t="shared" si="19"/>
        <v>0.13898360085828831</v>
      </c>
      <c r="BQ23" s="29">
        <f t="shared" si="19"/>
        <v>0.13517539836516224</v>
      </c>
      <c r="BR23" s="29">
        <f t="shared" si="19"/>
        <v>0.14026185142876613</v>
      </c>
      <c r="BS23" s="29">
        <f t="shared" si="19"/>
        <v>0.14805316096113597</v>
      </c>
      <c r="BT23" s="29">
        <f t="shared" si="19"/>
        <v>0.14773857538843593</v>
      </c>
    </row>
    <row r="26" spans="1:80" hidden="1" outlineLevel="1" x14ac:dyDescent="0.25">
      <c r="A26" s="11"/>
      <c r="C26" s="2" t="s">
        <v>0</v>
      </c>
      <c r="D26" s="14">
        <f>-IFERROR(((1-D44/D14)^(360/D$4))-1,0)</f>
        <v>-6.9290433565797782E-2</v>
      </c>
      <c r="E26" s="14">
        <f t="shared" ref="E26:AY29" si="25">-IFERROR(((1-E44/E14)^(360/E$4))-1,0)</f>
        <v>-7.1452023328709258E-2</v>
      </c>
      <c r="F26" s="14">
        <f t="shared" si="25"/>
        <v>-7.3224019782430316E-2</v>
      </c>
      <c r="G26" s="14">
        <f t="shared" si="25"/>
        <v>-7.4364303038647828E-2</v>
      </c>
      <c r="H26" s="14">
        <f t="shared" si="25"/>
        <v>-7.5084159283325347E-2</v>
      </c>
      <c r="I26" s="14">
        <f t="shared" si="25"/>
        <v>-7.6090540722210331E-2</v>
      </c>
      <c r="J26" s="14">
        <f t="shared" si="25"/>
        <v>-7.6161572015439161E-2</v>
      </c>
      <c r="K26" s="14">
        <f t="shared" si="25"/>
        <v>-7.6057850974733388E-2</v>
      </c>
      <c r="L26" s="14">
        <f t="shared" si="25"/>
        <v>-7.6670649332439167E-2</v>
      </c>
      <c r="M26" s="14">
        <f t="shared" si="25"/>
        <v>-7.7031142728267943E-2</v>
      </c>
      <c r="N26" s="14">
        <f t="shared" si="25"/>
        <v>-7.7355926499346861E-2</v>
      </c>
      <c r="O26" s="14">
        <f t="shared" si="25"/>
        <v>-7.7449640292390542E-2</v>
      </c>
      <c r="P26" s="14">
        <f t="shared" si="25"/>
        <v>-7.7346152856315742E-2</v>
      </c>
      <c r="Q26" s="14">
        <f t="shared" si="25"/>
        <v>-7.7078647278757906E-2</v>
      </c>
      <c r="R26" s="14">
        <f t="shared" si="25"/>
        <v>-7.6751833890940535E-2</v>
      </c>
      <c r="S26" s="14">
        <f t="shared" si="25"/>
        <v>-7.6495074013142927E-2</v>
      </c>
      <c r="T26" s="14">
        <f t="shared" si="25"/>
        <v>-7.6299085121539045E-2</v>
      </c>
      <c r="U26" s="14">
        <f t="shared" si="25"/>
        <v>-7.5953079796336587E-2</v>
      </c>
      <c r="V26" s="14">
        <f t="shared" si="25"/>
        <v>-7.5557680600004229E-2</v>
      </c>
      <c r="W26" s="14">
        <f t="shared" si="25"/>
        <v>-7.4920359452412155E-2</v>
      </c>
      <c r="X26" s="14">
        <f t="shared" si="25"/>
        <v>-7.4192957917525559E-2</v>
      </c>
      <c r="Y26" s="14">
        <f t="shared" si="25"/>
        <v>-7.3270735534761489E-2</v>
      </c>
      <c r="Z26" s="14">
        <f t="shared" si="25"/>
        <v>-7.2371110138651051E-2</v>
      </c>
      <c r="AA26" s="14">
        <f t="shared" si="25"/>
        <v>-7.1364528556174811E-2</v>
      </c>
      <c r="AB26" s="14">
        <f t="shared" si="25"/>
        <v>-7.0619394348687248E-2</v>
      </c>
      <c r="AC26" s="14">
        <f t="shared" si="25"/>
        <v>-6.9712730620957508E-2</v>
      </c>
      <c r="AD26" s="14">
        <f t="shared" si="25"/>
        <v>-6.8035278743158178E-2</v>
      </c>
      <c r="AE26" s="14">
        <f t="shared" si="25"/>
        <v>-6.7384201432086233E-2</v>
      </c>
      <c r="AF26" s="14">
        <f t="shared" si="25"/>
        <v>-6.6551850915593347E-2</v>
      </c>
      <c r="AG26" s="14">
        <f t="shared" si="25"/>
        <v>-6.5595763716698618E-2</v>
      </c>
      <c r="AH26" s="14">
        <f t="shared" si="25"/>
        <v>-6.4724638600480056E-2</v>
      </c>
      <c r="AI26" s="14">
        <f t="shared" si="25"/>
        <v>-6.3931209347773521E-2</v>
      </c>
      <c r="AJ26" s="14">
        <f t="shared" si="25"/>
        <v>-6.3324497624429377E-2</v>
      </c>
      <c r="AK26" s="14">
        <f t="shared" si="25"/>
        <v>-6.289197851304662E-2</v>
      </c>
      <c r="AL26" s="14">
        <f t="shared" si="25"/>
        <v>-6.2796001234046273E-2</v>
      </c>
      <c r="AM26" s="14">
        <f t="shared" si="25"/>
        <v>-6.2425112750343015E-2</v>
      </c>
      <c r="AN26" s="14">
        <f t="shared" si="25"/>
        <v>-6.2042187690569905E-2</v>
      </c>
      <c r="AO26" s="14">
        <f t="shared" si="25"/>
        <v>-6.1309999796131498E-2</v>
      </c>
      <c r="AP26" s="14">
        <f t="shared" si="25"/>
        <v>-6.0648606154461326E-2</v>
      </c>
      <c r="AQ26" s="14">
        <f t="shared" si="25"/>
        <v>-6.0553739821598729E-2</v>
      </c>
      <c r="AR26" s="14">
        <f t="shared" si="25"/>
        <v>-6.0664187463873587E-2</v>
      </c>
      <c r="AS26" s="14">
        <f t="shared" si="25"/>
        <v>-6.0294320831103976E-2</v>
      </c>
      <c r="AT26" s="14">
        <f t="shared" si="25"/>
        <v>0</v>
      </c>
      <c r="AU26" s="14">
        <f t="shared" si="25"/>
        <v>0</v>
      </c>
      <c r="AV26" s="14">
        <f t="shared" si="25"/>
        <v>0</v>
      </c>
      <c r="AW26" s="14">
        <f t="shared" si="25"/>
        <v>0</v>
      </c>
      <c r="AX26" s="14">
        <f t="shared" si="25"/>
        <v>0</v>
      </c>
      <c r="AY26" s="14">
        <f t="shared" si="25"/>
        <v>0</v>
      </c>
      <c r="AZ26" s="14">
        <f t="shared" ref="AZ26:BK26" si="26">-IFERROR(((1-AZ44/AZ14)^(360/AZ$4))-1,0)</f>
        <v>-6.328918373544079E-2</v>
      </c>
      <c r="BA26" s="14">
        <f t="shared" si="26"/>
        <v>-6.314460766680452E-2</v>
      </c>
      <c r="BB26" s="14">
        <f t="shared" si="26"/>
        <v>-6.2855810917683996E-2</v>
      </c>
      <c r="BC26" s="14">
        <f t="shared" si="26"/>
        <v>-6.2581650086686258E-2</v>
      </c>
      <c r="BD26" s="14">
        <f t="shared" si="26"/>
        <v>-6.2350939229867341E-2</v>
      </c>
      <c r="BE26" s="14">
        <f t="shared" si="26"/>
        <v>-6.2102327964248083E-2</v>
      </c>
      <c r="BF26" s="14">
        <f t="shared" si="26"/>
        <v>-6.187672093749419E-2</v>
      </c>
      <c r="BG26" s="14">
        <f t="shared" si="26"/>
        <v>-6.1691496453673E-2</v>
      </c>
      <c r="BH26" s="14">
        <f t="shared" si="26"/>
        <v>-6.1493449131435618E-2</v>
      </c>
      <c r="BI26" s="14">
        <f t="shared" si="26"/>
        <v>-6.1313071099132976E-2</v>
      </c>
      <c r="BJ26" s="14">
        <f t="shared" si="26"/>
        <v>-6.1156468874826286E-2</v>
      </c>
      <c r="BK26" s="14">
        <f t="shared" si="26"/>
        <v>-6.1015521080309831E-2</v>
      </c>
      <c r="BO26" s="28">
        <f>-IFERROR(((1-BO44/BW14)^(360/BO$4))-1,0)</f>
        <v>-6.1329746459915846E-2</v>
      </c>
      <c r="BP26" s="28">
        <f t="shared" ref="BP26:BT29" si="27">-IFERROR(((1-BP44/BX14)^(360/BP$4))-1,0)</f>
        <v>-6.3096193002394108E-2</v>
      </c>
      <c r="BQ26" s="28">
        <f t="shared" si="27"/>
        <v>-6.1654180852179552E-2</v>
      </c>
      <c r="BR26" s="28">
        <f t="shared" si="27"/>
        <v>-6.9433476995628407E-2</v>
      </c>
      <c r="BS26" s="28">
        <f t="shared" si="27"/>
        <v>-7.7063853489315104E-2</v>
      </c>
      <c r="BT26" s="28">
        <f t="shared" si="27"/>
        <v>-7.1362786032386216E-2</v>
      </c>
    </row>
    <row r="27" spans="1:80" hidden="1" outlineLevel="1" x14ac:dyDescent="0.25">
      <c r="A27" s="11"/>
      <c r="C27" s="2" t="s">
        <v>1</v>
      </c>
      <c r="D27" s="14">
        <f t="shared" ref="D27:S29" si="28">-IFERROR(((1-D45/D15)^(360/D$4))-1,0)</f>
        <v>-5.8027663368075633E-2</v>
      </c>
      <c r="E27" s="14">
        <f t="shared" si="28"/>
        <v>-5.9708789905158044E-2</v>
      </c>
      <c r="F27" s="14">
        <f t="shared" si="28"/>
        <v>-6.0619819771056571E-2</v>
      </c>
      <c r="G27" s="14">
        <f t="shared" si="28"/>
        <v>-6.1257195461297043E-2</v>
      </c>
      <c r="H27" s="14">
        <f t="shared" si="28"/>
        <v>-6.7620098048776001E-2</v>
      </c>
      <c r="I27" s="14">
        <f t="shared" si="28"/>
        <v>-6.8376602580443091E-2</v>
      </c>
      <c r="J27" s="14">
        <f t="shared" si="28"/>
        <v>-6.4962232312353319E-2</v>
      </c>
      <c r="K27" s="14">
        <f t="shared" si="28"/>
        <v>-6.5091788983481225E-2</v>
      </c>
      <c r="L27" s="14">
        <f t="shared" si="28"/>
        <v>-7.1465104892735498E-2</v>
      </c>
      <c r="M27" s="14">
        <f t="shared" si="28"/>
        <v>-7.3473486735354365E-2</v>
      </c>
      <c r="N27" s="14">
        <f t="shared" si="28"/>
        <v>-7.3561451636883435E-2</v>
      </c>
      <c r="O27" s="14">
        <f t="shared" si="28"/>
        <v>-7.3739988132797585E-2</v>
      </c>
      <c r="P27" s="14">
        <f t="shared" si="28"/>
        <v>-7.3999274390193825E-2</v>
      </c>
      <c r="Q27" s="14">
        <f t="shared" si="28"/>
        <v>-7.4422093327504157E-2</v>
      </c>
      <c r="R27" s="14">
        <f t="shared" si="28"/>
        <v>-7.278838560152634E-2</v>
      </c>
      <c r="S27" s="14">
        <f t="shared" si="28"/>
        <v>-7.2824685975695136E-2</v>
      </c>
      <c r="T27" s="14">
        <f t="shared" si="25"/>
        <v>-7.3039152871255952E-2</v>
      </c>
      <c r="U27" s="14">
        <f t="shared" si="25"/>
        <v>-7.2449512525431858E-2</v>
      </c>
      <c r="V27" s="14">
        <f t="shared" si="25"/>
        <v>-7.1757232848209673E-2</v>
      </c>
      <c r="W27" s="14">
        <f t="shared" si="25"/>
        <v>-7.0956098105456E-2</v>
      </c>
      <c r="X27" s="14">
        <f t="shared" si="25"/>
        <v>-6.9808346127619325E-2</v>
      </c>
      <c r="Y27" s="14">
        <f t="shared" si="25"/>
        <v>-6.8417995820543531E-2</v>
      </c>
      <c r="Z27" s="14">
        <f t="shared" si="25"/>
        <v>-6.6941806947140137E-2</v>
      </c>
      <c r="AA27" s="14">
        <f t="shared" si="25"/>
        <v>-6.6155429407427135E-2</v>
      </c>
      <c r="AB27" s="14">
        <f t="shared" si="25"/>
        <v>-6.5915109052998799E-2</v>
      </c>
      <c r="AC27" s="14">
        <f t="shared" si="25"/>
        <v>-6.5748844570551856E-2</v>
      </c>
      <c r="AD27" s="14">
        <f t="shared" si="25"/>
        <v>-6.5297606392294538E-2</v>
      </c>
      <c r="AE27" s="14">
        <f t="shared" si="25"/>
        <v>-6.4586123310544252E-2</v>
      </c>
      <c r="AF27" s="14">
        <f t="shared" si="25"/>
        <v>-6.4268662918151476E-2</v>
      </c>
      <c r="AG27" s="14">
        <f t="shared" si="25"/>
        <v>-6.3364428223519065E-2</v>
      </c>
      <c r="AH27" s="14">
        <f t="shared" si="25"/>
        <v>-6.2739999484268782E-2</v>
      </c>
      <c r="AI27" s="14">
        <f t="shared" si="25"/>
        <v>-6.2165037917332189E-2</v>
      </c>
      <c r="AJ27" s="14">
        <f t="shared" si="25"/>
        <v>-6.2131353481370555E-2</v>
      </c>
      <c r="AK27" s="14">
        <f t="shared" si="25"/>
        <v>-6.189313667295071E-2</v>
      </c>
      <c r="AL27" s="14">
        <f t="shared" si="25"/>
        <v>-6.18241137540676E-2</v>
      </c>
      <c r="AM27" s="14">
        <f t="shared" si="25"/>
        <v>-6.1984771380488857E-2</v>
      </c>
      <c r="AN27" s="14">
        <f t="shared" si="25"/>
        <v>-6.1973466132522415E-2</v>
      </c>
      <c r="AO27" s="14">
        <f t="shared" si="25"/>
        <v>-6.1696873922865159E-2</v>
      </c>
      <c r="AP27" s="14">
        <f t="shared" si="25"/>
        <v>-6.1390624007146677E-2</v>
      </c>
      <c r="AQ27" s="14">
        <f t="shared" si="25"/>
        <v>-6.1127380713895452E-2</v>
      </c>
      <c r="AR27" s="14">
        <f t="shared" si="25"/>
        <v>-6.1208676554697972E-2</v>
      </c>
      <c r="AS27" s="14">
        <f t="shared" si="25"/>
        <v>-6.1043603789978196E-2</v>
      </c>
      <c r="AT27" s="14">
        <f t="shared" si="25"/>
        <v>0</v>
      </c>
      <c r="AU27" s="14">
        <f t="shared" si="25"/>
        <v>0</v>
      </c>
      <c r="AV27" s="14">
        <f t="shared" si="25"/>
        <v>0</v>
      </c>
      <c r="AW27" s="14">
        <f t="shared" si="25"/>
        <v>0</v>
      </c>
      <c r="AX27" s="14">
        <f t="shared" si="25"/>
        <v>0</v>
      </c>
      <c r="AY27" s="14">
        <f t="shared" si="25"/>
        <v>0</v>
      </c>
      <c r="AZ27" s="14">
        <f t="shared" ref="AZ27:BK27" si="29">-IFERROR(((1-AZ45/AZ15)^(360/AZ$4))-1,0)</f>
        <v>-1.0534276687921063E-2</v>
      </c>
      <c r="BA27" s="14">
        <f t="shared" si="29"/>
        <v>-1.1199325166799667E-2</v>
      </c>
      <c r="BB27" s="14">
        <f t="shared" si="29"/>
        <v>-1.1958867192487066E-2</v>
      </c>
      <c r="BC27" s="14">
        <f t="shared" si="29"/>
        <v>-1.2689691006167569E-2</v>
      </c>
      <c r="BD27" s="14">
        <f t="shared" si="29"/>
        <v>-1.3425431015631428E-2</v>
      </c>
      <c r="BE27" s="14">
        <f t="shared" si="29"/>
        <v>-1.4262953539233569E-2</v>
      </c>
      <c r="BF27" s="14">
        <f t="shared" si="29"/>
        <v>-1.4920109726394237E-2</v>
      </c>
      <c r="BG27" s="14">
        <f t="shared" si="29"/>
        <v>-1.5509279748620708E-2</v>
      </c>
      <c r="BH27" s="14">
        <f t="shared" si="29"/>
        <v>-1.6349027929859039E-2</v>
      </c>
      <c r="BI27" s="14">
        <f t="shared" si="29"/>
        <v>-1.7193409264971038E-2</v>
      </c>
      <c r="BJ27" s="14">
        <f t="shared" si="29"/>
        <v>-1.7884336699319991E-2</v>
      </c>
      <c r="BK27" s="14">
        <f t="shared" si="29"/>
        <v>-1.8385684499796495E-2</v>
      </c>
      <c r="BO27" s="28">
        <f t="shared" ref="BO27:BO29" si="30">-IFERROR(((1-BO45/BW15)^(360/BO$4))-1,0)</f>
        <v>-6.1667324471065266E-2</v>
      </c>
      <c r="BP27" s="28">
        <f t="shared" si="27"/>
        <v>-1.1207169595371713E-2</v>
      </c>
      <c r="BQ27" s="28">
        <f t="shared" si="27"/>
        <v>-6.1849799581265019E-2</v>
      </c>
      <c r="BR27" s="28">
        <f t="shared" si="27"/>
        <v>-6.5603817414544352E-2</v>
      </c>
      <c r="BS27" s="28">
        <f t="shared" si="27"/>
        <v>-7.3548203754935537E-2</v>
      </c>
      <c r="BT27" s="28">
        <f t="shared" si="27"/>
        <v>-5.9395608812610412E-2</v>
      </c>
    </row>
    <row r="28" spans="1:80" hidden="1" outlineLevel="1" x14ac:dyDescent="0.25">
      <c r="A28" s="11"/>
      <c r="C28" s="2" t="s">
        <v>45</v>
      </c>
      <c r="D28" s="14">
        <f t="shared" si="28"/>
        <v>-4.0661124922539926E-2</v>
      </c>
      <c r="E28" s="14">
        <f t="shared" si="25"/>
        <v>-3.2511617346937527E-2</v>
      </c>
      <c r="F28" s="14">
        <f t="shared" si="25"/>
        <v>-3.3926887057605937E-2</v>
      </c>
      <c r="G28" s="14">
        <f t="shared" si="25"/>
        <v>-4.0652835339827664E-2</v>
      </c>
      <c r="H28" s="14">
        <f t="shared" si="25"/>
        <v>-4.1822623490425315E-2</v>
      </c>
      <c r="I28" s="14">
        <f t="shared" si="25"/>
        <v>-7.5809763449618428E-2</v>
      </c>
      <c r="J28" s="14">
        <f t="shared" si="25"/>
        <v>-5.2380995797934649E-2</v>
      </c>
      <c r="K28" s="14">
        <f t="shared" si="25"/>
        <v>-7.7504152771762369E-2</v>
      </c>
      <c r="L28" s="14">
        <f t="shared" si="25"/>
        <v>-4.7504945246230168E-2</v>
      </c>
      <c r="M28" s="14">
        <f t="shared" si="25"/>
        <v>-5.0744069048240359E-2</v>
      </c>
      <c r="N28" s="14">
        <f t="shared" si="25"/>
        <v>-5.4885189935345746E-2</v>
      </c>
      <c r="O28" s="14">
        <f t="shared" si="25"/>
        <v>-6.050734558052695E-2</v>
      </c>
      <c r="P28" s="14">
        <f t="shared" si="25"/>
        <v>-6.8842136249716246E-2</v>
      </c>
      <c r="Q28" s="14">
        <f t="shared" si="25"/>
        <v>-7.1590153379293753E-2</v>
      </c>
      <c r="R28" s="14">
        <f t="shared" si="25"/>
        <v>-7.5071219896695851E-2</v>
      </c>
      <c r="S28" s="14">
        <f t="shared" si="25"/>
        <v>-7.7344944997628451E-2</v>
      </c>
      <c r="T28" s="14">
        <f t="shared" si="25"/>
        <v>-7.7776784275314981E-2</v>
      </c>
      <c r="U28" s="14">
        <f t="shared" si="25"/>
        <v>-7.8035834935854531E-2</v>
      </c>
      <c r="V28" s="14">
        <f t="shared" si="25"/>
        <v>-7.8018382392888608E-2</v>
      </c>
      <c r="W28" s="14">
        <f t="shared" si="25"/>
        <v>-7.7395775848474013E-2</v>
      </c>
      <c r="X28" s="14">
        <f t="shared" si="25"/>
        <v>-7.7168054312429346E-2</v>
      </c>
      <c r="Y28" s="14">
        <f t="shared" si="25"/>
        <v>-7.7000193380514892E-2</v>
      </c>
      <c r="Z28" s="14">
        <f t="shared" si="25"/>
        <v>-7.6237463145625739E-2</v>
      </c>
      <c r="AA28" s="14">
        <f t="shared" si="25"/>
        <v>-7.4297891503218194E-2</v>
      </c>
      <c r="AB28" s="14">
        <f t="shared" si="25"/>
        <v>-7.4830387992185665E-2</v>
      </c>
      <c r="AC28" s="14">
        <f t="shared" si="25"/>
        <v>-7.4601527087631681E-2</v>
      </c>
      <c r="AD28" s="14">
        <f t="shared" si="25"/>
        <v>-7.8805991094265782E-2</v>
      </c>
      <c r="AE28" s="14">
        <f t="shared" si="25"/>
        <v>-7.3809407444662245E-2</v>
      </c>
      <c r="AF28" s="14">
        <f t="shared" si="25"/>
        <v>-7.3377147187700276E-2</v>
      </c>
      <c r="AG28" s="14">
        <f t="shared" si="25"/>
        <v>-7.2316379746805382E-2</v>
      </c>
      <c r="AH28" s="14">
        <f t="shared" si="25"/>
        <v>-7.1200488069639967E-2</v>
      </c>
      <c r="AI28" s="14">
        <f t="shared" si="25"/>
        <v>-7.1318258773811261E-2</v>
      </c>
      <c r="AJ28" s="14">
        <f t="shared" si="25"/>
        <v>-7.1532780460402901E-2</v>
      </c>
      <c r="AK28" s="14">
        <f t="shared" si="25"/>
        <v>-8.98678623055853E-2</v>
      </c>
      <c r="AL28" s="14">
        <f t="shared" si="25"/>
        <v>-6.971369446312714E-2</v>
      </c>
      <c r="AM28" s="14">
        <f t="shared" si="25"/>
        <v>-7.0473146326721192E-2</v>
      </c>
      <c r="AN28" s="14">
        <f t="shared" si="25"/>
        <v>-6.9078117116554427E-2</v>
      </c>
      <c r="AO28" s="14">
        <f t="shared" si="25"/>
        <v>-6.872021499059433E-2</v>
      </c>
      <c r="AP28" s="14">
        <f t="shared" si="25"/>
        <v>-6.7726233264780999E-2</v>
      </c>
      <c r="AQ28" s="14">
        <f t="shared" si="25"/>
        <v>-6.7073018045703758E-2</v>
      </c>
      <c r="AR28" s="14">
        <f t="shared" si="25"/>
        <v>-6.7435677320960341E-2</v>
      </c>
      <c r="AS28" s="14">
        <f t="shared" si="25"/>
        <v>-6.5810110925888399E-2</v>
      </c>
      <c r="AT28" s="14">
        <f t="shared" si="25"/>
        <v>0</v>
      </c>
      <c r="AU28" s="14">
        <f t="shared" si="25"/>
        <v>0</v>
      </c>
      <c r="AV28" s="14">
        <f t="shared" si="25"/>
        <v>0</v>
      </c>
      <c r="AW28" s="14">
        <f t="shared" si="25"/>
        <v>0</v>
      </c>
      <c r="AX28" s="14">
        <f t="shared" si="25"/>
        <v>0</v>
      </c>
      <c r="AY28" s="14">
        <f t="shared" si="25"/>
        <v>0</v>
      </c>
      <c r="AZ28" s="14">
        <f t="shared" ref="AZ28:BK28" si="31">-IFERROR(((1-AZ46/AZ16)^(360/AZ$4))-1,0)</f>
        <v>-9.1814917400372398E-3</v>
      </c>
      <c r="BA28" s="14">
        <f t="shared" si="31"/>
        <v>-8.5922969347151934E-3</v>
      </c>
      <c r="BB28" s="14">
        <f t="shared" si="31"/>
        <v>-8.7632748497534774E-3</v>
      </c>
      <c r="BC28" s="14">
        <f t="shared" si="31"/>
        <v>-9.0063908849276064E-3</v>
      </c>
      <c r="BD28" s="14">
        <f t="shared" si="31"/>
        <v>-9.0242222038923181E-3</v>
      </c>
      <c r="BE28" s="14">
        <f t="shared" si="31"/>
        <v>-9.1928220641055436E-3</v>
      </c>
      <c r="BF28" s="14">
        <f t="shared" si="31"/>
        <v>-9.4385094986142448E-3</v>
      </c>
      <c r="BG28" s="14">
        <f t="shared" si="31"/>
        <v>-9.10515385111621E-3</v>
      </c>
      <c r="BH28" s="14">
        <f t="shared" si="31"/>
        <v>-8.6496118209153927E-3</v>
      </c>
      <c r="BI28" s="14">
        <f t="shared" si="31"/>
        <v>-8.3933930243256238E-3</v>
      </c>
      <c r="BJ28" s="14">
        <f t="shared" si="31"/>
        <v>-8.2728942226621971E-3</v>
      </c>
      <c r="BK28" s="14">
        <f t="shared" si="31"/>
        <v>-8.108234198292319E-3</v>
      </c>
      <c r="BO28" s="28">
        <f t="shared" si="30"/>
        <v>-6.8427633333817406E-2</v>
      </c>
      <c r="BP28" s="28">
        <f t="shared" si="27"/>
        <v>-8.8375147721115876E-3</v>
      </c>
      <c r="BQ28" s="28">
        <f t="shared" si="27"/>
        <v>-6.8784591374791759E-2</v>
      </c>
      <c r="BR28" s="28">
        <f t="shared" si="27"/>
        <v>-7.5664221235146822E-2</v>
      </c>
      <c r="BS28" s="28">
        <f t="shared" si="27"/>
        <v>-7.282462300627679E-2</v>
      </c>
      <c r="BT28" s="28">
        <f t="shared" si="27"/>
        <v>-3.5967409938720607E-2</v>
      </c>
    </row>
    <row r="29" spans="1:80" collapsed="1" x14ac:dyDescent="0.25">
      <c r="C29" s="3" t="s">
        <v>60</v>
      </c>
      <c r="D29" s="15">
        <f t="shared" si="28"/>
        <v>-6.9251385113501263E-2</v>
      </c>
      <c r="E29" s="15">
        <f t="shared" si="25"/>
        <v>-7.1404359049096922E-2</v>
      </c>
      <c r="F29" s="15">
        <f t="shared" si="25"/>
        <v>-7.3179149680612898E-2</v>
      </c>
      <c r="G29" s="15">
        <f t="shared" si="25"/>
        <v>-7.4327852969098052E-2</v>
      </c>
      <c r="H29" s="15">
        <f t="shared" si="25"/>
        <v>-7.505498185817383E-2</v>
      </c>
      <c r="I29" s="15">
        <f t="shared" si="25"/>
        <v>-7.608792124753827E-2</v>
      </c>
      <c r="J29" s="15">
        <f t="shared" si="25"/>
        <v>-7.6133805994566206E-2</v>
      </c>
      <c r="K29" s="15">
        <f t="shared" si="25"/>
        <v>-7.6057357975144235E-2</v>
      </c>
      <c r="L29" s="15">
        <f t="shared" si="25"/>
        <v>-7.6617800228138133E-2</v>
      </c>
      <c r="M29" s="15">
        <f t="shared" si="25"/>
        <v>-7.6972829707682822E-2</v>
      </c>
      <c r="N29" s="15">
        <f t="shared" si="25"/>
        <v>-7.7301771942716702E-2</v>
      </c>
      <c r="O29" s="15">
        <f t="shared" si="25"/>
        <v>-7.7402094833160406E-2</v>
      </c>
      <c r="P29" s="15">
        <f t="shared" si="25"/>
        <v>-7.7312029993247045E-2</v>
      </c>
      <c r="Q29" s="15">
        <f t="shared" si="25"/>
        <v>-7.704976157593979E-2</v>
      </c>
      <c r="R29" s="15">
        <f t="shared" si="25"/>
        <v>-7.6736739109300345E-2</v>
      </c>
      <c r="S29" s="15">
        <f t="shared" si="25"/>
        <v>-7.6505558341564361E-2</v>
      </c>
      <c r="T29" s="15">
        <f t="shared" si="25"/>
        <v>-7.6330005516220822E-2</v>
      </c>
      <c r="U29" s="15">
        <f t="shared" si="25"/>
        <v>-7.6003833405992482E-2</v>
      </c>
      <c r="V29" s="15">
        <f t="shared" si="25"/>
        <v>-7.5612432915336258E-2</v>
      </c>
      <c r="W29" s="15">
        <f t="shared" si="25"/>
        <v>-7.4968090610788352E-2</v>
      </c>
      <c r="X29" s="15">
        <f t="shared" si="25"/>
        <v>-7.4247975469866168E-2</v>
      </c>
      <c r="Y29" s="15">
        <f t="shared" si="25"/>
        <v>-7.332505003664247E-2</v>
      </c>
      <c r="Z29" s="15">
        <f t="shared" si="25"/>
        <v>-7.2417378248001985E-2</v>
      </c>
      <c r="AA29" s="15">
        <f t="shared" si="25"/>
        <v>-7.1390244432682382E-2</v>
      </c>
      <c r="AB29" s="15">
        <f t="shared" si="25"/>
        <v>-7.0672549983434862E-2</v>
      </c>
      <c r="AC29" s="15">
        <f t="shared" si="25"/>
        <v>-6.9766945873457775E-2</v>
      </c>
      <c r="AD29" s="15">
        <f t="shared" si="25"/>
        <v>-6.8127664774027652E-2</v>
      </c>
      <c r="AE29" s="15">
        <f t="shared" si="25"/>
        <v>-6.7428186885326591E-2</v>
      </c>
      <c r="AF29" s="15">
        <f t="shared" si="25"/>
        <v>-6.6601447510156397E-2</v>
      </c>
      <c r="AG29" s="15">
        <f t="shared" si="25"/>
        <v>-6.5647478711905238E-2</v>
      </c>
      <c r="AH29" s="15">
        <f t="shared" si="25"/>
        <v>-6.477399084477975E-2</v>
      </c>
      <c r="AI29" s="15">
        <f t="shared" si="25"/>
        <v>-6.3995356327892328E-2</v>
      </c>
      <c r="AJ29" s="15">
        <f t="shared" si="25"/>
        <v>-6.3400612005755308E-2</v>
      </c>
      <c r="AK29" s="15">
        <f t="shared" si="25"/>
        <v>-6.3158164540417117E-2</v>
      </c>
      <c r="AL29" s="15">
        <f t="shared" si="25"/>
        <v>-6.2856594356262674E-2</v>
      </c>
      <c r="AM29" s="15">
        <f t="shared" si="25"/>
        <v>-6.249703003003515E-2</v>
      </c>
      <c r="AN29" s="15">
        <f t="shared" si="25"/>
        <v>-6.2121386682574276E-2</v>
      </c>
      <c r="AO29" s="15">
        <f t="shared" si="25"/>
        <v>-6.1398137134796471E-2</v>
      </c>
      <c r="AP29" s="15">
        <f t="shared" si="25"/>
        <v>-6.0729365496190901E-2</v>
      </c>
      <c r="AQ29" s="15">
        <f t="shared" si="25"/>
        <v>-6.0625931648220055E-2</v>
      </c>
      <c r="AR29" s="15">
        <f t="shared" si="25"/>
        <v>-6.0735161160057949E-2</v>
      </c>
      <c r="AS29" s="15">
        <f t="shared" si="25"/>
        <v>-6.0357914498286425E-2</v>
      </c>
      <c r="AT29" s="15">
        <f t="shared" si="25"/>
        <v>0</v>
      </c>
      <c r="AU29" s="15">
        <f t="shared" si="25"/>
        <v>0</v>
      </c>
      <c r="AV29" s="15">
        <f t="shared" si="25"/>
        <v>0</v>
      </c>
      <c r="AW29" s="15">
        <f t="shared" si="25"/>
        <v>0</v>
      </c>
      <c r="AX29" s="15">
        <f t="shared" si="25"/>
        <v>0</v>
      </c>
      <c r="AY29" s="15">
        <f t="shared" si="25"/>
        <v>0</v>
      </c>
      <c r="AZ29" s="15">
        <f t="shared" ref="AZ29:BK29" si="32">-IFERROR(((1-AZ47/AZ17)^(360/AZ$4))-1,0)</f>
        <v>-6.2634436423554929E-2</v>
      </c>
      <c r="BA29" s="15">
        <f t="shared" si="32"/>
        <v>-6.24598553377127E-2</v>
      </c>
      <c r="BB29" s="15">
        <f t="shared" si="32"/>
        <v>-6.2199079451541683E-2</v>
      </c>
      <c r="BC29" s="15">
        <f t="shared" si="32"/>
        <v>-6.1955389597402544E-2</v>
      </c>
      <c r="BD29" s="15">
        <f t="shared" si="32"/>
        <v>-6.1737378914669794E-2</v>
      </c>
      <c r="BE29" s="15">
        <f t="shared" si="32"/>
        <v>-6.1511660823158731E-2</v>
      </c>
      <c r="BF29" s="15">
        <f t="shared" si="32"/>
        <v>-6.1310606381847599E-2</v>
      </c>
      <c r="BG29" s="15">
        <f t="shared" si="32"/>
        <v>-6.1111998128985379E-2</v>
      </c>
      <c r="BH29" s="15">
        <f t="shared" si="32"/>
        <v>-6.0891996190619802E-2</v>
      </c>
      <c r="BI29" s="15">
        <f t="shared" si="32"/>
        <v>-6.0701112503162902E-2</v>
      </c>
      <c r="BJ29" s="15">
        <f t="shared" si="32"/>
        <v>-6.0542001016668845E-2</v>
      </c>
      <c r="BK29" s="15">
        <f t="shared" si="32"/>
        <v>-6.0393437782578108E-2</v>
      </c>
      <c r="BO29" s="29">
        <f t="shared" si="30"/>
        <v>-6.1411511798559859E-2</v>
      </c>
      <c r="BP29" s="29">
        <f t="shared" si="27"/>
        <v>-6.2430763622585372E-2</v>
      </c>
      <c r="BQ29" s="29">
        <f t="shared" si="27"/>
        <v>-6.173685879730284E-2</v>
      </c>
      <c r="BR29" s="29">
        <f t="shared" si="27"/>
        <v>-6.950201391681321E-2</v>
      </c>
      <c r="BS29" s="29">
        <f t="shared" si="27"/>
        <v>-7.7038405205851923E-2</v>
      </c>
      <c r="BT29" s="29">
        <f t="shared" si="27"/>
        <v>-7.1318852355836571E-2</v>
      </c>
    </row>
    <row r="32" spans="1:80" hidden="1" outlineLevel="1" x14ac:dyDescent="0.25">
      <c r="A32" s="11"/>
      <c r="C32" s="2" t="s">
        <v>0</v>
      </c>
      <c r="D32" s="14">
        <f>D20+D26</f>
        <v>7.7554188680177827E-2</v>
      </c>
      <c r="E32" s="14">
        <f t="shared" ref="E32:AY32" si="33">E20+E26</f>
        <v>7.4326186531066929E-2</v>
      </c>
      <c r="F32" s="14">
        <f t="shared" si="33"/>
        <v>7.6696930369532845E-2</v>
      </c>
      <c r="G32" s="14">
        <f t="shared" si="33"/>
        <v>7.7391844787391362E-2</v>
      </c>
      <c r="H32" s="14">
        <f t="shared" si="33"/>
        <v>8.0571762796536994E-2</v>
      </c>
      <c r="I32" s="14">
        <f t="shared" si="33"/>
        <v>8.0580138585277794E-2</v>
      </c>
      <c r="J32" s="14">
        <f t="shared" si="33"/>
        <v>8.0742506626367838E-2</v>
      </c>
      <c r="K32" s="14">
        <f t="shared" si="33"/>
        <v>8.1455274810338985E-2</v>
      </c>
      <c r="L32" s="14">
        <f t="shared" si="33"/>
        <v>8.0157776397931091E-2</v>
      </c>
      <c r="M32" s="14">
        <f t="shared" si="33"/>
        <v>7.9056926309200692E-2</v>
      </c>
      <c r="N32" s="14">
        <f t="shared" si="33"/>
        <v>7.7161952316090021E-2</v>
      </c>
      <c r="O32" s="14">
        <f t="shared" si="33"/>
        <v>7.5316016965322863E-2</v>
      </c>
      <c r="P32" s="14">
        <f t="shared" si="33"/>
        <v>7.2979285902708746E-2</v>
      </c>
      <c r="Q32" s="14">
        <f t="shared" si="33"/>
        <v>7.0540995686987795E-2</v>
      </c>
      <c r="R32" s="14">
        <f t="shared" si="33"/>
        <v>6.9199643947738698E-2</v>
      </c>
      <c r="S32" s="14">
        <f t="shared" si="33"/>
        <v>6.9675522976283766E-2</v>
      </c>
      <c r="T32" s="14">
        <f t="shared" si="33"/>
        <v>7.092351054924606E-2</v>
      </c>
      <c r="U32" s="14">
        <f t="shared" si="33"/>
        <v>7.021856505714652E-2</v>
      </c>
      <c r="V32" s="14">
        <f t="shared" si="33"/>
        <v>7.1926627516020192E-2</v>
      </c>
      <c r="W32" s="14">
        <f t="shared" si="33"/>
        <v>7.149512742632913E-2</v>
      </c>
      <c r="X32" s="14">
        <f t="shared" si="33"/>
        <v>7.1482611102801075E-2</v>
      </c>
      <c r="Y32" s="14">
        <f t="shared" si="33"/>
        <v>7.0417645178757482E-2</v>
      </c>
      <c r="Z32" s="14">
        <f t="shared" si="33"/>
        <v>6.9896299612604906E-2</v>
      </c>
      <c r="AA32" s="14">
        <f t="shared" si="33"/>
        <v>7.115537240386649E-2</v>
      </c>
      <c r="AB32" s="14">
        <f t="shared" si="33"/>
        <v>7.1774190031581586E-2</v>
      </c>
      <c r="AC32" s="14">
        <f t="shared" si="33"/>
        <v>7.1314124174643334E-2</v>
      </c>
      <c r="AD32" s="14">
        <f t="shared" si="33"/>
        <v>7.1850218307426328E-2</v>
      </c>
      <c r="AE32" s="14">
        <f t="shared" si="33"/>
        <v>7.2369470954446458E-2</v>
      </c>
      <c r="AF32" s="14">
        <f t="shared" si="33"/>
        <v>7.2125260807772706E-2</v>
      </c>
      <c r="AG32" s="14">
        <f t="shared" si="33"/>
        <v>7.239319232352015E-2</v>
      </c>
      <c r="AH32" s="14">
        <f t="shared" si="33"/>
        <v>7.3205771585603818E-2</v>
      </c>
      <c r="AI32" s="14">
        <f t="shared" si="33"/>
        <v>7.3802360553965052E-2</v>
      </c>
      <c r="AJ32" s="14">
        <f t="shared" si="33"/>
        <v>7.4259063987933693E-2</v>
      </c>
      <c r="AK32" s="14">
        <f t="shared" si="33"/>
        <v>7.4488249908953197E-2</v>
      </c>
      <c r="AL32" s="14">
        <f t="shared" si="33"/>
        <v>7.383585815116489E-2</v>
      </c>
      <c r="AM32" s="14">
        <f t="shared" si="33"/>
        <v>7.4006560641654673E-2</v>
      </c>
      <c r="AN32" s="14">
        <f t="shared" si="33"/>
        <v>7.408590919548752E-2</v>
      </c>
      <c r="AO32" s="14">
        <f t="shared" si="33"/>
        <v>7.4232322498276604E-2</v>
      </c>
      <c r="AP32" s="14">
        <f t="shared" si="33"/>
        <v>7.2723129126828434E-2</v>
      </c>
      <c r="AQ32" s="14">
        <f t="shared" si="33"/>
        <v>7.0315098549216248E-2</v>
      </c>
      <c r="AR32" s="14">
        <f t="shared" si="33"/>
        <v>6.8909168173756585E-2</v>
      </c>
      <c r="AS32" s="14">
        <f t="shared" si="33"/>
        <v>6.7128190868104731E-2</v>
      </c>
      <c r="AT32" s="14">
        <f t="shared" si="33"/>
        <v>0</v>
      </c>
      <c r="AU32" s="14">
        <f t="shared" si="33"/>
        <v>0</v>
      </c>
      <c r="AV32" s="14">
        <f t="shared" si="33"/>
        <v>0</v>
      </c>
      <c r="AW32" s="14">
        <f t="shared" si="33"/>
        <v>0</v>
      </c>
      <c r="AX32" s="14">
        <f t="shared" si="33"/>
        <v>0</v>
      </c>
      <c r="AY32" s="14">
        <f t="shared" si="33"/>
        <v>0</v>
      </c>
      <c r="AZ32" s="14">
        <f t="shared" ref="AZ32:BK32" si="34">AZ20+AZ26</f>
        <v>7.5948411082835898E-2</v>
      </c>
      <c r="BA32" s="14">
        <f t="shared" si="34"/>
        <v>7.5616284505050979E-2</v>
      </c>
      <c r="BB32" s="14">
        <f t="shared" si="34"/>
        <v>7.7133184075726557E-2</v>
      </c>
      <c r="BC32" s="14">
        <f t="shared" si="34"/>
        <v>7.8849357846359602E-2</v>
      </c>
      <c r="BD32" s="14">
        <f t="shared" si="34"/>
        <v>7.9839530162679084E-2</v>
      </c>
      <c r="BE32" s="14">
        <f t="shared" si="34"/>
        <v>8.0822357193855554E-2</v>
      </c>
      <c r="BF32" s="14">
        <f t="shared" si="34"/>
        <v>8.2305475845808829E-2</v>
      </c>
      <c r="BG32" s="14">
        <f t="shared" si="34"/>
        <v>8.3779097245699763E-2</v>
      </c>
      <c r="BH32" s="14">
        <f t="shared" si="34"/>
        <v>8.4680580407977324E-2</v>
      </c>
      <c r="BI32" s="14">
        <f t="shared" si="34"/>
        <v>8.6128199756378532E-2</v>
      </c>
      <c r="BJ32" s="14">
        <f t="shared" si="34"/>
        <v>8.69339200496968E-2</v>
      </c>
      <c r="BK32" s="14">
        <f t="shared" si="34"/>
        <v>8.9098049593023365E-2</v>
      </c>
      <c r="BO32" s="28">
        <f>BO20+BO26</f>
        <v>7.3659498407921076E-2</v>
      </c>
      <c r="BP32" s="28">
        <f t="shared" ref="BP32:BT32" si="35">BP20+BP26</f>
        <v>7.6266100314299257E-2</v>
      </c>
      <c r="BQ32" s="28">
        <f t="shared" si="35"/>
        <v>7.4110884997060422E-2</v>
      </c>
      <c r="BR32" s="28">
        <f t="shared" si="35"/>
        <v>7.1666808439290408E-2</v>
      </c>
      <c r="BS32" s="28">
        <f t="shared" si="35"/>
        <v>7.0929763006844171E-2</v>
      </c>
      <c r="BT32" s="28">
        <f t="shared" si="35"/>
        <v>7.6268233968007859E-2</v>
      </c>
    </row>
    <row r="33" spans="1:72" hidden="1" outlineLevel="1" x14ac:dyDescent="0.25">
      <c r="A33" s="11"/>
      <c r="C33" s="2" t="s">
        <v>1</v>
      </c>
      <c r="D33" s="14">
        <f t="shared" ref="D33:AY33" si="36">D21+D27</f>
        <v>2.6096258040717801E-2</v>
      </c>
      <c r="E33" s="14">
        <f t="shared" si="36"/>
        <v>4.1818355766425119E-2</v>
      </c>
      <c r="F33" s="14">
        <f t="shared" si="36"/>
        <v>0.12129112921603058</v>
      </c>
      <c r="G33" s="14">
        <f t="shared" si="36"/>
        <v>9.6070772326646292E-2</v>
      </c>
      <c r="H33" s="14">
        <f t="shared" si="36"/>
        <v>4.6667288184198741E-2</v>
      </c>
      <c r="I33" s="14">
        <f t="shared" si="36"/>
        <v>-2.2596069682430109E-2</v>
      </c>
      <c r="J33" s="14">
        <f t="shared" si="36"/>
        <v>0.10331423689205144</v>
      </c>
      <c r="K33" s="14">
        <f t="shared" si="36"/>
        <v>-1.0998947744549126E-2</v>
      </c>
      <c r="L33" s="14">
        <f t="shared" si="36"/>
        <v>6.6929687161199514E-2</v>
      </c>
      <c r="M33" s="14">
        <f t="shared" si="36"/>
        <v>4.286987741967474E-2</v>
      </c>
      <c r="N33" s="14">
        <f t="shared" si="36"/>
        <v>1.1125690638857932E-2</v>
      </c>
      <c r="O33" s="14">
        <f t="shared" si="36"/>
        <v>1.2984625183584786E-2</v>
      </c>
      <c r="P33" s="14">
        <f t="shared" si="36"/>
        <v>4.8823693265602541E-2</v>
      </c>
      <c r="Q33" s="14">
        <f t="shared" si="36"/>
        <v>8.3104980393544636E-4</v>
      </c>
      <c r="R33" s="14">
        <f t="shared" si="36"/>
        <v>1.7412992185953158E-2</v>
      </c>
      <c r="S33" s="14">
        <f t="shared" si="36"/>
        <v>6.4654193115560865E-3</v>
      </c>
      <c r="T33" s="14">
        <f t="shared" si="36"/>
        <v>9.398819110859602E-3</v>
      </c>
      <c r="U33" s="14">
        <f t="shared" si="36"/>
        <v>7.3710229765613366E-3</v>
      </c>
      <c r="V33" s="14">
        <f t="shared" si="36"/>
        <v>-6.0093275685466629E-3</v>
      </c>
      <c r="W33" s="14">
        <f t="shared" si="36"/>
        <v>-9.3574370920797012E-3</v>
      </c>
      <c r="X33" s="14">
        <f t="shared" si="36"/>
        <v>-6.9557919224918496E-3</v>
      </c>
      <c r="Y33" s="14">
        <f t="shared" si="36"/>
        <v>-8.4142378441134369E-3</v>
      </c>
      <c r="Z33" s="14">
        <f t="shared" si="36"/>
        <v>-5.5542171963640641E-4</v>
      </c>
      <c r="AA33" s="14">
        <f t="shared" si="36"/>
        <v>1.4539297555329123E-2</v>
      </c>
      <c r="AB33" s="14">
        <f t="shared" si="36"/>
        <v>2.0863924647950505E-2</v>
      </c>
      <c r="AC33" s="14">
        <f t="shared" si="36"/>
        <v>9.7029138475668297E-3</v>
      </c>
      <c r="AD33" s="14">
        <f t="shared" si="36"/>
        <v>9.637035925575077E-3</v>
      </c>
      <c r="AE33" s="14">
        <f t="shared" si="36"/>
        <v>1.0324503457925571E-2</v>
      </c>
      <c r="AF33" s="14">
        <f t="shared" si="36"/>
        <v>2.4230762020509555E-2</v>
      </c>
      <c r="AG33" s="14">
        <f t="shared" si="36"/>
        <v>9.6782526198744279E-3</v>
      </c>
      <c r="AH33" s="14">
        <f t="shared" si="36"/>
        <v>2.7528004229942615E-2</v>
      </c>
      <c r="AI33" s="14">
        <f t="shared" si="36"/>
        <v>1.6508205258995545E-2</v>
      </c>
      <c r="AJ33" s="14">
        <f t="shared" si="36"/>
        <v>5.8634197565792245E-3</v>
      </c>
      <c r="AK33" s="14">
        <f t="shared" si="36"/>
        <v>1.8625786209354844E-2</v>
      </c>
      <c r="AL33" s="14">
        <f t="shared" si="36"/>
        <v>4.4153586959134739E-3</v>
      </c>
      <c r="AM33" s="14">
        <f t="shared" si="36"/>
        <v>2.2557019369562337E-2</v>
      </c>
      <c r="AN33" s="14">
        <f t="shared" si="36"/>
        <v>1.0144492366508606E-2</v>
      </c>
      <c r="AO33" s="14">
        <f t="shared" si="36"/>
        <v>-5.3046146509858616E-3</v>
      </c>
      <c r="AP33" s="14">
        <f t="shared" si="36"/>
        <v>1.7223918852339537E-2</v>
      </c>
      <c r="AQ33" s="14">
        <f t="shared" si="36"/>
        <v>1.2912388752476467E-2</v>
      </c>
      <c r="AR33" s="14">
        <f t="shared" si="36"/>
        <v>6.2650097534768801E-3</v>
      </c>
      <c r="AS33" s="14">
        <f t="shared" si="36"/>
        <v>2.0672634428456682E-2</v>
      </c>
      <c r="AT33" s="14">
        <f t="shared" si="36"/>
        <v>0</v>
      </c>
      <c r="AU33" s="14">
        <f t="shared" si="36"/>
        <v>0</v>
      </c>
      <c r="AV33" s="14">
        <f t="shared" si="36"/>
        <v>0</v>
      </c>
      <c r="AW33" s="14">
        <f t="shared" si="36"/>
        <v>0</v>
      </c>
      <c r="AX33" s="14">
        <f t="shared" si="36"/>
        <v>0</v>
      </c>
      <c r="AY33" s="14">
        <f t="shared" si="36"/>
        <v>0</v>
      </c>
      <c r="AZ33" s="14">
        <f t="shared" ref="AZ33:BK33" si="37">AZ21+AZ27</f>
        <v>6.619765940238187E-2</v>
      </c>
      <c r="BA33" s="14">
        <f t="shared" si="37"/>
        <v>6.4546013041707484E-2</v>
      </c>
      <c r="BB33" s="14">
        <f t="shared" si="37"/>
        <v>6.3787989524473732E-2</v>
      </c>
      <c r="BC33" s="14">
        <f t="shared" si="37"/>
        <v>6.338501933242302E-2</v>
      </c>
      <c r="BD33" s="14">
        <f t="shared" si="37"/>
        <v>6.2430204072388973E-2</v>
      </c>
      <c r="BE33" s="14">
        <f t="shared" si="37"/>
        <v>6.1629447175289176E-2</v>
      </c>
      <c r="BF33" s="14">
        <f t="shared" si="37"/>
        <v>6.1020805653982935E-2</v>
      </c>
      <c r="BG33" s="14">
        <f t="shared" si="37"/>
        <v>6.0387037312352732E-2</v>
      </c>
      <c r="BH33" s="14">
        <f t="shared" si="37"/>
        <v>5.9560849788764081E-2</v>
      </c>
      <c r="BI33" s="14">
        <f t="shared" si="37"/>
        <v>5.872229412168628E-2</v>
      </c>
      <c r="BJ33" s="14">
        <f t="shared" si="37"/>
        <v>5.8022962689431079E-2</v>
      </c>
      <c r="BK33" s="14">
        <f t="shared" si="37"/>
        <v>5.7525275664882747E-2</v>
      </c>
      <c r="BO33" s="28">
        <f t="shared" ref="BO33:BT35" si="38">BO21+BO27</f>
        <v>7.6184894888378096E-3</v>
      </c>
      <c r="BP33" s="28">
        <f t="shared" si="38"/>
        <v>6.4896774363099263E-2</v>
      </c>
      <c r="BQ33" s="28">
        <f t="shared" si="38"/>
        <v>2.8048361911292563E-3</v>
      </c>
      <c r="BR33" s="28">
        <f t="shared" si="38"/>
        <v>1.3382552017138005E-2</v>
      </c>
      <c r="BS33" s="28">
        <f t="shared" si="38"/>
        <v>2.1592835624828499E-2</v>
      </c>
      <c r="BT33" s="28">
        <f t="shared" si="38"/>
        <v>6.2245560771709174E-2</v>
      </c>
    </row>
    <row r="34" spans="1:72" hidden="1" outlineLevel="1" x14ac:dyDescent="0.25">
      <c r="A34" s="11"/>
      <c r="C34" s="2" t="s">
        <v>45</v>
      </c>
      <c r="D34" s="14">
        <f t="shared" ref="D34:AY34" si="39">D22+D28</f>
        <v>0.24999106385926351</v>
      </c>
      <c r="E34" s="14">
        <f t="shared" si="39"/>
        <v>6.5297672545595598E-2</v>
      </c>
      <c r="F34" s="14">
        <f t="shared" si="39"/>
        <v>0.36927808243540738</v>
      </c>
      <c r="G34" s="14">
        <f t="shared" si="39"/>
        <v>0.28720020138833502</v>
      </c>
      <c r="H34" s="14">
        <f t="shared" si="39"/>
        <v>0.24340278229316459</v>
      </c>
      <c r="I34" s="14">
        <f t="shared" si="39"/>
        <v>0.45120936215605512</v>
      </c>
      <c r="J34" s="14">
        <f t="shared" si="39"/>
        <v>0.45270561295667822</v>
      </c>
      <c r="K34" s="14">
        <f t="shared" si="39"/>
        <v>0.3050693414204213</v>
      </c>
      <c r="L34" s="14">
        <f t="shared" si="39"/>
        <v>0.21629190271647381</v>
      </c>
      <c r="M34" s="14">
        <f t="shared" si="39"/>
        <v>0.25867992181642441</v>
      </c>
      <c r="N34" s="14">
        <f t="shared" si="39"/>
        <v>0.32271130326370612</v>
      </c>
      <c r="O34" s="14">
        <f t="shared" si="39"/>
        <v>0.22876249762483658</v>
      </c>
      <c r="P34" s="14">
        <f t="shared" si="39"/>
        <v>0.1645689778808761</v>
      </c>
      <c r="Q34" s="14">
        <f t="shared" si="39"/>
        <v>9.7535862536446194E-2</v>
      </c>
      <c r="R34" s="14">
        <f t="shared" si="39"/>
        <v>5.0139246669848703E-2</v>
      </c>
      <c r="S34" s="14">
        <f t="shared" si="39"/>
        <v>6.1108162000364619E-2</v>
      </c>
      <c r="T34" s="14">
        <f t="shared" si="39"/>
        <v>-6.2427280211372338E-3</v>
      </c>
      <c r="U34" s="14">
        <f t="shared" si="39"/>
        <v>-1.508799599775057E-2</v>
      </c>
      <c r="V34" s="14">
        <f t="shared" si="39"/>
        <v>-1.348968726732358E-2</v>
      </c>
      <c r="W34" s="14">
        <f t="shared" si="39"/>
        <v>-2.7106422423589294E-2</v>
      </c>
      <c r="X34" s="14">
        <f t="shared" si="39"/>
        <v>-1.5793307617723906E-2</v>
      </c>
      <c r="Y34" s="14">
        <f t="shared" si="39"/>
        <v>-1.1986535832618328E-2</v>
      </c>
      <c r="Z34" s="14">
        <f t="shared" si="39"/>
        <v>-5.7143885010355611E-3</v>
      </c>
      <c r="AA34" s="14">
        <f t="shared" si="39"/>
        <v>4.0562965071797574E-3</v>
      </c>
      <c r="AB34" s="14">
        <f t="shared" si="39"/>
        <v>-1.6356277494405269E-2</v>
      </c>
      <c r="AC34" s="14">
        <f t="shared" si="39"/>
        <v>4.6909390817684304E-4</v>
      </c>
      <c r="AD34" s="14">
        <f t="shared" si="39"/>
        <v>7.5099072354533947E-2</v>
      </c>
      <c r="AE34" s="14">
        <f t="shared" si="39"/>
        <v>8.1058990715385804E-2</v>
      </c>
      <c r="AF34" s="14">
        <f t="shared" si="39"/>
        <v>5.153750218868991E-2</v>
      </c>
      <c r="AG34" s="14">
        <f t="shared" si="39"/>
        <v>3.5808700030964813E-2</v>
      </c>
      <c r="AH34" s="14">
        <f t="shared" si="39"/>
        <v>3.6273787260038048E-2</v>
      </c>
      <c r="AI34" s="14">
        <f t="shared" si="39"/>
        <v>4.5714367303022918E-2</v>
      </c>
      <c r="AJ34" s="14">
        <f t="shared" si="39"/>
        <v>5.9298238478139531E-2</v>
      </c>
      <c r="AK34" s="14">
        <f t="shared" si="39"/>
        <v>1.1550143374409627E-2</v>
      </c>
      <c r="AL34" s="14">
        <f t="shared" si="39"/>
        <v>8.4205941086963554E-2</v>
      </c>
      <c r="AM34" s="14">
        <f t="shared" si="39"/>
        <v>6.8434341632798601E-2</v>
      </c>
      <c r="AN34" s="14">
        <f t="shared" si="39"/>
        <v>2.6992992916601066E-2</v>
      </c>
      <c r="AO34" s="14">
        <f t="shared" si="39"/>
        <v>3.7989001082274543E-2</v>
      </c>
      <c r="AP34" s="14">
        <f t="shared" si="39"/>
        <v>3.6471883660651461E-2</v>
      </c>
      <c r="AQ34" s="14">
        <f t="shared" si="39"/>
        <v>3.6633692037878474E-2</v>
      </c>
      <c r="AR34" s="14">
        <f t="shared" si="39"/>
        <v>5.423100489828947E-2</v>
      </c>
      <c r="AS34" s="14">
        <f t="shared" si="39"/>
        <v>1.8181195442211751E-2</v>
      </c>
      <c r="AT34" s="14">
        <f t="shared" si="39"/>
        <v>0</v>
      </c>
      <c r="AU34" s="14">
        <f t="shared" si="39"/>
        <v>0</v>
      </c>
      <c r="AV34" s="14">
        <f t="shared" si="39"/>
        <v>0</v>
      </c>
      <c r="AW34" s="14">
        <f t="shared" si="39"/>
        <v>0</v>
      </c>
      <c r="AX34" s="14">
        <f t="shared" si="39"/>
        <v>0</v>
      </c>
      <c r="AY34" s="14">
        <f t="shared" si="39"/>
        <v>0</v>
      </c>
      <c r="AZ34" s="14">
        <f t="shared" ref="AZ34:BK34" si="40">AZ22+AZ28</f>
        <v>0.10229889800928382</v>
      </c>
      <c r="BA34" s="14">
        <f t="shared" si="40"/>
        <v>0.11586366795805936</v>
      </c>
      <c r="BB34" s="14">
        <f t="shared" si="40"/>
        <v>0.10270617621620448</v>
      </c>
      <c r="BC34" s="14">
        <f t="shared" si="40"/>
        <v>0.10649093712448887</v>
      </c>
      <c r="BD34" s="14">
        <f t="shared" si="40"/>
        <v>0.10257726747162499</v>
      </c>
      <c r="BE34" s="14">
        <f t="shared" si="40"/>
        <v>0.10627979453627434</v>
      </c>
      <c r="BF34" s="14">
        <f t="shared" si="40"/>
        <v>0.10213485253193633</v>
      </c>
      <c r="BG34" s="14">
        <f t="shared" si="40"/>
        <v>0.10246892433593691</v>
      </c>
      <c r="BH34" s="14">
        <f t="shared" si="40"/>
        <v>0.1068412118141211</v>
      </c>
      <c r="BI34" s="14">
        <f t="shared" si="40"/>
        <v>0.10317740076163506</v>
      </c>
      <c r="BJ34" s="14">
        <f t="shared" si="40"/>
        <v>0.10722311074364943</v>
      </c>
      <c r="BK34" s="14">
        <f t="shared" si="40"/>
        <v>0.10346032335000577</v>
      </c>
      <c r="BO34" s="28">
        <f t="shared" si="38"/>
        <v>3.376820308534989E-2</v>
      </c>
      <c r="BP34" s="28">
        <f t="shared" si="38"/>
        <v>0.10666241944245747</v>
      </c>
      <c r="BQ34" s="28">
        <f t="shared" si="38"/>
        <v>3.2319405707638804E-2</v>
      </c>
      <c r="BR34" s="28">
        <f t="shared" si="38"/>
        <v>1.218743678311407E-2</v>
      </c>
      <c r="BS34" s="28">
        <f t="shared" si="38"/>
        <v>8.9678947010811472E-2</v>
      </c>
      <c r="BT34" s="28">
        <f t="shared" si="38"/>
        <v>0.22661521454844213</v>
      </c>
    </row>
    <row r="35" spans="1:72" collapsed="1" x14ac:dyDescent="0.25">
      <c r="C35" s="3" t="s">
        <v>63</v>
      </c>
      <c r="D35" s="15">
        <f t="shared" ref="D35:AY35" si="41">D23+D29</f>
        <v>7.7724946367047298E-2</v>
      </c>
      <c r="E35" s="15">
        <f t="shared" si="41"/>
        <v>7.4301703936488162E-2</v>
      </c>
      <c r="F35" s="15">
        <f t="shared" si="41"/>
        <v>7.6984197090393502E-2</v>
      </c>
      <c r="G35" s="15">
        <f t="shared" si="41"/>
        <v>7.7581935912902855E-2</v>
      </c>
      <c r="H35" s="15">
        <f t="shared" si="41"/>
        <v>8.0685435332498168E-2</v>
      </c>
      <c r="I35" s="15">
        <f t="shared" si="41"/>
        <v>8.0849081130997202E-2</v>
      </c>
      <c r="J35" s="15">
        <f t="shared" si="41"/>
        <v>8.1093969575889435E-2</v>
      </c>
      <c r="K35" s="15">
        <f t="shared" si="41"/>
        <v>8.1716446441311819E-2</v>
      </c>
      <c r="L35" s="15">
        <f t="shared" si="41"/>
        <v>8.0382419034441766E-2</v>
      </c>
      <c r="M35" s="15">
        <f t="shared" si="41"/>
        <v>7.9408324271424968E-2</v>
      </c>
      <c r="N35" s="15">
        <f t="shared" si="41"/>
        <v>7.7664141242694162E-2</v>
      </c>
      <c r="O35" s="15">
        <f t="shared" si="41"/>
        <v>7.568716630114114E-2</v>
      </c>
      <c r="P35" s="15">
        <f t="shared" si="41"/>
        <v>7.3311681747996182E-2</v>
      </c>
      <c r="Q35" s="15">
        <f t="shared" si="41"/>
        <v>7.0642153435948041E-2</v>
      </c>
      <c r="R35" s="15">
        <f t="shared" si="41"/>
        <v>6.902427352856666E-2</v>
      </c>
      <c r="S35" s="15">
        <f t="shared" si="41"/>
        <v>6.9506806499326945E-2</v>
      </c>
      <c r="T35" s="15">
        <f t="shared" si="41"/>
        <v>6.9026356776304976E-2</v>
      </c>
      <c r="U35" s="15">
        <f t="shared" si="41"/>
        <v>6.7738457252849216E-2</v>
      </c>
      <c r="V35" s="15">
        <f t="shared" si="41"/>
        <v>6.9529735443079277E-2</v>
      </c>
      <c r="W35" s="15">
        <f t="shared" si="41"/>
        <v>6.8963696160698529E-2</v>
      </c>
      <c r="X35" s="15">
        <f t="shared" si="41"/>
        <v>6.9212901564525087E-2</v>
      </c>
      <c r="Y35" s="15">
        <f t="shared" si="41"/>
        <v>6.8649033234219559E-2</v>
      </c>
      <c r="Z35" s="15">
        <f t="shared" si="41"/>
        <v>6.846373115670179E-2</v>
      </c>
      <c r="AA35" s="15">
        <f t="shared" si="41"/>
        <v>7.0112168212564496E-2</v>
      </c>
      <c r="AB35" s="15">
        <f t="shared" si="41"/>
        <v>7.0250515530298596E-2</v>
      </c>
      <c r="AC35" s="15">
        <f t="shared" si="41"/>
        <v>7.0200395147112626E-2</v>
      </c>
      <c r="AD35" s="15">
        <f t="shared" si="41"/>
        <v>7.1724300279509823E-2</v>
      </c>
      <c r="AE35" s="15">
        <f t="shared" si="41"/>
        <v>7.2287306618085356E-2</v>
      </c>
      <c r="AF35" s="15">
        <f t="shared" si="41"/>
        <v>7.1847854858088755E-2</v>
      </c>
      <c r="AG35" s="15">
        <f t="shared" si="41"/>
        <v>7.1930152422665206E-2</v>
      </c>
      <c r="AH35" s="15">
        <f t="shared" si="41"/>
        <v>7.2777158086243077E-2</v>
      </c>
      <c r="AI35" s="15">
        <f t="shared" si="41"/>
        <v>7.3379756783062966E-2</v>
      </c>
      <c r="AJ35" s="15">
        <f t="shared" si="41"/>
        <v>7.3915987962404062E-2</v>
      </c>
      <c r="AK35" s="15">
        <f t="shared" si="41"/>
        <v>7.3690908094337537E-2</v>
      </c>
      <c r="AL35" s="15">
        <f t="shared" si="41"/>
        <v>7.3733145780624509E-2</v>
      </c>
      <c r="AM35" s="15">
        <f t="shared" si="41"/>
        <v>7.3823463317949978E-2</v>
      </c>
      <c r="AN35" s="15">
        <f t="shared" si="41"/>
        <v>7.3379351644274449E-2</v>
      </c>
      <c r="AO35" s="15">
        <f t="shared" si="41"/>
        <v>7.3597920108703141E-2</v>
      </c>
      <c r="AP35" s="15">
        <f t="shared" si="41"/>
        <v>7.2183071773923801E-2</v>
      </c>
      <c r="AQ35" s="15">
        <f t="shared" si="41"/>
        <v>6.980668520784139E-2</v>
      </c>
      <c r="AR35" s="15">
        <f t="shared" si="41"/>
        <v>6.8599466966893008E-2</v>
      </c>
      <c r="AS35" s="15">
        <f t="shared" si="41"/>
        <v>6.645572805170441E-2</v>
      </c>
      <c r="AT35" s="15">
        <f t="shared" si="41"/>
        <v>0</v>
      </c>
      <c r="AU35" s="15">
        <f t="shared" si="41"/>
        <v>0</v>
      </c>
      <c r="AV35" s="15">
        <f t="shared" si="41"/>
        <v>0</v>
      </c>
      <c r="AW35" s="15">
        <f t="shared" si="41"/>
        <v>0</v>
      </c>
      <c r="AX35" s="15">
        <f t="shared" si="41"/>
        <v>0</v>
      </c>
      <c r="AY35" s="15">
        <f t="shared" si="41"/>
        <v>0</v>
      </c>
      <c r="AZ35" s="15">
        <f t="shared" ref="AZ35:BK35" si="42">AZ23+AZ29</f>
        <v>7.6187015025568572E-2</v>
      </c>
      <c r="BA35" s="15">
        <f t="shared" si="42"/>
        <v>7.601491452631759E-2</v>
      </c>
      <c r="BB35" s="15">
        <f t="shared" si="42"/>
        <v>7.7369771942422449E-2</v>
      </c>
      <c r="BC35" s="15">
        <f t="shared" si="42"/>
        <v>7.909568333338246E-2</v>
      </c>
      <c r="BD35" s="15">
        <f t="shared" si="42"/>
        <v>8.0034210314602117E-2</v>
      </c>
      <c r="BE35" s="15">
        <f t="shared" si="42"/>
        <v>8.1037075515839385E-2</v>
      </c>
      <c r="BF35" s="15">
        <f t="shared" si="42"/>
        <v>8.2458325614885419E-2</v>
      </c>
      <c r="BG35" s="15">
        <f t="shared" si="42"/>
        <v>8.3925248569156841E-2</v>
      </c>
      <c r="BH35" s="15">
        <f t="shared" si="42"/>
        <v>8.4870397800463904E-2</v>
      </c>
      <c r="BI35" s="15">
        <f t="shared" si="42"/>
        <v>8.6269557180527423E-2</v>
      </c>
      <c r="BJ35" s="15">
        <f t="shared" si="42"/>
        <v>8.7111214322443509E-2</v>
      </c>
      <c r="BK35" s="15">
        <f t="shared" si="42"/>
        <v>8.9212968524129854E-2</v>
      </c>
      <c r="BO35" s="29">
        <f t="shared" si="38"/>
        <v>7.3033461758386986E-2</v>
      </c>
      <c r="BP35" s="29">
        <f t="shared" si="38"/>
        <v>7.6552837235702942E-2</v>
      </c>
      <c r="BQ35" s="29">
        <f t="shared" si="38"/>
        <v>7.3438539567859396E-2</v>
      </c>
      <c r="BR35" s="29">
        <f t="shared" si="38"/>
        <v>7.0759837511952917E-2</v>
      </c>
      <c r="BS35" s="29">
        <f t="shared" si="38"/>
        <v>7.1014755755284042E-2</v>
      </c>
      <c r="BT35" s="29">
        <f t="shared" si="38"/>
        <v>7.6419723032599363E-2</v>
      </c>
    </row>
    <row r="38" spans="1:72" hidden="1" outlineLevel="1" x14ac:dyDescent="0.25">
      <c r="A38" s="11" t="s">
        <v>55</v>
      </c>
      <c r="C38" s="2" t="s">
        <v>0</v>
      </c>
      <c r="D38" s="8">
        <f>IFERROR(
GETPIVOTDATA(
"[Base].[Importe]",
TDinamica_R!$A$5,
"[Calendario].[AñoMes]",
"[Calendario].[AñoMes].&amp;[" &amp; TEXT(D$6,"yyyymm") &amp; "]",
"[Base].[Metrica]",
"[Base].[Metrica].&amp;[" &amp; $A38 &amp; "]",
"[Base].[SEGMENTO_DESCRIP]",
"[Base].[SEGMENTO_DESCRIP].&amp;[" &amp; $C$6 &amp; "]",
"[Base].[SITUACION]",
"[Base].[SITUACION].&amp;[" &amp; $C38 &amp; "]"
),0)/1000</f>
        <v>9205.3661665</v>
      </c>
      <c r="E38" s="8">
        <f>IFERROR(
GETPIVOTDATA(
"[Base].[Importe]",
TDinamica_R!$A$5,
"[Calendario].[AñoMes]",
"[Calendario].[AñoMes].&amp;[" &amp; TEXT(E$6,"yyyymm") &amp; "]",
"[Base].[Metrica]",
"[Base].[Metrica].&amp;[" &amp; $A38 &amp; "]",
"[Base].[SEGMENTO_DESCRIP]",
"[Base].[SEGMENTO_DESCRIP].&amp;[" &amp; $C$6 &amp; "]",
"[Base].[SITUACION]",
"[Base].[SITUACION].&amp;[" &amp; $C38 &amp; "]"
),0)/1000</f>
        <v>8397.4503675200012</v>
      </c>
      <c r="F38" s="8">
        <f>IFERROR(
GETPIVOTDATA(
"[Base].[Importe]",
TDinamica_R!$A$5,
"[Calendario].[AñoMes]",
"[Calendario].[AñoMes].&amp;[" &amp; TEXT(F$6,"yyyymm") &amp; "]",
"[Base].[Metrica]",
"[Base].[Metrica].&amp;[" &amp; $A38 &amp; "]",
"[Base].[SEGMENTO_DESCRIP]",
"[Base].[SEGMENTO_DESCRIP].&amp;[" &amp; $C$6 &amp; "]",
"[Base].[SITUACION]",
"[Base].[SITUACION].&amp;[" &amp; $C38 &amp; "]"
),0)/1000</f>
        <v>9860.9305753899989</v>
      </c>
      <c r="G38" s="8">
        <f>IFERROR(
GETPIVOTDATA(
"[Base].[Importe]",
TDinamica_R!$A$5,
"[Calendario].[AñoMes]",
"[Calendario].[AñoMes].&amp;[" &amp; TEXT(G$6,"yyyymm") &amp; "]",
"[Base].[Metrica]",
"[Base].[Metrica].&amp;[" &amp; $A38 &amp; "]",
"[Base].[SEGMENTO_DESCRIP]",
"[Base].[SEGMENTO_DESCRIP].&amp;[" &amp; $C$6 &amp; "]",
"[Base].[SITUACION]",
"[Base].[SITUACION].&amp;[" &amp; $C38 &amp; "]"
),0)/1000</f>
        <v>9929.7487274000032</v>
      </c>
      <c r="H38" s="8">
        <f>IFERROR(
GETPIVOTDATA(
"[Base].[Importe]",
TDinamica_R!$A$5,
"[Calendario].[AñoMes]",
"[Calendario].[AñoMes].&amp;[" &amp; TEXT(H$6,"yyyymm") &amp; "]",
"[Base].[Metrica]",
"[Base].[Metrica].&amp;[" &amp; $A38 &amp; "]",
"[Base].[SEGMENTO_DESCRIP]",
"[Base].[SEGMENTO_DESCRIP].&amp;[" &amp; $C$6 &amp; "]",
"[Base].[SITUACION]",
"[Base].[SITUACION].&amp;[" &amp; $C38 &amp; "]"
),0)/1000</f>
        <v>10767.686738529999</v>
      </c>
      <c r="I38" s="8">
        <f>IFERROR(
GETPIVOTDATA(
"[Base].[Importe]",
TDinamica_R!$A$5,
"[Calendario].[AñoMes]",
"[Calendario].[AñoMes].&amp;[" &amp; TEXT(I$6,"yyyymm") &amp; "]",
"[Base].[Metrica]",
"[Base].[Metrica].&amp;[" &amp; $A38 &amp; "]",
"[Base].[SEGMENTO_DESCRIP]",
"[Base].[SEGMENTO_DESCRIP].&amp;[" &amp; $C$6 &amp; "]",
"[Base].[SITUACION]",
"[Base].[SITUACION].&amp;[" &amp; $C38 &amp; "]"
),0)/1000</f>
        <v>10657.205377630002</v>
      </c>
      <c r="J38" s="8">
        <f>IFERROR(
GETPIVOTDATA(
"[Base].[Importe]",
TDinamica_R!$A$5,
"[Calendario].[AñoMes]",
"[Calendario].[AñoMes].&amp;[" &amp; TEXT(J$6,"yyyymm") &amp; "]",
"[Base].[Metrica]",
"[Base].[Metrica].&amp;[" &amp; $A38 &amp; "]",
"[Base].[SEGMENTO_DESCRIP]",
"[Base].[SEGMENTO_DESCRIP].&amp;[" &amp; $C$6 &amp; "]",
"[Base].[SITUACION]",
"[Base].[SITUACION].&amp;[" &amp; $C38 &amp; "]"
),0)/1000</f>
        <v>11314.587841510001</v>
      </c>
      <c r="K38" s="8">
        <f>IFERROR(
GETPIVOTDATA(
"[Base].[Importe]",
TDinamica_R!$A$5,
"[Calendario].[AñoMes]",
"[Calendario].[AñoMes].&amp;[" &amp; TEXT(K$6,"yyyymm") &amp; "]",
"[Base].[Metrica]",
"[Base].[Metrica].&amp;[" &amp; $A38 &amp; "]",
"[Base].[SEGMENTO_DESCRIP]",
"[Base].[SEGMENTO_DESCRIP].&amp;[" &amp; $C$6 &amp; "]",
"[Base].[SITUACION]",
"[Base].[SITUACION].&amp;[" &amp; $C38 &amp; "]"
),0)/1000</f>
        <v>11725.540483830002</v>
      </c>
      <c r="L38" s="8">
        <f>IFERROR(
GETPIVOTDATA(
"[Base].[Importe]",
TDinamica_R!$A$5,
"[Calendario].[AñoMes]",
"[Calendario].[AñoMes].&amp;[" &amp; TEXT(L$6,"yyyymm") &amp; "]",
"[Base].[Metrica]",
"[Base].[Metrica].&amp;[" &amp; $A38 &amp; "]",
"[Base].[SEGMENTO_DESCRIP]",
"[Base].[SEGMENTO_DESCRIP].&amp;[" &amp; $C$6 &amp; "]",
"[Base].[SITUACION]",
"[Base].[SITUACION].&amp;[" &amp; $C38 &amp; "]"
),0)/1000</f>
        <v>11737.78526097</v>
      </c>
      <c r="M38" s="8">
        <f>IFERROR(
GETPIVOTDATA(
"[Base].[Importe]",
TDinamica_R!$A$5,
"[Calendario].[AñoMes]",
"[Calendario].[AñoMes].&amp;[" &amp; TEXT(M$6,"yyyymm") &amp; "]",
"[Base].[Metrica]",
"[Base].[Metrica].&amp;[" &amp; $A38 &amp; "]",
"[Base].[SEGMENTO_DESCRIP]",
"[Base].[SEGMENTO_DESCRIP].&amp;[" &amp; $C$6 &amp; "]",
"[Base].[SITUACION]",
"[Base].[SITUACION].&amp;[" &amp; $C38 &amp; "]"
),0)/1000</f>
        <v>12226.511580830002</v>
      </c>
      <c r="N38" s="8">
        <f>IFERROR(
GETPIVOTDATA(
"[Base].[Importe]",
TDinamica_R!$A$5,
"[Calendario].[AñoMes]",
"[Calendario].[AñoMes].&amp;[" &amp; TEXT(N$6,"yyyymm") &amp; "]",
"[Base].[Metrica]",
"[Base].[Metrica].&amp;[" &amp; $A38 &amp; "]",
"[Base].[SEGMENTO_DESCRIP]",
"[Base].[SEGMENTO_DESCRIP].&amp;[" &amp; $C$6 &amp; "]",
"[Base].[SITUACION]",
"[Base].[SITUACION].&amp;[" &amp; $C38 &amp; "]"
),0)/1000</f>
        <v>11793.432469329999</v>
      </c>
      <c r="O38" s="8">
        <f>IFERROR(
GETPIVOTDATA(
"[Base].[Importe]",
TDinamica_R!$A$5,
"[Calendario].[AñoMes]",
"[Calendario].[AñoMes].&amp;[" &amp; TEXT(O$6,"yyyymm") &amp; "]",
"[Base].[Metrica]",
"[Base].[Metrica].&amp;[" &amp; $A38 &amp; "]",
"[Base].[SEGMENTO_DESCRIP]",
"[Base].[SEGMENTO_DESCRIP].&amp;[" &amp; $C$6 &amp; "]",
"[Base].[SITUACION]",
"[Base].[SITUACION].&amp;[" &amp; $C38 &amp; "]"
),0)/1000</f>
        <v>12090.549389659998</v>
      </c>
      <c r="P38" s="8">
        <f>IFERROR(
GETPIVOTDATA(
"[Base].[Importe]",
TDinamica_R!$A$5,
"[Calendario].[AñoMes]",
"[Calendario].[AñoMes].&amp;[" &amp; TEXT(P$6,"yyyymm") &amp; "]",
"[Base].[Metrica]",
"[Base].[Metrica].&amp;[" &amp; $A38 &amp; "]",
"[Base].[SEGMENTO_DESCRIP]",
"[Base].[SEGMENTO_DESCRIP].&amp;[" &amp; $C$6 &amp; "]",
"[Base].[SITUACION]",
"[Base].[SITUACION].&amp;[" &amp; $C38 &amp; "]"
),0)/1000</f>
        <v>11796.36888346</v>
      </c>
      <c r="Q38" s="8">
        <f>IFERROR(
GETPIVOTDATA(
"[Base].[Importe]",
TDinamica_R!$A$5,
"[Calendario].[AñoMes]",
"[Calendario].[AñoMes].&amp;[" &amp; TEXT(Q$6,"yyyymm") &amp; "]",
"[Base].[Metrica]",
"[Base].[Metrica].&amp;[" &amp; $A38 &amp; "]",
"[Base].[SEGMENTO_DESCRIP]",
"[Base].[SEGMENTO_DESCRIP].&amp;[" &amp; $C$6 &amp; "]",
"[Base].[SITUACION]",
"[Base].[SITUACION].&amp;[" &amp; $C38 &amp; "]"
),0)/1000</f>
        <v>10713.63296365</v>
      </c>
      <c r="R38" s="8">
        <f>IFERROR(
GETPIVOTDATA(
"[Base].[Importe]",
TDinamica_R!$A$5,
"[Calendario].[AñoMes]",
"[Calendario].[AñoMes].&amp;[" &amp; TEXT(R$6,"yyyymm") &amp; "]",
"[Base].[Metrica]",
"[Base].[Metrica].&amp;[" &amp; $A38 &amp; "]",
"[Base].[SEGMENTO_DESCRIP]",
"[Base].[SEGMENTO_DESCRIP].&amp;[" &amp; $C$6 &amp; "]",
"[Base].[SITUACION]",
"[Base].[SITUACION].&amp;[" &amp; $C38 &amp; "]"
),0)/1000</f>
        <v>11261.08231471</v>
      </c>
      <c r="S38" s="8">
        <f>IFERROR(
GETPIVOTDATA(
"[Base].[Importe]",
TDinamica_R!$A$5,
"[Calendario].[AñoMes]",
"[Calendario].[AñoMes].&amp;[" &amp; TEXT(S$6,"yyyymm") &amp; "]",
"[Base].[Metrica]",
"[Base].[Metrica].&amp;[" &amp; $A38 &amp; "]",
"[Base].[SEGMENTO_DESCRIP]",
"[Base].[SEGMENTO_DESCRIP].&amp;[" &amp; $C$6 &amp; "]",
"[Base].[SITUACION]",
"[Base].[SITUACION].&amp;[" &amp; $C38 &amp; "]"
),0)/1000</f>
        <v>10719.065302960002</v>
      </c>
      <c r="T38" s="8">
        <f>IFERROR(
GETPIVOTDATA(
"[Base].[Importe]",
TDinamica_R!$A$5,
"[Calendario].[AñoMes]",
"[Calendario].[AñoMes].&amp;[" &amp; TEXT(T$6,"yyyymm") &amp; "]",
"[Base].[Metrica]",
"[Base].[Metrica].&amp;[" &amp; $A38 &amp; "]",
"[Base].[SEGMENTO_DESCRIP]",
"[Base].[SEGMENTO_DESCRIP].&amp;[" &amp; $C$6 &amp; "]",
"[Base].[SITUACION]",
"[Base].[SITUACION].&amp;[" &amp; $C38 &amp; "]"
),0)/1000</f>
        <v>10944.095987790002</v>
      </c>
      <c r="U38" s="8">
        <f>IFERROR(
GETPIVOTDATA(
"[Base].[Importe]",
TDinamica_R!$A$5,
"[Calendario].[AñoMes]",
"[Calendario].[AñoMes].&amp;[" &amp; TEXT(U$6,"yyyymm") &amp; "]",
"[Base].[Metrica]",
"[Base].[Metrica].&amp;[" &amp; $A38 &amp; "]",
"[Base].[SEGMENTO_DESCRIP]",
"[Base].[SEGMENTO_DESCRIP].&amp;[" &amp; $C$6 &amp; "]",
"[Base].[SITUACION]",
"[Base].[SITUACION].&amp;[" &amp; $C38 &amp; "]"
),0)/1000</f>
        <v>10274.10471356</v>
      </c>
      <c r="V38" s="8">
        <f>IFERROR(
GETPIVOTDATA(
"[Base].[Importe]",
TDinamica_R!$A$5,
"[Calendario].[AñoMes]",
"[Calendario].[AñoMes].&amp;[" &amp; TEXT(V$6,"yyyymm") &amp; "]",
"[Base].[Metrica]",
"[Base].[Metrica].&amp;[" &amp; $A38 &amp; "]",
"[Base].[SEGMENTO_DESCRIP]",
"[Base].[SEGMENTO_DESCRIP].&amp;[" &amp; $C$6 &amp; "]",
"[Base].[SITUACION]",
"[Base].[SITUACION].&amp;[" &amp; $C38 &amp; "]"
),0)/1000</f>
        <v>10488.71168731</v>
      </c>
      <c r="W38" s="8">
        <f>IFERROR(
GETPIVOTDATA(
"[Base].[Importe]",
TDinamica_R!$A$5,
"[Calendario].[AñoMes]",
"[Calendario].[AñoMes].&amp;[" &amp; TEXT(W$6,"yyyymm") &amp; "]",
"[Base].[Metrica]",
"[Base].[Metrica].&amp;[" &amp; $A38 &amp; "]",
"[Base].[SEGMENTO_DESCRIP]",
"[Base].[SEGMENTO_DESCRIP].&amp;[" &amp; $C$6 &amp; "]",
"[Base].[SITUACION]",
"[Base].[SITUACION].&amp;[" &amp; $C38 &amp; "]"
),0)/1000</f>
        <v>10328.31083047</v>
      </c>
      <c r="X38" s="8">
        <f>IFERROR(
GETPIVOTDATA(
"[Base].[Importe]",
TDinamica_R!$A$5,
"[Calendario].[AñoMes]",
"[Calendario].[AñoMes].&amp;[" &amp; TEXT(X$6,"yyyymm") &amp; "]",
"[Base].[Metrica]",
"[Base].[Metrica].&amp;[" &amp; $A38 &amp; "]",
"[Base].[SEGMENTO_DESCRIP]",
"[Base].[SEGMENTO_DESCRIP].&amp;[" &amp; $C$6 &amp; "]",
"[Base].[SITUACION]",
"[Base].[SITUACION].&amp;[" &amp; $C38 &amp; "]"
),0)/1000</f>
        <v>9906.5419826699981</v>
      </c>
      <c r="Y38" s="8">
        <f>IFERROR(
GETPIVOTDATA(
"[Base].[Importe]",
TDinamica_R!$A$5,
"[Calendario].[AñoMes]",
"[Calendario].[AñoMes].&amp;[" &amp; TEXT(Y$6,"yyyymm") &amp; "]",
"[Base].[Metrica]",
"[Base].[Metrica].&amp;[" &amp; $A38 &amp; "]",
"[Base].[SEGMENTO_DESCRIP]",
"[Base].[SEGMENTO_DESCRIP].&amp;[" &amp; $C$6 &amp; "]",
"[Base].[SITUACION]",
"[Base].[SITUACION].&amp;[" &amp; $C38 &amp; "]"
),0)/1000</f>
        <v>10218.60296955</v>
      </c>
      <c r="Z38" s="8">
        <f>IFERROR(
GETPIVOTDATA(
"[Base].[Importe]",
TDinamica_R!$A$5,
"[Calendario].[AñoMes]",
"[Calendario].[AñoMes].&amp;[" &amp; TEXT(Z$6,"yyyymm") &amp; "]",
"[Base].[Metrica]",
"[Base].[Metrica].&amp;[" &amp; $A38 &amp; "]",
"[Base].[SEGMENTO_DESCRIP]",
"[Base].[SEGMENTO_DESCRIP].&amp;[" &amp; $C$6 &amp; "]",
"[Base].[SITUACION]",
"[Base].[SITUACION].&amp;[" &amp; $C38 &amp; "]"
),0)/1000</f>
        <v>9910.1858121999994</v>
      </c>
      <c r="AA38" s="8">
        <f>IFERROR(
GETPIVOTDATA(
"[Base].[Importe]",
TDinamica_R!$A$5,
"[Calendario].[AñoMes]",
"[Calendario].[AñoMes].&amp;[" &amp; TEXT(AA$6,"yyyymm") &amp; "]",
"[Base].[Metrica]",
"[Base].[Metrica].&amp;[" &amp; $A38 &amp; "]",
"[Base].[SEGMENTO_DESCRIP]",
"[Base].[SEGMENTO_DESCRIP].&amp;[" &amp; $C$6 &amp; "]",
"[Base].[SITUACION]",
"[Base].[SITUACION].&amp;[" &amp; $C38 &amp; "]"
),0)/1000</f>
        <v>10460.582227569999</v>
      </c>
      <c r="AB38" s="8">
        <f>IFERROR(
GETPIVOTDATA(
"[Base].[Importe]",
TDinamica_R!$A$5,
"[Calendario].[AñoMes]",
"[Calendario].[AñoMes].&amp;[" &amp; TEXT(AB$6,"yyyymm") &amp; "]",
"[Base].[Metrica]",
"[Base].[Metrica].&amp;[" &amp; $A38 &amp; "]",
"[Base].[SEGMENTO_DESCRIP]",
"[Base].[SEGMENTO_DESCRIP].&amp;[" &amp; $C$6 &amp; "]",
"[Base].[SITUACION]",
"[Base].[SITUACION].&amp;[" &amp; $C38 &amp; "]"
),0)/1000</f>
        <v>10512.042127590001</v>
      </c>
      <c r="AC38" s="8">
        <f>IFERROR(
GETPIVOTDATA(
"[Base].[Importe]",
TDinamica_R!$A$5,
"[Calendario].[AñoMes]",
"[Calendario].[AñoMes].&amp;[" &amp; TEXT(AC$6,"yyyymm") &amp; "]",
"[Base].[Metrica]",
"[Base].[Metrica].&amp;[" &amp; $A38 &amp; "]",
"[Base].[SEGMENTO_DESCRIP]",
"[Base].[SEGMENTO_DESCRIP].&amp;[" &amp; $C$6 &amp; "]",
"[Base].[SITUACION]",
"[Base].[SITUACION].&amp;[" &amp; $C38 &amp; "]"
),0)/1000</f>
        <v>9577.899698680003</v>
      </c>
      <c r="AD38" s="8">
        <f>IFERROR(
GETPIVOTDATA(
"[Base].[Importe]",
TDinamica_R!$A$5,
"[Calendario].[AñoMes]",
"[Calendario].[AñoMes].&amp;[" &amp; TEXT(AD$6,"yyyymm") &amp; "]",
"[Base].[Metrica]",
"[Base].[Metrica].&amp;[" &amp; $A38 &amp; "]",
"[Base].[SEGMENTO_DESCRIP]",
"[Base].[SEGMENTO_DESCRIP].&amp;[" &amp; $C$6 &amp; "]",
"[Base].[SITUACION]",
"[Base].[SITUACION].&amp;[" &amp; $C38 &amp; "]"
),0)/1000</f>
        <v>10805.127315299997</v>
      </c>
      <c r="AE38" s="8">
        <f>IFERROR(
GETPIVOTDATA(
"[Base].[Importe]",
TDinamica_R!$A$5,
"[Calendario].[AñoMes]",
"[Calendario].[AñoMes].&amp;[" &amp; TEXT(AE$6,"yyyymm") &amp; "]",
"[Base].[Metrica]",
"[Base].[Metrica].&amp;[" &amp; $A38 &amp; "]",
"[Base].[SEGMENTO_DESCRIP]",
"[Base].[SEGMENTO_DESCRIP].&amp;[" &amp; $C$6 &amp; "]",
"[Base].[SITUACION]",
"[Base].[SITUACION].&amp;[" &amp; $C38 &amp; "]"
),0)/1000</f>
        <v>10663.73738445</v>
      </c>
      <c r="AF38" s="8">
        <f>IFERROR(
GETPIVOTDATA(
"[Base].[Importe]",
TDinamica_R!$A$5,
"[Calendario].[AñoMes]",
"[Calendario].[AñoMes].&amp;[" &amp; TEXT(AF$6,"yyyymm") &amp; "]",
"[Base].[Metrica]",
"[Base].[Metrica].&amp;[" &amp; $A38 &amp; "]",
"[Base].[SEGMENTO_DESCRIP]",
"[Base].[SEGMENTO_DESCRIP].&amp;[" &amp; $C$6 &amp; "]",
"[Base].[SITUACION]",
"[Base].[SITUACION].&amp;[" &amp; $C38 &amp; "]"
),0)/1000</f>
        <v>11180.64966977</v>
      </c>
      <c r="AG38" s="8">
        <f>IFERROR(
GETPIVOTDATA(
"[Base].[Importe]",
TDinamica_R!$A$5,
"[Calendario].[AñoMes]",
"[Calendario].[AñoMes].&amp;[" &amp; TEXT(AG$6,"yyyymm") &amp; "]",
"[Base].[Metrica]",
"[Base].[Metrica].&amp;[" &amp; $A38 &amp; "]",
"[Base].[SEGMENTO_DESCRIP]",
"[Base].[SEGMENTO_DESCRIP].&amp;[" &amp; $C$6 &amp; "]",
"[Base].[SITUACION]",
"[Base].[SITUACION].&amp;[" &amp; $C38 &amp; "]"
),0)/1000</f>
        <v>10974.55043505</v>
      </c>
      <c r="AH38" s="8">
        <f>IFERROR(
GETPIVOTDATA(
"[Base].[Importe]",
TDinamica_R!$A$5,
"[Calendario].[AñoMes]",
"[Calendario].[AñoMes].&amp;[" &amp; TEXT(AH$6,"yyyymm") &amp; "]",
"[Base].[Metrica]",
"[Base].[Metrica].&amp;[" &amp; $A38 &amp; "]",
"[Base].[SEGMENTO_DESCRIP]",
"[Base].[SEGMENTO_DESCRIP].&amp;[" &amp; $C$6 &amp; "]",
"[Base].[SITUACION]",
"[Base].[SITUACION].&amp;[" &amp; $C38 &amp; "]"
),0)/1000</f>
        <v>11448.89737859</v>
      </c>
      <c r="AI38" s="8">
        <f>IFERROR(
GETPIVOTDATA(
"[Base].[Importe]",
TDinamica_R!$A$5,
"[Calendario].[AñoMes]",
"[Calendario].[AñoMes].&amp;[" &amp; TEXT(AI$6,"yyyymm") &amp; "]",
"[Base].[Metrica]",
"[Base].[Metrica].&amp;[" &amp; $A38 &amp; "]",
"[Base].[SEGMENTO_DESCRIP]",
"[Base].[SEGMENTO_DESCRIP].&amp;[" &amp; $C$6 &amp; "]",
"[Base].[SITUACION]",
"[Base].[SITUACION].&amp;[" &amp; $C38 &amp; "]"
),0)/1000</f>
        <v>11633.282068789998</v>
      </c>
      <c r="AJ38" s="8">
        <f>IFERROR(
GETPIVOTDATA(
"[Base].[Importe]",
TDinamica_R!$A$5,
"[Calendario].[AñoMes]",
"[Calendario].[AñoMes].&amp;[" &amp; TEXT(AJ$6,"yyyymm") &amp; "]",
"[Base].[Metrica]",
"[Base].[Metrica].&amp;[" &amp; $A38 &amp; "]",
"[Base].[SEGMENTO_DESCRIP]",
"[Base].[SEGMENTO_DESCRIP].&amp;[" &amp; $C$6 &amp; "]",
"[Base].[SITUACION]",
"[Base].[SITUACION].&amp;[" &amp; $C38 &amp; "]"
),0)/1000</f>
        <v>11584.759564329999</v>
      </c>
      <c r="AK38" s="8">
        <f>IFERROR(
GETPIVOTDATA(
"[Base].[Importe]",
TDinamica_R!$A$5,
"[Calendario].[AñoMes]",
"[Calendario].[AñoMes].&amp;[" &amp; TEXT(AK$6,"yyyymm") &amp; "]",
"[Base].[Metrica]",
"[Base].[Metrica].&amp;[" &amp; $A38 &amp; "]",
"[Base].[SEGMENTO_DESCRIP]",
"[Base].[SEGMENTO_DESCRIP].&amp;[" &amp; $C$6 &amp; "]",
"[Base].[SITUACION]",
"[Base].[SITUACION].&amp;[" &amp; $C38 &amp; "]"
),0)/1000</f>
        <v>12494.829135299999</v>
      </c>
      <c r="AL38" s="8">
        <f>IFERROR(
GETPIVOTDATA(
"[Base].[Importe]",
TDinamica_R!$A$5,
"[Calendario].[AñoMes]",
"[Calendario].[AñoMes].&amp;[" &amp; TEXT(AL$6,"yyyymm") &amp; "]",
"[Base].[Metrica]",
"[Base].[Metrica].&amp;[" &amp; $A38 &amp; "]",
"[Base].[SEGMENTO_DESCRIP]",
"[Base].[SEGMENTO_DESCRIP].&amp;[" &amp; $C$6 &amp; "]",
"[Base].[SITUACION]",
"[Base].[SITUACION].&amp;[" &amp; $C38 &amp; "]"
),0)/1000</f>
        <v>12487.454879780002</v>
      </c>
      <c r="AM38" s="8">
        <f>IFERROR(
GETPIVOTDATA(
"[Base].[Importe]",
TDinamica_R!$A$5,
"[Calendario].[AñoMes]",
"[Calendario].[AñoMes].&amp;[" &amp; TEXT(AM$6,"yyyymm") &amp; "]",
"[Base].[Metrica]",
"[Base].[Metrica].&amp;[" &amp; $A38 &amp; "]",
"[Base].[SEGMENTO_DESCRIP]",
"[Base].[SEGMENTO_DESCRIP].&amp;[" &amp; $C$6 &amp; "]",
"[Base].[SITUACION]",
"[Base].[SITUACION].&amp;[" &amp; $C38 &amp; "]"
),0)/1000</f>
        <v>13160.095892049998</v>
      </c>
      <c r="AN38" s="8">
        <f>IFERROR(
GETPIVOTDATA(
"[Base].[Importe]",
TDinamica_R!$A$5,
"[Calendario].[AñoMes]",
"[Calendario].[AñoMes].&amp;[" &amp; TEXT(AN$6,"yyyymm") &amp; "]",
"[Base].[Metrica]",
"[Base].[Metrica].&amp;[" &amp; $A38 &amp; "]",
"[Base].[SEGMENTO_DESCRIP]",
"[Base].[SEGMENTO_DESCRIP].&amp;[" &amp; $C$6 &amp; "]",
"[Base].[SITUACION]",
"[Base].[SITUACION].&amp;[" &amp; $C38 &amp; "]"
),0)/1000</f>
        <v>13212.39018523</v>
      </c>
      <c r="AO38" s="8">
        <f>IFERROR(
GETPIVOTDATA(
"[Base].[Importe]",
TDinamica_R!$A$5,
"[Calendario].[AñoMes]",
"[Calendario].[AñoMes].&amp;[" &amp; TEXT(AO$6,"yyyymm") &amp; "]",
"[Base].[Metrica]",
"[Base].[Metrica].&amp;[" &amp; $A38 &amp; "]",
"[Base].[SEGMENTO_DESCRIP]",
"[Base].[SEGMENTO_DESCRIP].&amp;[" &amp; $C$6 &amp; "]",
"[Base].[SITUACION]",
"[Base].[SITUACION].&amp;[" &amp; $C38 &amp; "]"
),0)/1000</f>
        <v>12152.66742179</v>
      </c>
      <c r="AP38" s="8">
        <f>IFERROR(
GETPIVOTDATA(
"[Base].[Importe]",
TDinamica_R!$A$5,
"[Calendario].[AñoMes]",
"[Calendario].[AñoMes].&amp;[" &amp; TEXT(AP$6,"yyyymm") &amp; "]",
"[Base].[Metrica]",
"[Base].[Metrica].&amp;[" &amp; $A38 &amp; "]",
"[Base].[SEGMENTO_DESCRIP]",
"[Base].[SEGMENTO_DESCRIP].&amp;[" &amp; $C$6 &amp; "]",
"[Base].[SITUACION]",
"[Base].[SITUACION].&amp;[" &amp; $C38 &amp; "]"
),0)/1000</f>
        <v>13726.014922639999</v>
      </c>
      <c r="AQ38" s="8">
        <f>IFERROR(
GETPIVOTDATA(
"[Base].[Importe]",
TDinamica_R!$A$5,
"[Calendario].[AñoMes]",
"[Calendario].[AñoMes].&amp;[" &amp; TEXT(AQ$6,"yyyymm") &amp; "]",
"[Base].[Metrica]",
"[Base].[Metrica].&amp;[" &amp; $A38 &amp; "]",
"[Base].[SEGMENTO_DESCRIP]",
"[Base].[SEGMENTO_DESCRIP].&amp;[" &amp; $C$6 &amp; "]",
"[Base].[SITUACION]",
"[Base].[SITUACION].&amp;[" &amp; $C38 &amp; "]"
),0)/1000</f>
        <v>13218.974588019999</v>
      </c>
      <c r="AR38" s="8">
        <f>IFERROR(
GETPIVOTDATA(
"[Base].[Importe]",
TDinamica_R!$A$5,
"[Calendario].[AñoMes]",
"[Calendario].[AñoMes].&amp;[" &amp; TEXT(AR$6,"yyyymm") &amp; "]",
"[Base].[Metrica]",
"[Base].[Metrica].&amp;[" &amp; $A38 &amp; "]",
"[Base].[SEGMENTO_DESCRIP]",
"[Base].[SEGMENTO_DESCRIP].&amp;[" &amp; $C$6 &amp; "]",
"[Base].[SITUACION]",
"[Base].[SITUACION].&amp;[" &amp; $C38 &amp; "]"
),0)/1000</f>
        <v>13776.59350592</v>
      </c>
      <c r="AS38" s="8">
        <f>IFERROR(
GETPIVOTDATA(
"[Base].[Importe]",
TDinamica_R!$A$5,
"[Calendario].[AñoMes]",
"[Calendario].[AñoMes].&amp;[" &amp; TEXT(AS$6,"yyyymm") &amp; "]",
"[Base].[Metrica]",
"[Base].[Metrica].&amp;[" &amp; $A38 &amp; "]",
"[Base].[SEGMENTO_DESCRIP]",
"[Base].[SEGMENTO_DESCRIP].&amp;[" &amp; $C$6 &amp; "]",
"[Base].[SITUACION]",
"[Base].[SITUACION].&amp;[" &amp; $C38 &amp; "]"
),0)/1000</f>
        <v>13557.394544050003</v>
      </c>
      <c r="AT38" s="8">
        <f>IFERROR(
GETPIVOTDATA(
"[Base].[Importe]",
TDinamica_R!$A$5,
"[Calendario].[AñoMes]",
"[Calendario].[AñoMes].&amp;[" &amp; TEXT(AT$6,"yyyymm")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U38" s="8">
        <f>IFERROR(
GETPIVOTDATA(
"[Base].[Importe]",
TDinamica_R!$A$5,
"[Calendario].[AñoMes]",
"[Calendario].[AñoMes].&amp;[" &amp; TEXT(AU$6,"yyyymm")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V38" s="8">
        <f>IFERROR(
GETPIVOTDATA(
"[Base].[Importe]",
TDinamica_R!$A$5,
"[Calendario].[AñoMes]",
"[Calendario].[AñoMes].&amp;[" &amp; TEXT(AV$6,"yyyymm")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W38" s="8">
        <f>IFERROR(
GETPIVOTDATA(
"[Base].[Importe]",
TDinamica_R!$A$5,
"[Calendario].[AñoMes]",
"[Calendario].[AñoMes].&amp;[" &amp; TEXT(AW$6,"yyyymm")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X38" s="8">
        <f>IFERROR(
GETPIVOTDATA(
"[Base].[Importe]",
TDinamica_R!$A$5,
"[Calendario].[AñoMes]",
"[Calendario].[AñoMes].&amp;[" &amp; TEXT(AX$6,"yyyymm")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Y38" s="8">
        <f>IFERROR(
GETPIVOTDATA(
"[Base].[Importe]",
TDinamica_R!$A$5,
"[Calendario].[AñoMes]",
"[Calendario].[AñoMes].&amp;[" &amp; TEXT(AY$6,"yyyymm")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Z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TEXT(AZ$6,"yyyymm") &amp; "]"
),
0
)</f>
        <v>13593.243780013121</v>
      </c>
      <c r="BA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TEXT(BA$6,"yyyymm") &amp; "]"
),
0
)</f>
        <v>12403.406830981063</v>
      </c>
      <c r="BB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TEXT(BB$6,"yyyymm") &amp; "]"
),
0
)</f>
        <v>14111.045079980649</v>
      </c>
      <c r="BC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TEXT(BC$6,"yyyymm") &amp; "]"
),
0
)</f>
        <v>14137.163407879194</v>
      </c>
      <c r="BD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TEXT(BD$6,"yyyymm") &amp; "]"
),
0
)</f>
        <v>15109.835989631074</v>
      </c>
      <c r="BE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TEXT(BE$6,"yyyymm") &amp; "]"
),
0
)</f>
        <v>15055.456476647998</v>
      </c>
      <c r="BF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TEXT(BF$6,"yyyymm") &amp; "]"
),
0
)</f>
        <v>15924.018080340684</v>
      </c>
      <c r="BG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TEXT(BG$6,"yyyymm") &amp; "]"
),
0
)</f>
        <v>16261.044113263286</v>
      </c>
      <c r="BH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TEXT(BH$6,"yyyymm") &amp; "]"
),
0
)</f>
        <v>16088.974862717085</v>
      </c>
      <c r="BI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TEXT(BI$6,"yyyymm") &amp; "]"
),
0
)</f>
        <v>17098.532031426927</v>
      </c>
      <c r="BJ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TEXT(BJ$6,"yyyymm") &amp; "]"
),
0
)</f>
        <v>16860.166913365756</v>
      </c>
      <c r="BK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TEXT(BK$6,"yyyymm") &amp; "]"
),
0
)</f>
        <v>17789.450643238717</v>
      </c>
      <c r="BO38" s="24">
        <f t="shared" ref="BO38:BT40" si="43">SUMIFS($D38:$BM38,$D$6:$BM$6,"&gt;="&amp;BO$2,$D$6:$BM$6,"&lt;="&amp;BO$6,$D$5:$BM$5,BO$5)</f>
        <v>39091.072529659999</v>
      </c>
      <c r="BP38" s="24">
        <f t="shared" si="43"/>
        <v>40107.695690974833</v>
      </c>
      <c r="BQ38" s="24">
        <f t="shared" si="43"/>
        <v>25365.05760702</v>
      </c>
      <c r="BR38" s="24">
        <f t="shared" si="43"/>
        <v>30895.069141570002</v>
      </c>
      <c r="BS38" s="24">
        <f t="shared" si="43"/>
        <v>33771.084161819999</v>
      </c>
      <c r="BT38" s="24">
        <f t="shared" si="43"/>
        <v>27463.747109409996</v>
      </c>
    </row>
    <row r="39" spans="1:72" hidden="1" outlineLevel="1" x14ac:dyDescent="0.25">
      <c r="A39" s="11" t="s">
        <v>55</v>
      </c>
      <c r="C39" s="2" t="s">
        <v>1</v>
      </c>
      <c r="D39" s="8">
        <f>IFERROR(
GETPIVOTDATA(
"[Base].[Importe]",
TDinamica_R!$A$5,
"[Calendario].[AñoMes]",
"[Calendario].[AñoMes].&amp;[" &amp; TEXT(D$6,"yyyymm") &amp; "]",
"[Base].[Metrica]",
"[Base].[Metrica].&amp;[" &amp; $A39 &amp; "]",
"[Base].[SEGMENTO_DESCRIP]",
"[Base].[SEGMENTO_DESCRIP].&amp;[" &amp; $C$6 &amp; "]",
"[Base].[SITUACION]",
"[Base].[SITUACION].&amp;[" &amp; $C39 &amp; "]"
),0)/1000</f>
        <v>2.38771909</v>
      </c>
      <c r="E39" s="8">
        <f>IFERROR(
GETPIVOTDATA(
"[Base].[Importe]",
TDinamica_R!$A$5,
"[Calendario].[AñoMes]",
"[Calendario].[AñoMes].&amp;[" &amp; TEXT(E$6,"yyyymm") &amp; "]",
"[Base].[Metrica]",
"[Base].[Metrica].&amp;[" &amp; $A39 &amp; "]",
"[Base].[SEGMENTO_DESCRIP]",
"[Base].[SEGMENTO_DESCRIP].&amp;[" &amp; $C$6 &amp; "]",
"[Base].[SITUACION]",
"[Base].[SITUACION].&amp;[" &amp; $C39 &amp; "]"
),0)/1000</f>
        <v>2.5991533599999999</v>
      </c>
      <c r="F39" s="8">
        <f>IFERROR(
GETPIVOTDATA(
"[Base].[Importe]",
TDinamica_R!$A$5,
"[Calendario].[AñoMes]",
"[Calendario].[AñoMes].&amp;[" &amp; TEXT(F$6,"yyyymm") &amp; "]",
"[Base].[Metrica]",
"[Base].[Metrica].&amp;[" &amp; $A39 &amp; "]",
"[Base].[SEGMENTO_DESCRIP]",
"[Base].[SEGMENTO_DESCRIP].&amp;[" &amp; $C$6 &amp; "]",
"[Base].[SITUACION]",
"[Base].[SITUACION].&amp;[" &amp; $C39 &amp; "]"
),0)/1000</f>
        <v>4.7805972099999998</v>
      </c>
      <c r="G39" s="8">
        <f>IFERROR(
GETPIVOTDATA(
"[Base].[Importe]",
TDinamica_R!$A$5,
"[Calendario].[AñoMes]",
"[Calendario].[AñoMes].&amp;[" &amp; TEXT(G$6,"yyyymm") &amp; "]",
"[Base].[Metrica]",
"[Base].[Metrica].&amp;[" &amp; $A39 &amp; "]",
"[Base].[SEGMENTO_DESCRIP]",
"[Base].[SEGMENTO_DESCRIP].&amp;[" &amp; $C$6 &amp; "]",
"[Base].[SITUACION]",
"[Base].[SITUACION].&amp;[" &amp; $C39 &amp; "]"
),0)/1000</f>
        <v>3.90827371</v>
      </c>
      <c r="H39" s="8">
        <f>IFERROR(
GETPIVOTDATA(
"[Base].[Importe]",
TDinamica_R!$A$5,
"[Calendario].[AñoMes]",
"[Calendario].[AñoMes].&amp;[" &amp; TEXT(H$6,"yyyymm") &amp; "]",
"[Base].[Metrica]",
"[Base].[Metrica].&amp;[" &amp; $A39 &amp; "]",
"[Base].[SEGMENTO_DESCRIP]",
"[Base].[SEGMENTO_DESCRIP].&amp;[" &amp; $C$6 &amp; "]",
"[Base].[SITUACION]",
"[Base].[SITUACION].&amp;[" &amp; $C39 &amp; "]"
),0)/1000</f>
        <v>2.5729985000000002</v>
      </c>
      <c r="I39" s="8">
        <f>IFERROR(
GETPIVOTDATA(
"[Base].[Importe]",
TDinamica_R!$A$5,
"[Calendario].[AñoMes]",
"[Calendario].[AñoMes].&amp;[" &amp; TEXT(I$6,"yyyymm") &amp; "]",
"[Base].[Metrica]",
"[Base].[Metrica].&amp;[" &amp; $A39 &amp; "]",
"[Base].[SEGMENTO_DESCRIP]",
"[Base].[SEGMENTO_DESCRIP].&amp;[" &amp; $C$6 &amp; "]",
"[Base].[SITUACION]",
"[Base].[SITUACION].&amp;[" &amp; $C39 &amp; "]"
),0)/1000</f>
        <v>0.99602630000000003</v>
      </c>
      <c r="J39" s="8">
        <f>IFERROR(
GETPIVOTDATA(
"[Base].[Importe]",
TDinamica_R!$A$5,
"[Calendario].[AñoMes]",
"[Calendario].[AñoMes].&amp;[" &amp; TEXT(J$6,"yyyymm") &amp; "]",
"[Base].[Metrica]",
"[Base].[Metrica].&amp;[" &amp; $A39 &amp; "]",
"[Base].[SEGMENTO_DESCRIP]",
"[Base].[SEGMENTO_DESCRIP].&amp;[" &amp; $C$6 &amp; "]",
"[Base].[SITUACION]",
"[Base].[SITUACION].&amp;[" &amp; $C39 &amp; "]"
),0)/1000</f>
        <v>2.9270211100000001</v>
      </c>
      <c r="K39" s="8">
        <f>IFERROR(
GETPIVOTDATA(
"[Base].[Importe]",
TDinamica_R!$A$5,
"[Calendario].[AñoMes]",
"[Calendario].[AñoMes].&amp;[" &amp; TEXT(K$6,"yyyymm") &amp; "]",
"[Base].[Metrica]",
"[Base].[Metrica].&amp;[" &amp; $A39 &amp; "]",
"[Base].[SEGMENTO_DESCRIP]",
"[Base].[SEGMENTO_DESCRIP].&amp;[" &amp; $C$6 &amp; "]",
"[Base].[SITUACION]",
"[Base].[SITUACION].&amp;[" &amp; $C39 &amp; "]"
),0)/1000</f>
        <v>0.94840358999999996</v>
      </c>
      <c r="L39" s="8">
        <f>IFERROR(
GETPIVOTDATA(
"[Base].[Importe]",
TDinamica_R!$A$5,
"[Calendario].[AñoMes]",
"[Calendario].[AñoMes].&amp;[" &amp; TEXT(L$6,"yyyymm") &amp; "]",
"[Base].[Metrica]",
"[Base].[Metrica].&amp;[" &amp; $A39 &amp; "]",
"[Base].[SEGMENTO_DESCRIP]",
"[Base].[SEGMENTO_DESCRIP].&amp;[" &amp; $C$6 &amp; "]",
"[Base].[SITUACION]",
"[Base].[SITUACION].&amp;[" &amp; $C39 &amp; "]"
),0)/1000</f>
        <v>3.41036764</v>
      </c>
      <c r="M39" s="8">
        <f>IFERROR(
GETPIVOTDATA(
"[Base].[Importe]",
TDinamica_R!$A$5,
"[Calendario].[AñoMes]",
"[Calendario].[AñoMes].&amp;[" &amp; TEXT(M$6,"yyyymm") &amp; "]",
"[Base].[Metrica]",
"[Base].[Metrica].&amp;[" &amp; $A39 &amp; "]",
"[Base].[SEGMENTO_DESCRIP]",
"[Base].[SEGMENTO_DESCRIP].&amp;[" &amp; $C$6 &amp; "]",
"[Base].[SITUACION]",
"[Base].[SITUACION].&amp;[" &amp; $C39 &amp; "]"
),0)/1000</f>
        <v>3.8033750100000003</v>
      </c>
      <c r="N39" s="8">
        <f>IFERROR(
GETPIVOTDATA(
"[Base].[Importe]",
TDinamica_R!$A$5,
"[Calendario].[AñoMes]",
"[Calendario].[AñoMes].&amp;[" &amp; TEXT(N$6,"yyyymm") &amp; "]",
"[Base].[Metrica]",
"[Base].[Metrica].&amp;[" &amp; $A39 &amp; "]",
"[Base].[SEGMENTO_DESCRIP]",
"[Base].[SEGMENTO_DESCRIP].&amp;[" &amp; $C$6 &amp; "]",
"[Base].[SITUACION]",
"[Base].[SITUACION].&amp;[" &amp; $C39 &amp; "]"
),0)/1000</f>
        <v>2.6671493900000001</v>
      </c>
      <c r="O39" s="8">
        <f>IFERROR(
GETPIVOTDATA(
"[Base].[Importe]",
TDinamica_R!$A$5,
"[Calendario].[AñoMes]",
"[Calendario].[AñoMes].&amp;[" &amp; TEXT(O$6,"yyyymm") &amp; "]",
"[Base].[Metrica]",
"[Base].[Metrica].&amp;[" &amp; $A39 &amp; "]",
"[Base].[SEGMENTO_DESCRIP]",
"[Base].[SEGMENTO_DESCRIP].&amp;[" &amp; $C$6 &amp; "]",
"[Base].[SITUACION]",
"[Base].[SITUACION].&amp;[" &amp; $C39 &amp; "]"
),0)/1000</f>
        <v>2.7710261700000003</v>
      </c>
      <c r="P39" s="8">
        <f>IFERROR(
GETPIVOTDATA(
"[Base].[Importe]",
TDinamica_R!$A$5,
"[Calendario].[AñoMes]",
"[Calendario].[AñoMes].&amp;[" &amp; TEXT(P$6,"yyyymm") &amp; "]",
"[Base].[Metrica]",
"[Base].[Metrica].&amp;[" &amp; $A39 &amp; "]",
"[Base].[SEGMENTO_DESCRIP]",
"[Base].[SEGMENTO_DESCRIP].&amp;[" &amp; $C$6 &amp; "]",
"[Base].[SITUACION]",
"[Base].[SITUACION].&amp;[" &amp; $C39 &amp; "]"
),0)/1000</f>
        <v>3.86683858</v>
      </c>
      <c r="Q39" s="8">
        <f>IFERROR(
GETPIVOTDATA(
"[Base].[Importe]",
TDinamica_R!$A$5,
"[Calendario].[AñoMes]",
"[Calendario].[AñoMes].&amp;[" &amp; TEXT(Q$6,"yyyymm") &amp; "]",
"[Base].[Metrica]",
"[Base].[Metrica].&amp;[" &amp; $A39 &amp; "]",
"[Base].[SEGMENTO_DESCRIP]",
"[Base].[SEGMENTO_DESCRIP].&amp;[" &amp; $C$6 &amp; "]",
"[Base].[SITUACION]",
"[Base].[SITUACION].&amp;[" &amp; $C39 &amp; "]"
),0)/1000</f>
        <v>2.64819184</v>
      </c>
      <c r="R39" s="8">
        <f>IFERROR(
GETPIVOTDATA(
"[Base].[Importe]",
TDinamica_R!$A$5,
"[Calendario].[AñoMes]",
"[Calendario].[AñoMes].&amp;[" &amp; TEXT(R$6,"yyyymm") &amp; "]",
"[Base].[Metrica]",
"[Base].[Metrica].&amp;[" &amp; $A39 &amp; "]",
"[Base].[SEGMENTO_DESCRIP]",
"[Base].[SEGMENTO_DESCRIP].&amp;[" &amp; $C$6 &amp; "]",
"[Base].[SITUACION]",
"[Base].[SITUACION].&amp;[" &amp; $C39 &amp; "]"
),0)/1000</f>
        <v>2.5931183799999999</v>
      </c>
      <c r="S39" s="8">
        <f>IFERROR(
GETPIVOTDATA(
"[Base].[Importe]",
TDinamica_R!$A$5,
"[Calendario].[AñoMes]",
"[Calendario].[AñoMes].&amp;[" &amp; TEXT(S$6,"yyyymm") &amp; "]",
"[Base].[Metrica]",
"[Base].[Metrica].&amp;[" &amp; $A39 &amp; "]",
"[Base].[SEGMENTO_DESCRIP]",
"[Base].[SEGMENTO_DESCRIP].&amp;[" &amp; $C$6 &amp; "]",
"[Base].[SITUACION]",
"[Base].[SITUACION].&amp;[" &amp; $C39 &amp; "]"
),0)/1000</f>
        <v>3.7261092699999998</v>
      </c>
      <c r="T39" s="8">
        <f>IFERROR(
GETPIVOTDATA(
"[Base].[Importe]",
TDinamica_R!$A$5,
"[Calendario].[AñoMes]",
"[Calendario].[AñoMes].&amp;[" &amp; TEXT(T$6,"yyyymm") &amp; "]",
"[Base].[Metrica]",
"[Base].[Metrica].&amp;[" &amp; $A39 &amp; "]",
"[Base].[SEGMENTO_DESCRIP]",
"[Base].[SEGMENTO_DESCRIP].&amp;[" &amp; $C$6 &amp; "]",
"[Base].[SITUACION]",
"[Base].[SITUACION].&amp;[" &amp; $C39 &amp; "]"
),0)/1000</f>
        <v>6.2872163600000004</v>
      </c>
      <c r="U39" s="8">
        <f>IFERROR(
GETPIVOTDATA(
"[Base].[Importe]",
TDinamica_R!$A$5,
"[Calendario].[AñoMes]",
"[Calendario].[AñoMes].&amp;[" &amp; TEXT(U$6,"yyyymm") &amp; "]",
"[Base].[Metrica]",
"[Base].[Metrica].&amp;[" &amp; $A39 &amp; "]",
"[Base].[SEGMENTO_DESCRIP]",
"[Base].[SEGMENTO_DESCRIP].&amp;[" &amp; $C$6 &amp; "]",
"[Base].[SITUACION]",
"[Base].[SITUACION].&amp;[" &amp; $C39 &amp; "]"
),0)/1000</f>
        <v>9.2124087800000005</v>
      </c>
      <c r="V39" s="8">
        <f>IFERROR(
GETPIVOTDATA(
"[Base].[Importe]",
TDinamica_R!$A$5,
"[Calendario].[AñoMes]",
"[Calendario].[AñoMes].&amp;[" &amp; TEXT(V$6,"yyyymm") &amp; "]",
"[Base].[Metrica]",
"[Base].[Metrica].&amp;[" &amp; $A39 &amp; "]",
"[Base].[SEGMENTO_DESCRIP]",
"[Base].[SEGMENTO_DESCRIP].&amp;[" &amp; $C$6 &amp; "]",
"[Base].[SITUACION]",
"[Base].[SITUACION].&amp;[" &amp; $C39 &amp; "]"
),0)/1000</f>
        <v>9.8990749999999998</v>
      </c>
      <c r="W39" s="8">
        <f>IFERROR(
GETPIVOTDATA(
"[Base].[Importe]",
TDinamica_R!$A$5,
"[Calendario].[AñoMes]",
"[Calendario].[AñoMes].&amp;[" &amp; TEXT(W$6,"yyyymm") &amp; "]",
"[Base].[Metrica]",
"[Base].[Metrica].&amp;[" &amp; $A39 &amp; "]",
"[Base].[SEGMENTO_DESCRIP]",
"[Base].[SEGMENTO_DESCRIP].&amp;[" &amp; $C$6 &amp; "]",
"[Base].[SITUACION]",
"[Base].[SITUACION].&amp;[" &amp; $C39 &amp; "]"
),0)/1000</f>
        <v>10.330623709999999</v>
      </c>
      <c r="X39" s="8">
        <f>IFERROR(
GETPIVOTDATA(
"[Base].[Importe]",
TDinamica_R!$A$5,
"[Calendario].[AñoMes]",
"[Calendario].[AñoMes].&amp;[" &amp; TEXT(X$6,"yyyymm") &amp; "]",
"[Base].[Metrica]",
"[Base].[Metrica].&amp;[" &amp; $A39 &amp; "]",
"[Base].[SEGMENTO_DESCRIP]",
"[Base].[SEGMENTO_DESCRIP].&amp;[" &amp; $C$6 &amp; "]",
"[Base].[SITUACION]",
"[Base].[SITUACION].&amp;[" &amp; $C39 &amp; "]"
),0)/1000</f>
        <v>12.70143403</v>
      </c>
      <c r="Y39" s="8">
        <f>IFERROR(
GETPIVOTDATA(
"[Base].[Importe]",
TDinamica_R!$A$5,
"[Calendario].[AñoMes]",
"[Calendario].[AñoMes].&amp;[" &amp; TEXT(Y$6,"yyyymm") &amp; "]",
"[Base].[Metrica]",
"[Base].[Metrica].&amp;[" &amp; $A39 &amp; "]",
"[Base].[SEGMENTO_DESCRIP]",
"[Base].[SEGMENTO_DESCRIP].&amp;[" &amp; $C$6 &amp; "]",
"[Base].[SITUACION]",
"[Base].[SITUACION].&amp;[" &amp; $C39 &amp; "]"
),0)/1000</f>
        <v>12.41915316</v>
      </c>
      <c r="Z39" s="8">
        <f>IFERROR(
GETPIVOTDATA(
"[Base].[Importe]",
TDinamica_R!$A$5,
"[Calendario].[AñoMes]",
"[Calendario].[AñoMes].&amp;[" &amp; TEXT(Z$6,"yyyymm") &amp; "]",
"[Base].[Metrica]",
"[Base].[Metrica].&amp;[" &amp; $A39 &amp; "]",
"[Base].[SEGMENTO_DESCRIP]",
"[Base].[SEGMENTO_DESCRIP].&amp;[" &amp; $C$6 &amp; "]",
"[Base].[SITUACION]",
"[Base].[SITUACION].&amp;[" &amp; $C39 &amp; "]"
),0)/1000</f>
        <v>13.367385780000001</v>
      </c>
      <c r="AA39" s="8">
        <f>IFERROR(
GETPIVOTDATA(
"[Base].[Importe]",
TDinamica_R!$A$5,
"[Calendario].[AñoMes]",
"[Calendario].[AñoMes].&amp;[" &amp; TEXT(AA$6,"yyyymm") &amp; "]",
"[Base].[Metrica]",
"[Base].[Metrica].&amp;[" &amp; $A39 &amp; "]",
"[Base].[SEGMENTO_DESCRIP]",
"[Base].[SEGMENTO_DESCRIP].&amp;[" &amp; $C$6 &amp; "]",
"[Base].[SITUACION]",
"[Base].[SITUACION].&amp;[" &amp; $C39 &amp; "]"
),0)/1000</f>
        <v>15.01546499</v>
      </c>
      <c r="AB39" s="8">
        <f>IFERROR(
GETPIVOTDATA(
"[Base].[Importe]",
TDinamica_R!$A$5,
"[Calendario].[AñoMes]",
"[Calendario].[AñoMes].&amp;[" &amp; TEXT(AB$6,"yyyymm") &amp; "]",
"[Base].[Metrica]",
"[Base].[Metrica].&amp;[" &amp; $A39 &amp; "]",
"[Base].[SEGMENTO_DESCRIP]",
"[Base].[SEGMENTO_DESCRIP].&amp;[" &amp; $C$6 &amp; "]",
"[Base].[SITUACION]",
"[Base].[SITUACION].&amp;[" &amp; $C39 &amp; "]"
),0)/1000</f>
        <v>16.127450700000001</v>
      </c>
      <c r="AC39" s="8">
        <f>IFERROR(
GETPIVOTDATA(
"[Base].[Importe]",
TDinamica_R!$A$5,
"[Calendario].[AñoMes]",
"[Calendario].[AñoMes].&amp;[" &amp; TEXT(AC$6,"yyyymm") &amp; "]",
"[Base].[Metrica]",
"[Base].[Metrica].&amp;[" &amp; $A39 &amp; "]",
"[Base].[SEGMENTO_DESCRIP]",
"[Base].[SEGMENTO_DESCRIP].&amp;[" &amp; $C$6 &amp; "]",
"[Base].[SITUACION]",
"[Base].[SITUACION].&amp;[" &amp; $C39 &amp; "]"
),0)/1000</f>
        <v>13.396545060000001</v>
      </c>
      <c r="AD39" s="8">
        <f>IFERROR(
GETPIVOTDATA(
"[Base].[Importe]",
TDinamica_R!$A$5,
"[Calendario].[AñoMes]",
"[Calendario].[AñoMes].&amp;[" &amp; TEXT(AD$6,"yyyymm") &amp; "]",
"[Base].[Metrica]",
"[Base].[Metrica].&amp;[" &amp; $A39 &amp; "]",
"[Base].[SEGMENTO_DESCRIP]",
"[Base].[SEGMENTO_DESCRIP].&amp;[" &amp; $C$6 &amp; "]",
"[Base].[SITUACION]",
"[Base].[SITUACION].&amp;[" &amp; $C39 &amp; "]"
),0)/1000</f>
        <v>14.64666085</v>
      </c>
      <c r="AE39" s="8">
        <f>IFERROR(
GETPIVOTDATA(
"[Base].[Importe]",
TDinamica_R!$A$5,
"[Calendario].[AñoMes]",
"[Calendario].[AñoMes].&amp;[" &amp; TEXT(AE$6,"yyyymm") &amp; "]",
"[Base].[Metrica]",
"[Base].[Metrica].&amp;[" &amp; $A39 &amp; "]",
"[Base].[SEGMENTO_DESCRIP]",
"[Base].[SEGMENTO_DESCRIP].&amp;[" &amp; $C$6 &amp; "]",
"[Base].[SITUACION]",
"[Base].[SITUACION].&amp;[" &amp; $C39 &amp; "]"
),0)/1000</f>
        <v>13.97146163</v>
      </c>
      <c r="AF39" s="8">
        <f>IFERROR(
GETPIVOTDATA(
"[Base].[Importe]",
TDinamica_R!$A$5,
"[Calendario].[AñoMes]",
"[Calendario].[AñoMes].&amp;[" &amp; TEXT(AF$6,"yyyymm") &amp; "]",
"[Base].[Metrica]",
"[Base].[Metrica].&amp;[" &amp; $A39 &amp; "]",
"[Base].[SEGMENTO_DESCRIP]",
"[Base].[SEGMENTO_DESCRIP].&amp;[" &amp; $C$6 &amp; "]",
"[Base].[SITUACION]",
"[Base].[SITUACION].&amp;[" &amp; $C39 &amp; "]"
),0)/1000</f>
        <v>16.73435705</v>
      </c>
      <c r="AG39" s="8">
        <f>IFERROR(
GETPIVOTDATA(
"[Base].[Importe]",
TDinamica_R!$A$5,
"[Calendario].[AñoMes]",
"[Calendario].[AñoMes].&amp;[" &amp; TEXT(AG$6,"yyyymm") &amp; "]",
"[Base].[Metrica]",
"[Base].[Metrica].&amp;[" &amp; $A39 &amp; "]",
"[Base].[SEGMENTO_DESCRIP]",
"[Base].[SEGMENTO_DESCRIP].&amp;[" &amp; $C$6 &amp; "]",
"[Base].[SITUACION]",
"[Base].[SITUACION].&amp;[" &amp; $C39 &amp; "]"
),0)/1000</f>
        <v>14.001293149999999</v>
      </c>
      <c r="AH39" s="8">
        <f>IFERROR(
GETPIVOTDATA(
"[Base].[Importe]",
TDinamica_R!$A$5,
"[Calendario].[AñoMes]",
"[Calendario].[AñoMes].&amp;[" &amp; TEXT(AH$6,"yyyymm") &amp; "]",
"[Base].[Metrica]",
"[Base].[Metrica].&amp;[" &amp; $A39 &amp; "]",
"[Base].[SEGMENTO_DESCRIP]",
"[Base].[SEGMENTO_DESCRIP].&amp;[" &amp; $C$6 &amp; "]",
"[Base].[SITUACION]",
"[Base].[SITUACION].&amp;[" &amp; $C39 &amp; "]"
),0)/1000</f>
        <v>19.11516992</v>
      </c>
      <c r="AI39" s="8">
        <f>IFERROR(
GETPIVOTDATA(
"[Base].[Importe]",
TDinamica_R!$A$5,
"[Calendario].[AñoMes]",
"[Calendario].[AñoMes].&amp;[" &amp; TEXT(AI$6,"yyyymm") &amp; "]",
"[Base].[Metrica]",
"[Base].[Metrica].&amp;[" &amp; $A39 &amp; "]",
"[Base].[SEGMENTO_DESCRIP]",
"[Base].[SEGMENTO_DESCRIP].&amp;[" &amp; $C$6 &amp; "]",
"[Base].[SITUACION]",
"[Base].[SITUACION].&amp;[" &amp; $C39 &amp; "]"
),0)/1000</f>
        <v>18.591280780000002</v>
      </c>
      <c r="AJ39" s="8">
        <f>IFERROR(
GETPIVOTDATA(
"[Base].[Importe]",
TDinamica_R!$A$5,
"[Calendario].[AñoMes]",
"[Calendario].[AñoMes].&amp;[" &amp; TEXT(AJ$6,"yyyymm") &amp; "]",
"[Base].[Metrica]",
"[Base].[Metrica].&amp;[" &amp; $A39 &amp; "]",
"[Base].[SEGMENTO_DESCRIP]",
"[Base].[SEGMENTO_DESCRIP].&amp;[" &amp; $C$6 &amp; "]",
"[Base].[SITUACION]",
"[Base].[SITUACION].&amp;[" &amp; $C39 &amp; "]"
),0)/1000</f>
        <v>16.77520492</v>
      </c>
      <c r="AK39" s="8">
        <f>IFERROR(
GETPIVOTDATA(
"[Base].[Importe]",
TDinamica_R!$A$5,
"[Calendario].[AñoMes]",
"[Calendario].[AñoMes].&amp;[" &amp; TEXT(AK$6,"yyyymm") &amp; "]",
"[Base].[Metrica]",
"[Base].[Metrica].&amp;[" &amp; $A39 &amp; "]",
"[Base].[SEGMENTO_DESCRIP]",
"[Base].[SEGMENTO_DESCRIP].&amp;[" &amp; $C$6 &amp; "]",
"[Base].[SITUACION]",
"[Base].[SITUACION].&amp;[" &amp; $C39 &amp; "]"
),0)/1000</f>
        <v>21.30838396</v>
      </c>
      <c r="AL39" s="8">
        <f>IFERROR(
GETPIVOTDATA(
"[Base].[Importe]",
TDinamica_R!$A$5,
"[Calendario].[AñoMes]",
"[Calendario].[AñoMes].&amp;[" &amp; TEXT(AL$6,"yyyymm") &amp; "]",
"[Base].[Metrica]",
"[Base].[Metrica].&amp;[" &amp; $A39 &amp; "]",
"[Base].[SEGMENTO_DESCRIP]",
"[Base].[SEGMENTO_DESCRIP].&amp;[" &amp; $C$6 &amp; "]",
"[Base].[SITUACION]",
"[Base].[SITUACION].&amp;[" &amp; $C39 &amp; "]"
),0)/1000</f>
        <v>17.386127260000002</v>
      </c>
      <c r="AM39" s="8">
        <f>IFERROR(
GETPIVOTDATA(
"[Base].[Importe]",
TDinamica_R!$A$5,
"[Calendario].[AñoMes]",
"[Calendario].[AñoMes].&amp;[" &amp; TEXT(AM$6,"yyyymm") &amp; "]",
"[Base].[Metrica]",
"[Base].[Metrica].&amp;[" &amp; $A39 &amp; "]",
"[Base].[SEGMENTO_DESCRIP]",
"[Base].[SEGMENTO_DESCRIP].&amp;[" &amp; $C$6 &amp; "]",
"[Base].[SITUACION]",
"[Base].[SITUACION].&amp;[" &amp; $C39 &amp; "]"
),0)/1000</f>
        <v>21.270373110000001</v>
      </c>
      <c r="AN39" s="8">
        <f>IFERROR(
GETPIVOTDATA(
"[Base].[Importe]",
TDinamica_R!$A$5,
"[Calendario].[AñoMes]",
"[Calendario].[AñoMes].&amp;[" &amp; TEXT(AN$6,"yyyymm") &amp; "]",
"[Base].[Metrica]",
"[Base].[Metrica].&amp;[" &amp; $A39 &amp; "]",
"[Base].[SEGMENTO_DESCRIP]",
"[Base].[SEGMENTO_DESCRIP].&amp;[" &amp; $C$6 &amp; "]",
"[Base].[SITUACION]",
"[Base].[SITUACION].&amp;[" &amp; $C39 &amp; "]"
),0)/1000</f>
        <v>18.50822513</v>
      </c>
      <c r="AO39" s="8">
        <f>IFERROR(
GETPIVOTDATA(
"[Base].[Importe]",
TDinamica_R!$A$5,
"[Calendario].[AñoMes]",
"[Calendario].[AñoMes].&amp;[" &amp; TEXT(AO$6,"yyyymm") &amp; "]",
"[Base].[Metrica]",
"[Base].[Metrica].&amp;[" &amp; $A39 &amp; "]",
"[Base].[SEGMENTO_DESCRIP]",
"[Base].[SEGMENTO_DESCRIP].&amp;[" &amp; $C$6 &amp; "]",
"[Base].[SITUACION]",
"[Base].[SITUACION].&amp;[" &amp; $C39 &amp; "]"
),0)/1000</f>
        <v>13.10268917</v>
      </c>
      <c r="AP39" s="8">
        <f>IFERROR(
GETPIVOTDATA(
"[Base].[Importe]",
TDinamica_R!$A$5,
"[Calendario].[AñoMes]",
"[Calendario].[AñoMes].&amp;[" &amp; TEXT(AP$6,"yyyymm") &amp; "]",
"[Base].[Metrica]",
"[Base].[Metrica].&amp;[" &amp; $A39 &amp; "]",
"[Base].[SEGMENTO_DESCRIP]",
"[Base].[SEGMENTO_DESCRIP].&amp;[" &amp; $C$6 &amp; "]",
"[Base].[SITUACION]",
"[Base].[SITUACION].&amp;[" &amp; $C39 &amp; "]"
),0)/1000</f>
        <v>19.275753519999999</v>
      </c>
      <c r="AQ39" s="8">
        <f>IFERROR(
GETPIVOTDATA(
"[Base].[Importe]",
TDinamica_R!$A$5,
"[Calendario].[AñoMes]",
"[Calendario].[AñoMes].&amp;[" &amp; TEXT(AQ$6,"yyyymm") &amp; "]",
"[Base].[Metrica]",
"[Base].[Metrica].&amp;[" &amp; $A39 &amp; "]",
"[Base].[SEGMENTO_DESCRIP]",
"[Base].[SEGMENTO_DESCRIP].&amp;[" &amp; $C$6 &amp; "]",
"[Base].[SITUACION]",
"[Base].[SITUACION].&amp;[" &amp; $C39 &amp; "]"
),0)/1000</f>
        <v>18.282633369999999</v>
      </c>
      <c r="AR39" s="8">
        <f>IFERROR(
GETPIVOTDATA(
"[Base].[Importe]",
TDinamica_R!$A$5,
"[Calendario].[AñoMes]",
"[Calendario].[AñoMes].&amp;[" &amp; TEXT(AR$6,"yyyymm") &amp; "]",
"[Base].[Metrica]",
"[Base].[Metrica].&amp;[" &amp; $A39 &amp; "]",
"[Base].[SEGMENTO_DESCRIP]",
"[Base].[SEGMENTO_DESCRIP].&amp;[" &amp; $C$6 &amp; "]",
"[Base].[SITUACION]",
"[Base].[SITUACION].&amp;[" &amp; $C39 &amp; "]"
),0)/1000</f>
        <v>18.376338860000001</v>
      </c>
      <c r="AS39" s="8">
        <f>IFERROR(
GETPIVOTDATA(
"[Base].[Importe]",
TDinamica_R!$A$5,
"[Calendario].[AñoMes]",
"[Calendario].[AñoMes].&amp;[" &amp; TEXT(AS$6,"yyyymm") &amp; "]",
"[Base].[Metrica]",
"[Base].[Metrica].&amp;[" &amp; $A39 &amp; "]",
"[Base].[SEGMENTO_DESCRIP]",
"[Base].[SEGMENTO_DESCRIP].&amp;[" &amp; $C$6 &amp; "]",
"[Base].[SITUACION]",
"[Base].[SITUACION].&amp;[" &amp; $C39 &amp; "]"
),0)/1000</f>
        <v>21.717676400000002</v>
      </c>
      <c r="AT39" s="8">
        <f>IFERROR(
GETPIVOTDATA(
"[Base].[Importe]",
TDinamica_R!$A$5,
"[Calendario].[AñoMes]",
"[Calendario].[AñoMes].&amp;[" &amp; TEXT(AT$6,"yyyymm")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U39" s="8">
        <f>IFERROR(
GETPIVOTDATA(
"[Base].[Importe]",
TDinamica_R!$A$5,
"[Calendario].[AñoMes]",
"[Calendario].[AñoMes].&amp;[" &amp; TEXT(AU$6,"yyyymm")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V39" s="8">
        <f>IFERROR(
GETPIVOTDATA(
"[Base].[Importe]",
TDinamica_R!$A$5,
"[Calendario].[AñoMes]",
"[Calendario].[AñoMes].&amp;[" &amp; TEXT(AV$6,"yyyymm")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W39" s="8">
        <f>IFERROR(
GETPIVOTDATA(
"[Base].[Importe]",
TDinamica_R!$A$5,
"[Calendario].[AñoMes]",
"[Calendario].[AñoMes].&amp;[" &amp; TEXT(AW$6,"yyyymm")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X39" s="8">
        <f>IFERROR(
GETPIVOTDATA(
"[Base].[Importe]",
TDinamica_R!$A$5,
"[Calendario].[AñoMes]",
"[Calendario].[AñoMes].&amp;[" &amp; TEXT(AX$6,"yyyymm")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Y39" s="8">
        <f>IFERROR(
GETPIVOTDATA(
"[Base].[Importe]",
TDinamica_R!$A$5,
"[Calendario].[AñoMes]",
"[Calendario].[AñoMes].&amp;[" &amp; TEXT(AY$6,"yyyymm")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Z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TEXT(AZ$6,"yyyymm") &amp; "]"
),
0
)</f>
        <v>17.862769786124456</v>
      </c>
      <c r="BA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TEXT(BA$6,"yyyymm") &amp; "]"
),
0
)</f>
        <v>15.160917819364165</v>
      </c>
      <c r="BB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TEXT(BB$6,"yyyymm") &amp; "]"
),
0
)</f>
        <v>15.953151489774935</v>
      </c>
      <c r="BC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TEXT(BC$6,"yyyymm") &amp; "]"
),
0
)</f>
        <v>14.921505874102481</v>
      </c>
      <c r="BD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TEXT(BD$6,"yyyymm") &amp; "]"
),
0
)</f>
        <v>14.907613279343106</v>
      </c>
      <c r="BE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TEXT(BE$6,"yyyymm") &amp; "]"
),
0
)</f>
        <v>13.872137730426315</v>
      </c>
      <c r="BF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TEXT(BF$6,"yyyymm") &amp; "]"
),
0
)</f>
        <v>13.874244406663934</v>
      </c>
      <c r="BG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TEXT(BG$6,"yyyymm") &amp; "]"
),
0
)</f>
        <v>13.47263123868982</v>
      </c>
      <c r="BH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TEXT(BH$6,"yyyymm") &amp; "]"
),
0
)</f>
        <v>12.55609069086848</v>
      </c>
      <c r="BI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TEXT(BI$6,"yyyymm") &amp; "]"
),
0
)</f>
        <v>12.555514794443326</v>
      </c>
      <c r="BJ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TEXT(BJ$6,"yyyymm") &amp; "]"
),
0
)</f>
        <v>11.826485286858681</v>
      </c>
      <c r="BK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TEXT(BK$6,"yyyymm") &amp; "]"
),
0
)</f>
        <v>11.96033164583371</v>
      </c>
      <c r="BO39" s="24">
        <f t="shared" si="43"/>
        <v>50.88666782</v>
      </c>
      <c r="BP39" s="24">
        <f t="shared" si="43"/>
        <v>48.976839095263557</v>
      </c>
      <c r="BQ39" s="24">
        <f t="shared" si="43"/>
        <v>31.610914299999997</v>
      </c>
      <c r="BR39" s="24">
        <f t="shared" si="43"/>
        <v>44.170656610000002</v>
      </c>
      <c r="BS39" s="24">
        <f t="shared" si="43"/>
        <v>9.1081488000000004</v>
      </c>
      <c r="BT39" s="24">
        <f t="shared" si="43"/>
        <v>9.7674696599999997</v>
      </c>
    </row>
    <row r="40" spans="1:72" hidden="1" outlineLevel="1" x14ac:dyDescent="0.25">
      <c r="A40" s="11" t="s">
        <v>55</v>
      </c>
      <c r="C40" s="2" t="s">
        <v>45</v>
      </c>
      <c r="D40" s="8">
        <f>IFERROR(
GETPIVOTDATA(
"[Base].[Importe]",
TDinamica_R!$A$5,
"[Calendario].[AñoMes]",
"[Calendario].[AñoMes].&amp;[" &amp; TEXT(D$6,"yyyymm") &amp; "]",
"[Base].[Metrica]",
"[Base].[Metrica].&amp;[" &amp; $A40 &amp; "]",
"[Base].[SEGMENTO_DESCRIP]",
"[Base].[SEGMENTO_DESCRIP].&amp;[" &amp; $C$6 &amp; "]",
"[Base].[SITUACION]",
"[Base].[SITUACION].&amp;[" &amp; $C40 &amp; "]"
),0)/1000</f>
        <v>20.282225620000002</v>
      </c>
      <c r="E40" s="8">
        <f>IFERROR(
GETPIVOTDATA(
"[Base].[Importe]",
TDinamica_R!$A$5,
"[Calendario].[AñoMes]",
"[Calendario].[AñoMes].&amp;[" &amp; TEXT(E$6,"yyyymm") &amp; "]",
"[Base].[Metrica]",
"[Base].[Metrica].&amp;[" &amp; $A40 &amp; "]",
"[Base].[SEGMENTO_DESCRIP]",
"[Base].[SEGMENTO_DESCRIP].&amp;[" &amp; $C$6 &amp; "]",
"[Base].[SITUACION]",
"[Base].[SITUACION].&amp;[" &amp; $C40 &amp; "]"
),0)/1000</f>
        <v>6.1812352299999986</v>
      </c>
      <c r="F40" s="8">
        <f>IFERROR(
GETPIVOTDATA(
"[Base].[Importe]",
TDinamica_R!$A$5,
"[Calendario].[AñoMes]",
"[Calendario].[AñoMes].&amp;[" &amp; TEXT(F$6,"yyyymm") &amp; "]",
"[Base].[Metrica]",
"[Base].[Metrica].&amp;[" &amp; $A40 &amp; "]",
"[Base].[SEGMENTO_DESCRIP]",
"[Base].[SEGMENTO_DESCRIP].&amp;[" &amp; $C$6 &amp; "]",
"[Base].[SITUACION]",
"[Base].[SITUACION].&amp;[" &amp; $C40 &amp; "]"
),0)/1000</f>
        <v>24.019652720000003</v>
      </c>
      <c r="G40" s="8">
        <f>IFERROR(
GETPIVOTDATA(
"[Base].[Importe]",
TDinamica_R!$A$5,
"[Calendario].[AñoMes]",
"[Calendario].[AñoMes].&amp;[" &amp; TEXT(G$6,"yyyymm") &amp; "]",
"[Base].[Metrica]",
"[Base].[Metrica].&amp;[" &amp; $A40 &amp; "]",
"[Base].[SEGMENTO_DESCRIP]",
"[Base].[SEGMENTO_DESCRIP].&amp;[" &amp; $C$6 &amp; "]",
"[Base].[SITUACION]",
"[Base].[SITUACION].&amp;[" &amp; $C40 &amp; "]"
),0)/1000</f>
        <v>18.451402900000001</v>
      </c>
      <c r="H40" s="8">
        <f>IFERROR(
GETPIVOTDATA(
"[Base].[Importe]",
TDinamica_R!$A$5,
"[Calendario].[AñoMes]",
"[Calendario].[AñoMes].&amp;[" &amp; TEXT(H$6,"yyyymm") &amp; "]",
"[Base].[Metrica]",
"[Base].[Metrica].&amp;[" &amp; $A40 &amp; "]",
"[Base].[SEGMENTO_DESCRIP]",
"[Base].[SEGMENTO_DESCRIP].&amp;[" &amp; $C$6 &amp; "]",
"[Base].[SITUACION]",
"[Base].[SITUACION].&amp;[" &amp; $C40 &amp; "]"
),0)/1000</f>
        <v>14.911162310000002</v>
      </c>
      <c r="I40" s="8">
        <f>IFERROR(
GETPIVOTDATA(
"[Base].[Importe]",
TDinamica_R!$A$5,
"[Calendario].[AñoMes]",
"[Calendario].[AñoMes].&amp;[" &amp; TEXT(I$6,"yyyymm") &amp; "]",
"[Base].[Metrica]",
"[Base].[Metrica].&amp;[" &amp; $A40 &amp; "]",
"[Base].[SEGMENTO_DESCRIP]",
"[Base].[SEGMENTO_DESCRIP].&amp;[" &amp; $C$6 &amp; "]",
"[Base].[SITUACION]",
"[Base].[SITUACION].&amp;[" &amp; $C40 &amp; "]"
),0)/1000</f>
        <v>29.14057755</v>
      </c>
      <c r="J40" s="8">
        <f>IFERROR(
GETPIVOTDATA(
"[Base].[Importe]",
TDinamica_R!$A$5,
"[Calendario].[AñoMes]",
"[Calendario].[AñoMes].&amp;[" &amp; TEXT(J$6,"yyyymm") &amp; "]",
"[Base].[Metrica]",
"[Base].[Metrica].&amp;[" &amp; $A40 &amp; "]",
"[Base].[SEGMENTO_DESCRIP]",
"[Base].[SEGMENTO_DESCRIP].&amp;[" &amp; $C$6 &amp; "]",
"[Base].[SITUACION]",
"[Base].[SITUACION].&amp;[" &amp; $C40 &amp; "]"
),0)/1000</f>
        <v>33.507211069999997</v>
      </c>
      <c r="K40" s="8">
        <f>IFERROR(
GETPIVOTDATA(
"[Base].[Importe]",
TDinamica_R!$A$5,
"[Calendario].[AñoMes]",
"[Calendario].[AñoMes].&amp;[" &amp; TEXT(K$6,"yyyymm") &amp; "]",
"[Base].[Metrica]",
"[Base].[Metrica].&amp;[" &amp; $A40 &amp; "]",
"[Base].[SEGMENTO_DESCRIP]",
"[Base].[SEGMENTO_DESCRIP].&amp;[" &amp; $C$6 &amp; "]",
"[Base].[SITUACION]",
"[Base].[SITUACION].&amp;[" &amp; $C40 &amp; "]"
),0)/1000</f>
        <v>36.037434760000004</v>
      </c>
      <c r="L40" s="8">
        <f>IFERROR(
GETPIVOTDATA(
"[Base].[Importe]",
TDinamica_R!$A$5,
"[Calendario].[AñoMes]",
"[Calendario].[AñoMes].&amp;[" &amp; TEXT(L$6,"yyyymm") &amp; "]",
"[Base].[Metrica]",
"[Base].[Metrica].&amp;[" &amp; $A40 &amp; "]",
"[Base].[SEGMENTO_DESCRIP]",
"[Base].[SEGMENTO_DESCRIP].&amp;[" &amp; $C$6 &amp; "]",
"[Base].[SITUACION]",
"[Base].[SITUACION].&amp;[" &amp; $C40 &amp; "]"
),0)/1000</f>
        <v>32.857190779999996</v>
      </c>
      <c r="M40" s="8">
        <f>IFERROR(
GETPIVOTDATA(
"[Base].[Importe]",
TDinamica_R!$A$5,
"[Calendario].[AñoMes]",
"[Calendario].[AñoMes].&amp;[" &amp; TEXT(M$6,"yyyymm") &amp; "]",
"[Base].[Metrica]",
"[Base].[Metrica].&amp;[" &amp; $A40 &amp; "]",
"[Base].[SEGMENTO_DESCRIP]",
"[Base].[SEGMENTO_DESCRIP].&amp;[" &amp; $C$6 &amp; "]",
"[Base].[SITUACION]",
"[Base].[SITUACION].&amp;[" &amp; $C40 &amp; "]"
),0)/1000</f>
        <v>48.987842960000009</v>
      </c>
      <c r="N40" s="8">
        <f>IFERROR(
GETPIVOTDATA(
"[Base].[Importe]",
TDinamica_R!$A$5,
"[Calendario].[AñoMes]",
"[Calendario].[AñoMes].&amp;[" &amp; TEXT(N$6,"yyyymm") &amp; "]",
"[Base].[Metrica]",
"[Base].[Metrica].&amp;[" &amp; $A40 &amp; "]",
"[Base].[SEGMENTO_DESCRIP]",
"[Base].[SEGMENTO_DESCRIP].&amp;[" &amp; $C$6 &amp; "]",
"[Base].[SITUACION]",
"[Base].[SITUACION].&amp;[" &amp; $C40 &amp; "]"
),0)/1000</f>
        <v>61.619900749999999</v>
      </c>
      <c r="O40" s="8">
        <f>IFERROR(
GETPIVOTDATA(
"[Base].[Importe]",
TDinamica_R!$A$5,
"[Calendario].[AñoMes]",
"[Calendario].[AñoMes].&amp;[" &amp; TEXT(O$6,"yyyymm") &amp; "]",
"[Base].[Metrica]",
"[Base].[Metrica].&amp;[" &amp; $A40 &amp; "]",
"[Base].[SEGMENTO_DESCRIP]",
"[Base].[SEGMENTO_DESCRIP].&amp;[" &amp; $C$6 &amp; "]",
"[Base].[SITUACION]",
"[Base].[SITUACION].&amp;[" &amp; $C40 &amp; "]"
),0)/1000</f>
        <v>58.826473440000001</v>
      </c>
      <c r="P40" s="8">
        <f>IFERROR(
GETPIVOTDATA(
"[Base].[Importe]",
TDinamica_R!$A$5,
"[Calendario].[AñoMes]",
"[Calendario].[AñoMes].&amp;[" &amp; TEXT(P$6,"yyyymm") &amp; "]",
"[Base].[Metrica]",
"[Base].[Metrica].&amp;[" &amp; $A40 &amp; "]",
"[Base].[SEGMENTO_DESCRIP]",
"[Base].[SEGMENTO_DESCRIP].&amp;[" &amp; $C$6 &amp; "]",
"[Base].[SITUACION]",
"[Base].[SITUACION].&amp;[" &amp; $C40 &amp; "]"
),0)/1000</f>
        <v>68.403004020000012</v>
      </c>
      <c r="Q40" s="8">
        <f>IFERROR(
GETPIVOTDATA(
"[Base].[Importe]",
TDinamica_R!$A$5,
"[Calendario].[AñoMes]",
"[Calendario].[AñoMes].&amp;[" &amp; TEXT(Q$6,"yyyymm") &amp; "]",
"[Base].[Metrica]",
"[Base].[Metrica].&amp;[" &amp; $A40 &amp; "]",
"[Base].[SEGMENTO_DESCRIP]",
"[Base].[SEGMENTO_DESCRIP].&amp;[" &amp; $C$6 &amp; "]",
"[Base].[SITUACION]",
"[Base].[SITUACION].&amp;[" &amp; $C40 &amp; "]"
),0)/1000</f>
        <v>61.473569249999997</v>
      </c>
      <c r="R40" s="8">
        <f>IFERROR(
GETPIVOTDATA(
"[Base].[Importe]",
TDinamica_R!$A$5,
"[Calendario].[AñoMes]",
"[Calendario].[AñoMes].&amp;[" &amp; TEXT(R$6,"yyyymm") &amp; "]",
"[Base].[Metrica]",
"[Base].[Metrica].&amp;[" &amp; $A40 &amp; "]",
"[Base].[SEGMENTO_DESCRIP]",
"[Base].[SEGMENTO_DESCRIP].&amp;[" &amp; $C$6 &amp; "]",
"[Base].[SITUACION]",
"[Base].[SITUACION].&amp;[" &amp; $C40 &amp; "]"
),0)/1000</f>
        <v>79.827642529999977</v>
      </c>
      <c r="S40" s="8">
        <f>IFERROR(
GETPIVOTDATA(
"[Base].[Importe]",
TDinamica_R!$A$5,
"[Calendario].[AñoMes]",
"[Calendario].[AñoMes].&amp;[" &amp; TEXT(S$6,"yyyymm") &amp; "]",
"[Base].[Metrica]",
"[Base].[Metrica].&amp;[" &amp; $A40 &amp; "]",
"[Base].[SEGMENTO_DESCRIP]",
"[Base].[SEGMENTO_DESCRIP].&amp;[" &amp; $C$6 &amp; "]",
"[Base].[SITUACION]",
"[Base].[SITUACION].&amp;[" &amp; $C40 &amp; "]"
),0)/1000</f>
        <v>155.14930669000003</v>
      </c>
      <c r="T40" s="8">
        <f>IFERROR(
GETPIVOTDATA(
"[Base].[Importe]",
TDinamica_R!$A$5,
"[Calendario].[AñoMes]",
"[Calendario].[AñoMes].&amp;[" &amp; TEXT(T$6,"yyyymm") &amp; "]",
"[Base].[Metrica]",
"[Base].[Metrica].&amp;[" &amp; $A40 &amp; "]",
"[Base].[SEGMENTO_DESCRIP]",
"[Base].[SEGMENTO_DESCRIP].&amp;[" &amp; $C$6 &amp; "]",
"[Base].[SITUACION]",
"[Base].[SITUACION].&amp;[" &amp; $C40 &amp; "]"
),0)/1000</f>
        <v>129.8828273</v>
      </c>
      <c r="U40" s="8">
        <f>IFERROR(
GETPIVOTDATA(
"[Base].[Importe]",
TDinamica_R!$A$5,
"[Calendario].[AñoMes]",
"[Calendario].[AñoMes].&amp;[" &amp; TEXT(U$6,"yyyymm") &amp; "]",
"[Base].[Metrica]",
"[Base].[Metrica].&amp;[" &amp; $A40 &amp; "]",
"[Base].[SEGMENTO_DESCRIP]",
"[Base].[SEGMENTO_DESCRIP].&amp;[" &amp; $C$6 &amp; "]",
"[Base].[SITUACION]",
"[Base].[SITUACION].&amp;[" &amp; $C40 &amp; "]"
),0)/1000</f>
        <v>127.39917131</v>
      </c>
      <c r="V40" s="8">
        <f>IFERROR(
GETPIVOTDATA(
"[Base].[Importe]",
TDinamica_R!$A$5,
"[Calendario].[AñoMes]",
"[Calendario].[AñoMes].&amp;[" &amp; TEXT(V$6,"yyyymm") &amp; "]",
"[Base].[Metrica]",
"[Base].[Metrica].&amp;[" &amp; $A40 &amp; "]",
"[Base].[SEGMENTO_DESCRIP]",
"[Base].[SEGMENTO_DESCRIP].&amp;[" &amp; $C$6 &amp; "]",
"[Base].[SITUACION]",
"[Base].[SITUACION].&amp;[" &amp; $C40 &amp; "]"
),0)/1000</f>
        <v>123.87549671000001</v>
      </c>
      <c r="W40" s="8">
        <f>IFERROR(
GETPIVOTDATA(
"[Base].[Importe]",
TDinamica_R!$A$5,
"[Calendario].[AñoMes]",
"[Calendario].[AñoMes].&amp;[" &amp; TEXT(W$6,"yyyymm") &amp; "]",
"[Base].[Metrica]",
"[Base].[Metrica].&amp;[" &amp; $A40 &amp; "]",
"[Base].[SEGMENTO_DESCRIP]",
"[Base].[SEGMENTO_DESCRIP].&amp;[" &amp; $C$6 &amp; "]",
"[Base].[SITUACION]",
"[Base].[SITUACION].&amp;[" &amp; $C40 &amp; "]"
),0)/1000</f>
        <v>86.765711160000009</v>
      </c>
      <c r="X40" s="8">
        <f>IFERROR(
GETPIVOTDATA(
"[Base].[Importe]",
TDinamica_R!$A$5,
"[Calendario].[AñoMes]",
"[Calendario].[AñoMes].&amp;[" &amp; TEXT(X$6,"yyyymm") &amp; "]",
"[Base].[Metrica]",
"[Base].[Metrica].&amp;[" &amp; $A40 &amp; "]",
"[Base].[SEGMENTO_DESCRIP]",
"[Base].[SEGMENTO_DESCRIP].&amp;[" &amp; $C$6 &amp; "]",
"[Base].[SITUACION]",
"[Base].[SITUACION].&amp;[" &amp; $C40 &amp; "]"
),0)/1000</f>
        <v>100.52365414000002</v>
      </c>
      <c r="Y40" s="8">
        <f>IFERROR(
GETPIVOTDATA(
"[Base].[Importe]",
TDinamica_R!$A$5,
"[Calendario].[AñoMes]",
"[Calendario].[AñoMes].&amp;[" &amp; TEXT(Y$6,"yyyymm") &amp; "]",
"[Base].[Metrica]",
"[Base].[Metrica].&amp;[" &amp; $A40 &amp; "]",
"[Base].[SEGMENTO_DESCRIP]",
"[Base].[SEGMENTO_DESCRIP].&amp;[" &amp; $C$6 &amp; "]",
"[Base].[SITUACION]",
"[Base].[SITUACION].&amp;[" &amp; $C40 &amp; "]"
),0)/1000</f>
        <v>88.738904629999993</v>
      </c>
      <c r="Z40" s="8">
        <f>IFERROR(
GETPIVOTDATA(
"[Base].[Importe]",
TDinamica_R!$A$5,
"[Calendario].[AñoMes]",
"[Calendario].[AñoMes].&amp;[" &amp; TEXT(Z$6,"yyyymm") &amp; "]",
"[Base].[Metrica]",
"[Base].[Metrica].&amp;[" &amp; $A40 &amp; "]",
"[Base].[SEGMENTO_DESCRIP]",
"[Base].[SEGMENTO_DESCRIP].&amp;[" &amp; $C$6 &amp; "]",
"[Base].[SITUACION]",
"[Base].[SITUACION].&amp;[" &amp; $C40 &amp; "]"
),0)/1000</f>
        <v>81.828513179999987</v>
      </c>
      <c r="AA40" s="8">
        <f>IFERROR(
GETPIVOTDATA(
"[Base].[Importe]",
TDinamica_R!$A$5,
"[Calendario].[AñoMes]",
"[Calendario].[AñoMes].&amp;[" &amp; TEXT(AA$6,"yyyymm") &amp; "]",
"[Base].[Metrica]",
"[Base].[Metrica].&amp;[" &amp; $A40 &amp; "]",
"[Base].[SEGMENTO_DESCRIP]",
"[Base].[SEGMENTO_DESCRIP].&amp;[" &amp; $C$6 &amp; "]",
"[Base].[SITUACION]",
"[Base].[SITUACION].&amp;[" &amp; $C40 &amp; "]"
),0)/1000</f>
        <v>78.682716279999994</v>
      </c>
      <c r="AB40" s="8">
        <f>IFERROR(
GETPIVOTDATA(
"[Base].[Importe]",
TDinamica_R!$A$5,
"[Calendario].[AñoMes]",
"[Calendario].[AñoMes].&amp;[" &amp; TEXT(AB$6,"yyyymm") &amp; "]",
"[Base].[Metrica]",
"[Base].[Metrica].&amp;[" &amp; $A40 &amp; "]",
"[Base].[SEGMENTO_DESCRIP]",
"[Base].[SEGMENTO_DESCRIP].&amp;[" &amp; $C$6 &amp; "]",
"[Base].[SITUACION]",
"[Base].[SITUACION].&amp;[" &amp; $C40 &amp; "]"
),0)/1000</f>
        <v>69.91763447999999</v>
      </c>
      <c r="AC40" s="8">
        <f>IFERROR(
GETPIVOTDATA(
"[Base].[Importe]",
TDinamica_R!$A$5,
"[Calendario].[AñoMes]",
"[Calendario].[AñoMes].&amp;[" &amp; TEXT(AC$6,"yyyymm") &amp; "]",
"[Base].[Metrica]",
"[Base].[Metrica].&amp;[" &amp; $A40 &amp; "]",
"[Base].[SEGMENTO_DESCRIP]",
"[Base].[SEGMENTO_DESCRIP].&amp;[" &amp; $C$6 &amp; "]",
"[Base].[SITUACION]",
"[Base].[SITUACION].&amp;[" &amp; $C40 &amp; "]"
),0)/1000</f>
        <v>70.0412757</v>
      </c>
      <c r="AD40" s="8">
        <f>IFERROR(
GETPIVOTDATA(
"[Base].[Importe]",
TDinamica_R!$A$5,
"[Calendario].[AñoMes]",
"[Calendario].[AñoMes].&amp;[" &amp; TEXT(AD$6,"yyyymm") &amp; "]",
"[Base].[Metrica]",
"[Base].[Metrica].&amp;[" &amp; $A40 &amp; "]",
"[Base].[SEGMENTO_DESCRIP]",
"[Base].[SEGMENTO_DESCRIP].&amp;[" &amp; $C$6 &amp; "]",
"[Base].[SITUACION]",
"[Base].[SITUACION].&amp;[" &amp; $C40 &amp; "]"
),0)/1000</f>
        <v>110.49362575000001</v>
      </c>
      <c r="AE40" s="8">
        <f>IFERROR(
GETPIVOTDATA(
"[Base].[Importe]",
TDinamica_R!$A$5,
"[Calendario].[AñoMes]",
"[Calendario].[AñoMes].&amp;[" &amp; TEXT(AE$6,"yyyymm") &amp; "]",
"[Base].[Metrica]",
"[Base].[Metrica].&amp;[" &amp; $A40 &amp; "]",
"[Base].[SEGMENTO_DESCRIP]",
"[Base].[SEGMENTO_DESCRIP].&amp;[" &amp; $C$6 &amp; "]",
"[Base].[SITUACION]",
"[Base].[SITUACION].&amp;[" &amp; $C40 &amp; "]"
),0)/1000</f>
        <v>93.664578400000011</v>
      </c>
      <c r="AF40" s="8">
        <f>IFERROR(
GETPIVOTDATA(
"[Base].[Importe]",
TDinamica_R!$A$5,
"[Calendario].[AñoMes]",
"[Calendario].[AñoMes].&amp;[" &amp; TEXT(AF$6,"yyyymm") &amp; "]",
"[Base].[Metrica]",
"[Base].[Metrica].&amp;[" &amp; $A40 &amp; "]",
"[Base].[SEGMENTO_DESCRIP]",
"[Base].[SEGMENTO_DESCRIP].&amp;[" &amp; $C$6 &amp; "]",
"[Base].[SITUACION]",
"[Base].[SITUACION].&amp;[" &amp; $C40 &amp; "]"
),0)/1000</f>
        <v>82.394263009999989</v>
      </c>
      <c r="AG40" s="8">
        <f>IFERROR(
GETPIVOTDATA(
"[Base].[Importe]",
TDinamica_R!$A$5,
"[Calendario].[AñoMes]",
"[Calendario].[AñoMes].&amp;[" &amp; TEXT(AG$6,"yyyymm") &amp; "]",
"[Base].[Metrica]",
"[Base].[Metrica].&amp;[" &amp; $A40 &amp; "]",
"[Base].[SEGMENTO_DESCRIP]",
"[Base].[SEGMENTO_DESCRIP].&amp;[" &amp; $C$6 &amp; "]",
"[Base].[SITUACION]",
"[Base].[SITUACION].&amp;[" &amp; $C40 &amp; "]"
),0)/1000</f>
        <v>74.732288899999986</v>
      </c>
      <c r="AH40" s="8">
        <f>IFERROR(
GETPIVOTDATA(
"[Base].[Importe]",
TDinamica_R!$A$5,
"[Calendario].[AñoMes]",
"[Calendario].[AñoMes].&amp;[" &amp; TEXT(AH$6,"yyyymm") &amp; "]",
"[Base].[Metrica]",
"[Base].[Metrica].&amp;[" &amp; $A40 &amp; "]",
"[Base].[SEGMENTO_DESCRIP]",
"[Base].[SEGMENTO_DESCRIP].&amp;[" &amp; $C$6 &amp; "]",
"[Base].[SITUACION]",
"[Base].[SITUACION].&amp;[" &amp; $C40 &amp; "]"
),0)/1000</f>
        <v>76.749977410000014</v>
      </c>
      <c r="AI40" s="8">
        <f>IFERROR(
GETPIVOTDATA(
"[Base].[Importe]",
TDinamica_R!$A$5,
"[Calendario].[AñoMes]",
"[Calendario].[AñoMes].&amp;[" &amp; TEXT(AI$6,"yyyymm") &amp; "]",
"[Base].[Metrica]",
"[Base].[Metrica].&amp;[" &amp; $A40 &amp; "]",
"[Base].[SEGMENTO_DESCRIP]",
"[Base].[SEGMENTO_DESCRIP].&amp;[" &amp; $C$6 &amp; "]",
"[Base].[SITUACION]",
"[Base].[SITUACION].&amp;[" &amp; $C40 &amp; "]"
),0)/1000</f>
        <v>94.439006379999995</v>
      </c>
      <c r="AJ40" s="8">
        <f>IFERROR(
GETPIVOTDATA(
"[Base].[Importe]",
TDinamica_R!$A$5,
"[Calendario].[AñoMes]",
"[Calendario].[AñoMes].&amp;[" &amp; TEXT(AJ$6,"yyyymm") &amp; "]",
"[Base].[Metrica]",
"[Base].[Metrica].&amp;[" &amp; $A40 &amp; "]",
"[Base].[SEGMENTO_DESCRIP]",
"[Base].[SEGMENTO_DESCRIP].&amp;[" &amp; $C$6 &amp; "]",
"[Base].[SITUACION]",
"[Base].[SITUACION].&amp;[" &amp; $C40 &amp; "]"
),0)/1000</f>
        <v>108.68651807000001</v>
      </c>
      <c r="AK40" s="8">
        <f>IFERROR(
GETPIVOTDATA(
"[Base].[Importe]",
TDinamica_R!$A$5,
"[Calendario].[AñoMes]",
"[Calendario].[AñoMes].&amp;[" &amp; TEXT(AK$6,"yyyymm") &amp; "]",
"[Base].[Metrica]",
"[Base].[Metrica].&amp;[" &amp; $A40 &amp; "]",
"[Base].[SEGMENTO_DESCRIP]",
"[Base].[SEGMENTO_DESCRIP].&amp;[" &amp; $C$6 &amp; "]",
"[Base].[SITUACION]",
"[Base].[SITUACION].&amp;[" &amp; $C40 &amp; "]"
),0)/1000</f>
        <v>95.665472320000021</v>
      </c>
      <c r="AL40" s="8">
        <f>IFERROR(
GETPIVOTDATA(
"[Base].[Importe]",
TDinamica_R!$A$5,
"[Calendario].[AñoMes]",
"[Calendario].[AñoMes].&amp;[" &amp; TEXT(AL$6,"yyyymm") &amp; "]",
"[Base].[Metrica]",
"[Base].[Metrica].&amp;[" &amp; $A40 &amp; "]",
"[Base].[SEGMENTO_DESCRIP]",
"[Base].[SEGMENTO_DESCRIP].&amp;[" &amp; $C$6 &amp; "]",
"[Base].[SITUACION]",
"[Base].[SITUACION].&amp;[" &amp; $C40 &amp; "]"
),0)/1000</f>
        <v>129.68036330999999</v>
      </c>
      <c r="AM40" s="8">
        <f>IFERROR(
GETPIVOTDATA(
"[Base].[Importe]",
TDinamica_R!$A$5,
"[Calendario].[AñoMes]",
"[Calendario].[AñoMes].&amp;[" &amp; TEXT(AM$6,"yyyymm") &amp; "]",
"[Base].[Metrica]",
"[Base].[Metrica].&amp;[" &amp; $A40 &amp; "]",
"[Base].[SEGMENTO_DESCRIP]",
"[Base].[SEGMENTO_DESCRIP].&amp;[" &amp; $C$6 &amp; "]",
"[Base].[SITUACION]",
"[Base].[SITUACION].&amp;[" &amp; $C40 &amp; "]"
),0)/1000</f>
        <v>123.30863165000001</v>
      </c>
      <c r="AN40" s="8">
        <f>IFERROR(
GETPIVOTDATA(
"[Base].[Importe]",
TDinamica_R!$A$5,
"[Calendario].[AñoMes]",
"[Calendario].[AñoMes].&amp;[" &amp; TEXT(AN$6,"yyyymm") &amp; "]",
"[Base].[Metrica]",
"[Base].[Metrica].&amp;[" &amp; $A40 &amp; "]",
"[Base].[SEGMENTO_DESCRIP]",
"[Base].[SEGMENTO_DESCRIP].&amp;[" &amp; $C$6 &amp; "]",
"[Base].[SITUACION]",
"[Base].[SITUACION].&amp;[" &amp; $C40 &amp; "]"
),0)/1000</f>
        <v>108.79258511000002</v>
      </c>
      <c r="AO40" s="8">
        <f>IFERROR(
GETPIVOTDATA(
"[Base].[Importe]",
TDinamica_R!$A$5,
"[Calendario].[AñoMes]",
"[Calendario].[AñoMes].&amp;[" &amp; TEXT(AO$6,"yyyymm") &amp; "]",
"[Base].[Metrica]",
"[Base].[Metrica].&amp;[" &amp; $A40 &amp; "]",
"[Base].[SEGMENTO_DESCRIP]",
"[Base].[SEGMENTO_DESCRIP].&amp;[" &amp; $C$6 &amp; "]",
"[Base].[SITUACION]",
"[Base].[SITUACION].&amp;[" &amp; $C40 &amp; "]"
),0)/1000</f>
        <v>115.95028968</v>
      </c>
      <c r="AP40" s="8">
        <f>IFERROR(
GETPIVOTDATA(
"[Base].[Importe]",
TDinamica_R!$A$5,
"[Calendario].[AñoMes]",
"[Calendario].[AñoMes].&amp;[" &amp; TEXT(AP$6,"yyyymm") &amp; "]",
"[Base].[Metrica]",
"[Base].[Metrica].&amp;[" &amp; $A40 &amp; "]",
"[Base].[SEGMENTO_DESCRIP]",
"[Base].[SEGMENTO_DESCRIP].&amp;[" &amp; $C$6 &amp; "]",
"[Base].[SITUACION]",
"[Base].[SITUACION].&amp;[" &amp; $C40 &amp; "]"
),0)/1000</f>
        <v>123.27471086999999</v>
      </c>
      <c r="AQ40" s="8">
        <f>IFERROR(
GETPIVOTDATA(
"[Base].[Importe]",
TDinamica_R!$A$5,
"[Calendario].[AñoMes]",
"[Calendario].[AñoMes].&amp;[" &amp; TEXT(AQ$6,"yyyymm") &amp; "]",
"[Base].[Metrica]",
"[Base].[Metrica].&amp;[" &amp; $A40 &amp; "]",
"[Base].[SEGMENTO_DESCRIP]",
"[Base].[SEGMENTO_DESCRIP].&amp;[" &amp; $C$6 &amp; "]",
"[Base].[SITUACION]",
"[Base].[SITUACION].&amp;[" &amp; $C40 &amp; "]"
),0)/1000</f>
        <v>117.00157606999997</v>
      </c>
      <c r="AR40" s="8">
        <f>IFERROR(
GETPIVOTDATA(
"[Base].[Importe]",
TDinamica_R!$A$5,
"[Calendario].[AñoMes]",
"[Calendario].[AñoMes].&amp;[" &amp; TEXT(AR$6,"yyyymm") &amp; "]",
"[Base].[Metrica]",
"[Base].[Metrica].&amp;[" &amp; $A40 &amp; "]",
"[Base].[SEGMENTO_DESCRIP]",
"[Base].[SEGMENTO_DESCRIP].&amp;[" &amp; $C$6 &amp; "]",
"[Base].[SITUACION]",
"[Base].[SITUACION].&amp;[" &amp; $C40 &amp; "]"
),0)/1000</f>
        <v>135.57692496000004</v>
      </c>
      <c r="AS40" s="8">
        <f>IFERROR(
GETPIVOTDATA(
"[Base].[Importe]",
TDinamica_R!$A$5,
"[Calendario].[AñoMes]",
"[Calendario].[AñoMes].&amp;[" &amp; TEXT(AS$6,"yyyymm") &amp; "]",
"[Base].[Metrica]",
"[Base].[Metrica].&amp;[" &amp; $A40 &amp; "]",
"[Base].[SEGMENTO_DESCRIP]",
"[Base].[SEGMENTO_DESCRIP].&amp;[" &amp; $C$6 &amp; "]",
"[Base].[SITUACION]",
"[Base].[SITUACION].&amp;[" &amp; $C40 &amp; "]"
),0)/1000</f>
        <v>103.60423022000001</v>
      </c>
      <c r="AT40" s="8">
        <f>IFERROR(
GETPIVOTDATA(
"[Base].[Importe]",
TDinamica_R!$A$5,
"[Calendario].[AñoMes]",
"[Calendario].[AñoMes].&amp;[" &amp; TEXT(AT$6,"yyyymm")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U40" s="8">
        <f>IFERROR(
GETPIVOTDATA(
"[Base].[Importe]",
TDinamica_R!$A$5,
"[Calendario].[AñoMes]",
"[Calendario].[AñoMes].&amp;[" &amp; TEXT(AU$6,"yyyymm")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V40" s="8">
        <f>IFERROR(
GETPIVOTDATA(
"[Base].[Importe]",
TDinamica_R!$A$5,
"[Calendario].[AñoMes]",
"[Calendario].[AñoMes].&amp;[" &amp; TEXT(AV$6,"yyyymm")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W40" s="8">
        <f>IFERROR(
GETPIVOTDATA(
"[Base].[Importe]",
TDinamica_R!$A$5,
"[Calendario].[AñoMes]",
"[Calendario].[AñoMes].&amp;[" &amp; TEXT(AW$6,"yyyymm")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X40" s="8">
        <f>IFERROR(
GETPIVOTDATA(
"[Base].[Importe]",
TDinamica_R!$A$5,
"[Calendario].[AñoMes]",
"[Calendario].[AñoMes].&amp;[" &amp; TEXT(AX$6,"yyyymm")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Y40" s="8">
        <f>IFERROR(
GETPIVOTDATA(
"[Base].[Importe]",
TDinamica_R!$A$5,
"[Calendario].[AñoMes]",
"[Calendario].[AñoMes].&amp;[" &amp; TEXT(AY$6,"yyyymm")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Z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TEXT(AZ$6,"yyyymm") &amp; "]"
),
0
)</f>
        <v>106.77942537761167</v>
      </c>
      <c r="BA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TEXT(BA$6,"yyyymm") &amp; "]"
),
0
)</f>
        <v>115.67162467070277</v>
      </c>
      <c r="BB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TEXT(BB$6,"yyyymm") &amp; "]"
),
0
)</f>
        <v>114.74710711483519</v>
      </c>
      <c r="BC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TEXT(BC$6,"yyyymm") &amp; "]"
),
0
)</f>
        <v>114.11289977490547</v>
      </c>
      <c r="BD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TEXT(BD$6,"yyyymm") &amp; "]"
),
0
)</f>
        <v>116.80159902722095</v>
      </c>
      <c r="BE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TEXT(BE$6,"yyyymm") &amp; "]"
),
0
)</f>
        <v>116.99635719707162</v>
      </c>
      <c r="BF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TEXT(BF$6,"yyyymm") &amp; "]"
),
0
)</f>
        <v>115.29544247080119</v>
      </c>
      <c r="BG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TEXT(BG$6,"yyyymm") &amp; "]"
),
0
)</f>
        <v>120.65887559625699</v>
      </c>
      <c r="BH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TEXT(BH$6,"yyyymm") &amp; "]"
),
0
)</f>
        <v>128.84545071291816</v>
      </c>
      <c r="BI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TEXT(BI$6,"yyyymm") &amp; "]"
),
0
)</f>
        <v>135.04295988638623</v>
      </c>
      <c r="BJ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TEXT(BJ$6,"yyyymm") &amp; "]"
),
0
)</f>
        <v>138.69070118066185</v>
      </c>
      <c r="BK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TEXT(BK$6,"yyyymm") &amp; "]"
),
0
)</f>
        <v>142.31092904010791</v>
      </c>
      <c r="BO40" s="24">
        <f t="shared" si="43"/>
        <v>348.01758566000001</v>
      </c>
      <c r="BP40" s="24">
        <f t="shared" si="43"/>
        <v>337.19815716314963</v>
      </c>
      <c r="BQ40" s="24">
        <f t="shared" si="43"/>
        <v>224.74287479000003</v>
      </c>
      <c r="BR40" s="24">
        <f t="shared" si="43"/>
        <v>250.45253592999998</v>
      </c>
      <c r="BS40" s="24">
        <f t="shared" si="43"/>
        <v>209.70421579999999</v>
      </c>
      <c r="BT40" s="24">
        <f t="shared" si="43"/>
        <v>50.48311357</v>
      </c>
    </row>
    <row r="41" spans="1:72" collapsed="1" x14ac:dyDescent="0.25">
      <c r="C41" s="3" t="s">
        <v>57</v>
      </c>
      <c r="D41" s="10">
        <f>SUM(D38:D40)</f>
        <v>9228.0361112099999</v>
      </c>
      <c r="E41" s="10">
        <f t="shared" ref="E41" si="44">SUM(E38:E40)</f>
        <v>8406.2307561100024</v>
      </c>
      <c r="F41" s="10">
        <f t="shared" ref="F41" si="45">SUM(F38:F40)</f>
        <v>9889.730825319999</v>
      </c>
      <c r="G41" s="10">
        <f t="shared" ref="G41" si="46">SUM(G38:G40)</f>
        <v>9952.1084040100031</v>
      </c>
      <c r="H41" s="10">
        <f t="shared" ref="H41" si="47">SUM(H38:H40)</f>
        <v>10785.170899339999</v>
      </c>
      <c r="I41" s="10">
        <f t="shared" ref="I41" si="48">SUM(I38:I40)</f>
        <v>10687.341981480002</v>
      </c>
      <c r="J41" s="10">
        <f t="shared" ref="J41" si="49">SUM(J38:J40)</f>
        <v>11351.022073690001</v>
      </c>
      <c r="K41" s="10">
        <f t="shared" ref="K41" si="50">SUM(K38:K40)</f>
        <v>11762.526322180003</v>
      </c>
      <c r="L41" s="10">
        <f t="shared" ref="L41" si="51">SUM(L38:L40)</f>
        <v>11774.052819389999</v>
      </c>
      <c r="M41" s="10">
        <f t="shared" ref="M41" si="52">SUM(M38:M40)</f>
        <v>12279.302798800001</v>
      </c>
      <c r="N41" s="10">
        <f t="shared" ref="N41" si="53">SUM(N38:N40)</f>
        <v>11857.719519469998</v>
      </c>
      <c r="O41" s="10">
        <f t="shared" ref="O41" si="54">SUM(O38:O40)</f>
        <v>12152.146889269998</v>
      </c>
      <c r="P41" s="10">
        <f t="shared" ref="P41" si="55">SUM(P38:P40)</f>
        <v>11868.638726059999</v>
      </c>
      <c r="Q41" s="10">
        <f t="shared" ref="Q41" si="56">SUM(Q38:Q40)</f>
        <v>10777.75472474</v>
      </c>
      <c r="R41" s="10">
        <f t="shared" ref="R41" si="57">SUM(R38:R40)</f>
        <v>11343.503075619999</v>
      </c>
      <c r="S41" s="10">
        <f t="shared" ref="S41" si="58">SUM(S38:S40)</f>
        <v>10877.940718920001</v>
      </c>
      <c r="T41" s="10">
        <f t="shared" ref="T41" si="59">SUM(T38:T40)</f>
        <v>11080.266031450003</v>
      </c>
      <c r="U41" s="10">
        <f t="shared" ref="U41" si="60">SUM(U38:U40)</f>
        <v>10410.716293650001</v>
      </c>
      <c r="V41" s="10">
        <f t="shared" ref="V41" si="61">SUM(V38:V40)</f>
        <v>10622.486259019999</v>
      </c>
      <c r="W41" s="10">
        <f t="shared" ref="W41" si="62">SUM(W38:W40)</f>
        <v>10425.407165340001</v>
      </c>
      <c r="X41" s="10">
        <f t="shared" ref="X41" si="63">SUM(X38:X40)</f>
        <v>10019.767070839998</v>
      </c>
      <c r="Y41" s="10">
        <f t="shared" ref="Y41" si="64">SUM(Y38:Y40)</f>
        <v>10319.761027340001</v>
      </c>
      <c r="Z41" s="10">
        <f t="shared" ref="Z41" si="65">SUM(Z38:Z40)</f>
        <v>10005.38171116</v>
      </c>
      <c r="AA41" s="10">
        <f t="shared" ref="AA41" si="66">SUM(AA38:AA40)</f>
        <v>10554.280408839999</v>
      </c>
      <c r="AB41" s="10">
        <f t="shared" ref="AB41" si="67">SUM(AB38:AB40)</f>
        <v>10598.08721277</v>
      </c>
      <c r="AC41" s="10">
        <f t="shared" ref="AC41" si="68">SUM(AC38:AC40)</f>
        <v>9661.3375194400032</v>
      </c>
      <c r="AD41" s="10">
        <f t="shared" ref="AD41" si="69">SUM(AD38:AD40)</f>
        <v>10930.267601899995</v>
      </c>
      <c r="AE41" s="10">
        <f t="shared" ref="AE41" si="70">SUM(AE38:AE40)</f>
        <v>10771.37342448</v>
      </c>
      <c r="AF41" s="10">
        <f t="shared" ref="AF41" si="71">SUM(AF38:AF40)</f>
        <v>11279.778289829999</v>
      </c>
      <c r="AG41" s="10">
        <f t="shared" ref="AG41" si="72">SUM(AG38:AG40)</f>
        <v>11063.284017100001</v>
      </c>
      <c r="AH41" s="10">
        <f t="shared" ref="AH41" si="73">SUM(AH38:AH40)</f>
        <v>11544.762525919999</v>
      </c>
      <c r="AI41" s="10">
        <f t="shared" ref="AI41" si="74">SUM(AI38:AI40)</f>
        <v>11746.312355949998</v>
      </c>
      <c r="AJ41" s="10">
        <f t="shared" ref="AJ41" si="75">SUM(AJ38:AJ40)</f>
        <v>11710.221287320001</v>
      </c>
      <c r="AK41" s="10">
        <f t="shared" ref="AK41" si="76">SUM(AK38:AK40)</f>
        <v>12611.80299158</v>
      </c>
      <c r="AL41" s="10">
        <f t="shared" ref="AL41" si="77">SUM(AL38:AL40)</f>
        <v>12634.521370350003</v>
      </c>
      <c r="AM41" s="10">
        <f t="shared" ref="AM41" si="78">SUM(AM38:AM40)</f>
        <v>13304.674896809996</v>
      </c>
      <c r="AN41" s="10">
        <f t="shared" ref="AN41" si="79">SUM(AN38:AN40)</f>
        <v>13339.69099547</v>
      </c>
      <c r="AO41" s="10">
        <f t="shared" ref="AO41" si="80">SUM(AO38:AO40)</f>
        <v>12281.720400640001</v>
      </c>
      <c r="AP41" s="10">
        <f t="shared" ref="AP41" si="81">SUM(AP38:AP40)</f>
        <v>13868.565387029999</v>
      </c>
      <c r="AQ41" s="10">
        <f t="shared" ref="AQ41" si="82">SUM(AQ38:AQ40)</f>
        <v>13354.258797459999</v>
      </c>
      <c r="AR41" s="10">
        <f t="shared" ref="AR41" si="83">SUM(AR38:AR40)</f>
        <v>13930.54676974</v>
      </c>
      <c r="AS41" s="10">
        <f t="shared" ref="AS41" si="84">SUM(AS38:AS40)</f>
        <v>13682.716450670003</v>
      </c>
      <c r="AT41" s="10">
        <f t="shared" ref="AT41" si="85">SUM(AT38:AT40)</f>
        <v>0</v>
      </c>
      <c r="AU41" s="10">
        <f t="shared" ref="AU41" si="86">SUM(AU38:AU40)</f>
        <v>0</v>
      </c>
      <c r="AV41" s="10">
        <f t="shared" ref="AV41" si="87">SUM(AV38:AV40)</f>
        <v>0</v>
      </c>
      <c r="AW41" s="10">
        <f t="shared" ref="AW41" si="88">SUM(AW38:AW40)</f>
        <v>0</v>
      </c>
      <c r="AX41" s="10">
        <f t="shared" ref="AX41" si="89">SUM(AX38:AX40)</f>
        <v>0</v>
      </c>
      <c r="AY41" s="10">
        <f t="shared" ref="AY41" si="90">SUM(AY38:AY40)</f>
        <v>0</v>
      </c>
      <c r="AZ41" s="10">
        <f t="shared" ref="AZ41:BK41" si="91">SUM(AZ38:AZ40)</f>
        <v>13717.885975176858</v>
      </c>
      <c r="BA41" s="10">
        <f t="shared" si="91"/>
        <v>12534.23937347113</v>
      </c>
      <c r="BB41" s="10">
        <f t="shared" si="91"/>
        <v>14241.74533858526</v>
      </c>
      <c r="BC41" s="10">
        <f t="shared" si="91"/>
        <v>14266.197813528202</v>
      </c>
      <c r="BD41" s="10">
        <f t="shared" si="91"/>
        <v>15241.545201937639</v>
      </c>
      <c r="BE41" s="10">
        <f t="shared" si="91"/>
        <v>15186.324971575496</v>
      </c>
      <c r="BF41" s="10">
        <f t="shared" si="91"/>
        <v>16053.187767218149</v>
      </c>
      <c r="BG41" s="10">
        <f t="shared" si="91"/>
        <v>16395.175620098235</v>
      </c>
      <c r="BH41" s="10">
        <f t="shared" si="91"/>
        <v>16230.376404120872</v>
      </c>
      <c r="BI41" s="10">
        <f t="shared" si="91"/>
        <v>17246.130506107755</v>
      </c>
      <c r="BJ41" s="10">
        <f t="shared" si="91"/>
        <v>17010.684099833277</v>
      </c>
      <c r="BK41" s="10">
        <f t="shared" si="91"/>
        <v>17943.721903924659</v>
      </c>
      <c r="BO41" s="23">
        <f>SUM(BO38:BO40)</f>
        <v>39489.976783140002</v>
      </c>
      <c r="BP41" s="23">
        <f t="shared" ref="BP41" si="92">SUM(BP38:BP40)</f>
        <v>40493.870687233248</v>
      </c>
      <c r="BQ41" s="23">
        <f t="shared" ref="BQ41" si="93">SUM(BQ38:BQ40)</f>
        <v>25621.411396110001</v>
      </c>
      <c r="BR41" s="23">
        <f t="shared" ref="BR41" si="94">SUM(BR38:BR40)</f>
        <v>31189.692334110001</v>
      </c>
      <c r="BS41" s="23">
        <f t="shared" ref="BS41" si="95">SUM(BS38:BS40)</f>
        <v>33989.896526419994</v>
      </c>
      <c r="BT41" s="23">
        <f t="shared" ref="BT41" si="96">SUM(BT38:BT40)</f>
        <v>27523.997692639998</v>
      </c>
    </row>
    <row r="44" spans="1:72" hidden="1" outlineLevel="1" x14ac:dyDescent="0.25">
      <c r="A44" s="11" t="s">
        <v>50</v>
      </c>
      <c r="C44" s="2" t="s">
        <v>0</v>
      </c>
      <c r="D44" s="8">
        <f>-IFERROR(
GETPIVOTDATA(
"[Base].[Importe]",
TDinamica_R!$A$5,
"[Calendario].[AñoMes]",
"[Calendario].[AñoMes].&amp;[" &amp; TEXT(D$6,"yyyymm") &amp; "]",
"[Base].[Metrica]",
"[Base].[Metrica].&amp;[" &amp; $A44 &amp; "]",
"[Base].[SEGMENTO_DESCRIP]",
"[Base].[SEGMENTO_DESCRIP].&amp;[" &amp; $C$6 &amp; "]",
"[Base].[SITUACION]",
"[Base].[SITUACION].&amp;[" &amp; $C44 &amp; "]"
),0)/1000</f>
        <v>-4487.5365643999994</v>
      </c>
      <c r="E44" s="8">
        <f>-IFERROR(
GETPIVOTDATA(
"[Base].[Importe]",
TDinamica_R!$A$5,
"[Calendario].[AñoMes]",
"[Calendario].[AñoMes].&amp;[" &amp; TEXT(E$6,"yyyymm") &amp; "]",
"[Base].[Metrica]",
"[Base].[Metrica].&amp;[" &amp; $A44 &amp; "]",
"[Base].[SEGMENTO_DESCRIP]",
"[Base].[SEGMENTO_DESCRIP].&amp;[" &amp; $C$6 &amp; "]",
"[Base].[SITUACION]",
"[Base].[SITUACION].&amp;[" &amp; $C44 &amp; "]"
),0)/1000</f>
        <v>-4247.6418984200018</v>
      </c>
      <c r="F44" s="8">
        <f>-IFERROR(
GETPIVOTDATA(
"[Base].[Importe]",
TDinamica_R!$A$5,
"[Calendario].[AñoMes]",
"[Calendario].[AñoMes].&amp;[" &amp; TEXT(F$6,"yyyymm") &amp; "]",
"[Base].[Metrica]",
"[Base].[Metrica].&amp;[" &amp; $A44 &amp; "]",
"[Base].[SEGMENTO_DESCRIP]",
"[Base].[SEGMENTO_DESCRIP].&amp;[" &amp; $C$6 &amp; "]",
"[Base].[SITUACION]",
"[Base].[SITUACION].&amp;[" &amp; $C44 &amp; "]"
),0)/1000</f>
        <v>-4973.5672311999988</v>
      </c>
      <c r="G44" s="8">
        <f>-IFERROR(
GETPIVOTDATA(
"[Base].[Importe]",
TDinamica_R!$A$5,
"[Calendario].[AñoMes]",
"[Calendario].[AñoMes].&amp;[" &amp; TEXT(G$6,"yyyymm") &amp; "]",
"[Base].[Metrica]",
"[Base].[Metrica].&amp;[" &amp; $A44 &amp; "]",
"[Base].[SEGMENTO_DESCRIP]",
"[Base].[SEGMENTO_DESCRIP].&amp;[" &amp; $C$6 &amp; "]",
"[Base].[SITUACION]",
"[Base].[SITUACION].&amp;[" &amp; $C44 &amp; "]"
),0)/1000</f>
        <v>-5026.5321228399998</v>
      </c>
      <c r="H44" s="8">
        <f>-IFERROR(
GETPIVOTDATA(
"[Base].[Importe]",
TDinamica_R!$A$5,
"[Calendario].[AñoMes]",
"[Calendario].[AñoMes].&amp;[" &amp; TEXT(H$6,"yyyymm") &amp; "]",
"[Base].[Metrica]",
"[Base].[Metrica].&amp;[" &amp; $A44 &amp; "]",
"[Base].[SEGMENTO_DESCRIP]",
"[Base].[SEGMENTO_DESCRIP].&amp;[" &amp; $C$6 &amp; "]",
"[Base].[SITUACION]",
"[Base].[SITUACION].&amp;[" &amp; $C44 &amp; "]"
),0)/1000</f>
        <v>-5371.9070223999997</v>
      </c>
      <c r="I44" s="8">
        <f>-IFERROR(
GETPIVOTDATA(
"[Base].[Importe]",
TDinamica_R!$A$5,
"[Calendario].[AñoMes]",
"[Calendario].[AñoMes].&amp;[" &amp; TEXT(I$6,"yyyymm") &amp; "]",
"[Base].[Metrica]",
"[Base].[Metrica].&amp;[" &amp; $A44 &amp; "]",
"[Base].[SEGMENTO_DESCRIP]",
"[Base].[SEGMENTO_DESCRIP].&amp;[" &amp; $C$6 &amp; "]",
"[Base].[SITUACION]",
"[Base].[SITUACION].&amp;[" &amp; $C44 &amp; "]"
),0)/1000</f>
        <v>-5353.5762595000006</v>
      </c>
      <c r="J44" s="8">
        <f>-IFERROR(
GETPIVOTDATA(
"[Base].[Importe]",
TDinamica_R!$A$5,
"[Calendario].[AñoMes]",
"[Calendario].[AñoMes].&amp;[" &amp; TEXT(J$6,"yyyymm") &amp; "]",
"[Base].[Metrica]",
"[Base].[Metrica].&amp;[" &amp; $A44 &amp; "]",
"[Base].[SEGMENTO_DESCRIP]",
"[Base].[SEGMENTO_DESCRIP].&amp;[" &amp; $C$6 &amp; "]",
"[Base].[SITUACION]",
"[Base].[SITUACION].&amp;[" &amp; $C44 &amp; "]"
),0)/1000</f>
        <v>-5680.4435749399991</v>
      </c>
      <c r="K44" s="8">
        <f>-IFERROR(
GETPIVOTDATA(
"[Base].[Importe]",
TDinamica_R!$A$5,
"[Calendario].[AñoMes]",
"[Calendario].[AñoMes].&amp;[" &amp; TEXT(K$6,"yyyymm") &amp; "]",
"[Base].[Metrica]",
"[Base].[Metrica].&amp;[" &amp; $A44 &amp; "]",
"[Base].[SEGMENTO_DESCRIP]",
"[Base].[SEGMENTO_DESCRIP].&amp;[" &amp; $C$6 &amp; "]",
"[Base].[SITUACION]",
"[Base].[SITUACION].&amp;[" &amp; $C44 &amp; "]"
),0)/1000</f>
        <v>-5857.7199094400003</v>
      </c>
      <c r="L44" s="8">
        <f>-IFERROR(
GETPIVOTDATA(
"[Base].[Importe]",
TDinamica_R!$A$5,
"[Calendario].[AñoMes]",
"[Calendario].[AñoMes].&amp;[" &amp; TEXT(L$6,"yyyymm") &amp; "]",
"[Base].[Metrica]",
"[Base].[Metrica].&amp;[" &amp; $A44 &amp; "]",
"[Base].[SEGMENTO_DESCRIP]",
"[Base].[SEGMENTO_DESCRIP].&amp;[" &amp; $C$6 &amp; "]",
"[Base].[SITUACION]",
"[Base].[SITUACION].&amp;[" &amp; $C44 &amp; "]"
),0)/1000</f>
        <v>-5934.2711683182997</v>
      </c>
      <c r="M44" s="8">
        <f>-IFERROR(
GETPIVOTDATA(
"[Base].[Importe]",
TDinamica_R!$A$5,
"[Calendario].[AñoMes]",
"[Calendario].[AñoMes].&amp;[" &amp; TEXT(M$6,"yyyymm") &amp; "]",
"[Base].[Metrica]",
"[Base].[Metrica].&amp;[" &amp; $A44 &amp; "]",
"[Base].[SEGMENTO_DESCRIP]",
"[Base].[SEGMENTO_DESCRIP].&amp;[" &amp; $C$6 &amp; "]",
"[Base].[SITUACION]",
"[Base].[SITUACION].&amp;[" &amp; $C44 &amp; "]"
),0)/1000</f>
        <v>-6236.4135396000011</v>
      </c>
      <c r="N44" s="8">
        <f>-IFERROR(
GETPIVOTDATA(
"[Base].[Importe]",
TDinamica_R!$A$5,
"[Calendario].[AñoMes]",
"[Calendario].[AñoMes].&amp;[" &amp; TEXT(N$6,"yyyymm") &amp; "]",
"[Base].[Metrica]",
"[Base].[Metrica].&amp;[" &amp; $A44 &amp; "]",
"[Base].[SEGMENTO_DESCRIP]",
"[Base].[SEGMENTO_DESCRIP].&amp;[" &amp; $C$6 &amp; "]",
"[Base].[SITUACION]",
"[Base].[SITUACION].&amp;[" &amp; $C44 &amp; "]"
),0)/1000</f>
        <v>-6098.1098300199992</v>
      </c>
      <c r="O44" s="8">
        <f>-IFERROR(
GETPIVOTDATA(
"[Base].[Importe]",
TDinamica_R!$A$5,
"[Calendario].[AñoMes]",
"[Calendario].[AñoMes].&amp;[" &amp; TEXT(O$6,"yyyymm") &amp; "]",
"[Base].[Metrica]",
"[Base].[Metrica].&amp;[" &amp; $A44 &amp; "]",
"[Base].[SEGMENTO_DESCRIP]",
"[Base].[SEGMENTO_DESCRIP].&amp;[" &amp; $C$6 &amp; "]",
"[Base].[SITUACION]",
"[Base].[SITUACION].&amp;[" &amp; $C44 &amp; "]"
),0)/1000</f>
        <v>-6325.7396325699992</v>
      </c>
      <c r="P44" s="8">
        <f>-IFERROR(
GETPIVOTDATA(
"[Base].[Importe]",
TDinamica_R!$A$5,
"[Calendario].[AñoMes]",
"[Calendario].[AñoMes].&amp;[" &amp; TEXT(P$6,"yyyymm") &amp; "]",
"[Base].[Metrica]",
"[Base].[Metrica].&amp;[" &amp; $A44 &amp; "]",
"[Base].[SEGMENTO_DESCRIP]",
"[Base].[SEGMENTO_DESCRIP].&amp;[" &amp; $C$6 &amp; "]",
"[Base].[SITUACION]",
"[Base].[SITUACION].&amp;[" &amp; $C44 &amp; "]"
),0)/1000</f>
        <v>-6257.6927995999995</v>
      </c>
      <c r="Q44" s="8">
        <f>-IFERROR(
GETPIVOTDATA(
"[Base].[Importe]",
TDinamica_R!$A$5,
"[Calendario].[AñoMes]",
"[Calendario].[AñoMes].&amp;[" &amp; TEXT(Q$6,"yyyymm") &amp; "]",
"[Base].[Metrica]",
"[Base].[Metrica].&amp;[" &amp; $A44 &amp; "]",
"[Base].[SEGMENTO_DESCRIP]",
"[Base].[SEGMENTO_DESCRIP].&amp;[" &amp; $C$6 &amp; "]",
"[Base].[SITUACION]",
"[Base].[SITUACION].&amp;[" &amp; $C44 &amp; "]"
),0)/1000</f>
        <v>-5762.8055985199999</v>
      </c>
      <c r="R44" s="8">
        <f>-IFERROR(
GETPIVOTDATA(
"[Base].[Importe]",
TDinamica_R!$A$5,
"[Calendario].[AñoMes]",
"[Calendario].[AñoMes].&amp;[" &amp; TEXT(R$6,"yyyymm") &amp; "]",
"[Base].[Metrica]",
"[Base].[Metrica].&amp;[" &amp; $A44 &amp; "]",
"[Base].[SEGMENTO_DESCRIP]",
"[Base].[SEGMENTO_DESCRIP].&amp;[" &amp; $C$6 &amp; "]",
"[Base].[SITUACION]",
"[Base].[SITUACION].&amp;[" &amp; $C44 &amp; "]"
),0)/1000</f>
        <v>-6096.1566633699995</v>
      </c>
      <c r="S44" s="8">
        <f>-IFERROR(
GETPIVOTDATA(
"[Base].[Importe]",
TDinamica_R!$A$5,
"[Calendario].[AñoMes]",
"[Calendario].[AñoMes].&amp;[" &amp; TEXT(S$6,"yyyymm") &amp; "]",
"[Base].[Metrica]",
"[Base].[Metrica].&amp;[" &amp; $A44 &amp; "]",
"[Base].[SEGMENTO_DESCRIP]",
"[Base].[SEGMENTO_DESCRIP].&amp;[" &amp; $C$6 &amp; "]",
"[Base].[SITUACION]",
"[Base].[SITUACION].&amp;[" &amp; $C44 &amp; "]"
),0)/1000</f>
        <v>-5776.3149723199995</v>
      </c>
      <c r="T44" s="8">
        <f>-IFERROR(
GETPIVOTDATA(
"[Base].[Importe]",
TDinamica_R!$A$5,
"[Calendario].[AñoMes]",
"[Calendario].[AñoMes].&amp;[" &amp; TEXT(T$6,"yyyymm") &amp; "]",
"[Base].[Metrica]",
"[Base].[Metrica].&amp;[" &amp; $A44 &amp; "]",
"[Base].[SEGMENTO_DESCRIP]",
"[Base].[SEGMENTO_DESCRIP].&amp;[" &amp; $C$6 &amp; "]",
"[Base].[SITUACION]",
"[Base].[SITUACION].&amp;[" &amp; $C44 &amp; "]"
),0)/1000</f>
        <v>-5842.9274999999998</v>
      </c>
      <c r="U44" s="8">
        <f>-IFERROR(
GETPIVOTDATA(
"[Base].[Importe]",
TDinamica_R!$A$5,
"[Calendario].[AñoMes]",
"[Calendario].[AñoMes].&amp;[" &amp; TEXT(U$6,"yyyymm") &amp; "]",
"[Base].[Metrica]",
"[Base].[Metrica].&amp;[" &amp; $A44 &amp; "]",
"[Base].[SEGMENTO_DESCRIP]",
"[Base].[SEGMENTO_DESCRIP].&amp;[" &amp; $C$6 &amp; "]",
"[Base].[SITUACION]",
"[Base].[SITUACION].&amp;[" &amp; $C44 &amp; "]"
),0)/1000</f>
        <v>-5498.5541120600001</v>
      </c>
      <c r="V44" s="8">
        <f>-IFERROR(
GETPIVOTDATA(
"[Base].[Importe]",
TDinamica_R!$A$5,
"[Calendario].[AñoMes]",
"[Calendario].[AñoMes].&amp;[" &amp; TEXT(V$6,"yyyymm") &amp; "]",
"[Base].[Metrica]",
"[Base].[Metrica].&amp;[" &amp; $A44 &amp; "]",
"[Base].[SEGMENTO_DESCRIP]",
"[Base].[SEGMENTO_DESCRIP].&amp;[" &amp; $C$6 &amp; "]",
"[Base].[SITUACION]",
"[Base].[SITUACION].&amp;[" &amp; $C44 &amp; "]"
),0)/1000</f>
        <v>-5537.9068411799999</v>
      </c>
      <c r="W44" s="8">
        <f>-IFERROR(
GETPIVOTDATA(
"[Base].[Importe]",
TDinamica_R!$A$5,
"[Calendario].[AñoMes]",
"[Calendario].[AñoMes].&amp;[" &amp; TEXT(W$6,"yyyymm") &amp; "]",
"[Base].[Metrica]",
"[Base].[Metrica].&amp;[" &amp; $A44 &amp; "]",
"[Base].[SEGMENTO_DESCRIP]",
"[Base].[SEGMENTO_DESCRIP].&amp;[" &amp; $C$6 &amp; "]",
"[Base].[SITUACION]",
"[Base].[SITUACION].&amp;[" &amp; $C44 &amp; "]"
),0)/1000</f>
        <v>-5445.8099657100001</v>
      </c>
      <c r="X44" s="8">
        <f>-IFERROR(
GETPIVOTDATA(
"[Base].[Importe]",
TDinamica_R!$A$5,
"[Calendario].[AñoMes]",
"[Calendario].[AñoMes].&amp;[" &amp; TEXT(X$6,"yyyymm") &amp; "]",
"[Base].[Metrica]",
"[Base].[Metrica].&amp;[" &amp; $A44 &amp; "]",
"[Base].[SEGMENTO_DESCRIP]",
"[Base].[SEGMENTO_DESCRIP].&amp;[" &amp; $C$6 &amp; "]",
"[Base].[SITUACION]",
"[Base].[SITUACION].&amp;[" &amp; $C44 &amp; "]"
),0)/1000</f>
        <v>-5199.5070074800014</v>
      </c>
      <c r="Y44" s="8">
        <f>-IFERROR(
GETPIVOTDATA(
"[Base].[Importe]",
TDinamica_R!$A$5,
"[Calendario].[AñoMes]",
"[Calendario].[AñoMes].&amp;[" &amp; TEXT(Y$6,"yyyymm") &amp; "]",
"[Base].[Metrica]",
"[Base].[Metrica].&amp;[" &amp; $A44 &amp; "]",
"[Base].[SEGMENTO_DESCRIP]",
"[Base].[SEGMENTO_DESCRIP].&amp;[" &amp; $C$6 &amp; "]",
"[Base].[SITUACION]",
"[Base].[SITUACION].&amp;[" &amp; $C44 &amp; "]"
),0)/1000</f>
        <v>-5367.1691131200005</v>
      </c>
      <c r="Z44" s="8">
        <f>-IFERROR(
GETPIVOTDATA(
"[Base].[Importe]",
TDinamica_R!$A$5,
"[Calendario].[AñoMes]",
"[Calendario].[AñoMes].&amp;[" &amp; TEXT(Z$6,"yyyymm") &amp; "]",
"[Base].[Metrica]",
"[Base].[Metrica].&amp;[" &amp; $A44 &amp; "]",
"[Base].[SEGMENTO_DESCRIP]",
"[Base].[SEGMENTO_DESCRIP].&amp;[" &amp; $C$6 &amp; "]",
"[Base].[SITUACION]",
"[Base].[SITUACION].&amp;[" &amp; $C44 &amp; "]"
),0)/1000</f>
        <v>-5192.06958356</v>
      </c>
      <c r="AA44" s="8">
        <f>-IFERROR(
GETPIVOTDATA(
"[Base].[Importe]",
TDinamica_R!$A$5,
"[Calendario].[AñoMes]",
"[Calendario].[AñoMes].&amp;[" &amp; TEXT(AA$6,"yyyymm") &amp; "]",
"[Base].[Metrica]",
"[Base].[Metrica].&amp;[" &amp; $A44 &amp; "]",
"[Base].[SEGMENTO_DESCRIP]",
"[Base].[SEGMENTO_DESCRIP].&amp;[" &amp; $C$6 &amp; "]",
"[Base].[SITUACION]",
"[Base].[SITUACION].&amp;[" &amp; $C44 &amp; "]"
),0)/1000</f>
        <v>-5397.0577770999998</v>
      </c>
      <c r="AB44" s="8">
        <f>-IFERROR(
GETPIVOTDATA(
"[Base].[Importe]",
TDinamica_R!$A$5,
"[Calendario].[AñoMes]",
"[Calendario].[AñoMes].&amp;[" &amp; TEXT(AB$6,"yyyymm") &amp; "]",
"[Base].[Metrica]",
"[Base].[Metrica].&amp;[" &amp; $A44 &amp; "]",
"[Base].[SEGMENTO_DESCRIP]",
"[Base].[SEGMENTO_DESCRIP].&amp;[" &amp; $C$6 &amp; "]",
"[Base].[SITUACION]",
"[Base].[SITUACION].&amp;[" &amp; $C44 &amp; "]"
),0)/1000</f>
        <v>-5373.1911637799994</v>
      </c>
      <c r="AC44" s="8">
        <f>-IFERROR(
GETPIVOTDATA(
"[Base].[Importe]",
TDinamica_R!$A$5,
"[Calendario].[AñoMes]",
"[Calendario].[AñoMes].&amp;[" &amp; TEXT(AC$6,"yyyymm") &amp; "]",
"[Base].[Metrica]",
"[Base].[Metrica].&amp;[" &amp; $A44 &amp; "]",
"[Base].[SEGMENTO_DESCRIP]",
"[Base].[SEGMENTO_DESCRIP].&amp;[" &amp; $C$6 &amp; "]",
"[Base].[SITUACION]",
"[Base].[SITUACION].&amp;[" &amp; $C44 &amp; "]"
),0)/1000</f>
        <v>-4880.1843800000015</v>
      </c>
      <c r="AD44" s="8">
        <f>-IFERROR(
GETPIVOTDATA(
"[Base].[Importe]",
TDinamica_R!$A$5,
"[Calendario].[AñoMes]",
"[Calendario].[AñoMes].&amp;[" &amp; TEXT(AD$6,"yyyymm") &amp; "]",
"[Base].[Metrica]",
"[Base].[Metrica].&amp;[" &amp; $A44 &amp; "]",
"[Base].[SEGMENTO_DESCRIP]",
"[Base].[SEGMENTO_DESCRIP].&amp;[" &amp; $C$6 &amp; "]",
"[Base].[SITUACION]",
"[Base].[SITUACION].&amp;[" &amp; $C44 &amp; "]"
),0)/1000</f>
        <v>-5416.7874904500004</v>
      </c>
      <c r="AE44" s="8">
        <f>-IFERROR(
GETPIVOTDATA(
"[Base].[Importe]",
TDinamica_R!$A$5,
"[Calendario].[AñoMes]",
"[Calendario].[AñoMes].&amp;[" &amp; TEXT(AE$6,"yyyymm") &amp; "]",
"[Base].[Metrica]",
"[Base].[Metrica].&amp;[" &amp; $A44 &amp; "]",
"[Base].[SEGMENTO_DESCRIP]",
"[Base].[SEGMENTO_DESCRIP].&amp;[" &amp; $C$6 &amp; "]",
"[Base].[SITUACION]",
"[Base].[SITUACION].&amp;[" &amp; $C44 &amp; "]"
),0)/1000</f>
        <v>-5301.43401765</v>
      </c>
      <c r="AF44" s="8">
        <f>-IFERROR(
GETPIVOTDATA(
"[Base].[Importe]",
TDinamica_R!$A$5,
"[Calendario].[AñoMes]",
"[Calendario].[AñoMes].&amp;[" &amp; TEXT(AF$6,"yyyymm") &amp; "]",
"[Base].[Metrica]",
"[Base].[Metrica].&amp;[" &amp; $A44 &amp; "]",
"[Base].[SEGMENTO_DESCRIP]",
"[Base].[SEGMENTO_DESCRIP].&amp;[" &amp; $C$6 &amp; "]",
"[Base].[SITUACION]",
"[Base].[SITUACION].&amp;[" &amp; $C44 &amp; "]"
),0)/1000</f>
        <v>-5531.4175504000013</v>
      </c>
      <c r="AG44" s="8">
        <f>-IFERROR(
GETPIVOTDATA(
"[Base].[Importe]",
TDinamica_R!$A$5,
"[Calendario].[AñoMes]",
"[Calendario].[AñoMes].&amp;[" &amp; TEXT(AG$6,"yyyymm") &amp; "]",
"[Base].[Metrica]",
"[Base].[Metrica].&amp;[" &amp; $A44 &amp; "]",
"[Base].[SEGMENTO_DESCRIP]",
"[Base].[SEGMENTO_DESCRIP].&amp;[" &amp; $C$6 &amp; "]",
"[Base].[SITUACION]",
"[Base].[SITUACION].&amp;[" &amp; $C44 &amp; "]"
),0)/1000</f>
        <v>-5379.3433504000004</v>
      </c>
      <c r="AH44" s="8">
        <f>-IFERROR(
GETPIVOTDATA(
"[Base].[Importe]",
TDinamica_R!$A$5,
"[Calendario].[AñoMes]",
"[Calendario].[AñoMes].&amp;[" &amp; TEXT(AH$6,"yyyymm") &amp; "]",
"[Base].[Metrica]",
"[Base].[Metrica].&amp;[" &amp; $A44 &amp; "]",
"[Base].[SEGMENTO_DESCRIP]",
"[Base].[SEGMENTO_DESCRIP].&amp;[" &amp; $C$6 &amp; "]",
"[Base].[SITUACION]",
"[Base].[SITUACION].&amp;[" &amp; $C44 &amp; "]"
),0)/1000</f>
        <v>-5541.1292571200011</v>
      </c>
      <c r="AI44" s="8">
        <f>-IFERROR(
GETPIVOTDATA(
"[Base].[Importe]",
TDinamica_R!$A$5,
"[Calendario].[AñoMes]",
"[Calendario].[AñoMes].&amp;[" &amp; TEXT(AI$6,"yyyymm") &amp; "]",
"[Base].[Metrica]",
"[Base].[Metrica].&amp;[" &amp; $A44 &amp; "]",
"[Base].[SEGMENTO_DESCRIP]",
"[Base].[SEGMENTO_DESCRIP].&amp;[" &amp; $C$6 &amp; "]",
"[Base].[SITUACION]",
"[Base].[SITUACION].&amp;[" &amp; $C44 &amp; "]"
),0)/1000</f>
        <v>-5570.7652880999995</v>
      </c>
      <c r="AJ44" s="8">
        <f>-IFERROR(
GETPIVOTDATA(
"[Base].[Importe]",
TDinamica_R!$A$5,
"[Calendario].[AñoMes]",
"[Calendario].[AñoMes].&amp;[" &amp; TEXT(AJ$6,"yyyymm") &amp; "]",
"[Base].[Metrica]",
"[Base].[Metrica].&amp;[" &amp; $A44 &amp; "]",
"[Base].[SEGMENTO_DESCRIP]",
"[Base].[SEGMENTO_DESCRIP].&amp;[" &amp; $C$6 &amp; "]",
"[Base].[SITUACION]",
"[Base].[SITUACION].&amp;[" &amp; $C44 &amp; "]"
),0)/1000</f>
        <v>-5502.5022589700002</v>
      </c>
      <c r="AK44" s="8">
        <f>-IFERROR(
GETPIVOTDATA(
"[Base].[Importe]",
TDinamica_R!$A$5,
"[Calendario].[AñoMes]",
"[Calendario].[AñoMes].&amp;[" &amp; TEXT(AK$6,"yyyymm") &amp; "]",
"[Base].[Metrica]",
"[Base].[Metrica].&amp;[" &amp; $A44 &amp; "]",
"[Base].[SEGMENTO_DESCRIP]",
"[Base].[SEGMENTO_DESCRIP].&amp;[" &amp; $C$6 &amp; "]",
"[Base].[SITUACION]",
"[Base].[SITUACION].&amp;[" &amp; $C44 &amp; "]"
),0)/1000</f>
        <v>-5903.0144600799995</v>
      </c>
      <c r="AL44" s="8">
        <f>-IFERROR(
GETPIVOTDATA(
"[Base].[Importe]",
TDinamica_R!$A$5,
"[Calendario].[AñoMes]",
"[Calendario].[AñoMes].&amp;[" &amp; TEXT(AL$6,"yyyymm") &amp; "]",
"[Base].[Metrica]",
"[Base].[Metrica].&amp;[" &amp; $A44 &amp; "]",
"[Base].[SEGMENTO_DESCRIP]",
"[Base].[SEGMENTO_DESCRIP].&amp;[" &amp; $C$6 &amp; "]",
"[Base].[SITUACION]",
"[Base].[SITUACION].&amp;[" &amp; $C44 &amp; "]"
),0)/1000</f>
        <v>-5921.7699604700001</v>
      </c>
      <c r="AM44" s="8">
        <f>-IFERROR(
GETPIVOTDATA(
"[Base].[Importe]",
TDinamica_R!$A$5,
"[Calendario].[AñoMes]",
"[Calendario].[AñoMes].&amp;[" &amp; TEXT(AM$6,"yyyymm") &amp; "]",
"[Base].[Metrica]",
"[Base].[Metrica].&amp;[" &amp; $A44 &amp; "]",
"[Base].[SEGMENTO_DESCRIP]",
"[Base].[SEGMENTO_DESCRIP].&amp;[" &amp; $C$6 &amp; "]",
"[Base].[SITUACION]",
"[Base].[SITUACION].&amp;[" &amp; $C44 &amp; "]"
),0)/1000</f>
        <v>-6212.9007273200004</v>
      </c>
      <c r="AN44" s="8">
        <f>-IFERROR(
GETPIVOTDATA(
"[Base].[Importe]",
TDinamica_R!$A$5,
"[Calendario].[AñoMes]",
"[Calendario].[AñoMes].&amp;[" &amp; TEXT(AN$6,"yyyymm") &amp; "]",
"[Base].[Metrica]",
"[Base].[Metrica].&amp;[" &amp; $A44 &amp; "]",
"[Base].[SEGMENTO_DESCRIP]",
"[Base].[SEGMENTO_DESCRIP].&amp;[" &amp; $C$6 &amp; "]",
"[Base].[SITUACION]",
"[Base].[SITUACION].&amp;[" &amp; $C44 &amp; "]"
),0)/1000</f>
        <v>-6213.4102253500005</v>
      </c>
      <c r="AO44" s="8">
        <f>-IFERROR(
GETPIVOTDATA(
"[Base].[Importe]",
TDinamica_R!$A$5,
"[Calendario].[AñoMes]",
"[Calendario].[AñoMes].&amp;[" &amp; TEXT(AO$6,"yyyymm") &amp; "]",
"[Base].[Metrica]",
"[Base].[Metrica].&amp;[" &amp; $A44 &amp; "]",
"[Base].[SEGMENTO_DESCRIP]",
"[Base].[SEGMENTO_DESCRIP].&amp;[" &amp; $C$6 &amp; "]",
"[Base].[SITUACION]",
"[Base].[SITUACION].&amp;[" &amp; $C44 &amp; "]"
),0)/1000</f>
        <v>-5674.055791069999</v>
      </c>
      <c r="AP44" s="8">
        <f>-IFERROR(
GETPIVOTDATA(
"[Base].[Importe]",
TDinamica_R!$A$5,
"[Calendario].[AñoMes]",
"[Calendario].[AñoMes].&amp;[" &amp; TEXT(AP$6,"yyyymm") &amp; "]",
"[Base].[Metrica]",
"[Base].[Metrica].&amp;[" &amp; $A44 &amp; "]",
"[Base].[SEGMENTO_DESCRIP]",
"[Base].[SEGMENTO_DESCRIP].&amp;[" &amp; $C$6 &amp; "]",
"[Base].[SITUACION]",
"[Base].[SITUACION].&amp;[" &amp; $C44 &amp; "]"
),0)/1000</f>
        <v>-6436.9643674999998</v>
      </c>
      <c r="AQ44" s="8">
        <f>-IFERROR(
GETPIVOTDATA(
"[Base].[Importe]",
TDinamica_R!$A$5,
"[Calendario].[AñoMes]",
"[Calendario].[AñoMes].&amp;[" &amp; TEXT(AQ$6,"yyyymm") &amp; "]",
"[Base].[Metrica]",
"[Base].[Metrica].&amp;[" &amp; $A44 &amp; "]",
"[Base].[SEGMENTO_DESCRIP]",
"[Base].[SEGMENTO_DESCRIP].&amp;[" &amp; $C$6 &amp; "]",
"[Base].[SITUACION]",
"[Base].[SITUACION].&amp;[" &amp; $C44 &amp; "]"
),0)/1000</f>
        <v>-6302.1724580999989</v>
      </c>
      <c r="AR44" s="8">
        <f>-IFERROR(
GETPIVOTDATA(
"[Base].[Importe]",
TDinamica_R!$A$5,
"[Calendario].[AñoMes]",
"[Calendario].[AñoMes].&amp;[" &amp; TEXT(AR$6,"yyyymm") &amp; "]",
"[Base].[Metrica]",
"[Base].[Metrica].&amp;[" &amp; $A44 &amp; "]",
"[Base].[SEGMENTO_DESCRIP]",
"[Base].[SEGMENTO_DESCRIP].&amp;[" &amp; $C$6 &amp; "]",
"[Base].[SITUACION]",
"[Base].[SITUACION].&amp;[" &amp; $C44 &amp; "]"
),0)/1000</f>
        <v>-6641.3153791200011</v>
      </c>
      <c r="AS44" s="8">
        <f>-IFERROR(
GETPIVOTDATA(
"[Base].[Importe]",
TDinamica_R!$A$5,
"[Calendario].[AñoMes]",
"[Calendario].[AñoMes].&amp;[" &amp; TEXT(AS$6,"yyyymm") &amp; "]",
"[Base].[Metrica]",
"[Base].[Metrica].&amp;[" &amp; $A44 &amp; "]",
"[Base].[SEGMENTO_DESCRIP]",
"[Base].[SEGMENTO_DESCRIP].&amp;[" &amp; $C$6 &amp; "]",
"[Base].[SITUACION]",
"[Base].[SITUACION].&amp;[" &amp; $C44 &amp; "]"
),0)/1000</f>
        <v>-6601.1960030499995</v>
      </c>
      <c r="AT44" s="8">
        <f>-IFERROR(
GETPIVOTDATA(
"[Base].[Importe]",
TDinamica_R!$A$5,
"[Calendario].[AñoMes]",
"[Calendario].[AñoMes].&amp;[" &amp; TEXT(AT$6,"yyyymm")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U44" s="8">
        <f>-IFERROR(
GETPIVOTDATA(
"[Base].[Importe]",
TDinamica_R!$A$5,
"[Calendario].[AñoMes]",
"[Calendario].[AñoMes].&amp;[" &amp; TEXT(AU$6,"yyyymm")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V44" s="8">
        <f>-IFERROR(
GETPIVOTDATA(
"[Base].[Importe]",
TDinamica_R!$A$5,
"[Calendario].[AñoMes]",
"[Calendario].[AñoMes].&amp;[" &amp; TEXT(AV$6,"yyyymm")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W44" s="8">
        <f>-IFERROR(
GETPIVOTDATA(
"[Base].[Importe]",
TDinamica_R!$A$5,
"[Calendario].[AñoMes]",
"[Calendario].[AñoMes].&amp;[" &amp; TEXT(AW$6,"yyyymm")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X44" s="8">
        <f>-IFERROR(
GETPIVOTDATA(
"[Base].[Importe]",
TDinamica_R!$A$5,
"[Calendario].[AñoMes]",
"[Calendario].[AñoMes].&amp;[" &amp; TEXT(AX$6,"yyyymm")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Y44" s="8">
        <f>-IFERROR(
GETPIVOTDATA(
"[Base].[Importe]",
TDinamica_R!$A$5,
"[Calendario].[AñoMes]",
"[Calendario].[AñoMes].&amp;[" &amp; TEXT(AY$6,"yyyymm")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Z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TEXT(AZ$6,"yyyymm") &amp; "]"
),
0
)</f>
        <v>-6380.0637606905238</v>
      </c>
      <c r="BA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TEXT(BA$6,"yyyymm") &amp; "]"
),
0
)</f>
        <v>-5829.16081712099</v>
      </c>
      <c r="BB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TEXT(BB$6,"yyyymm") &amp; "]"
),
0
)</f>
        <v>-6545.6892702407995</v>
      </c>
      <c r="BC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TEXT(BC$6,"yyyymm") &amp; "]"
),
0
)</f>
        <v>-6467.8690122773478</v>
      </c>
      <c r="BD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TEXT(BD$6,"yyyymm") &amp; "]"
),
0
)</f>
        <v>-6852.740095443517</v>
      </c>
      <c r="BE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TEXT(BE$6,"yyyymm") &amp; "]"
),
0
)</f>
        <v>-6769.3734684569235</v>
      </c>
      <c r="BF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TEXT(BF$6,"yyyymm") &amp; "]"
),
0
)</f>
        <v>-7075.2860911616553</v>
      </c>
      <c r="BG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TEXT(BG$6,"yyyymm") &amp; "]"
),
0
)</f>
        <v>-7143.943457894281</v>
      </c>
      <c r="BH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TEXT(BH$6,"yyyymm") &amp; "]"
),
0
)</f>
        <v>-7015.121089595772</v>
      </c>
      <c r="BI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TEXT(BI$6,"yyyymm") &amp; "]"
),
0
)</f>
        <v>-7373.1553519290856</v>
      </c>
      <c r="BJ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TEXT(BJ$6,"yyyymm") &amp; "]"
),
0
)</f>
        <v>-7223.2094810111021</v>
      </c>
      <c r="BK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TEXT(BK$6,"yyyymm") &amp; "]"
),
0
)</f>
        <v>-7507.1124702143716</v>
      </c>
      <c r="BO44" s="24">
        <f t="shared" ref="BO44:BT46" si="97">SUMIFS($D44:$BM44,$D$6:$BM$6,"&gt;="&amp;BO$2,$D$6:$BM$6,"&lt;="&amp;BO$6,$D$5:$BM$5,BO$5)</f>
        <v>-18324.43038392</v>
      </c>
      <c r="BP44" s="24">
        <f t="shared" si="97"/>
        <v>-18754.913848052314</v>
      </c>
      <c r="BQ44" s="24">
        <f t="shared" si="97"/>
        <v>-11887.46601642</v>
      </c>
      <c r="BR44" s="24">
        <f t="shared" si="97"/>
        <v>-15670.163034230001</v>
      </c>
      <c r="BS44" s="24">
        <f t="shared" si="97"/>
        <v>-18116.655061489997</v>
      </c>
      <c r="BT44" s="24">
        <f t="shared" si="97"/>
        <v>-13708.745694019999</v>
      </c>
    </row>
    <row r="45" spans="1:72" hidden="1" outlineLevel="1" x14ac:dyDescent="0.25">
      <c r="A45" s="11" t="s">
        <v>50</v>
      </c>
      <c r="C45" s="2" t="s">
        <v>1</v>
      </c>
      <c r="D45" s="8">
        <f>-IFERROR(
GETPIVOTDATA(
"[Base].[Importe]",
TDinamica_R!$A$5,
"[Calendario].[AñoMes]",
"[Calendario].[AñoMes].&amp;[" &amp; TEXT(D$6,"yyyymm") &amp; "]",
"[Base].[Metrica]",
"[Base].[Metrica].&amp;[" &amp; $A45 &amp; "]",
"[Base].[SEGMENTO_DESCRIP]",
"[Base].[SEGMENTO_DESCRIP].&amp;[" &amp; $C$6 &amp; "]",
"[Base].[SITUACION]",
"[Base].[SITUACION].&amp;[" &amp; $C45 &amp; "]"
),0)/1000</f>
        <v>-1.6656900000000001</v>
      </c>
      <c r="E45" s="8">
        <f>-IFERROR(
GETPIVOTDATA(
"[Base].[Importe]",
TDinamica_R!$A$5,
"[Calendario].[AñoMes]",
"[Calendario].[AñoMes].&amp;[" &amp; TEXT(E$6,"yyyymm") &amp; "]",
"[Base].[Metrica]",
"[Base].[Metrica].&amp;[" &amp; $A45 &amp; "]",
"[Base].[SEGMENTO_DESCRIP]",
"[Base].[SEGMENTO_DESCRIP].&amp;[" &amp; $C$6 &amp; "]",
"[Base].[SITUACION]",
"[Base].[SITUACION].&amp;[" &amp; $C45 &amp; "]"
),0)/1000</f>
        <v>-1.5564899999999999</v>
      </c>
      <c r="F45" s="8">
        <f>-IFERROR(
GETPIVOTDATA(
"[Base].[Importe]",
TDinamica_R!$A$5,
"[Calendario].[AñoMes]",
"[Calendario].[AñoMes].&amp;[" &amp; TEXT(F$6,"yyyymm") &amp; "]",
"[Base].[Metrica]",
"[Base].[Metrica].&amp;[" &amp; $A45 &amp; "]",
"[Base].[SEGMENTO_DESCRIP]",
"[Base].[SEGMENTO_DESCRIP].&amp;[" &amp; $C$6 &amp; "]",
"[Base].[SITUACION]",
"[Base].[SITUACION].&amp;[" &amp; $C45 &amp; "]"
),0)/1000</f>
        <v>-1.6755799999999998</v>
      </c>
      <c r="G45" s="8">
        <f>-IFERROR(
GETPIVOTDATA(
"[Base].[Importe]",
TDinamica_R!$A$5,
"[Calendario].[AñoMes]",
"[Calendario].[AñoMes].&amp;[" &amp; TEXT(G$6,"yyyymm") &amp; "]",
"[Base].[Metrica]",
"[Base].[Metrica].&amp;[" &amp; $A45 &amp; "]",
"[Base].[SEGMENTO_DESCRIP]",
"[Base].[SEGMENTO_DESCRIP].&amp;[" &amp; $C$6 &amp; "]",
"[Base].[SITUACION]",
"[Base].[SITUACION].&amp;[" &amp; $C45 &amp; "]"
),0)/1000</f>
        <v>-1.5845499999999999</v>
      </c>
      <c r="H45" s="8">
        <f>-IFERROR(
GETPIVOTDATA(
"[Base].[Importe]",
TDinamica_R!$A$5,
"[Calendario].[AñoMes]",
"[Calendario].[AñoMes].&amp;[" &amp; TEXT(H$6,"yyyymm") &amp; "]",
"[Base].[Metrica]",
"[Base].[Metrica].&amp;[" &amp; $A45 &amp; "]",
"[Base].[SEGMENTO_DESCRIP]",
"[Base].[SEGMENTO_DESCRIP].&amp;[" &amp; $C$6 &amp; "]",
"[Base].[SITUACION]",
"[Base].[SITUACION].&amp;[" &amp; $C45 &amp; "]"
),0)/1000</f>
        <v>-1.5528900000000001</v>
      </c>
      <c r="I45" s="8">
        <f>-IFERROR(
GETPIVOTDATA(
"[Base].[Importe]",
TDinamica_R!$A$5,
"[Calendario].[AñoMes]",
"[Calendario].[AñoMes].&amp;[" &amp; TEXT(I$6,"yyyymm") &amp; "]",
"[Base].[Metrica]",
"[Base].[Metrica].&amp;[" &amp; $A45 &amp; "]",
"[Base].[SEGMENTO_DESCRIP]",
"[Base].[SEGMENTO_DESCRIP].&amp;[" &amp; $C$6 &amp; "]",
"[Base].[SITUACION]",
"[Base].[SITUACION].&amp;[" &amp; $C45 &amp; "]"
),0)/1000</f>
        <v>-1.47299</v>
      </c>
      <c r="J45" s="8">
        <f>-IFERROR(
GETPIVOTDATA(
"[Base].[Importe]",
TDinamica_R!$A$5,
"[Calendario].[AñoMes]",
"[Calendario].[AñoMes].&amp;[" &amp; TEXT(J$6,"yyyymm") &amp; "]",
"[Base].[Metrica]",
"[Base].[Metrica].&amp;[" &amp; $A45 &amp; "]",
"[Base].[SEGMENTO_DESCRIP]",
"[Base].[SEGMENTO_DESCRIP].&amp;[" &amp; $C$6 &amp; "]",
"[Base].[SITUACION]",
"[Base].[SITUACION].&amp;[" &amp; $C45 &amp; "]"
),0)/1000</f>
        <v>-1.1797800000000001</v>
      </c>
      <c r="K45" s="8">
        <f>-IFERROR(
GETPIVOTDATA(
"[Base].[Importe]",
TDinamica_R!$A$5,
"[Calendario].[AñoMes]",
"[Calendario].[AñoMes].&amp;[" &amp; TEXT(K$6,"yyyymm") &amp; "]",
"[Base].[Metrica]",
"[Base].[Metrica].&amp;[" &amp; $A45 &amp; "]",
"[Base].[SEGMENTO_DESCRIP]",
"[Base].[SEGMENTO_DESCRIP].&amp;[" &amp; $C$6 &amp; "]",
"[Base].[SITUACION]",
"[Base].[SITUACION].&amp;[" &amp; $C45 &amp; "]"
),0)/1000</f>
        <v>-1.1357899999999999</v>
      </c>
      <c r="L45" s="8">
        <f>-IFERROR(
GETPIVOTDATA(
"[Base].[Importe]",
TDinamica_R!$A$5,
"[Calendario].[AñoMes]",
"[Calendario].[AñoMes].&amp;[" &amp; TEXT(L$6,"yyyymm") &amp; "]",
"[Base].[Metrica]",
"[Base].[Metrica].&amp;[" &amp; $A45 &amp; "]",
"[Base].[SEGMENTO_DESCRIP]",
"[Base].[SEGMENTO_DESCRIP].&amp;[" &amp; $C$6 &amp; "]",
"[Base].[SITUACION]",
"[Base].[SITUACION].&amp;[" &amp; $C45 &amp; "]"
),0)/1000</f>
        <v>-1.8115599999999998</v>
      </c>
      <c r="M45" s="8">
        <f>-IFERROR(
GETPIVOTDATA(
"[Base].[Importe]",
TDinamica_R!$A$5,
"[Calendario].[AñoMes]",
"[Calendario].[AñoMes].&amp;[" &amp; TEXT(M$6,"yyyymm") &amp; "]",
"[Base].[Metrica]",
"[Base].[Metrica].&amp;[" &amp; $A45 &amp; "]",
"[Base].[SEGMENTO_DESCRIP]",
"[Base].[SEGMENTO_DESCRIP].&amp;[" &amp; $C$6 &amp; "]",
"[Base].[SITUACION]",
"[Base].[SITUACION].&amp;[" &amp; $C45 &amp; "]"
),0)/1000</f>
        <v>-2.4460000000000002</v>
      </c>
      <c r="N45" s="8">
        <f>-IFERROR(
GETPIVOTDATA(
"[Base].[Importe]",
TDinamica_R!$A$5,
"[Calendario].[AñoMes]",
"[Calendario].[AñoMes].&amp;[" &amp; TEXT(N$6,"yyyymm") &amp; "]",
"[Base].[Metrica]",
"[Base].[Metrica].&amp;[" &amp; $A45 &amp; "]",
"[Base].[SEGMENTO_DESCRIP]",
"[Base].[SEGMENTO_DESCRIP].&amp;[" &amp; $C$6 &amp; "]",
"[Base].[SITUACION]",
"[Base].[SITUACION].&amp;[" &amp; $C45 &amp; "]"
),0)/1000</f>
        <v>-2.3278799999999999</v>
      </c>
      <c r="O45" s="8">
        <f>-IFERROR(
GETPIVOTDATA(
"[Base].[Importe]",
TDinamica_R!$A$5,
"[Calendario].[AñoMes]",
"[Calendario].[AñoMes].&amp;[" &amp; TEXT(O$6,"yyyymm") &amp; "]",
"[Base].[Metrica]",
"[Base].[Metrica].&amp;[" &amp; $A45 &amp; "]",
"[Base].[SEGMENTO_DESCRIP]",
"[Base].[SEGMENTO_DESCRIP].&amp;[" &amp; $C$6 &amp; "]",
"[Base].[SITUACION]",
"[Base].[SITUACION].&amp;[" &amp; $C45 &amp; "]"
),0)/1000</f>
        <v>-2.3693</v>
      </c>
      <c r="P45" s="8">
        <f>-IFERROR(
GETPIVOTDATA(
"[Base].[Importe]",
TDinamica_R!$A$5,
"[Calendario].[AñoMes]",
"[Calendario].[AñoMes].&amp;[" &amp; TEXT(P$6,"yyyymm") &amp; "]",
"[Base].[Metrica]",
"[Base].[Metrica].&amp;[" &amp; $A45 &amp; "]",
"[Base].[SEGMENTO_DESCRIP]",
"[Base].[SEGMENTO_DESCRIP].&amp;[" &amp; $C$6 &amp; "]",
"[Base].[SITUACION]",
"[Base].[SITUACION].&amp;[" &amp; $C45 &amp; "]"
),0)/1000</f>
        <v>-2.3783499999999997</v>
      </c>
      <c r="Q45" s="8">
        <f>-IFERROR(
GETPIVOTDATA(
"[Base].[Importe]",
TDinamica_R!$A$5,
"[Calendario].[AñoMes]",
"[Calendario].[AñoMes].&amp;[" &amp; TEXT(Q$6,"yyyymm") &amp; "]",
"[Base].[Metrica]",
"[Base].[Metrica].&amp;[" &amp; $A45 &amp; "]",
"[Base].[SEGMENTO_DESCRIP]",
"[Base].[SEGMENTO_DESCRIP].&amp;[" &amp; $C$6 &amp; "]",
"[Base].[SITUACION]",
"[Base].[SITUACION].&amp;[" &amp; $C45 &amp; "]"
),0)/1000</f>
        <v>-2.6198899999999998</v>
      </c>
      <c r="R45" s="8">
        <f>-IFERROR(
GETPIVOTDATA(
"[Base].[Importe]",
TDinamica_R!$A$5,
"[Calendario].[AñoMes]",
"[Calendario].[AñoMes].&amp;[" &amp; TEXT(R$6,"yyyymm") &amp; "]",
"[Base].[Metrica]",
"[Base].[Metrica].&amp;[" &amp; $A45 &amp; "]",
"[Base].[SEGMENTO_DESCRIP]",
"[Base].[SEGMENTO_DESCRIP].&amp;[" &amp; $C$6 &amp; "]",
"[Base].[SITUACION]",
"[Base].[SITUACION].&amp;[" &amp; $C45 &amp; "]"
),0)/1000</f>
        <v>-2.1081999999999996</v>
      </c>
      <c r="S45" s="8">
        <f>-IFERROR(
GETPIVOTDATA(
"[Base].[Importe]",
TDinamica_R!$A$5,
"[Calendario].[AñoMes]",
"[Calendario].[AñoMes].&amp;[" &amp; TEXT(S$6,"yyyymm") &amp; "]",
"[Base].[Metrica]",
"[Base].[Metrica].&amp;[" &amp; $A45 &amp; "]",
"[Base].[SEGMENTO_DESCRIP]",
"[Base].[SEGMENTO_DESCRIP].&amp;[" &amp; $C$6 &amp; "]",
"[Base].[SITUACION]",
"[Base].[SITUACION].&amp;[" &amp; $C45 &amp; "]"
),0)/1000</f>
        <v>-3.4318400000000002</v>
      </c>
      <c r="T45" s="8">
        <f>-IFERROR(
GETPIVOTDATA(
"[Base].[Importe]",
TDinamica_R!$A$5,
"[Calendario].[AñoMes]",
"[Calendario].[AñoMes].&amp;[" &amp; TEXT(T$6,"yyyymm") &amp; "]",
"[Base].[Metrica]",
"[Base].[Metrica].&amp;[" &amp; $A45 &amp; "]",
"[Base].[SEGMENTO_DESCRIP]",
"[Base].[SEGMENTO_DESCRIP].&amp;[" &amp; $C$6 &amp; "]",
"[Base].[SITUACION]",
"[Base].[SITUACION].&amp;[" &amp; $C45 &amp; "]"
),0)/1000</f>
        <v>-5.5929500000000001</v>
      </c>
      <c r="U45" s="8">
        <f>-IFERROR(
GETPIVOTDATA(
"[Base].[Importe]",
TDinamica_R!$A$5,
"[Calendario].[AñoMes]",
"[Calendario].[AñoMes].&amp;[" &amp; TEXT(U$6,"yyyymm") &amp; "]",
"[Base].[Metrica]",
"[Base].[Metrica].&amp;[" &amp; $A45 &amp; "]",
"[Base].[SEGMENTO_DESCRIP]",
"[Base].[SEGMENTO_DESCRIP].&amp;[" &amp; $C$6 &amp; "]",
"[Base].[SITUACION]",
"[Base].[SITUACION].&amp;[" &amp; $C45 &amp; "]"
),0)/1000</f>
        <v>-8.3883299999999998</v>
      </c>
      <c r="V45" s="8">
        <f>-IFERROR(
GETPIVOTDATA(
"[Base].[Importe]",
TDinamica_R!$A$5,
"[Calendario].[AñoMes]",
"[Calendario].[AñoMes].&amp;[" &amp; TEXT(V$6,"yyyymm") &amp; "]",
"[Base].[Metrica]",
"[Base].[Metrica].&amp;[" &amp; $A45 &amp; "]",
"[Base].[SEGMENTO_DESCRIP]",
"[Base].[SEGMENTO_DESCRIP].&amp;[" &amp; $C$6 &amp; "]",
"[Base].[SITUACION]",
"[Base].[SITUACION].&amp;[" &amp; $C45 &amp; "]"
),0)/1000</f>
        <v>-10.775790000000001</v>
      </c>
      <c r="W45" s="8">
        <f>-IFERROR(
GETPIVOTDATA(
"[Base].[Importe]",
TDinamica_R!$A$5,
"[Calendario].[AñoMes]",
"[Calendario].[AñoMes].&amp;[" &amp; TEXT(W$6,"yyyymm") &amp; "]",
"[Base].[Metrica]",
"[Base].[Metrica].&amp;[" &amp; $A45 &amp; "]",
"[Base].[SEGMENTO_DESCRIP]",
"[Base].[SEGMENTO_DESCRIP].&amp;[" &amp; $C$6 &amp; "]",
"[Base].[SITUACION]",
"[Base].[SITUACION].&amp;[" &amp; $C45 &amp; "]"
),0)/1000</f>
        <v>-11.85177</v>
      </c>
      <c r="X45" s="8">
        <f>-IFERROR(
GETPIVOTDATA(
"[Base].[Importe]",
TDinamica_R!$A$5,
"[Calendario].[AñoMes]",
"[Calendario].[AñoMes].&amp;[" &amp; TEXT(X$6,"yyyymm") &amp; "]",
"[Base].[Metrica]",
"[Base].[Metrica].&amp;[" &amp; $A45 &amp; "]",
"[Base].[SEGMENTO_DESCRIP]",
"[Base].[SEGMENTO_DESCRIP].&amp;[" &amp; $C$6 &amp; "]",
"[Base].[SITUACION]",
"[Base].[SITUACION].&amp;[" &amp; $C45 &amp; "]"
),0)/1000</f>
        <v>-14.06448</v>
      </c>
      <c r="Y45" s="8">
        <f>-IFERROR(
GETPIVOTDATA(
"[Base].[Importe]",
TDinamica_R!$A$5,
"[Calendario].[AñoMes]",
"[Calendario].[AñoMes].&amp;[" &amp; TEXT(Y$6,"yyyymm") &amp; "]",
"[Base].[Metrica]",
"[Base].[Metrica].&amp;[" &amp; $A45 &amp; "]",
"[Base].[SEGMENTO_DESCRIP]",
"[Base].[SEGMENTO_DESCRIP].&amp;[" &amp; $C$6 &amp; "]",
"[Base].[SITUACION]",
"[Base].[SITUACION].&amp;[" &amp; $C45 &amp; "]"
),0)/1000</f>
        <v>-14.109030000000001</v>
      </c>
      <c r="Z45" s="8">
        <f>-IFERROR(
GETPIVOTDATA(
"[Base].[Importe]",
TDinamica_R!$A$5,
"[Calendario].[AñoMes]",
"[Calendario].[AñoMes].&amp;[" &amp; TEXT(Z$6,"yyyymm") &amp; "]",
"[Base].[Metrica]",
"[Base].[Metrica].&amp;[" &amp; $A45 &amp; "]",
"[Base].[SEGMENTO_DESCRIP]",
"[Base].[SEGMENTO_DESCRIP].&amp;[" &amp; $C$6 &amp; "]",
"[Base].[SITUACION]",
"[Base].[SITUACION].&amp;[" &amp; $C45 &amp; "]"
),0)/1000</f>
        <v>-13.47597</v>
      </c>
      <c r="AA45" s="8">
        <f>-IFERROR(
GETPIVOTDATA(
"[Base].[Importe]",
TDinamica_R!$A$5,
"[Calendario].[AñoMes]",
"[Calendario].[AñoMes].&amp;[" &amp; TEXT(AA$6,"yyyymm") &amp; "]",
"[Base].[Metrica]",
"[Base].[Metrica].&amp;[" &amp; $A45 &amp; "]",
"[Base].[SEGMENTO_DESCRIP]",
"[Base].[SEGMENTO_DESCRIP].&amp;[" &amp; $C$6 &amp; "]",
"[Base].[SITUACION]",
"[Base].[SITUACION].&amp;[" &amp; $C45 &amp; "]"
),0)/1000</f>
        <v>-12.38744</v>
      </c>
      <c r="AB45" s="8">
        <f>-IFERROR(
GETPIVOTDATA(
"[Base].[Importe]",
TDinamica_R!$A$5,
"[Calendario].[AñoMes]",
"[Calendario].[AñoMes].&amp;[" &amp; TEXT(AB$6,"yyyymm") &amp; "]",
"[Base].[Metrica]",
"[Base].[Metrica].&amp;[" &amp; $A45 &amp; "]",
"[Base].[SEGMENTO_DESCRIP]",
"[Base].[SEGMENTO_DESCRIP].&amp;[" &amp; $C$6 &amp; "]",
"[Base].[SITUACION]",
"[Base].[SITUACION].&amp;[" &amp; $C45 &amp; "]"
),0)/1000</f>
        <v>-12.360440000000001</v>
      </c>
      <c r="AC45" s="8">
        <f>-IFERROR(
GETPIVOTDATA(
"[Base].[Importe]",
TDinamica_R!$A$5,
"[Calendario].[AñoMes]",
"[Calendario].[AñoMes].&amp;[" &amp; TEXT(AC$6,"yyyymm") &amp; "]",
"[Base].[Metrica]",
"[Base].[Metrica].&amp;[" &amp; $A45 &amp; "]",
"[Base].[SEGMENTO_DESCRIP]",
"[Base].[SEGMENTO_DESCRIP].&amp;[" &amp; $C$6 &amp; "]",
"[Base].[SITUACION]",
"[Base].[SITUACION].&amp;[" &amp; $C45 &amp; "]"
),0)/1000</f>
        <v>-11.723270000000001</v>
      </c>
      <c r="AD45" s="8">
        <f>-IFERROR(
GETPIVOTDATA(
"[Base].[Importe]",
TDinamica_R!$A$5,
"[Calendario].[AñoMes]",
"[Calendario].[AñoMes].&amp;[" &amp; TEXT(AD$6,"yyyymm") &amp; "]",
"[Base].[Metrica]",
"[Base].[Metrica].&amp;[" &amp; $A45 &amp; "]",
"[Base].[SEGMENTO_DESCRIP]",
"[Base].[SEGMENTO_DESCRIP].&amp;[" &amp; $C$6 &amp; "]",
"[Base].[SITUACION]",
"[Base].[SITUACION].&amp;[" &amp; $C45 &amp; "]"
),0)/1000</f>
        <v>-12.81629</v>
      </c>
      <c r="AE45" s="8">
        <f>-IFERROR(
GETPIVOTDATA(
"[Base].[Importe]",
TDinamica_R!$A$5,
"[Calendario].[AñoMes]",
"[Calendario].[AñoMes].&amp;[" &amp; TEXT(AE$6,"yyyymm") &amp; "]",
"[Base].[Metrica]",
"[Base].[Metrica].&amp;[" &amp; $A45 &amp; "]",
"[Base].[SEGMENTO_DESCRIP]",
"[Base].[SEGMENTO_DESCRIP].&amp;[" &amp; $C$6 &amp; "]",
"[Base].[SITUACION]",
"[Base].[SITUACION].&amp;[" &amp; $C45 &amp; "]"
),0)/1000</f>
        <v>-12.099909999999999</v>
      </c>
      <c r="AF45" s="8">
        <f>-IFERROR(
GETPIVOTDATA(
"[Base].[Importe]",
TDinamica_R!$A$5,
"[Calendario].[AñoMes]",
"[Calendario].[AñoMes].&amp;[" &amp; TEXT(AF$6,"yyyymm") &amp; "]",
"[Base].[Metrica]",
"[Base].[Metrica].&amp;[" &amp; $A45 &amp; "]",
"[Base].[SEGMENTO_DESCRIP]",
"[Base].[SEGMENTO_DESCRIP].&amp;[" &amp; $C$6 &amp; "]",
"[Base].[SITUACION]",
"[Base].[SITUACION].&amp;[" &amp; $C45 &amp; "]"
),0)/1000</f>
        <v>-12.2799</v>
      </c>
      <c r="AG45" s="8">
        <f>-IFERROR(
GETPIVOTDATA(
"[Base].[Importe]",
TDinamica_R!$A$5,
"[Calendario].[AñoMes]",
"[Calendario].[AñoMes].&amp;[" &amp; TEXT(AG$6,"yyyymm") &amp; "]",
"[Base].[Metrica]",
"[Base].[Metrica].&amp;[" &amp; $A45 &amp; "]",
"[Base].[SEGMENTO_DESCRIP]",
"[Base].[SEGMENTO_DESCRIP].&amp;[" &amp; $C$6 &amp; "]",
"[Base].[SITUACION]",
"[Base].[SITUACION].&amp;[" &amp; $C45 &amp; "]"
),0)/1000</f>
        <v>-12.19725</v>
      </c>
      <c r="AH45" s="8">
        <f>-IFERROR(
GETPIVOTDATA(
"[Base].[Importe]",
TDinamica_R!$A$5,
"[Calendario].[AñoMes]",
"[Calendario].[AñoMes].&amp;[" &amp; TEXT(AH$6,"yyyymm") &amp; "]",
"[Base].[Metrica]",
"[Base].[Metrica].&amp;[" &amp; $A45 &amp; "]",
"[Base].[SEGMENTO_DESCRIP]",
"[Base].[SEGMENTO_DESCRIP].&amp;[" &amp; $C$6 &amp; "]",
"[Base].[SITUACION]",
"[Base].[SITUACION].&amp;[" &amp; $C45 &amp; "]"
),0)/1000</f>
        <v>-13.444090000000001</v>
      </c>
      <c r="AI45" s="8">
        <f>-IFERROR(
GETPIVOTDATA(
"[Base].[Importe]",
TDinamica_R!$A$5,
"[Calendario].[AñoMes]",
"[Calendario].[AñoMes].&amp;[" &amp; TEXT(AI$6,"yyyymm") &amp; "]",
"[Base].[Metrica]",
"[Base].[Metrica].&amp;[" &amp; $A45 &amp; "]",
"[Base].[SEGMENTO_DESCRIP]",
"[Base].[SEGMENTO_DESCRIP].&amp;[" &amp; $C$6 &amp; "]",
"[Base].[SITUACION]",
"[Base].[SITUACION].&amp;[" &amp; $C45 &amp; "]"
),0)/1000</f>
        <v>-14.795399999999999</v>
      </c>
      <c r="AJ45" s="8">
        <f>-IFERROR(
GETPIVOTDATA(
"[Base].[Importe]",
TDinamica_R!$A$5,
"[Calendario].[AñoMes]",
"[Calendario].[AñoMes].&amp;[" &amp; TEXT(AJ$6,"yyyymm") &amp; "]",
"[Base].[Metrica]",
"[Base].[Metrica].&amp;[" &amp; $A45 &amp; "]",
"[Base].[SEGMENTO_DESCRIP]",
"[Base].[SEGMENTO_DESCRIP].&amp;[" &amp; $C$6 &amp; "]",
"[Base].[SITUACION]",
"[Base].[SITUACION].&amp;[" &amp; $C45 &amp; "]"
),0)/1000</f>
        <v>-15.367790000000001</v>
      </c>
      <c r="AK45" s="8">
        <f>-IFERROR(
GETPIVOTDATA(
"[Base].[Importe]",
TDinamica_R!$A$5,
"[Calendario].[AñoMes]",
"[Calendario].[AñoMes].&amp;[" &amp; TEXT(AK$6,"yyyymm") &amp; "]",
"[Base].[Metrica]",
"[Base].[Metrica].&amp;[" &amp; $A45 &amp; "]",
"[Base].[SEGMENTO_DESCRIP]",
"[Base].[SEGMENTO_DESCRIP].&amp;[" &amp; $C$6 &amp; "]",
"[Base].[SITUACION]",
"[Base].[SITUACION].&amp;[" &amp; $C45 &amp; "]"
),0)/1000</f>
        <v>-16.511580000000002</v>
      </c>
      <c r="AL45" s="8">
        <f>-IFERROR(
GETPIVOTDATA(
"[Base].[Importe]",
TDinamica_R!$A$5,
"[Calendario].[AñoMes]",
"[Calendario].[AñoMes].&amp;[" &amp; TEXT(AL$6,"yyyymm") &amp; "]",
"[Base].[Metrica]",
"[Base].[Metrica].&amp;[" &amp; $A45 &amp; "]",
"[Base].[SEGMENTO_DESCRIP]",
"[Base].[SEGMENTO_DESCRIP].&amp;[" &amp; $C$6 &amp; "]",
"[Base].[SITUACION]",
"[Base].[SITUACION].&amp;[" &amp; $C45 &amp; "]"
),0)/1000</f>
        <v>-16.25845</v>
      </c>
      <c r="AM45" s="8">
        <f>-IFERROR(
GETPIVOTDATA(
"[Base].[Importe]",
TDinamica_R!$A$5,
"[Calendario].[AñoMes]",
"[Calendario].[AñoMes].&amp;[" &amp; TEXT(AM$6,"yyyymm") &amp; "]",
"[Base].[Metrica]",
"[Base].[Metrica].&amp;[" &amp; $A45 &amp; "]",
"[Base].[SEGMENTO_DESCRIP]",
"[Base].[SEGMENTO_DESCRIP].&amp;[" &amp; $C$6 &amp; "]",
"[Base].[SITUACION]",
"[Base].[SITUACION].&amp;[" &amp; $C45 &amp; "]"
),0)/1000</f>
        <v>-15.747549999999999</v>
      </c>
      <c r="AN45" s="8">
        <f>-IFERROR(
GETPIVOTDATA(
"[Base].[Importe]",
TDinamica_R!$A$5,
"[Calendario].[AñoMes]",
"[Calendario].[AñoMes].&amp;[" &amp; TEXT(AN$6,"yyyymm") &amp; "]",
"[Base].[Metrica]",
"[Base].[Metrica].&amp;[" &amp; $A45 &amp; "]",
"[Base].[SEGMENTO_DESCRIP]",
"[Base].[SEGMENTO_DESCRIP].&amp;[" &amp; $C$6 &amp; "]",
"[Base].[SITUACION]",
"[Base].[SITUACION].&amp;[" &amp; $C45 &amp; "]"
),0)/1000</f>
        <v>-15.974819999999999</v>
      </c>
      <c r="AO45" s="8">
        <f>-IFERROR(
GETPIVOTDATA(
"[Base].[Importe]",
TDinamica_R!$A$5,
"[Calendario].[AñoMes]",
"[Calendario].[AñoMes].&amp;[" &amp; TEXT(AO$6,"yyyymm") &amp; "]",
"[Base].[Metrica]",
"[Base].[Metrica].&amp;[" &amp; $A45 &amp; "]",
"[Base].[SEGMENTO_DESCRIP]",
"[Base].[SEGMENTO_DESCRIP].&amp;[" &amp; $C$6 &amp; "]",
"[Base].[SITUACION]",
"[Base].[SITUACION].&amp;[" &amp; $C45 &amp; "]"
),0)/1000</f>
        <v>-14.3018</v>
      </c>
      <c r="AP45" s="8">
        <f>-IFERROR(
GETPIVOTDATA(
"[Base].[Importe]",
TDinamica_R!$A$5,
"[Calendario].[AñoMes]",
"[Calendario].[AñoMes].&amp;[" &amp; TEXT(AP$6,"yyyymm") &amp; "]",
"[Base].[Metrica]",
"[Base].[Metrica].&amp;[" &amp; $A45 &amp; "]",
"[Base].[SEGMENTO_DESCRIP]",
"[Base].[SEGMENTO_DESCRIP].&amp;[" &amp; $C$6 &amp; "]",
"[Base].[SITUACION]",
"[Base].[SITUACION].&amp;[" &amp; $C45 &amp; "]"
),0)/1000</f>
        <v>-15.165059999999999</v>
      </c>
      <c r="AQ45" s="8">
        <f>-IFERROR(
GETPIVOTDATA(
"[Base].[Importe]",
TDinamica_R!$A$5,
"[Calendario].[AñoMes]",
"[Calendario].[AñoMes].&amp;[" &amp; TEXT(AQ$6,"yyyymm") &amp; "]",
"[Base].[Metrica]",
"[Base].[Metrica].&amp;[" &amp; $A45 &amp; "]",
"[Base].[SEGMENTO_DESCRIP]",
"[Base].[SEGMENTO_DESCRIP].&amp;[" &amp; $C$6 &amp; "]",
"[Base].[SITUACION]",
"[Base].[SITUACION].&amp;[" &amp; $C45 &amp; "]"
),0)/1000</f>
        <v>-15.179080000000001</v>
      </c>
      <c r="AR45" s="8">
        <f>-IFERROR(
GETPIVOTDATA(
"[Base].[Importe]",
TDinamica_R!$A$5,
"[Calendario].[AñoMes]",
"[Calendario].[AñoMes].&amp;[" &amp; TEXT(AR$6,"yyyymm") &amp; "]",
"[Base].[Metrica]",
"[Base].[Metrica].&amp;[" &amp; $A45 &amp; "]",
"[Base].[SEGMENTO_DESCRIP]",
"[Base].[SEGMENTO_DESCRIP].&amp;[" &amp; $C$6 &amp; "]",
"[Base].[SITUACION]",
"[Base].[SITUACION].&amp;[" &amp; $C45 &amp; "]"
),0)/1000</f>
        <v>-16.715479999999999</v>
      </c>
      <c r="AS45" s="8">
        <f>-IFERROR(
GETPIVOTDATA(
"[Base].[Importe]",
TDinamica_R!$A$5,
"[Calendario].[AñoMes]",
"[Calendario].[AñoMes].&amp;[" &amp; TEXT(AS$6,"yyyymm") &amp; "]",
"[Base].[Metrica]",
"[Base].[Metrica].&amp;[" &amp; $A45 &amp; "]",
"[Base].[SEGMENTO_DESCRIP]",
"[Base].[SEGMENTO_DESCRIP].&amp;[" &amp; $C$6 &amp; "]",
"[Base].[SITUACION]",
"[Base].[SITUACION].&amp;[" &amp; $C45 &amp; "]"
),0)/1000</f>
        <v>-16.369440000000001</v>
      </c>
      <c r="AT45" s="8">
        <f>-IFERROR(
GETPIVOTDATA(
"[Base].[Importe]",
TDinamica_R!$A$5,
"[Calendario].[AñoMes]",
"[Calendario].[AñoMes].&amp;[" &amp; TEXT(AT$6,"yyyymm")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U45" s="8">
        <f>-IFERROR(
GETPIVOTDATA(
"[Base].[Importe]",
TDinamica_R!$A$5,
"[Calendario].[AñoMes]",
"[Calendario].[AñoMes].&amp;[" &amp; TEXT(AU$6,"yyyymm")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V45" s="8">
        <f>-IFERROR(
GETPIVOTDATA(
"[Base].[Importe]",
TDinamica_R!$A$5,
"[Calendario].[AñoMes]",
"[Calendario].[AñoMes].&amp;[" &amp; TEXT(AV$6,"yyyymm")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W45" s="8">
        <f>-IFERROR(
GETPIVOTDATA(
"[Base].[Importe]",
TDinamica_R!$A$5,
"[Calendario].[AñoMes]",
"[Calendario].[AñoMes].&amp;[" &amp; TEXT(AW$6,"yyyymm")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X45" s="8">
        <f>-IFERROR(
GETPIVOTDATA(
"[Base].[Importe]",
TDinamica_R!$A$5,
"[Calendario].[AñoMes]",
"[Calendario].[AñoMes].&amp;[" &amp; TEXT(AX$6,"yyyymm")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Y45" s="8">
        <f>-IFERROR(
GETPIVOTDATA(
"[Base].[Importe]",
TDinamica_R!$A$5,
"[Calendario].[AñoMes]",
"[Calendario].[AñoMes].&amp;[" &amp; TEXT(AY$6,"yyyymm")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Z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TEXT(AZ$6,"yyyymm") &amp; "]"
),
0
)</f>
        <v>-2.5250231911864249</v>
      </c>
      <c r="BA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TEXT(BA$6,"yyyymm") &amp; "]"
),
0
)</f>
        <v>-2.306993597630234</v>
      </c>
      <c r="BB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TEXT(BB$6,"yyyymm") &amp; "]"
),
0
)</f>
        <v>-2.5905724189611101</v>
      </c>
      <c r="BC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TEXT(BC$6,"yyyymm") &amp; "]"
),
0
)</f>
        <v>-2.5597736740782602</v>
      </c>
      <c r="BD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TEXT(BD$6,"yyyymm") &amp; "]"
),
0
)</f>
        <v>-2.7120932193152871</v>
      </c>
      <c r="BE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TEXT(BE$6,"yyyymm") &amp; "]"
),
0
)</f>
        <v>-2.6790994006940525</v>
      </c>
      <c r="BF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TEXT(BF$6,"yyyymm") &amp; "]"
),
0
)</f>
        <v>-2.8001697372579786</v>
      </c>
      <c r="BG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TEXT(BG$6,"yyyymm") &amp; "]"
),
0
)</f>
        <v>-2.8273421057088712</v>
      </c>
      <c r="BH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TEXT(BH$6,"yyyymm") &amp; "]"
),
0
)</f>
        <v>-2.7763583726776377</v>
      </c>
      <c r="BI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TEXT(BI$6,"yyyymm") &amp; "]"
),
0
)</f>
        <v>-2.9180567709289265</v>
      </c>
      <c r="BJ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TEXT(BJ$6,"yyyymm") &amp; "]"
),
0
)</f>
        <v>-2.8587130377481822</v>
      </c>
      <c r="BK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TEXT(BK$6,"yyyymm") &amp; "]"
),
0
)</f>
        <v>-2.9710726721772618</v>
      </c>
      <c r="BO45" s="24">
        <f t="shared" si="97"/>
        <v>-45.441679999999998</v>
      </c>
      <c r="BP45" s="24">
        <f t="shared" si="97"/>
        <v>-7.4225892077777695</v>
      </c>
      <c r="BQ45" s="24">
        <f t="shared" si="97"/>
        <v>-30.276620000000001</v>
      </c>
      <c r="BR45" s="24">
        <f t="shared" si="97"/>
        <v>-36.900000000000006</v>
      </c>
      <c r="BS45" s="24">
        <f t="shared" si="97"/>
        <v>-7.1064399999999992</v>
      </c>
      <c r="BT45" s="24">
        <f t="shared" si="97"/>
        <v>-4.8977599999999999</v>
      </c>
    </row>
    <row r="46" spans="1:72" hidden="1" outlineLevel="1" x14ac:dyDescent="0.25">
      <c r="A46" s="11" t="s">
        <v>50</v>
      </c>
      <c r="C46" s="2" t="s">
        <v>45</v>
      </c>
      <c r="D46" s="8">
        <f>-IFERROR(
GETPIVOTDATA(
"[Base].[Importe]",
TDinamica_R!$A$5,
"[Calendario].[AñoMes]",
"[Calendario].[AñoMes].&amp;[" &amp; TEXT(D$6,"yyyymm") &amp; "]",
"[Base].[Metrica]",
"[Base].[Metrica].&amp;[" &amp; $A46 &amp; "]",
"[Base].[SEGMENTO_DESCRIP]",
"[Base].[SEGMENTO_DESCRIP].&amp;[" &amp; $C$6 &amp; "]",
"[Base].[SITUACION]",
"[Base].[SITUACION].&amp;[" &amp; $C46 &amp; "]"
),0)/1000</f>
        <v>-3.13896</v>
      </c>
      <c r="E46" s="8">
        <f>-IFERROR(
GETPIVOTDATA(
"[Base].[Importe]",
TDinamica_R!$A$5,
"[Calendario].[AñoMes]",
"[Calendario].[AñoMes].&amp;[" &amp; TEXT(E$6,"yyyymm") &amp; "]",
"[Base].[Metrica]",
"[Base].[Metrica].&amp;[" &amp; $A46 &amp; "]",
"[Base].[SEGMENTO_DESCRIP]",
"[Base].[SEGMENTO_DESCRIP].&amp;[" &amp; $C$6 &amp; "]",
"[Base].[SITUACION]",
"[Base].[SITUACION].&amp;[" &amp; $C46 &amp; "]"
),0)/1000</f>
        <v>-2.1142300000000001</v>
      </c>
      <c r="F46" s="8">
        <f>-IFERROR(
GETPIVOTDATA(
"[Base].[Importe]",
TDinamica_R!$A$5,
"[Calendario].[AñoMes]",
"[Calendario].[AñoMes].&amp;[" &amp; TEXT(F$6,"yyyymm") &amp; "]",
"[Base].[Metrica]",
"[Base].[Metrica].&amp;[" &amp; $A46 &amp; "]",
"[Base].[SEGMENTO_DESCRIP]",
"[Base].[SEGMENTO_DESCRIP].&amp;[" &amp; $C$6 &amp; "]",
"[Base].[SITUACION]",
"[Base].[SITUACION].&amp;[" &amp; $C46 &amp; "]"
),0)/1000</f>
        <v>-2.3346900000000002</v>
      </c>
      <c r="G46" s="8">
        <f>-IFERROR(
GETPIVOTDATA(
"[Base].[Importe]",
TDinamica_R!$A$5,
"[Calendario].[AñoMes]",
"[Calendario].[AñoMes].&amp;[" &amp; TEXT(G$6,"yyyymm") &amp; "]",
"[Base].[Metrica]",
"[Base].[Metrica].&amp;[" &amp; $A46 &amp; "]",
"[Base].[SEGMENTO_DESCRIP]",
"[Base].[SEGMENTO_DESCRIP].&amp;[" &amp; $C$6 &amp; "]",
"[Base].[SITUACION]",
"[Base].[SITUACION].&amp;[" &amp; $C46 &amp; "]"
),0)/1000</f>
        <v>-2.5666599999999997</v>
      </c>
      <c r="H46" s="8">
        <f>-IFERROR(
GETPIVOTDATA(
"[Base].[Importe]",
TDinamica_R!$A$5,
"[Calendario].[AñoMes]",
"[Calendario].[AñoMes].&amp;[" &amp; TEXT(H$6,"yyyymm") &amp; "]",
"[Base].[Metrica]",
"[Base].[Metrica].&amp;[" &amp; $A46 &amp; "]",
"[Base].[SEGMENTO_DESCRIP]",
"[Base].[SEGMENTO_DESCRIP].&amp;[" &amp; $C$6 &amp; "]",
"[Base].[SITUACION]",
"[Base].[SITUACION].&amp;[" &amp; $C46 &amp; "]"
),0)/1000</f>
        <v>-2.4126899999999996</v>
      </c>
      <c r="I46" s="8">
        <f>-IFERROR(
GETPIVOTDATA(
"[Base].[Importe]",
TDinamica_R!$A$5,
"[Calendario].[AñoMes]",
"[Calendario].[AñoMes].&amp;[" &amp; TEXT(I$6,"yyyymm") &amp; "]",
"[Base].[Metrica]",
"[Base].[Metrica].&amp;[" &amp; $A46 &amp; "]",
"[Base].[SEGMENTO_DESCRIP]",
"[Base].[SEGMENTO_DESCRIP].&amp;[" &amp; $C$6 &amp; "]",
"[Base].[SITUACION]",
"[Base].[SITUACION].&amp;[" &amp; $C46 &amp; "]"
),0)/1000</f>
        <v>-4.95716</v>
      </c>
      <c r="J46" s="8">
        <f>-IFERROR(
GETPIVOTDATA(
"[Base].[Importe]",
TDinamica_R!$A$5,
"[Calendario].[AñoMes]",
"[Calendario].[AñoMes].&amp;[" &amp; TEXT(J$6,"yyyymm") &amp; "]",
"[Base].[Metrica]",
"[Base].[Metrica].&amp;[" &amp; $A46 &amp; "]",
"[Base].[SEGMENTO_DESCRIP]",
"[Base].[SEGMENTO_DESCRIP].&amp;[" &amp; $C$6 &amp; "]",
"[Base].[SITUACION]",
"[Base].[SITUACION].&amp;[" &amp; $C46 &amp; "]"
),0)/1000</f>
        <v>-4.1200404000000006</v>
      </c>
      <c r="K46" s="8">
        <f>-IFERROR(
GETPIVOTDATA(
"[Base].[Importe]",
TDinamica_R!$A$5,
"[Calendario].[AñoMes]",
"[Calendario].[AñoMes].&amp;[" &amp; TEXT(K$6,"yyyymm") &amp; "]",
"[Base].[Metrica]",
"[Base].[Metrica].&amp;[" &amp; $A46 &amp; "]",
"[Base].[SEGMENTO_DESCRIP]",
"[Base].[SEGMENTO_DESCRIP].&amp;[" &amp; $C$6 &amp; "]",
"[Base].[SITUACION]",
"[Base].[SITUACION].&amp;[" &amp; $C46 &amp; "]"
),0)/1000</f>
        <v>-8.215238320000001</v>
      </c>
      <c r="L46" s="8">
        <f>-IFERROR(
GETPIVOTDATA(
"[Base].[Importe]",
TDinamica_R!$A$5,
"[Calendario].[AñoMes]",
"[Calendario].[AñoMes].&amp;[" &amp; TEXT(L$6,"yyyymm") &amp; "]",
"[Base].[Metrica]",
"[Base].[Metrica].&amp;[" &amp; $A46 &amp; "]",
"[Base].[SEGMENTO_DESCRIP]",
"[Base].[SEGMENTO_DESCRIP].&amp;[" &amp; $C$6 &amp; "]",
"[Base].[SITUACION]",
"[Base].[SITUACION].&amp;[" &amp; $C46 &amp; "]"
),0)/1000</f>
        <v>-6.4626307599999997</v>
      </c>
      <c r="M46" s="8">
        <f>-IFERROR(
GETPIVOTDATA(
"[Base].[Importe]",
TDinamica_R!$A$5,
"[Calendario].[AñoMes]",
"[Calendario].[AñoMes].&amp;[" &amp; TEXT(M$6,"yyyymm") &amp; "]",
"[Base].[Metrica]",
"[Base].[Metrica].&amp;[" &amp; $A46 &amp; "]",
"[Base].[SEGMENTO_DESCRIP]",
"[Base].[SEGMENTO_DESCRIP].&amp;[" &amp; $C$6 &amp; "]",
"[Base].[SITUACION]",
"[Base].[SITUACION].&amp;[" &amp; $C46 &amp; "]"
),0)/1000</f>
        <v>-8.9095647499999995</v>
      </c>
      <c r="N46" s="8">
        <f>-IFERROR(
GETPIVOTDATA(
"[Base].[Importe]",
TDinamica_R!$A$5,
"[Calendario].[AñoMes]",
"[Calendario].[AñoMes].&amp;[" &amp; TEXT(N$6,"yyyymm") &amp; "]",
"[Base].[Metrica]",
"[Base].[Metrica].&amp;[" &amp; $A46 &amp; "]",
"[Base].[SEGMENTO_DESCRIP]",
"[Base].[SEGMENTO_DESCRIP].&amp;[" &amp; $C$6 &amp; "]",
"[Base].[SITUACION]",
"[Base].[SITUACION].&amp;[" &amp; $C46 &amp; "]"
),0)/1000</f>
        <v>-10.1640762</v>
      </c>
      <c r="O46" s="8">
        <f>-IFERROR(
GETPIVOTDATA(
"[Base].[Importe]",
TDinamica_R!$A$5,
"[Calendario].[AñoMes]",
"[Calendario].[AñoMes].&amp;[" &amp; TEXT(O$6,"yyyymm") &amp; "]",
"[Base].[Metrica]",
"[Base].[Metrica].&amp;[" &amp; $A46 &amp; "]",
"[Base].[SEGMENTO_DESCRIP]",
"[Base].[SEGMENTO_DESCRIP].&amp;[" &amp; $C$6 &amp; "]",
"[Base].[SITUACION]",
"[Base].[SITUACION].&amp;[" &amp; $C46 &amp; "]"
),0)/1000</f>
        <v>-13.487681290000001</v>
      </c>
      <c r="P46" s="8">
        <f>-IFERROR(
GETPIVOTDATA(
"[Base].[Importe]",
TDinamica_R!$A$5,
"[Calendario].[AñoMes]",
"[Calendario].[AñoMes].&amp;[" &amp; TEXT(P$6,"yyyymm") &amp; "]",
"[Base].[Metrica]",
"[Base].[Metrica].&amp;[" &amp; $A46 &amp; "]",
"[Base].[SEGMENTO_DESCRIP]",
"[Base].[SEGMENTO_DESCRIP].&amp;[" &amp; $C$6 &amp; "]",
"[Base].[SITUACION]",
"[Base].[SITUACION].&amp;[" &amp; $C46 &amp; "]"
),0)/1000</f>
        <v>-21.574358159999999</v>
      </c>
      <c r="Q46" s="8">
        <f>-IFERROR(
GETPIVOTDATA(
"[Base].[Importe]",
TDinamica_R!$A$5,
"[Calendario].[AñoMes]",
"[Calendario].[AñoMes].&amp;[" &amp; TEXT(Q$6,"yyyymm") &amp; "]",
"[Base].[Metrica]",
"[Base].[Metrica].&amp;[" &amp; $A46 &amp; "]",
"[Base].[SEGMENTO_DESCRIP]",
"[Base].[SEGMENTO_DESCRIP].&amp;[" &amp; $C$6 &amp; "]",
"[Base].[SITUACION]",
"[Base].[SITUACION].&amp;[" &amp; $C46 &amp; "]"
),0)/1000</f>
        <v>-27.10670412</v>
      </c>
      <c r="R46" s="8">
        <f>-IFERROR(
GETPIVOTDATA(
"[Base].[Importe]",
TDinamica_R!$A$5,
"[Calendario].[AñoMes]",
"[Calendario].[AñoMes].&amp;[" &amp; TEXT(R$6,"yyyymm") &amp; "]",
"[Base].[Metrica]",
"[Base].[Metrica].&amp;[" &amp; $A46 &amp; "]",
"[Base].[SEGMENTO_DESCRIP]",
"[Base].[SEGMENTO_DESCRIP].&amp;[" &amp; $C$6 &amp; "]",
"[Base].[SITUACION]",
"[Base].[SITUACION].&amp;[" &amp; $C46 &amp; "]"
),0)/1000</f>
        <v>-48.886380539999998</v>
      </c>
      <c r="S46" s="8">
        <f>-IFERROR(
GETPIVOTDATA(
"[Base].[Importe]",
TDinamica_R!$A$5,
"[Calendario].[AñoMes]",
"[Calendario].[AñoMes].&amp;[" &amp; TEXT(S$6,"yyyymm") &amp; "]",
"[Base].[Metrica]",
"[Base].[Metrica].&amp;[" &amp; $A46 &amp; "]",
"[Base].[SEGMENTO_DESCRIP]",
"[Base].[SEGMENTO_DESCRIP].&amp;[" &amp; $C$6 &amp; "]",
"[Base].[SITUACION]",
"[Base].[SITUACION].&amp;[" &amp; $C46 &amp; "]"
),0)/1000</f>
        <v>-88.933069680000017</v>
      </c>
      <c r="T46" s="8">
        <f>-IFERROR(
GETPIVOTDATA(
"[Base].[Importe]",
TDinamica_R!$A$5,
"[Calendario].[AñoMes]",
"[Calendario].[AñoMes].&amp;[" &amp; TEXT(T$6,"yyyymm") &amp; "]",
"[Base].[Metrica]",
"[Base].[Metrica].&amp;[" &amp; $A46 &amp; "]",
"[Base].[SEGMENTO_DESCRIP]",
"[Base].[SEGMENTO_DESCRIP].&amp;[" &amp; $C$6 &amp; "]",
"[Base].[SITUACION]",
"[Base].[SITUACION].&amp;[" &amp; $C46 &amp; "]"
),0)/1000</f>
        <v>-140.83838679999999</v>
      </c>
      <c r="U46" s="8">
        <f>-IFERROR(
GETPIVOTDATA(
"[Base].[Importe]",
TDinamica_R!$A$5,
"[Calendario].[AñoMes]",
"[Calendario].[AñoMes].&amp;[" &amp; TEXT(U$6,"yyyymm") &amp; "]",
"[Base].[Metrica]",
"[Base].[Metrica].&amp;[" &amp; $A46 &amp; "]",
"[Base].[SEGMENTO_DESCRIP]",
"[Base].[SEGMENTO_DESCRIP].&amp;[" &amp; $C$6 &amp; "]",
"[Base].[SITUACION]",
"[Base].[SITUACION].&amp;[" &amp; $C46 &amp; "]"
),0)/1000</f>
        <v>-156.90608941000002</v>
      </c>
      <c r="V46" s="8">
        <f>-IFERROR(
GETPIVOTDATA(
"[Base].[Importe]",
TDinamica_R!$A$5,
"[Calendario].[AñoMes]",
"[Calendario].[AñoMes].&amp;[" &amp; TEXT(V$6,"yyyymm") &amp; "]",
"[Base].[Metrica]",
"[Base].[Metrica].&amp;[" &amp; $A46 &amp; "]",
"[Base].[SEGMENTO_DESCRIP]",
"[Base].[SEGMENTO_DESCRIP].&amp;[" &amp; $C$6 &amp; "]",
"[Base].[SITUACION]",
"[Base].[SITUACION].&amp;[" &amp; $C46 &amp; "]"
),0)/1000</f>
        <v>-148.90161226000001</v>
      </c>
      <c r="W46" s="8">
        <f>-IFERROR(
GETPIVOTDATA(
"[Base].[Importe]",
TDinamica_R!$A$5,
"[Calendario].[AñoMes]",
"[Calendario].[AñoMes].&amp;[" &amp; TEXT(W$6,"yyyymm") &amp; "]",
"[Base].[Metrica]",
"[Base].[Metrica].&amp;[" &amp; $A46 &amp; "]",
"[Base].[SEGMENTO_DESCRIP]",
"[Base].[SEGMENTO_DESCRIP].&amp;[" &amp; $C$6 &amp; "]",
"[Base].[SITUACION]",
"[Base].[SITUACION].&amp;[" &amp; $C46 &amp; "]"
),0)/1000</f>
        <v>-131.97026216999998</v>
      </c>
      <c r="X46" s="8">
        <f>-IFERROR(
GETPIVOTDATA(
"[Base].[Importe]",
TDinamica_R!$A$5,
"[Calendario].[AñoMes]",
"[Calendario].[AñoMes].&amp;[" &amp; TEXT(X$6,"yyyymm") &amp; "]",
"[Base].[Metrica]",
"[Base].[Metrica].&amp;[" &amp; $A46 &amp; "]",
"[Base].[SEGMENTO_DESCRIP]",
"[Base].[SEGMENTO_DESCRIP].&amp;[" &amp; $C$6 &amp; "]",
"[Base].[SITUACION]",
"[Base].[SITUACION].&amp;[" &amp; $C46 &amp; "]"
),0)/1000</f>
        <v>-125.52796536</v>
      </c>
      <c r="Y46" s="8">
        <f>-IFERROR(
GETPIVOTDATA(
"[Base].[Importe]",
TDinamica_R!$A$5,
"[Calendario].[AñoMes]",
"[Calendario].[AñoMes].&amp;[" &amp; TEXT(Y$6,"yyyymm") &amp; "]",
"[Base].[Metrica]",
"[Base].[Metrica].&amp;[" &amp; $A46 &amp; "]",
"[Base].[SEGMENTO_DESCRIP]",
"[Base].[SEGMENTO_DESCRIP].&amp;[" &amp; $C$6 &amp; "]",
"[Base].[SITUACION]",
"[Base].[SITUACION].&amp;[" &amp; $C46 &amp; "]"
),0)/1000</f>
        <v>-104.55689615999999</v>
      </c>
      <c r="Z46" s="8">
        <f>-IFERROR(
GETPIVOTDATA(
"[Base].[Importe]",
TDinamica_R!$A$5,
"[Calendario].[AñoMes]",
"[Calendario].[AñoMes].&amp;[" &amp; TEXT(Z$6,"yyyymm") &amp; "]",
"[Base].[Metrica]",
"[Base].[Metrica].&amp;[" &amp; $A46 &amp; "]",
"[Base].[SEGMENTO_DESCRIP]",
"[Base].[SEGMENTO_DESCRIP].&amp;[" &amp; $C$6 &amp; "]",
"[Base].[SITUACION]",
"[Base].[SITUACION].&amp;[" &amp; $C46 &amp; "]"
),0)/1000</f>
        <v>-88.240632240000011</v>
      </c>
      <c r="AA46" s="8">
        <f>-IFERROR(
GETPIVOTDATA(
"[Base].[Importe]",
TDinamica_R!$A$5,
"[Calendario].[AñoMes]",
"[Calendario].[AñoMes].&amp;[" &amp; TEXT(AA$6,"yyyymm") &amp; "]",
"[Base].[Metrica]",
"[Base].[Metrica].&amp;[" &amp; $A46 &amp; "]",
"[Base].[SEGMENTO_DESCRIP]",
"[Base].[SEGMENTO_DESCRIP].&amp;[" &amp; $C$6 &amp; "]",
"[Base].[SITUACION]",
"[Base].[SITUACION].&amp;[" &amp; $C46 &amp; "]"
),0)/1000</f>
        <v>-74.73971874999998</v>
      </c>
      <c r="AB46" s="8">
        <f>-IFERROR(
GETPIVOTDATA(
"[Base].[Importe]",
TDinamica_R!$A$5,
"[Calendario].[AñoMes]",
"[Calendario].[AñoMes].&amp;[" &amp; TEXT(AB$6,"yyyymm") &amp; "]",
"[Base].[Metrica]",
"[Base].[Metrica].&amp;[" &amp; $A46 &amp; "]",
"[Base].[SEGMENTO_DESCRIP]",
"[Base].[SEGMENTO_DESCRIP].&amp;[" &amp; $C$6 &amp; "]",
"[Base].[SITUACION]",
"[Base].[SITUACION].&amp;[" &amp; $C46 &amp; "]"
),0)/1000</f>
        <v>-88.842846039999984</v>
      </c>
      <c r="AC46" s="8">
        <f>-IFERROR(
GETPIVOTDATA(
"[Base].[Importe]",
TDinamica_R!$A$5,
"[Calendario].[AñoMes]",
"[Calendario].[AñoMes].&amp;[" &amp; TEXT(AC$6,"yyyymm") &amp; "]",
"[Base].[Metrica]",
"[Base].[Metrica].&amp;[" &amp; $A46 &amp; "]",
"[Base].[SEGMENTO_DESCRIP]",
"[Base].[SEGMENTO_DESCRIP].&amp;[" &amp; $C$6 &amp; "]",
"[Base].[SITUACION]",
"[Base].[SITUACION].&amp;[" &amp; $C46 &amp; "]"
),0)/1000</f>
        <v>-69.617799000000005</v>
      </c>
      <c r="AD46" s="8">
        <f>-IFERROR(
GETPIVOTDATA(
"[Base].[Importe]",
TDinamica_R!$A$5,
"[Calendario].[AñoMes]",
"[Calendario].[AñoMes].&amp;[" &amp; TEXT(AD$6,"yyyymm") &amp; "]",
"[Base].[Metrica]",
"[Base].[Metrica].&amp;[" &amp; $A46 &amp; "]",
"[Base].[SEGMENTO_DESCRIP]",
"[Base].[SEGMENTO_DESCRIP].&amp;[" &amp; $C$6 &amp; "]",
"[Base].[SITUACION]",
"[Base].[SITUACION].&amp;[" &amp; $C46 &amp; "]"
),0)/1000</f>
        <v>-58.379881570000002</v>
      </c>
      <c r="AE46" s="8">
        <f>-IFERROR(
GETPIVOTDATA(
"[Base].[Importe]",
TDinamica_R!$A$5,
"[Calendario].[AñoMes]",
"[Calendario].[AñoMes].&amp;[" &amp; TEXT(AE$6,"yyyymm") &amp; "]",
"[Base].[Metrica]",
"[Base].[Metrica].&amp;[" &amp; $A46 &amp; "]",
"[Base].[SEGMENTO_DESCRIP]",
"[Base].[SEGMENTO_DESCRIP].&amp;[" &amp; $C$6 &amp; "]",
"[Base].[SITUACION]",
"[Base].[SITUACION].&amp;[" &amp; $C46 &amp; "]"
),0)/1000</f>
        <v>-46.183986560000008</v>
      </c>
      <c r="AF46" s="8">
        <f>-IFERROR(
GETPIVOTDATA(
"[Base].[Importe]",
TDinamica_R!$A$5,
"[Calendario].[AñoMes]",
"[Calendario].[AñoMes].&amp;[" &amp; TEXT(AF$6,"yyyymm") &amp; "]",
"[Base].[Metrica]",
"[Base].[Metrica].&amp;[" &amp; $A46 &amp; "]",
"[Base].[SEGMENTO_DESCRIP]",
"[Base].[SEGMENTO_DESCRIP].&amp;[" &amp; $C$6 &amp; "]",
"[Base].[SITUACION]",
"[Base].[SITUACION].&amp;[" &amp; $C46 &amp; "]"
),0)/1000</f>
        <v>-49.466352200000003</v>
      </c>
      <c r="AG46" s="8">
        <f>-IFERROR(
GETPIVOTDATA(
"[Base].[Importe]",
TDinamica_R!$A$5,
"[Calendario].[AñoMes]",
"[Calendario].[AñoMes].&amp;[" &amp; TEXT(AG$6,"yyyymm") &amp; "]",
"[Base].[Metrica]",
"[Base].[Metrica].&amp;[" &amp; $A46 &amp; "]",
"[Base].[SEGMENTO_DESCRIP]",
"[Base].[SEGMENTO_DESCRIP].&amp;[" &amp; $C$6 &amp; "]",
"[Base].[SITUACION]",
"[Base].[SITUACION].&amp;[" &amp; $C46 &amp; "]"
),0)/1000</f>
        <v>-50.752663240000004</v>
      </c>
      <c r="AH46" s="8">
        <f>-IFERROR(
GETPIVOTDATA(
"[Base].[Importe]",
TDinamica_R!$A$5,
"[Calendario].[AñoMes]",
"[Calendario].[AñoMes].&amp;[" &amp; TEXT(AH$6,"yyyymm") &amp; "]",
"[Base].[Metrica]",
"[Base].[Metrica].&amp;[" &amp; $A46 &amp; "]",
"[Base].[SEGMENTO_DESCRIP]",
"[Base].[SEGMENTO_DESCRIP].&amp;[" &amp; $C$6 &amp; "]",
"[Base].[SITUACION]",
"[Base].[SITUACION].&amp;[" &amp; $C46 &amp; "]"
),0)/1000</f>
        <v>-51.637787379999999</v>
      </c>
      <c r="AI46" s="8">
        <f>-IFERROR(
GETPIVOTDATA(
"[Base].[Importe]",
TDinamica_R!$A$5,
"[Calendario].[AñoMes]",
"[Calendario].[AñoMes].&amp;[" &amp; TEXT(AI$6,"yyyymm") &amp; "]",
"[Base].[Metrica]",
"[Base].[Metrica].&amp;[" &amp; $A46 &amp; "]",
"[Base].[SEGMENTO_DESCRIP]",
"[Base].[SEGMENTO_DESCRIP].&amp;[" &amp; $C$6 &amp; "]",
"[Base].[SITUACION]",
"[Base].[SITUACION].&amp;[" &amp; $C46 &amp; "]"
),0)/1000</f>
        <v>-58.677590549999998</v>
      </c>
      <c r="AJ46" s="8">
        <f>-IFERROR(
GETPIVOTDATA(
"[Base].[Importe]",
TDinamica_R!$A$5,
"[Calendario].[AñoMes]",
"[Calendario].[AñoMes].&amp;[" &amp; TEXT(AJ$6,"yyyymm") &amp; "]",
"[Base].[Metrica]",
"[Base].[Metrica].&amp;[" &amp; $A46 &amp; "]",
"[Base].[SEGMENTO_DESCRIP]",
"[Base].[SEGMENTO_DESCRIP].&amp;[" &amp; $C$6 &amp; "]",
"[Base].[SITUACION]",
"[Base].[SITUACION].&amp;[" &amp; $C46 &amp; "]"
),0)/1000</f>
        <v>-60.936478889999989</v>
      </c>
      <c r="AK46" s="8">
        <f>-IFERROR(
GETPIVOTDATA(
"[Base].[Importe]",
TDinamica_R!$A$5,
"[Calendario].[AñoMes]",
"[Calendario].[AñoMes].&amp;[" &amp; TEXT(AK$6,"yyyymm") &amp; "]",
"[Base].[Metrica]",
"[Base].[Metrica].&amp;[" &amp; $A46 &amp; "]",
"[Base].[SEGMENTO_DESCRIP]",
"[Base].[SEGMENTO_DESCRIP].&amp;[" &amp; $C$6 &amp; "]",
"[Base].[SITUACION]",
"[Base].[SITUACION].&amp;[" &amp; $C46 &amp; "]"
),0)/1000</f>
        <v>-85.186580639999988</v>
      </c>
      <c r="AL46" s="8">
        <f>-IFERROR(
GETPIVOTDATA(
"[Base].[Importe]",
TDinamica_R!$A$5,
"[Calendario].[AñoMes]",
"[Calendario].[AñoMes].&amp;[" &amp; TEXT(AL$6,"yyyymm") &amp; "]",
"[Base].[Metrica]",
"[Base].[Metrica].&amp;[" &amp; $A46 &amp; "]",
"[Base].[SEGMENTO_DESCRIP]",
"[Base].[SEGMENTO_DESCRIP].&amp;[" &amp; $C$6 &amp; "]",
"[Base].[SITUACION]",
"[Base].[SITUACION].&amp;[" &amp; $C46 &amp; "]"
),0)/1000</f>
        <v>-60.851006990000002</v>
      </c>
      <c r="AM46" s="8">
        <f>-IFERROR(
GETPIVOTDATA(
"[Base].[Importe]",
TDinamica_R!$A$5,
"[Calendario].[AñoMes]",
"[Calendario].[AñoMes].&amp;[" &amp; TEXT(AM$6,"yyyymm") &amp; "]",
"[Base].[Metrica]",
"[Base].[Metrica].&amp;[" &amp; $A46 &amp; "]",
"[Base].[SEGMENTO_DESCRIP]",
"[Base].[SEGMENTO_DESCRIP].&amp;[" &amp; $C$6 &amp; "]",
"[Base].[SITUACION]",
"[Base].[SITUACION].&amp;[" &amp; $C46 &amp; "]"
),0)/1000</f>
        <v>-64.388693140000001</v>
      </c>
      <c r="AN46" s="8">
        <f>-IFERROR(
GETPIVOTDATA(
"[Base].[Importe]",
TDinamica_R!$A$5,
"[Calendario].[AñoMes]",
"[Calendario].[AñoMes].&amp;[" &amp; TEXT(AN$6,"yyyymm") &amp; "]",
"[Base].[Metrica]",
"[Base].[Metrica].&amp;[" &amp; $A46 &amp; "]",
"[Base].[SEGMENTO_DESCRIP]",
"[Base].[SEGMENTO_DESCRIP].&amp;[" &amp; $C$6 &amp; "]",
"[Base].[SITUACION]",
"[Base].[SITUACION].&amp;[" &amp; $C46 &amp; "]"
),0)/1000</f>
        <v>-79.134590029999998</v>
      </c>
      <c r="AO46" s="8">
        <f>-IFERROR(
GETPIVOTDATA(
"[Base].[Importe]",
TDinamica_R!$A$5,
"[Calendario].[AñoMes]",
"[Calendario].[AñoMes].&amp;[" &amp; TEXT(AO$6,"yyyymm") &amp; "]",
"[Base].[Metrica]",
"[Base].[Metrica].&amp;[" &amp; $A46 &amp; "]",
"[Base].[SEGMENTO_DESCRIP]",
"[Base].[SEGMENTO_DESCRIP].&amp;[" &amp; $C$6 &amp; "]",
"[Base].[SITUACION]",
"[Base].[SITUACION].&amp;[" &amp; $C46 &amp; "]"
),0)/1000</f>
        <v>-75.902255730000007</v>
      </c>
      <c r="AP46" s="8">
        <f>-IFERROR(
GETPIVOTDATA(
"[Base].[Importe]",
TDinamica_R!$A$5,
"[Calendario].[AñoMes]",
"[Calendario].[AñoMes].&amp;[" &amp; TEXT(AP$6,"yyyymm") &amp; "]",
"[Base].[Metrica]",
"[Base].[Metrica].&amp;[" &amp; $A46 &amp; "]",
"[Base].[SEGMENTO_DESCRIP]",
"[Base].[SEGMENTO_DESCRIP].&amp;[" &amp; $C$6 &amp; "]",
"[Base].[SITUACION]",
"[Base].[SITUACION].&amp;[" &amp; $C46 &amp; "]"
),0)/1000</f>
        <v>-81.383404499999983</v>
      </c>
      <c r="AQ46" s="8">
        <f>-IFERROR(
GETPIVOTDATA(
"[Base].[Importe]",
TDinamica_R!$A$5,
"[Calendario].[AñoMes]",
"[Calendario].[AñoMes].&amp;[" &amp; TEXT(AQ$6,"yyyymm") &amp; "]",
"[Base].[Metrica]",
"[Base].[Metrica].&amp;[" &amp; $A46 &amp; "]",
"[Base].[SEGMENTO_DESCRIP]",
"[Base].[SEGMENTO_DESCRIP].&amp;[" &amp; $C$6 &amp; "]",
"[Base].[SITUACION]",
"[Base].[SITUACION].&amp;[" &amp; $C46 &amp; "]"
),0)/1000</f>
        <v>-76.868937970000005</v>
      </c>
      <c r="AR46" s="8">
        <f>-IFERROR(
GETPIVOTDATA(
"[Base].[Importe]",
TDinamica_R!$A$5,
"[Calendario].[AñoMes]",
"[Calendario].[AñoMes].&amp;[" &amp; TEXT(AR$6,"yyyymm") &amp; "]",
"[Base].[Metrica]",
"[Base].[Metrica].&amp;[" &amp; $A46 &amp; "]",
"[Base].[SEGMENTO_DESCRIP]",
"[Base].[SEGMENTO_DESCRIP].&amp;[" &amp; $C$6 &amp; "]",
"[Base].[SITUACION]",
"[Base].[SITUACION].&amp;[" &amp; $C46 &amp; "]"
),0)/1000</f>
        <v>-76.895071779999995</v>
      </c>
      <c r="AS46" s="8">
        <f>-IFERROR(
GETPIVOTDATA(
"[Base].[Importe]",
TDinamica_R!$A$5,
"[Calendario].[AñoMes]",
"[Calendario].[AñoMes].&amp;[" &amp; TEXT(AS$6,"yyyymm") &amp; "]",
"[Base].[Metrica]",
"[Base].[Metrica].&amp;[" &amp; $A46 &amp; "]",
"[Base].[SEGMENTO_DESCRIP]",
"[Base].[SEGMENTO_DESCRIP].&amp;[" &amp; $C$6 &amp; "]",
"[Base].[SITUACION]",
"[Base].[SITUACION].&amp;[" &amp; $C46 &amp; "]"
),0)/1000</f>
        <v>-81.81756639999999</v>
      </c>
      <c r="AT46" s="8">
        <f>-IFERROR(
GETPIVOTDATA(
"[Base].[Importe]",
TDinamica_R!$A$5,
"[Calendario].[AñoMes]",
"[Calendario].[AñoMes].&amp;[" &amp; TEXT(AT$6,"yyyymm")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U46" s="8">
        <f>-IFERROR(
GETPIVOTDATA(
"[Base].[Importe]",
TDinamica_R!$A$5,
"[Calendario].[AñoMes]",
"[Calendario].[AñoMes].&amp;[" &amp; TEXT(AU$6,"yyyymm")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V46" s="8">
        <f>-IFERROR(
GETPIVOTDATA(
"[Base].[Importe]",
TDinamica_R!$A$5,
"[Calendario].[AñoMes]",
"[Calendario].[AñoMes].&amp;[" &amp; TEXT(AV$6,"yyyymm")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W46" s="8">
        <f>-IFERROR(
GETPIVOTDATA(
"[Base].[Importe]",
TDinamica_R!$A$5,
"[Calendario].[AñoMes]",
"[Calendario].[AñoMes].&amp;[" &amp; TEXT(AW$6,"yyyymm")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X46" s="8">
        <f>-IFERROR(
GETPIVOTDATA(
"[Base].[Importe]",
TDinamica_R!$A$5,
"[Calendario].[AñoMes]",
"[Calendario].[AñoMes].&amp;[" &amp; TEXT(AX$6,"yyyymm")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Y46" s="8">
        <f>-IFERROR(
GETPIVOTDATA(
"[Base].[Importe]",
TDinamica_R!$A$5,
"[Calendario].[AñoMes]",
"[Calendario].[AñoMes].&amp;[" &amp; TEXT(AY$6,"yyyymm")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Z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TEXT(AZ$6,"yyyymm") &amp; "]"
),
0
)</f>
        <v>-9.1952239674298895</v>
      </c>
      <c r="BA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TEXT(BA$6,"yyyymm") &amp; "]"
),
0
)</f>
        <v>-8.4012388067094914</v>
      </c>
      <c r="BB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TEXT(BB$6,"yyyymm") &amp; "]"
),
0
)</f>
        <v>-9.4339306186733953</v>
      </c>
      <c r="BC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TEXT(BC$6,"yyyymm") &amp; "]"
),
0
)</f>
        <v>-9.3217726954899351</v>
      </c>
      <c r="BD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TEXT(BD$6,"yyyymm") &amp; "]"
),
0
)</f>
        <v>-9.8764655545339082</v>
      </c>
      <c r="BE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TEXT(BE$6,"yyyymm") &amp; "]"
),
0
)</f>
        <v>-9.7563139643140726</v>
      </c>
      <c r="BF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TEXT(BF$6,"yyyymm") &amp; "]"
),
0
)</f>
        <v>-10.197208473482652</v>
      </c>
      <c r="BG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TEXT(BG$6,"yyyymm") &amp; "]"
),
0
)</f>
        <v>-10.296160441331347</v>
      </c>
      <c r="BH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TEXT(BH$6,"yyyymm") &amp; "]"
),
0
)</f>
        <v>-10.110496069790438</v>
      </c>
      <c r="BI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TEXT(BI$6,"yyyymm") &amp; "]"
),
0
)</f>
        <v>-10.626510541378108</v>
      </c>
      <c r="BJ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TEXT(BJ$6,"yyyymm") &amp; "]"
),
0
)</f>
        <v>-10.410402063814406</v>
      </c>
      <c r="BK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TEXT(BK$6,"yyyymm") &amp; "]"
),
0
)</f>
        <v>-10.819575336788773</v>
      </c>
      <c r="BO46" s="24">
        <f t="shared" si="97"/>
        <v>-236.42025025999999</v>
      </c>
      <c r="BP46" s="24">
        <f t="shared" si="97"/>
        <v>-27.030393392812776</v>
      </c>
      <c r="BQ46" s="24">
        <f t="shared" si="97"/>
        <v>-155.03684576000001</v>
      </c>
      <c r="BR46" s="24">
        <f t="shared" si="97"/>
        <v>-216.84052660999998</v>
      </c>
      <c r="BS46" s="24">
        <f t="shared" si="97"/>
        <v>-97.567442819999997</v>
      </c>
      <c r="BT46" s="24">
        <f t="shared" si="97"/>
        <v>-7.5878800000000002</v>
      </c>
    </row>
    <row r="47" spans="1:72" collapsed="1" x14ac:dyDescent="0.25">
      <c r="C47" s="3" t="s">
        <v>58</v>
      </c>
      <c r="D47" s="10">
        <f>SUM(D44:D46)</f>
        <v>-4492.3412143999994</v>
      </c>
      <c r="E47" s="10">
        <f t="shared" ref="E47" si="98">SUM(E44:E46)</f>
        <v>-4251.3126184200019</v>
      </c>
      <c r="F47" s="10">
        <f t="shared" ref="F47" si="99">SUM(F44:F46)</f>
        <v>-4977.5775011999986</v>
      </c>
      <c r="G47" s="10">
        <f t="shared" ref="G47" si="100">SUM(G44:G46)</f>
        <v>-5030.6833328399998</v>
      </c>
      <c r="H47" s="10">
        <f t="shared" ref="H47" si="101">SUM(H44:H46)</f>
        <v>-5375.8726023999998</v>
      </c>
      <c r="I47" s="10">
        <f t="shared" ref="I47" si="102">SUM(I44:I46)</f>
        <v>-5360.0064095000007</v>
      </c>
      <c r="J47" s="10">
        <f t="shared" ref="J47" si="103">SUM(J44:J46)</f>
        <v>-5685.7433953399996</v>
      </c>
      <c r="K47" s="10">
        <f t="shared" ref="K47" si="104">SUM(K44:K46)</f>
        <v>-5867.0709377600006</v>
      </c>
      <c r="L47" s="10">
        <f t="shared" ref="L47" si="105">SUM(L44:L46)</f>
        <v>-5942.5453590783</v>
      </c>
      <c r="M47" s="10">
        <f t="shared" ref="M47" si="106">SUM(M44:M46)</f>
        <v>-6247.7691043500008</v>
      </c>
      <c r="N47" s="10">
        <f t="shared" ref="N47" si="107">SUM(N44:N46)</f>
        <v>-6110.6017862199988</v>
      </c>
      <c r="O47" s="10">
        <f t="shared" ref="O47" si="108">SUM(O44:O46)</f>
        <v>-6341.5966138599997</v>
      </c>
      <c r="P47" s="10">
        <f t="shared" ref="P47" si="109">SUM(P44:P46)</f>
        <v>-6281.6455077599994</v>
      </c>
      <c r="Q47" s="10">
        <f t="shared" ref="Q47" si="110">SUM(Q44:Q46)</f>
        <v>-5792.5321926400002</v>
      </c>
      <c r="R47" s="10">
        <f t="shared" ref="R47" si="111">SUM(R44:R46)</f>
        <v>-6147.1512439099988</v>
      </c>
      <c r="S47" s="10">
        <f t="shared" ref="S47" si="112">SUM(S44:S46)</f>
        <v>-5868.6798819999995</v>
      </c>
      <c r="T47" s="10">
        <f t="shared" ref="T47" si="113">SUM(T44:T46)</f>
        <v>-5989.3588368000001</v>
      </c>
      <c r="U47" s="10">
        <f t="shared" ref="U47" si="114">SUM(U44:U46)</f>
        <v>-5663.8485314700001</v>
      </c>
      <c r="V47" s="10">
        <f t="shared" ref="V47" si="115">SUM(V44:V46)</f>
        <v>-5697.5842434399992</v>
      </c>
      <c r="W47" s="10">
        <f t="shared" ref="W47" si="116">SUM(W44:W46)</f>
        <v>-5589.6319978800002</v>
      </c>
      <c r="X47" s="10">
        <f t="shared" ref="X47" si="117">SUM(X44:X46)</f>
        <v>-5339.0994528400015</v>
      </c>
      <c r="Y47" s="10">
        <f t="shared" ref="Y47" si="118">SUM(Y44:Y46)</f>
        <v>-5485.8350392800003</v>
      </c>
      <c r="Z47" s="10">
        <f t="shared" ref="Z47" si="119">SUM(Z44:Z46)</f>
        <v>-5293.7861858000006</v>
      </c>
      <c r="AA47" s="10">
        <f t="shared" ref="AA47" si="120">SUM(AA44:AA46)</f>
        <v>-5484.1849358500003</v>
      </c>
      <c r="AB47" s="10">
        <f t="shared" ref="AB47" si="121">SUM(AB44:AB46)</f>
        <v>-5474.3944498199999</v>
      </c>
      <c r="AC47" s="10">
        <f t="shared" ref="AC47" si="122">SUM(AC44:AC46)</f>
        <v>-4961.5254490000016</v>
      </c>
      <c r="AD47" s="10">
        <f t="shared" ref="AD47" si="123">SUM(AD44:AD46)</f>
        <v>-5487.9836620200003</v>
      </c>
      <c r="AE47" s="10">
        <f t="shared" ref="AE47" si="124">SUM(AE44:AE46)</f>
        <v>-5359.7179142100003</v>
      </c>
      <c r="AF47" s="10">
        <f t="shared" ref="AF47" si="125">SUM(AF44:AF46)</f>
        <v>-5593.1638026000019</v>
      </c>
      <c r="AG47" s="10">
        <f t="shared" ref="AG47" si="126">SUM(AG44:AG46)</f>
        <v>-5442.293263640001</v>
      </c>
      <c r="AH47" s="10">
        <f t="shared" ref="AH47" si="127">SUM(AH44:AH46)</f>
        <v>-5606.2111345000012</v>
      </c>
      <c r="AI47" s="10">
        <f t="shared" ref="AI47" si="128">SUM(AI44:AI46)</f>
        <v>-5644.2382786499993</v>
      </c>
      <c r="AJ47" s="10">
        <f t="shared" ref="AJ47" si="129">SUM(AJ44:AJ46)</f>
        <v>-5578.8065278600006</v>
      </c>
      <c r="AK47" s="10">
        <f t="shared" ref="AK47" si="130">SUM(AK44:AK46)</f>
        <v>-6004.7126207199999</v>
      </c>
      <c r="AL47" s="10">
        <f t="shared" ref="AL47" si="131">SUM(AL44:AL46)</f>
        <v>-5998.8794174600007</v>
      </c>
      <c r="AM47" s="10">
        <f t="shared" ref="AM47" si="132">SUM(AM44:AM46)</f>
        <v>-6293.0369704600007</v>
      </c>
      <c r="AN47" s="10">
        <f t="shared" ref="AN47" si="133">SUM(AN44:AN46)</f>
        <v>-6308.5196353800011</v>
      </c>
      <c r="AO47" s="10">
        <f t="shared" ref="AO47" si="134">SUM(AO44:AO46)</f>
        <v>-5764.2598467999997</v>
      </c>
      <c r="AP47" s="10">
        <f t="shared" ref="AP47" si="135">SUM(AP44:AP46)</f>
        <v>-6533.5128320000003</v>
      </c>
      <c r="AQ47" s="10">
        <f t="shared" ref="AQ47" si="136">SUM(AQ44:AQ46)</f>
        <v>-6394.2204760699988</v>
      </c>
      <c r="AR47" s="10">
        <f t="shared" ref="AR47" si="137">SUM(AR44:AR46)</f>
        <v>-6734.9259309000008</v>
      </c>
      <c r="AS47" s="10">
        <f t="shared" ref="AS47" si="138">SUM(AS44:AS46)</f>
        <v>-6699.3830094499999</v>
      </c>
      <c r="AT47" s="10">
        <f t="shared" ref="AT47" si="139">SUM(AT44:AT46)</f>
        <v>0</v>
      </c>
      <c r="AU47" s="10">
        <f t="shared" ref="AU47" si="140">SUM(AU44:AU46)</f>
        <v>0</v>
      </c>
      <c r="AV47" s="10">
        <f t="shared" ref="AV47" si="141">SUM(AV44:AV46)</f>
        <v>0</v>
      </c>
      <c r="AW47" s="10">
        <f t="shared" ref="AW47" si="142">SUM(AW44:AW46)</f>
        <v>0</v>
      </c>
      <c r="AX47" s="10">
        <f t="shared" ref="AX47" si="143">SUM(AX44:AX46)</f>
        <v>0</v>
      </c>
      <c r="AY47" s="10">
        <f t="shared" ref="AY47" si="144">SUM(AY44:AY46)</f>
        <v>0</v>
      </c>
      <c r="AZ47" s="10">
        <f t="shared" ref="AZ47:BK47" si="145">SUM(AZ44:AZ46)</f>
        <v>-6391.7840078491408</v>
      </c>
      <c r="BA47" s="10">
        <f t="shared" si="145"/>
        <v>-5839.8690495253295</v>
      </c>
      <c r="BB47" s="10">
        <f t="shared" si="145"/>
        <v>-6557.713773278434</v>
      </c>
      <c r="BC47" s="10">
        <f t="shared" si="145"/>
        <v>-6479.750558646916</v>
      </c>
      <c r="BD47" s="10">
        <f t="shared" si="145"/>
        <v>-6865.3286542173664</v>
      </c>
      <c r="BE47" s="10">
        <f t="shared" si="145"/>
        <v>-6781.8088818219321</v>
      </c>
      <c r="BF47" s="10">
        <f t="shared" si="145"/>
        <v>-7088.2834693723962</v>
      </c>
      <c r="BG47" s="10">
        <f t="shared" si="145"/>
        <v>-7157.0669604413215</v>
      </c>
      <c r="BH47" s="10">
        <f t="shared" si="145"/>
        <v>-7028.0079440382397</v>
      </c>
      <c r="BI47" s="10">
        <f t="shared" si="145"/>
        <v>-7386.6999192413923</v>
      </c>
      <c r="BJ47" s="10">
        <f t="shared" si="145"/>
        <v>-7236.4785961126645</v>
      </c>
      <c r="BK47" s="10">
        <f t="shared" si="145"/>
        <v>-7520.9031182233375</v>
      </c>
      <c r="BO47" s="23">
        <f>SUM(BO44:BO46)</f>
        <v>-18606.292314179998</v>
      </c>
      <c r="BP47" s="23">
        <f t="shared" ref="BP47" si="146">SUM(BP44:BP46)</f>
        <v>-18789.366830652903</v>
      </c>
      <c r="BQ47" s="23">
        <f t="shared" ref="BQ47" si="147">SUM(BQ44:BQ46)</f>
        <v>-12072.77948218</v>
      </c>
      <c r="BR47" s="23">
        <f t="shared" ref="BR47" si="148">SUM(BR44:BR46)</f>
        <v>-15923.903560840001</v>
      </c>
      <c r="BS47" s="23">
        <f t="shared" ref="BS47" si="149">SUM(BS44:BS46)</f>
        <v>-18221.328944309997</v>
      </c>
      <c r="BT47" s="23">
        <f t="shared" ref="BT47" si="150">SUM(BT44:BT46)</f>
        <v>-13721.231334019998</v>
      </c>
    </row>
    <row r="50" spans="1:72" hidden="1" outlineLevel="1" x14ac:dyDescent="0.25">
      <c r="A50" s="11"/>
      <c r="C50" s="2" t="s">
        <v>0</v>
      </c>
      <c r="D50" s="8">
        <f>D38+D44</f>
        <v>4717.8296021000006</v>
      </c>
      <c r="E50" s="8">
        <f t="shared" ref="E50:AY50" si="151">E38+E44</f>
        <v>4149.8084690999995</v>
      </c>
      <c r="F50" s="8">
        <f t="shared" si="151"/>
        <v>4887.3633441900001</v>
      </c>
      <c r="G50" s="8">
        <f t="shared" si="151"/>
        <v>4903.2166045600034</v>
      </c>
      <c r="H50" s="8">
        <f t="shared" si="151"/>
        <v>5395.7797161299995</v>
      </c>
      <c r="I50" s="8">
        <f t="shared" si="151"/>
        <v>5303.6291181300012</v>
      </c>
      <c r="J50" s="8">
        <f t="shared" si="151"/>
        <v>5634.1442665700024</v>
      </c>
      <c r="K50" s="8">
        <f t="shared" si="151"/>
        <v>5867.8205743900016</v>
      </c>
      <c r="L50" s="8">
        <f t="shared" si="151"/>
        <v>5803.5140926517006</v>
      </c>
      <c r="M50" s="8">
        <f t="shared" si="151"/>
        <v>5990.0980412300005</v>
      </c>
      <c r="N50" s="8">
        <f t="shared" si="151"/>
        <v>5695.3226393099994</v>
      </c>
      <c r="O50" s="8">
        <f t="shared" si="151"/>
        <v>5764.809757089999</v>
      </c>
      <c r="P50" s="8">
        <f t="shared" si="151"/>
        <v>5538.6760838600003</v>
      </c>
      <c r="Q50" s="8">
        <f t="shared" si="151"/>
        <v>4950.8273651299996</v>
      </c>
      <c r="R50" s="8">
        <f t="shared" si="151"/>
        <v>5164.9256513400005</v>
      </c>
      <c r="S50" s="8">
        <f t="shared" si="151"/>
        <v>4942.7503306400022</v>
      </c>
      <c r="T50" s="8">
        <f t="shared" si="151"/>
        <v>5101.1684877900025</v>
      </c>
      <c r="U50" s="8">
        <f t="shared" si="151"/>
        <v>4775.5506015000001</v>
      </c>
      <c r="V50" s="8">
        <f t="shared" si="151"/>
        <v>4950.8048461300004</v>
      </c>
      <c r="W50" s="8">
        <f t="shared" si="151"/>
        <v>4882.5008647599998</v>
      </c>
      <c r="X50" s="8">
        <f t="shared" si="151"/>
        <v>4707.0349751899967</v>
      </c>
      <c r="Y50" s="8">
        <f t="shared" si="151"/>
        <v>4851.4338564299997</v>
      </c>
      <c r="Z50" s="8">
        <f t="shared" si="151"/>
        <v>4718.1162286399995</v>
      </c>
      <c r="AA50" s="8">
        <f t="shared" si="151"/>
        <v>5063.5244504699995</v>
      </c>
      <c r="AB50" s="8">
        <f t="shared" si="151"/>
        <v>5138.8509638100013</v>
      </c>
      <c r="AC50" s="8">
        <f t="shared" si="151"/>
        <v>4697.7153186800015</v>
      </c>
      <c r="AD50" s="8">
        <f t="shared" si="151"/>
        <v>5388.3398248499961</v>
      </c>
      <c r="AE50" s="8">
        <f t="shared" si="151"/>
        <v>5362.3033667999998</v>
      </c>
      <c r="AF50" s="8">
        <f t="shared" si="151"/>
        <v>5649.2321193699991</v>
      </c>
      <c r="AG50" s="8">
        <f t="shared" si="151"/>
        <v>5595.2070846499992</v>
      </c>
      <c r="AH50" s="8">
        <f t="shared" si="151"/>
        <v>5907.7681214699987</v>
      </c>
      <c r="AI50" s="8">
        <f t="shared" si="151"/>
        <v>6062.516780689999</v>
      </c>
      <c r="AJ50" s="8">
        <f t="shared" si="151"/>
        <v>6082.257305359999</v>
      </c>
      <c r="AK50" s="8">
        <f t="shared" si="151"/>
        <v>6591.8146752199991</v>
      </c>
      <c r="AL50" s="8">
        <f t="shared" si="151"/>
        <v>6565.6849193100015</v>
      </c>
      <c r="AM50" s="8">
        <f t="shared" si="151"/>
        <v>6947.1951647299975</v>
      </c>
      <c r="AN50" s="8">
        <f t="shared" si="151"/>
        <v>6998.97995988</v>
      </c>
      <c r="AO50" s="8">
        <f t="shared" si="151"/>
        <v>6478.6116307200009</v>
      </c>
      <c r="AP50" s="8">
        <f t="shared" si="151"/>
        <v>7289.0505551399992</v>
      </c>
      <c r="AQ50" s="8">
        <f t="shared" si="151"/>
        <v>6916.80212992</v>
      </c>
      <c r="AR50" s="8">
        <f t="shared" si="151"/>
        <v>7135.278126799999</v>
      </c>
      <c r="AS50" s="8">
        <f t="shared" si="151"/>
        <v>6956.1985410000034</v>
      </c>
      <c r="AT50" s="8">
        <f t="shared" si="151"/>
        <v>0</v>
      </c>
      <c r="AU50" s="8">
        <f t="shared" si="151"/>
        <v>0</v>
      </c>
      <c r="AV50" s="8">
        <f t="shared" si="151"/>
        <v>0</v>
      </c>
      <c r="AW50" s="8">
        <f t="shared" si="151"/>
        <v>0</v>
      </c>
      <c r="AX50" s="8">
        <f t="shared" si="151"/>
        <v>0</v>
      </c>
      <c r="AY50" s="8">
        <f t="shared" si="151"/>
        <v>0</v>
      </c>
      <c r="AZ50" s="8">
        <f t="shared" ref="AZ50:BK50" si="152">AZ38+AZ44</f>
        <v>7213.1800193225972</v>
      </c>
      <c r="BA50" s="8">
        <f t="shared" si="152"/>
        <v>6574.2460138600727</v>
      </c>
      <c r="BB50" s="8">
        <f t="shared" si="152"/>
        <v>7565.35580973985</v>
      </c>
      <c r="BC50" s="8">
        <f t="shared" si="152"/>
        <v>7669.2943956018462</v>
      </c>
      <c r="BD50" s="8">
        <f t="shared" si="152"/>
        <v>8257.0958941875579</v>
      </c>
      <c r="BE50" s="8">
        <f t="shared" si="152"/>
        <v>8286.0830081910754</v>
      </c>
      <c r="BF50" s="8">
        <f t="shared" si="152"/>
        <v>8848.7319891790285</v>
      </c>
      <c r="BG50" s="8">
        <f t="shared" si="152"/>
        <v>9117.1006553690058</v>
      </c>
      <c r="BH50" s="8">
        <f t="shared" si="152"/>
        <v>9073.8537731213128</v>
      </c>
      <c r="BI50" s="8">
        <f t="shared" si="152"/>
        <v>9725.3766794978401</v>
      </c>
      <c r="BJ50" s="8">
        <f t="shared" si="152"/>
        <v>9636.9574323546549</v>
      </c>
      <c r="BK50" s="8">
        <f t="shared" si="152"/>
        <v>10282.338173024345</v>
      </c>
      <c r="BO50" s="24">
        <f>BO38+BO44</f>
        <v>20766.642145739999</v>
      </c>
      <c r="BP50" s="24">
        <f t="shared" ref="BP50:BT50" si="153">BP38+BP44</f>
        <v>21352.781842922519</v>
      </c>
      <c r="BQ50" s="24">
        <f t="shared" si="153"/>
        <v>13477.591590600001</v>
      </c>
      <c r="BR50" s="24">
        <f t="shared" si="153"/>
        <v>15224.906107340001</v>
      </c>
      <c r="BS50" s="24">
        <f t="shared" si="153"/>
        <v>15654.429100330002</v>
      </c>
      <c r="BT50" s="24">
        <f t="shared" si="153"/>
        <v>13755.001415389997</v>
      </c>
    </row>
    <row r="51" spans="1:72" hidden="1" outlineLevel="1" x14ac:dyDescent="0.25">
      <c r="A51" s="11"/>
      <c r="C51" s="2" t="s">
        <v>1</v>
      </c>
      <c r="D51" s="8">
        <f t="shared" ref="D51:AY51" si="154">D39+D45</f>
        <v>0.72202908999999993</v>
      </c>
      <c r="E51" s="8">
        <f t="shared" si="154"/>
        <v>1.0426633599999999</v>
      </c>
      <c r="F51" s="8">
        <f t="shared" si="154"/>
        <v>3.1050172099999997</v>
      </c>
      <c r="G51" s="8">
        <f t="shared" si="154"/>
        <v>2.3237237100000003</v>
      </c>
      <c r="H51" s="8">
        <f t="shared" si="154"/>
        <v>1.0201085000000001</v>
      </c>
      <c r="I51" s="8">
        <f t="shared" si="154"/>
        <v>-0.47696369999999999</v>
      </c>
      <c r="J51" s="8">
        <f t="shared" si="154"/>
        <v>1.74724111</v>
      </c>
      <c r="K51" s="8">
        <f t="shared" si="154"/>
        <v>-0.18738640999999989</v>
      </c>
      <c r="L51" s="8">
        <f t="shared" si="154"/>
        <v>1.5988076400000002</v>
      </c>
      <c r="M51" s="8">
        <f t="shared" si="154"/>
        <v>1.3573750100000002</v>
      </c>
      <c r="N51" s="8">
        <f t="shared" si="154"/>
        <v>0.33926939000000012</v>
      </c>
      <c r="O51" s="8">
        <f t="shared" si="154"/>
        <v>0.40172617000000033</v>
      </c>
      <c r="P51" s="8">
        <f t="shared" si="154"/>
        <v>1.4884885800000003</v>
      </c>
      <c r="Q51" s="8">
        <f t="shared" si="154"/>
        <v>2.8301840000000134E-2</v>
      </c>
      <c r="R51" s="8">
        <f t="shared" si="154"/>
        <v>0.48491838000000032</v>
      </c>
      <c r="S51" s="8">
        <f t="shared" si="154"/>
        <v>0.29426926999999958</v>
      </c>
      <c r="T51" s="8">
        <f t="shared" si="154"/>
        <v>0.6942663600000003</v>
      </c>
      <c r="U51" s="8">
        <f t="shared" si="154"/>
        <v>0.82407878000000068</v>
      </c>
      <c r="V51" s="8">
        <f t="shared" si="154"/>
        <v>-0.8767150000000008</v>
      </c>
      <c r="W51" s="8">
        <f t="shared" si="154"/>
        <v>-1.5211462900000008</v>
      </c>
      <c r="X51" s="8">
        <f t="shared" si="154"/>
        <v>-1.3630459699999999</v>
      </c>
      <c r="Y51" s="8">
        <f t="shared" si="154"/>
        <v>-1.6898768400000002</v>
      </c>
      <c r="Z51" s="8">
        <f t="shared" si="154"/>
        <v>-0.10858421999999912</v>
      </c>
      <c r="AA51" s="8">
        <f t="shared" si="154"/>
        <v>2.6280249900000001</v>
      </c>
      <c r="AB51" s="8">
        <f t="shared" si="154"/>
        <v>3.7670107000000002</v>
      </c>
      <c r="AC51" s="8">
        <f t="shared" si="154"/>
        <v>1.6732750599999999</v>
      </c>
      <c r="AD51" s="8">
        <f t="shared" si="154"/>
        <v>1.8303708499999995</v>
      </c>
      <c r="AE51" s="8">
        <f t="shared" si="154"/>
        <v>1.8715516300000008</v>
      </c>
      <c r="AF51" s="8">
        <f t="shared" si="154"/>
        <v>4.4544570500000003</v>
      </c>
      <c r="AG51" s="8">
        <f t="shared" si="154"/>
        <v>1.8040431499999983</v>
      </c>
      <c r="AH51" s="8">
        <f t="shared" si="154"/>
        <v>5.6710799199999986</v>
      </c>
      <c r="AI51" s="8">
        <f t="shared" si="154"/>
        <v>3.7958807800000027</v>
      </c>
      <c r="AJ51" s="8">
        <f t="shared" si="154"/>
        <v>1.407414919999999</v>
      </c>
      <c r="AK51" s="8">
        <f t="shared" si="154"/>
        <v>4.7968039599999983</v>
      </c>
      <c r="AL51" s="8">
        <f t="shared" si="154"/>
        <v>1.1276772600000022</v>
      </c>
      <c r="AM51" s="8">
        <f t="shared" si="154"/>
        <v>5.5228231100000027</v>
      </c>
      <c r="AN51" s="8">
        <f t="shared" si="154"/>
        <v>2.5334051300000002</v>
      </c>
      <c r="AO51" s="8">
        <f t="shared" si="154"/>
        <v>-1.1991108300000004</v>
      </c>
      <c r="AP51" s="8">
        <f t="shared" si="154"/>
        <v>4.1106935199999999</v>
      </c>
      <c r="AQ51" s="8">
        <f t="shared" si="154"/>
        <v>3.1035533699999984</v>
      </c>
      <c r="AR51" s="8">
        <f t="shared" si="154"/>
        <v>1.6608588600000012</v>
      </c>
      <c r="AS51" s="8">
        <f t="shared" si="154"/>
        <v>5.3482364000000011</v>
      </c>
      <c r="AT51" s="8">
        <f t="shared" si="154"/>
        <v>0</v>
      </c>
      <c r="AU51" s="8">
        <f t="shared" si="154"/>
        <v>0</v>
      </c>
      <c r="AV51" s="8">
        <f t="shared" si="154"/>
        <v>0</v>
      </c>
      <c r="AW51" s="8">
        <f t="shared" si="154"/>
        <v>0</v>
      </c>
      <c r="AX51" s="8">
        <f t="shared" si="154"/>
        <v>0</v>
      </c>
      <c r="AY51" s="8">
        <f t="shared" si="154"/>
        <v>0</v>
      </c>
      <c r="AZ51" s="8">
        <f t="shared" ref="AZ51:BK51" si="155">AZ39+AZ45</f>
        <v>15.337746594938032</v>
      </c>
      <c r="BA51" s="8">
        <f t="shared" si="155"/>
        <v>12.853924221733932</v>
      </c>
      <c r="BB51" s="8">
        <f t="shared" si="155"/>
        <v>13.362579070813826</v>
      </c>
      <c r="BC51" s="8">
        <f t="shared" si="155"/>
        <v>12.361732200024221</v>
      </c>
      <c r="BD51" s="8">
        <f t="shared" si="155"/>
        <v>12.195520060027819</v>
      </c>
      <c r="BE51" s="8">
        <f t="shared" si="155"/>
        <v>11.193038329732262</v>
      </c>
      <c r="BF51" s="8">
        <f t="shared" si="155"/>
        <v>11.074074669405956</v>
      </c>
      <c r="BG51" s="8">
        <f t="shared" si="155"/>
        <v>10.645289132980949</v>
      </c>
      <c r="BH51" s="8">
        <f t="shared" si="155"/>
        <v>9.7797323181908418</v>
      </c>
      <c r="BI51" s="8">
        <f t="shared" si="155"/>
        <v>9.6374580235143998</v>
      </c>
      <c r="BJ51" s="8">
        <f t="shared" si="155"/>
        <v>8.9677722491104994</v>
      </c>
      <c r="BK51" s="8">
        <f t="shared" si="155"/>
        <v>8.9892589736564474</v>
      </c>
      <c r="BO51" s="24">
        <f t="shared" ref="BO51:BT51" si="156">BO39+BO45</f>
        <v>5.4449878200000015</v>
      </c>
      <c r="BP51" s="24">
        <f t="shared" si="156"/>
        <v>41.554249887485788</v>
      </c>
      <c r="BQ51" s="24">
        <f t="shared" si="156"/>
        <v>1.3342942999999963</v>
      </c>
      <c r="BR51" s="24">
        <f t="shared" si="156"/>
        <v>7.2706566099999961</v>
      </c>
      <c r="BS51" s="24">
        <f t="shared" si="156"/>
        <v>2.0017088000000012</v>
      </c>
      <c r="BT51" s="24">
        <f t="shared" si="156"/>
        <v>4.8697096599999998</v>
      </c>
    </row>
    <row r="52" spans="1:72" hidden="1" outlineLevel="1" x14ac:dyDescent="0.25">
      <c r="A52" s="11"/>
      <c r="C52" s="2" t="s">
        <v>45</v>
      </c>
      <c r="D52" s="8">
        <f t="shared" ref="D52:AY52" si="157">D40+D46</f>
        <v>17.143265620000001</v>
      </c>
      <c r="E52" s="8">
        <f t="shared" si="157"/>
        <v>4.0670052299999986</v>
      </c>
      <c r="F52" s="8">
        <f t="shared" si="157"/>
        <v>21.684962720000001</v>
      </c>
      <c r="G52" s="8">
        <f t="shared" si="157"/>
        <v>15.884742900000003</v>
      </c>
      <c r="H52" s="8">
        <f t="shared" si="157"/>
        <v>12.498472310000002</v>
      </c>
      <c r="I52" s="8">
        <f t="shared" si="157"/>
        <v>24.183417550000001</v>
      </c>
      <c r="J52" s="8">
        <f t="shared" si="157"/>
        <v>29.387170669999996</v>
      </c>
      <c r="K52" s="8">
        <f t="shared" si="157"/>
        <v>27.822196440000003</v>
      </c>
      <c r="L52" s="8">
        <f t="shared" si="157"/>
        <v>26.394560019999997</v>
      </c>
      <c r="M52" s="8">
        <f t="shared" si="157"/>
        <v>40.078278210000008</v>
      </c>
      <c r="N52" s="8">
        <f t="shared" si="157"/>
        <v>51.455824550000003</v>
      </c>
      <c r="O52" s="8">
        <f t="shared" si="157"/>
        <v>45.338792150000003</v>
      </c>
      <c r="P52" s="8">
        <f t="shared" si="157"/>
        <v>46.828645860000009</v>
      </c>
      <c r="Q52" s="8">
        <f t="shared" si="157"/>
        <v>34.366865129999994</v>
      </c>
      <c r="R52" s="8">
        <f t="shared" si="157"/>
        <v>30.94126198999998</v>
      </c>
      <c r="S52" s="8">
        <f t="shared" si="157"/>
        <v>66.216237010000015</v>
      </c>
      <c r="T52" s="8">
        <f t="shared" si="157"/>
        <v>-10.955559499999993</v>
      </c>
      <c r="U52" s="8">
        <f t="shared" si="157"/>
        <v>-29.506918100000021</v>
      </c>
      <c r="V52" s="8">
        <f t="shared" si="157"/>
        <v>-25.02611555</v>
      </c>
      <c r="W52" s="8">
        <f t="shared" si="157"/>
        <v>-45.204551009999975</v>
      </c>
      <c r="X52" s="8">
        <f t="shared" si="157"/>
        <v>-25.004311219999977</v>
      </c>
      <c r="Y52" s="8">
        <f t="shared" si="157"/>
        <v>-15.81799153</v>
      </c>
      <c r="Z52" s="8">
        <f t="shared" si="157"/>
        <v>-6.4121190600000233</v>
      </c>
      <c r="AA52" s="8">
        <f t="shared" si="157"/>
        <v>3.9429975300000137</v>
      </c>
      <c r="AB52" s="8">
        <f t="shared" si="157"/>
        <v>-18.925211559999994</v>
      </c>
      <c r="AC52" s="8">
        <f t="shared" si="157"/>
        <v>0.42347669999999482</v>
      </c>
      <c r="AD52" s="8">
        <f t="shared" si="157"/>
        <v>52.113744180000005</v>
      </c>
      <c r="AE52" s="8">
        <f t="shared" si="157"/>
        <v>47.480591840000002</v>
      </c>
      <c r="AF52" s="8">
        <f t="shared" si="157"/>
        <v>32.927910809999986</v>
      </c>
      <c r="AG52" s="8">
        <f t="shared" si="157"/>
        <v>23.979625659999982</v>
      </c>
      <c r="AH52" s="8">
        <f t="shared" si="157"/>
        <v>25.112190030000015</v>
      </c>
      <c r="AI52" s="8">
        <f t="shared" si="157"/>
        <v>35.761415829999997</v>
      </c>
      <c r="AJ52" s="8">
        <f t="shared" si="157"/>
        <v>47.750039180000016</v>
      </c>
      <c r="AK52" s="8">
        <f t="shared" si="157"/>
        <v>10.478891680000032</v>
      </c>
      <c r="AL52" s="8">
        <f t="shared" si="157"/>
        <v>68.829356319999988</v>
      </c>
      <c r="AM52" s="8">
        <f t="shared" si="157"/>
        <v>58.919938510000009</v>
      </c>
      <c r="AN52" s="8">
        <f t="shared" si="157"/>
        <v>29.65799508000002</v>
      </c>
      <c r="AO52" s="8">
        <f t="shared" si="157"/>
        <v>40.04803394999999</v>
      </c>
      <c r="AP52" s="8">
        <f t="shared" si="157"/>
        <v>41.891306370000009</v>
      </c>
      <c r="AQ52" s="8">
        <f t="shared" si="157"/>
        <v>40.132638099999966</v>
      </c>
      <c r="AR52" s="8">
        <f t="shared" si="157"/>
        <v>58.681853180000047</v>
      </c>
      <c r="AS52" s="8">
        <f t="shared" si="157"/>
        <v>21.786663820000015</v>
      </c>
      <c r="AT52" s="8">
        <f t="shared" si="157"/>
        <v>0</v>
      </c>
      <c r="AU52" s="8">
        <f t="shared" si="157"/>
        <v>0</v>
      </c>
      <c r="AV52" s="8">
        <f t="shared" si="157"/>
        <v>0</v>
      </c>
      <c r="AW52" s="8">
        <f t="shared" si="157"/>
        <v>0</v>
      </c>
      <c r="AX52" s="8">
        <f t="shared" si="157"/>
        <v>0</v>
      </c>
      <c r="AY52" s="8">
        <f t="shared" si="157"/>
        <v>0</v>
      </c>
      <c r="AZ52" s="8">
        <f t="shared" ref="AZ52:BK52" si="158">AZ40+AZ46</f>
        <v>97.584201410181777</v>
      </c>
      <c r="BA52" s="8">
        <f t="shared" si="158"/>
        <v>107.27038586399328</v>
      </c>
      <c r="BB52" s="8">
        <f t="shared" si="158"/>
        <v>105.31317649616179</v>
      </c>
      <c r="BC52" s="8">
        <f t="shared" si="158"/>
        <v>104.79112707941553</v>
      </c>
      <c r="BD52" s="8">
        <f t="shared" si="158"/>
        <v>106.92513347268704</v>
      </c>
      <c r="BE52" s="8">
        <f t="shared" si="158"/>
        <v>107.24004323275754</v>
      </c>
      <c r="BF52" s="8">
        <f t="shared" si="158"/>
        <v>105.09823399731854</v>
      </c>
      <c r="BG52" s="8">
        <f t="shared" si="158"/>
        <v>110.36271515492564</v>
      </c>
      <c r="BH52" s="8">
        <f t="shared" si="158"/>
        <v>118.73495464312772</v>
      </c>
      <c r="BI52" s="8">
        <f t="shared" si="158"/>
        <v>124.41644934500812</v>
      </c>
      <c r="BJ52" s="8">
        <f t="shared" si="158"/>
        <v>128.28029911684743</v>
      </c>
      <c r="BK52" s="8">
        <f t="shared" si="158"/>
        <v>131.49135370331913</v>
      </c>
      <c r="BO52" s="24">
        <f t="shared" ref="BO52:BT52" si="159">BO40+BO46</f>
        <v>111.59733540000002</v>
      </c>
      <c r="BP52" s="24">
        <f t="shared" si="159"/>
        <v>310.16776377033688</v>
      </c>
      <c r="BQ52" s="24">
        <f t="shared" si="159"/>
        <v>69.706029030000025</v>
      </c>
      <c r="BR52" s="24">
        <f t="shared" si="159"/>
        <v>33.612009319999999</v>
      </c>
      <c r="BS52" s="24">
        <f t="shared" si="159"/>
        <v>112.13677297999999</v>
      </c>
      <c r="BT52" s="24">
        <f t="shared" si="159"/>
        <v>42.895233570000002</v>
      </c>
    </row>
    <row r="53" spans="1:72" collapsed="1" x14ac:dyDescent="0.25">
      <c r="C53" s="3" t="s">
        <v>66</v>
      </c>
      <c r="D53" s="10">
        <f t="shared" ref="D53:AY53" si="160">D41+D47</f>
        <v>4735.6948968100005</v>
      </c>
      <c r="E53" s="10">
        <f t="shared" si="160"/>
        <v>4154.9181376900005</v>
      </c>
      <c r="F53" s="10">
        <f t="shared" si="160"/>
        <v>4912.1533241200004</v>
      </c>
      <c r="G53" s="10">
        <f t="shared" si="160"/>
        <v>4921.4250711700033</v>
      </c>
      <c r="H53" s="10">
        <f t="shared" si="160"/>
        <v>5409.2982969399991</v>
      </c>
      <c r="I53" s="10">
        <f t="shared" si="160"/>
        <v>5327.3355719800011</v>
      </c>
      <c r="J53" s="10">
        <f t="shared" si="160"/>
        <v>5665.2786783500014</v>
      </c>
      <c r="K53" s="10">
        <f t="shared" si="160"/>
        <v>5895.4553844200027</v>
      </c>
      <c r="L53" s="10">
        <f t="shared" si="160"/>
        <v>5831.5074603116991</v>
      </c>
      <c r="M53" s="10">
        <f t="shared" si="160"/>
        <v>6031.5336944500004</v>
      </c>
      <c r="N53" s="10">
        <f t="shared" si="160"/>
        <v>5747.1177332499992</v>
      </c>
      <c r="O53" s="10">
        <f t="shared" si="160"/>
        <v>5810.550275409998</v>
      </c>
      <c r="P53" s="10">
        <f t="shared" si="160"/>
        <v>5586.9932182999992</v>
      </c>
      <c r="Q53" s="10">
        <f t="shared" si="160"/>
        <v>4985.2225320999996</v>
      </c>
      <c r="R53" s="10">
        <f t="shared" si="160"/>
        <v>5196.3518317100006</v>
      </c>
      <c r="S53" s="10">
        <f t="shared" si="160"/>
        <v>5009.2608369200016</v>
      </c>
      <c r="T53" s="10">
        <f t="shared" si="160"/>
        <v>5090.9071946500026</v>
      </c>
      <c r="U53" s="10">
        <f t="shared" si="160"/>
        <v>4746.8677621800007</v>
      </c>
      <c r="V53" s="10">
        <f t="shared" si="160"/>
        <v>4924.9020155799999</v>
      </c>
      <c r="W53" s="10">
        <f t="shared" si="160"/>
        <v>4835.7751674600004</v>
      </c>
      <c r="X53" s="10">
        <f t="shared" si="160"/>
        <v>4680.6676179999968</v>
      </c>
      <c r="Y53" s="10">
        <f t="shared" si="160"/>
        <v>4833.9259880600002</v>
      </c>
      <c r="Z53" s="10">
        <f t="shared" si="160"/>
        <v>4711.5955253599996</v>
      </c>
      <c r="AA53" s="10">
        <f t="shared" si="160"/>
        <v>5070.0954729899986</v>
      </c>
      <c r="AB53" s="10">
        <f t="shared" si="160"/>
        <v>5123.6927629500005</v>
      </c>
      <c r="AC53" s="10">
        <f t="shared" si="160"/>
        <v>4699.8120704400017</v>
      </c>
      <c r="AD53" s="10">
        <f t="shared" si="160"/>
        <v>5442.2839398799952</v>
      </c>
      <c r="AE53" s="10">
        <f t="shared" si="160"/>
        <v>5411.6555102699995</v>
      </c>
      <c r="AF53" s="10">
        <f t="shared" si="160"/>
        <v>5686.6144872299974</v>
      </c>
      <c r="AG53" s="10">
        <f t="shared" si="160"/>
        <v>5620.9907534599997</v>
      </c>
      <c r="AH53" s="10">
        <f t="shared" si="160"/>
        <v>5938.5513914199983</v>
      </c>
      <c r="AI53" s="10">
        <f t="shared" si="160"/>
        <v>6102.0740772999989</v>
      </c>
      <c r="AJ53" s="10">
        <f t="shared" si="160"/>
        <v>6131.4147594599999</v>
      </c>
      <c r="AK53" s="10">
        <f t="shared" si="160"/>
        <v>6607.0903708599999</v>
      </c>
      <c r="AL53" s="10">
        <f t="shared" si="160"/>
        <v>6635.6419528900024</v>
      </c>
      <c r="AM53" s="10">
        <f t="shared" si="160"/>
        <v>7011.6379263499957</v>
      </c>
      <c r="AN53" s="10">
        <f t="shared" si="160"/>
        <v>7031.1713600899993</v>
      </c>
      <c r="AO53" s="10">
        <f t="shared" si="160"/>
        <v>6517.460553840001</v>
      </c>
      <c r="AP53" s="10">
        <f t="shared" si="160"/>
        <v>7335.052555029999</v>
      </c>
      <c r="AQ53" s="10">
        <f t="shared" si="160"/>
        <v>6960.0383213900004</v>
      </c>
      <c r="AR53" s="10">
        <f t="shared" si="160"/>
        <v>7195.6208388399991</v>
      </c>
      <c r="AS53" s="10">
        <f t="shared" si="160"/>
        <v>6983.3334412200029</v>
      </c>
      <c r="AT53" s="10">
        <f t="shared" si="160"/>
        <v>0</v>
      </c>
      <c r="AU53" s="10">
        <f t="shared" si="160"/>
        <v>0</v>
      </c>
      <c r="AV53" s="10">
        <f t="shared" si="160"/>
        <v>0</v>
      </c>
      <c r="AW53" s="10">
        <f t="shared" si="160"/>
        <v>0</v>
      </c>
      <c r="AX53" s="10">
        <f t="shared" si="160"/>
        <v>0</v>
      </c>
      <c r="AY53" s="10">
        <f t="shared" si="160"/>
        <v>0</v>
      </c>
      <c r="AZ53" s="10">
        <f t="shared" ref="AZ53:BK53" si="161">AZ41+AZ47</f>
        <v>7326.1019673277169</v>
      </c>
      <c r="BA53" s="10">
        <f t="shared" si="161"/>
        <v>6694.3703239458</v>
      </c>
      <c r="BB53" s="10">
        <f t="shared" si="161"/>
        <v>7684.0315653068265</v>
      </c>
      <c r="BC53" s="10">
        <f t="shared" si="161"/>
        <v>7786.4472548812864</v>
      </c>
      <c r="BD53" s="10">
        <f t="shared" si="161"/>
        <v>8376.2165477202725</v>
      </c>
      <c r="BE53" s="10">
        <f t="shared" si="161"/>
        <v>8404.5160897535643</v>
      </c>
      <c r="BF53" s="10">
        <f t="shared" si="161"/>
        <v>8964.9042978457528</v>
      </c>
      <c r="BG53" s="10">
        <f t="shared" si="161"/>
        <v>9238.108659656913</v>
      </c>
      <c r="BH53" s="10">
        <f t="shared" si="161"/>
        <v>9202.3684600826327</v>
      </c>
      <c r="BI53" s="10">
        <f t="shared" si="161"/>
        <v>9859.4305868663614</v>
      </c>
      <c r="BJ53" s="10">
        <f t="shared" si="161"/>
        <v>9774.2055037206119</v>
      </c>
      <c r="BK53" s="10">
        <f t="shared" si="161"/>
        <v>10422.818785701322</v>
      </c>
      <c r="BO53" s="23">
        <f t="shared" ref="BO53:BT53" si="162">SUM(BO50:BO52)</f>
        <v>20883.68446896</v>
      </c>
      <c r="BP53" s="23">
        <f t="shared" si="162"/>
        <v>21704.503856580341</v>
      </c>
      <c r="BQ53" s="23">
        <f t="shared" si="162"/>
        <v>13548.631913930001</v>
      </c>
      <c r="BR53" s="23">
        <f t="shared" si="162"/>
        <v>15265.788773270002</v>
      </c>
      <c r="BS53" s="23">
        <f t="shared" si="162"/>
        <v>15768.567582110003</v>
      </c>
      <c r="BT53" s="23">
        <f t="shared" si="162"/>
        <v>13802.766358619998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11" t="s">
        <v>64</v>
      </c>
      <c r="C56" s="2" t="s">
        <v>67</v>
      </c>
      <c r="D56" s="8">
        <f>IFERROR(
GETPIVOTDATA(
"[Base].[Importe]",
TDinamica_R!$A$5,
"[Calendario].[AñoMes]",
"[Calendario].[AñoMes].&amp;[" &amp; TEXT(D$6,"yyyymm") &amp; "]",
"[Base].[Metrica]",
"[Base].[Metrica].&amp;[" &amp; $A56 &amp; "]",
"[Base].[SEGMENTO_DESCRIP]",
"[Base].[SEGMENTO_DESCRIP].&amp;[" &amp; $C$6 &amp; "]",
"[Base].[SITUACION]",
"[Base].[SITUACION].&amp;[" &amp; $C56 &amp; "]"
),0)/1000</f>
        <v>-267.06489359204147</v>
      </c>
      <c r="E56" s="8">
        <f>IFERROR(
GETPIVOTDATA(
"[Base].[Importe]",
TDinamica_R!$A$5,
"[Calendario].[AñoMes]",
"[Calendario].[AñoMes].&amp;[" &amp; TEXT(E$6,"yyyymm") &amp; "]",
"[Base].[Metrica]",
"[Base].[Metrica].&amp;[" &amp; $A56 &amp; "]",
"[Base].[SEGMENTO_DESCRIP]",
"[Base].[SEGMENTO_DESCRIP].&amp;[" &amp; $C$6 &amp; "]",
"[Base].[SITUACION]",
"[Base].[SITUACION].&amp;[" &amp; $C56 &amp; "]"
),0)/1000</f>
        <v>-403.54624737525876</v>
      </c>
      <c r="F56" s="8">
        <f>IFERROR(
GETPIVOTDATA(
"[Base].[Importe]",
TDinamica_R!$A$5,
"[Calendario].[AñoMes]",
"[Calendario].[AñoMes].&amp;[" &amp; TEXT(F$6,"yyyymm") &amp; "]",
"[Base].[Metrica]",
"[Base].[Metrica].&amp;[" &amp; $A56 &amp; "]",
"[Base].[SEGMENTO_DESCRIP]",
"[Base].[SEGMENTO_DESCRIP].&amp;[" &amp; $C$6 &amp; "]",
"[Base].[SITUACION]",
"[Base].[SITUACION].&amp;[" &amp; $C56 &amp; "]"
),0)/1000</f>
        <v>-151.27993572255619</v>
      </c>
      <c r="G56" s="8">
        <f>IFERROR(
GETPIVOTDATA(
"[Base].[Importe]",
TDinamica_R!$A$5,
"[Calendario].[AñoMes]",
"[Calendario].[AñoMes].&amp;[" &amp; TEXT(G$6,"yyyymm") &amp; "]",
"[Base].[Metrica]",
"[Base].[Metrica].&amp;[" &amp; $A56 &amp; "]",
"[Base].[SEGMENTO_DESCRIP]",
"[Base].[SEGMENTO_DESCRIP].&amp;[" &amp; $C$6 &amp; "]",
"[Base].[SITUACION]",
"[Base].[SITUACION].&amp;[" &amp; $C56 &amp; "]"
),0)/1000</f>
        <v>-543.79619838915448</v>
      </c>
      <c r="H56" s="8">
        <f>IFERROR(
GETPIVOTDATA(
"[Base].[Importe]",
TDinamica_R!$A$5,
"[Calendario].[AñoMes]",
"[Calendario].[AñoMes].&amp;[" &amp; TEXT(H$6,"yyyymm") &amp; "]",
"[Base].[Metrica]",
"[Base].[Metrica].&amp;[" &amp; $A56 &amp; "]",
"[Base].[SEGMENTO_DESCRIP]",
"[Base].[SEGMENTO_DESCRIP].&amp;[" &amp; $C$6 &amp; "]",
"[Base].[SITUACION]",
"[Base].[SITUACION].&amp;[" &amp; $C56 &amp; "]"
),0)/1000</f>
        <v>-521.97192569850938</v>
      </c>
      <c r="I56" s="8">
        <f>IFERROR(
GETPIVOTDATA(
"[Base].[Importe]",
TDinamica_R!$A$5,
"[Calendario].[AñoMes]",
"[Calendario].[AñoMes].&amp;[" &amp; TEXT(I$6,"yyyymm") &amp; "]",
"[Base].[Metrica]",
"[Base].[Metrica].&amp;[" &amp; $A56 &amp; "]",
"[Base].[SEGMENTO_DESCRIP]",
"[Base].[SEGMENTO_DESCRIP].&amp;[" &amp; $C$6 &amp; "]",
"[Base].[SITUACION]",
"[Base].[SITUACION].&amp;[" &amp; $C56 &amp; "]"
),0)/1000</f>
        <v>-610.05307057081711</v>
      </c>
      <c r="J56" s="8">
        <f>IFERROR(
GETPIVOTDATA(
"[Base].[Importe]",
TDinamica_R!$A$5,
"[Calendario].[AñoMes]",
"[Calendario].[AñoMes].&amp;[" &amp; TEXT(J$6,"yyyymm") &amp; "]",
"[Base].[Metrica]",
"[Base].[Metrica].&amp;[" &amp; $A56 &amp; "]",
"[Base].[SEGMENTO_DESCRIP]",
"[Base].[SEGMENTO_DESCRIP].&amp;[" &amp; $C$6 &amp; "]",
"[Base].[SITUACION]",
"[Base].[SITUACION].&amp;[" &amp; $C56 &amp; "]"
),0)/1000</f>
        <v>-954.12465286658482</v>
      </c>
      <c r="K56" s="8">
        <f>IFERROR(
GETPIVOTDATA(
"[Base].[Importe]",
TDinamica_R!$A$5,
"[Calendario].[AñoMes]",
"[Calendario].[AñoMes].&amp;[" &amp; TEXT(K$6,"yyyymm") &amp; "]",
"[Base].[Metrica]",
"[Base].[Metrica].&amp;[" &amp; $A56 &amp; "]",
"[Base].[SEGMENTO_DESCRIP]",
"[Base].[SEGMENTO_DESCRIP].&amp;[" &amp; $C$6 &amp; "]",
"[Base].[SITUACION]",
"[Base].[SITUACION].&amp;[" &amp; $C56 &amp; "]"
),0)/1000</f>
        <v>-980.20813410476148</v>
      </c>
      <c r="L56" s="8">
        <f>IFERROR(
GETPIVOTDATA(
"[Base].[Importe]",
TDinamica_R!$A$5,
"[Calendario].[AñoMes]",
"[Calendario].[AñoMes].&amp;[" &amp; TEXT(L$6,"yyyymm") &amp; "]",
"[Base].[Metrica]",
"[Base].[Metrica].&amp;[" &amp; $A56 &amp; "]",
"[Base].[SEGMENTO_DESCRIP]",
"[Base].[SEGMENTO_DESCRIP].&amp;[" &amp; $C$6 &amp; "]",
"[Base].[SITUACION]",
"[Base].[SITUACION].&amp;[" &amp; $C56 &amp; "]"
),0)/1000</f>
        <v>-1068.6131860000116</v>
      </c>
      <c r="M56" s="8">
        <f>IFERROR(
GETPIVOTDATA(
"[Base].[Importe]",
TDinamica_R!$A$5,
"[Calendario].[AñoMes]",
"[Calendario].[AñoMes].&amp;[" &amp; TEXT(M$6,"yyyymm") &amp; "]",
"[Base].[Metrica]",
"[Base].[Metrica].&amp;[" &amp; $A56 &amp; "]",
"[Base].[SEGMENTO_DESCRIP]",
"[Base].[SEGMENTO_DESCRIP].&amp;[" &amp; $C$6 &amp; "]",
"[Base].[SITUACION]",
"[Base].[SITUACION].&amp;[" &amp; $C56 &amp; "]"
),0)/1000</f>
        <v>-1717.3064672844928</v>
      </c>
      <c r="N56" s="8">
        <f>IFERROR(
GETPIVOTDATA(
"[Base].[Importe]",
TDinamica_R!$A$5,
"[Calendario].[AñoMes]",
"[Calendario].[AñoMes].&amp;[" &amp; TEXT(N$6,"yyyymm") &amp; "]",
"[Base].[Metrica]",
"[Base].[Metrica].&amp;[" &amp; $A56 &amp; "]",
"[Base].[SEGMENTO_DESCRIP]",
"[Base].[SEGMENTO_DESCRIP].&amp;[" &amp; $C$6 &amp; "]",
"[Base].[SITUACION]",
"[Base].[SITUACION].&amp;[" &amp; $C56 &amp; "]"
),0)/1000</f>
        <v>-1717.829305007808</v>
      </c>
      <c r="O56" s="8">
        <f>IFERROR(
GETPIVOTDATA(
"[Base].[Importe]",
TDinamica_R!$A$5,
"[Calendario].[AñoMes]",
"[Calendario].[AñoMes].&amp;[" &amp; TEXT(O$6,"yyyymm") &amp; "]",
"[Base].[Metrica]",
"[Base].[Metrica].&amp;[" &amp; $A56 &amp; "]",
"[Base].[SEGMENTO_DESCRIP]",
"[Base].[SEGMENTO_DESCRIP].&amp;[" &amp; $C$6 &amp; "]",
"[Base].[SITUACION]",
"[Base].[SITUACION].&amp;[" &amp; $C56 &amp; "]"
),0)/1000</f>
        <v>-2083.4790325159593</v>
      </c>
      <c r="P56" s="8">
        <f>IFERROR(
GETPIVOTDATA(
"[Base].[Importe]",
TDinamica_R!$A$5,
"[Calendario].[AñoMes]",
"[Calendario].[AñoMes].&amp;[" &amp; TEXT(P$6,"yyyymm") &amp; "]",
"[Base].[Metrica]",
"[Base].[Metrica].&amp;[" &amp; $A56 &amp; "]",
"[Base].[SEGMENTO_DESCRIP]",
"[Base].[SEGMENTO_DESCRIP].&amp;[" &amp; $C$6 &amp; "]",
"[Base].[SITUACION]",
"[Base].[SITUACION].&amp;[" &amp; $C56 &amp; "]"
),0)/1000</f>
        <v>-3289.0125502182923</v>
      </c>
      <c r="Q56" s="8">
        <f>IFERROR(
GETPIVOTDATA(
"[Base].[Importe]",
TDinamica_R!$A$5,
"[Calendario].[AñoMes]",
"[Calendario].[AñoMes].&amp;[" &amp; TEXT(Q$6,"yyyymm") &amp; "]",
"[Base].[Metrica]",
"[Base].[Metrica].&amp;[" &amp; $A56 &amp; "]",
"[Base].[SEGMENTO_DESCRIP]",
"[Base].[SEGMENTO_DESCRIP].&amp;[" &amp; $C$6 &amp; "]",
"[Base].[SITUACION]",
"[Base].[SITUACION].&amp;[" &amp; $C56 &amp; "]"
),0)/1000</f>
        <v>-4856.7222541956944</v>
      </c>
      <c r="R56" s="8">
        <f>IFERROR(
GETPIVOTDATA(
"[Base].[Importe]",
TDinamica_R!$A$5,
"[Calendario].[AñoMes]",
"[Calendario].[AñoMes].&amp;[" &amp; TEXT(R$6,"yyyymm") &amp; "]",
"[Base].[Metrica]",
"[Base].[Metrica].&amp;[" &amp; $A56 &amp; "]",
"[Base].[SEGMENTO_DESCRIP]",
"[Base].[SEGMENTO_DESCRIP].&amp;[" &amp; $C$6 &amp; "]",
"[Base].[SITUACION]",
"[Base].[SITUACION].&amp;[" &amp; $C56 &amp; "]"
),0)/1000</f>
        <v>-6723.7422256931131</v>
      </c>
      <c r="S56" s="8">
        <f>IFERROR(
GETPIVOTDATA(
"[Base].[Importe]",
TDinamica_R!$A$5,
"[Calendario].[AñoMes]",
"[Calendario].[AñoMes].&amp;[" &amp; TEXT(S$6,"yyyymm") &amp; "]",
"[Base].[Metrica]",
"[Base].[Metrica].&amp;[" &amp; $A56 &amp; "]",
"[Base].[SEGMENTO_DESCRIP]",
"[Base].[SEGMENTO_DESCRIP].&amp;[" &amp; $C$6 &amp; "]",
"[Base].[SITUACION]",
"[Base].[SITUACION].&amp;[" &amp; $C56 &amp; "]"
),0)/1000</f>
        <v>-6821.2433822027988</v>
      </c>
      <c r="T56" s="8">
        <f>IFERROR(
GETPIVOTDATA(
"[Base].[Importe]",
TDinamica_R!$A$5,
"[Calendario].[AñoMes]",
"[Calendario].[AñoMes].&amp;[" &amp; TEXT(T$6,"yyyymm") &amp; "]",
"[Base].[Metrica]",
"[Base].[Metrica].&amp;[" &amp; $A56 &amp; "]",
"[Base].[SEGMENTO_DESCRIP]",
"[Base].[SEGMENTO_DESCRIP].&amp;[" &amp; $C$6 &amp; "]",
"[Base].[SITUACION]",
"[Base].[SITUACION].&amp;[" &amp; $C56 &amp; "]"
),0)/1000</f>
        <v>-7306.5594635149391</v>
      </c>
      <c r="U56" s="8">
        <f>IFERROR(
GETPIVOTDATA(
"[Base].[Importe]",
TDinamica_R!$A$5,
"[Calendario].[AñoMes]",
"[Calendario].[AñoMes].&amp;[" &amp; TEXT(U$6,"yyyymm") &amp; "]",
"[Base].[Metrica]",
"[Base].[Metrica].&amp;[" &amp; $A56 &amp; "]",
"[Base].[SEGMENTO_DESCRIP]",
"[Base].[SEGMENTO_DESCRIP].&amp;[" &amp; $C$6 &amp; "]",
"[Base].[SITUACION]",
"[Base].[SITUACION].&amp;[" &amp; $C56 &amp; "]"
),0)/1000</f>
        <v>-7476.6183067655393</v>
      </c>
      <c r="V56" s="8">
        <f>IFERROR(
GETPIVOTDATA(
"[Base].[Importe]",
TDinamica_R!$A$5,
"[Calendario].[AñoMes]",
"[Calendario].[AñoMes].&amp;[" &amp; TEXT(V$6,"yyyymm") &amp; "]",
"[Base].[Metrica]",
"[Base].[Metrica].&amp;[" &amp; $A56 &amp; "]",
"[Base].[SEGMENTO_DESCRIP]",
"[Base].[SEGMENTO_DESCRIP].&amp;[" &amp; $C$6 &amp; "]",
"[Base].[SITUACION]",
"[Base].[SITUACION].&amp;[" &amp; $C56 &amp; "]"
),0)/1000</f>
        <v>-5751.2318280893696</v>
      </c>
      <c r="W56" s="8">
        <f>IFERROR(
GETPIVOTDATA(
"[Base].[Importe]",
TDinamica_R!$A$5,
"[Calendario].[AñoMes]",
"[Calendario].[AñoMes].&amp;[" &amp; TEXT(W$6,"yyyymm") &amp; "]",
"[Base].[Metrica]",
"[Base].[Metrica].&amp;[" &amp; $A56 &amp; "]",
"[Base].[SEGMENTO_DESCRIP]",
"[Base].[SEGMENTO_DESCRIP].&amp;[" &amp; $C$6 &amp; "]",
"[Base].[SITUACION]",
"[Base].[SITUACION].&amp;[" &amp; $C56 &amp; "]"
),0)/1000</f>
        <v>-5009.4468656656381</v>
      </c>
      <c r="X56" s="8">
        <f>IFERROR(
GETPIVOTDATA(
"[Base].[Importe]",
TDinamica_R!$A$5,
"[Calendario].[AñoMes]",
"[Calendario].[AñoMes].&amp;[" &amp; TEXT(X$6,"yyyymm") &amp; "]",
"[Base].[Metrica]",
"[Base].[Metrica].&amp;[" &amp; $A56 &amp; "]",
"[Base].[SEGMENTO_DESCRIP]",
"[Base].[SEGMENTO_DESCRIP].&amp;[" &amp; $C$6 &amp; "]",
"[Base].[SITUACION]",
"[Base].[SITUACION].&amp;[" &amp; $C56 &amp; "]"
),0)/1000</f>
        <v>-3453.7104832397335</v>
      </c>
      <c r="Y56" s="8">
        <f>IFERROR(
GETPIVOTDATA(
"[Base].[Importe]",
TDinamica_R!$A$5,
"[Calendario].[AñoMes]",
"[Calendario].[AñoMes].&amp;[" &amp; TEXT(Y$6,"yyyymm") &amp; "]",
"[Base].[Metrica]",
"[Base].[Metrica].&amp;[" &amp; $A56 &amp; "]",
"[Base].[SEGMENTO_DESCRIP]",
"[Base].[SEGMENTO_DESCRIP].&amp;[" &amp; $C$6 &amp; "]",
"[Base].[SITUACION]",
"[Base].[SITUACION].&amp;[" &amp; $C56 &amp; "]"
),0)/1000</f>
        <v>-4740.5427718200281</v>
      </c>
      <c r="Z56" s="8">
        <f>IFERROR(
GETPIVOTDATA(
"[Base].[Importe]",
TDinamica_R!$A$5,
"[Calendario].[AñoMes]",
"[Calendario].[AñoMes].&amp;[" &amp; TEXT(Z$6,"yyyymm") &amp; "]",
"[Base].[Metrica]",
"[Base].[Metrica].&amp;[" &amp; $A56 &amp; "]",
"[Base].[SEGMENTO_DESCRIP]",
"[Base].[SEGMENTO_DESCRIP].&amp;[" &amp; $C$6 &amp; "]",
"[Base].[SITUACION]",
"[Base].[SITUACION].&amp;[" &amp; $C56 &amp; "]"
),0)/1000</f>
        <v>-2041.9406512260095</v>
      </c>
      <c r="AA56" s="8">
        <f>IFERROR(
GETPIVOTDATA(
"[Base].[Importe]",
TDinamica_R!$A$5,
"[Calendario].[AñoMes]",
"[Calendario].[AñoMes].&amp;[" &amp; TEXT(AA$6,"yyyymm") &amp; "]",
"[Base].[Metrica]",
"[Base].[Metrica].&amp;[" &amp; $A56 &amp; "]",
"[Base].[SEGMENTO_DESCRIP]",
"[Base].[SEGMENTO_DESCRIP].&amp;[" &amp; $C$6 &amp; "]",
"[Base].[SITUACION]",
"[Base].[SITUACION].&amp;[" &amp; $C56 &amp; "]"
),0)/1000</f>
        <v>-2287.8406157775576</v>
      </c>
      <c r="AB56" s="8">
        <f>IFERROR(
GETPIVOTDATA(
"[Base].[Importe]",
TDinamica_R!$A$5,
"[Calendario].[AñoMes]",
"[Calendario].[AñoMes].&amp;[" &amp; TEXT(AB$6,"yyyymm") &amp; "]",
"[Base].[Metrica]",
"[Base].[Metrica].&amp;[" &amp; $A56 &amp; "]",
"[Base].[SEGMENTO_DESCRIP]",
"[Base].[SEGMENTO_DESCRIP].&amp;[" &amp; $C$6 &amp; "]",
"[Base].[SITUACION]",
"[Base].[SITUACION].&amp;[" &amp; $C56 &amp; "]"
),0)/1000</f>
        <v>-3386.0339603028729</v>
      </c>
      <c r="AC56" s="8">
        <f>IFERROR(
GETPIVOTDATA(
"[Base].[Importe]",
TDinamica_R!$A$5,
"[Calendario].[AñoMes]",
"[Calendario].[AñoMes].&amp;[" &amp; TEXT(AC$6,"yyyymm") &amp; "]",
"[Base].[Metrica]",
"[Base].[Metrica].&amp;[" &amp; $A56 &amp; "]",
"[Base].[SEGMENTO_DESCRIP]",
"[Base].[SEGMENTO_DESCRIP].&amp;[" &amp; $C$6 &amp; "]",
"[Base].[SITUACION]",
"[Base].[SITUACION].&amp;[" &amp; $C56 &amp; "]"
),0)/1000</f>
        <v>-993.14383341889561</v>
      </c>
      <c r="AD56" s="8">
        <f>IFERROR(
GETPIVOTDATA(
"[Base].[Importe]",
TDinamica_R!$A$5,
"[Calendario].[AñoMes]",
"[Calendario].[AñoMes].&amp;[" &amp; TEXT(AD$6,"yyyymm") &amp; "]",
"[Base].[Metrica]",
"[Base].[Metrica].&amp;[" &amp; $A56 &amp; "]",
"[Base].[SEGMENTO_DESCRIP]",
"[Base].[SEGMENTO_DESCRIP].&amp;[" &amp; $C$6 &amp; "]",
"[Base].[SITUACION]",
"[Base].[SITUACION].&amp;[" &amp; $C56 &amp; "]"
),0)/1000</f>
        <v>-1274.82458</v>
      </c>
      <c r="AE56" s="8">
        <f>IFERROR(
GETPIVOTDATA(
"[Base].[Importe]",
TDinamica_R!$A$5,
"[Calendario].[AñoMes]",
"[Calendario].[AñoMes].&amp;[" &amp; TEXT(AE$6,"yyyymm") &amp; "]",
"[Base].[Metrica]",
"[Base].[Metrica].&amp;[" &amp; $A56 &amp; "]",
"[Base].[SEGMENTO_DESCRIP]",
"[Base].[SEGMENTO_DESCRIP].&amp;[" &amp; $C$6 &amp; "]",
"[Base].[SITUACION]",
"[Base].[SITUACION].&amp;[" &amp; $C56 &amp; "]"
),0)/1000</f>
        <v>-1725.1995200000001</v>
      </c>
      <c r="AF56" s="8">
        <f>IFERROR(
GETPIVOTDATA(
"[Base].[Importe]",
TDinamica_R!$A$5,
"[Calendario].[AñoMes]",
"[Calendario].[AñoMes].&amp;[" &amp; TEXT(AF$6,"yyyymm") &amp; "]",
"[Base].[Metrica]",
"[Base].[Metrica].&amp;[" &amp; $A56 &amp; "]",
"[Base].[SEGMENTO_DESCRIP]",
"[Base].[SEGMENTO_DESCRIP].&amp;[" &amp; $C$6 &amp; "]",
"[Base].[SITUACION]",
"[Base].[SITUACION].&amp;[" &amp; $C56 &amp; "]"
),0)/1000</f>
        <v>-1656.09007</v>
      </c>
      <c r="AG56" s="8">
        <f>IFERROR(
GETPIVOTDATA(
"[Base].[Importe]",
TDinamica_R!$A$5,
"[Calendario].[AñoMes]",
"[Calendario].[AñoMes].&amp;[" &amp; TEXT(AG$6,"yyyymm") &amp; "]",
"[Base].[Metrica]",
"[Base].[Metrica].&amp;[" &amp; $A56 &amp; "]",
"[Base].[SEGMENTO_DESCRIP]",
"[Base].[SEGMENTO_DESCRIP].&amp;[" &amp; $C$6 &amp; "]",
"[Base].[SITUACION]",
"[Base].[SITUACION].&amp;[" &amp; $C56 &amp; "]"
),0)/1000</f>
        <v>-2636.33491</v>
      </c>
      <c r="AH56" s="8">
        <f>IFERROR(
GETPIVOTDATA(
"[Base].[Importe]",
TDinamica_R!$A$5,
"[Calendario].[AñoMes]",
"[Calendario].[AñoMes].&amp;[" &amp; TEXT(AH$6,"yyyymm") &amp; "]",
"[Base].[Metrica]",
"[Base].[Metrica].&amp;[" &amp; $A56 &amp; "]",
"[Base].[SEGMENTO_DESCRIP]",
"[Base].[SEGMENTO_DESCRIP].&amp;[" &amp; $C$6 &amp; "]",
"[Base].[SITUACION]",
"[Base].[SITUACION].&amp;[" &amp; $C56 &amp; "]"
),0)/1000</f>
        <v>-2281.6833700000002</v>
      </c>
      <c r="AI56" s="8">
        <f>IFERROR(
GETPIVOTDATA(
"[Base].[Importe]",
TDinamica_R!$A$5,
"[Calendario].[AñoMes]",
"[Calendario].[AñoMes].&amp;[" &amp; TEXT(AI$6,"yyyymm") &amp; "]",
"[Base].[Metrica]",
"[Base].[Metrica].&amp;[" &amp; $A56 &amp; "]",
"[Base].[SEGMENTO_DESCRIP]",
"[Base].[SEGMENTO_DESCRIP].&amp;[" &amp; $C$6 &amp; "]",
"[Base].[SITUACION]",
"[Base].[SITUACION].&amp;[" &amp; $C56 &amp; "]"
),0)/1000</f>
        <v>-2590.0578122689199</v>
      </c>
      <c r="AJ56" s="8">
        <f>IFERROR(
GETPIVOTDATA(
"[Base].[Importe]",
TDinamica_R!$A$5,
"[Calendario].[AñoMes]",
"[Calendario].[AñoMes].&amp;[" &amp; TEXT(AJ$6,"yyyymm") &amp; "]",
"[Base].[Metrica]",
"[Base].[Metrica].&amp;[" &amp; $A56 &amp; "]",
"[Base].[SEGMENTO_DESCRIP]",
"[Base].[SEGMENTO_DESCRIP].&amp;[" &amp; $C$6 &amp; "]",
"[Base].[SITUACION]",
"[Base].[SITUACION].&amp;[" &amp; $C56 &amp; "]"
),0)/1000</f>
        <v>-2862.5266440601104</v>
      </c>
      <c r="AK56" s="8">
        <f>IFERROR(
GETPIVOTDATA(
"[Base].[Importe]",
TDinamica_R!$A$5,
"[Calendario].[AñoMes]",
"[Calendario].[AñoMes].&amp;[" &amp; TEXT(AK$6,"yyyymm") &amp; "]",
"[Base].[Metrica]",
"[Base].[Metrica].&amp;[" &amp; $A56 &amp; "]",
"[Base].[SEGMENTO_DESCRIP]",
"[Base].[SEGMENTO_DESCRIP].&amp;[" &amp; $C$6 &amp; "]",
"[Base].[SITUACION]",
"[Base].[SITUACION].&amp;[" &amp; $C56 &amp; "]"
),0)/1000</f>
        <v>-4378.9583784380502</v>
      </c>
      <c r="AL56" s="8">
        <f>IFERROR(
GETPIVOTDATA(
"[Base].[Importe]",
TDinamica_R!$A$5,
"[Calendario].[AñoMes]",
"[Calendario].[AñoMes].&amp;[" &amp; TEXT(AL$6,"yyyymm") &amp; "]",
"[Base].[Metrica]",
"[Base].[Metrica].&amp;[" &amp; $A56 &amp; "]",
"[Base].[SEGMENTO_DESCRIP]",
"[Base].[SEGMENTO_DESCRIP].&amp;[" &amp; $C$6 &amp; "]",
"[Base].[SITUACION]",
"[Base].[SITUACION].&amp;[" &amp; $C56 &amp; "]"
),0)/1000</f>
        <v>-3196.0757605311201</v>
      </c>
      <c r="AM56" s="8">
        <f>IFERROR(
GETPIVOTDATA(
"[Base].[Importe]",
TDinamica_R!$A$5,
"[Calendario].[AñoMes]",
"[Calendario].[AñoMes].&amp;[" &amp; TEXT(AM$6,"yyyymm") &amp; "]",
"[Base].[Metrica]",
"[Base].[Metrica].&amp;[" &amp; $A56 &amp; "]",
"[Base].[SEGMENTO_DESCRIP]",
"[Base].[SEGMENTO_DESCRIP].&amp;[" &amp; $C$6 &amp; "]",
"[Base].[SITUACION]",
"[Base].[SITUACION].&amp;[" &amp; $C56 &amp; "]"
),0)/1000</f>
        <v>-3377.4045824565801</v>
      </c>
      <c r="AN56" s="8">
        <f>IFERROR(
GETPIVOTDATA(
"[Base].[Importe]",
TDinamica_R!$A$5,
"[Calendario].[AñoMes]",
"[Calendario].[AñoMes].&amp;[" &amp; TEXT(AN$6,"yyyymm") &amp; "]",
"[Base].[Metrica]",
"[Base].[Metrica].&amp;[" &amp; $A56 &amp; "]",
"[Base].[SEGMENTO_DESCRIP]",
"[Base].[SEGMENTO_DESCRIP].&amp;[" &amp; $C$6 &amp; "]",
"[Base].[SITUACION]",
"[Base].[SITUACION].&amp;[" &amp; $C56 &amp; "]"
),0)/1000</f>
        <v>-3869.77565</v>
      </c>
      <c r="AO56" s="8">
        <f>IFERROR(
GETPIVOTDATA(
"[Base].[Importe]",
TDinamica_R!$A$5,
"[Calendario].[AñoMes]",
"[Calendario].[AñoMes].&amp;[" &amp; TEXT(AO$6,"yyyymm") &amp; "]",
"[Base].[Metrica]",
"[Base].[Metrica].&amp;[" &amp; $A56 &amp; "]",
"[Base].[SEGMENTO_DESCRIP]",
"[Base].[SEGMENTO_DESCRIP].&amp;[" &amp; $C$6 &amp; "]",
"[Base].[SITUACION]",
"[Base].[SITUACION].&amp;[" &amp; $C56 &amp; "]"
),0)/1000</f>
        <v>-3632.1532099999999</v>
      </c>
      <c r="AP56" s="8">
        <f>IFERROR(
GETPIVOTDATA(
"[Base].[Importe]",
TDinamica_R!$A$5,
"[Calendario].[AñoMes]",
"[Calendario].[AñoMes].&amp;[" &amp; TEXT(AP$6,"yyyymm") &amp; "]",
"[Base].[Metrica]",
"[Base].[Metrica].&amp;[" &amp; $A56 &amp; "]",
"[Base].[SEGMENTO_DESCRIP]",
"[Base].[SEGMENTO_DESCRIP].&amp;[" &amp; $C$6 &amp; "]",
"[Base].[SITUACION]",
"[Base].[SITUACION].&amp;[" &amp; $C56 &amp; "]"
),0)/1000</f>
        <v>-3970.4391700000001</v>
      </c>
      <c r="AQ56" s="8">
        <f>IFERROR(
GETPIVOTDATA(
"[Base].[Importe]",
TDinamica_R!$A$5,
"[Calendario].[AñoMes]",
"[Calendario].[AñoMes].&amp;[" &amp; TEXT(AQ$6,"yyyymm") &amp; "]",
"[Base].[Metrica]",
"[Base].[Metrica].&amp;[" &amp; $A56 &amp; "]",
"[Base].[SEGMENTO_DESCRIP]",
"[Base].[SEGMENTO_DESCRIP].&amp;[" &amp; $C$6 &amp; "]",
"[Base].[SITUACION]",
"[Base].[SITUACION].&amp;[" &amp; $C56 &amp; "]"
),0)/1000</f>
        <v>-4841.9489999999996</v>
      </c>
      <c r="AR56" s="8">
        <f>IFERROR(
GETPIVOTDATA(
"[Base].[Importe]",
TDinamica_R!$A$5,
"[Calendario].[AñoMes]",
"[Calendario].[AñoMes].&amp;[" &amp; TEXT(AR$6,"yyyymm") &amp; "]",
"[Base].[Metrica]",
"[Base].[Metrica].&amp;[" &amp; $A56 &amp; "]",
"[Base].[SEGMENTO_DESCRIP]",
"[Base].[SEGMENTO_DESCRIP].&amp;[" &amp; $C$6 &amp; "]",
"[Base].[SITUACION]",
"[Base].[SITUACION].&amp;[" &amp; $C56 &amp; "]"
),0)/1000</f>
        <v>-3955.9800699999996</v>
      </c>
      <c r="AS56" s="8">
        <f>IFERROR(
GETPIVOTDATA(
"[Base].[Importe]",
TDinamica_R!$A$5,
"[Calendario].[AñoMes]",
"[Calendario].[AñoMes].&amp;[" &amp; TEXT(AS$6,"yyyymm") &amp; "]",
"[Base].[Metrica]",
"[Base].[Metrica].&amp;[" &amp; $A56 &amp; "]",
"[Base].[SEGMENTO_DESCRIP]",
"[Base].[SEGMENTO_DESCRIP].&amp;[" &amp; $C$6 &amp; "]",
"[Base].[SITUACION]",
"[Base].[SITUACION].&amp;[" &amp; $C56 &amp; "]"
),0)/1000</f>
        <v>-5037.6800900000098</v>
      </c>
      <c r="AT56" s="8">
        <f>IFERROR(
GETPIVOTDATA(
"[Base].[Importe]",
TDinamica_R!$A$5,
"[Calendario].[AñoMes]",
"[Calendario].[AñoMes].&amp;[" &amp; TEXT(AT$6,"yyyymm")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U56" s="8">
        <f>IFERROR(
GETPIVOTDATA(
"[Base].[Importe]",
TDinamica_R!$A$5,
"[Calendario].[AñoMes]",
"[Calendario].[AñoMes].&amp;[" &amp; TEXT(AU$6,"yyyymm")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V56" s="8">
        <f>IFERROR(
GETPIVOTDATA(
"[Base].[Importe]",
TDinamica_R!$A$5,
"[Calendario].[AñoMes]",
"[Calendario].[AñoMes].&amp;[" &amp; TEXT(AV$6,"yyyymm")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W56" s="8">
        <f>IFERROR(
GETPIVOTDATA(
"[Base].[Importe]",
TDinamica_R!$A$5,
"[Calendario].[AñoMes]",
"[Calendario].[AñoMes].&amp;[" &amp; TEXT(AW$6,"yyyymm")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X56" s="8">
        <f>IFERROR(
GETPIVOTDATA(
"[Base].[Importe]",
TDinamica_R!$A$5,
"[Calendario].[AñoMes]",
"[Calendario].[AñoMes].&amp;[" &amp; TEXT(AX$6,"yyyymm")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Y56" s="8">
        <f>IFERROR(
GETPIVOTDATA(
"[Base].[Importe]",
TDinamica_R!$A$5,
"[Calendario].[AñoMes]",
"[Calendario].[AñoMes].&amp;[" &amp; TEXT(AY$6,"yyyymm")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Z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TEXT(AZ$6,"yyyymm") &amp; "]"
),
0
)</f>
        <v>-1906.4628538998713</v>
      </c>
      <c r="BA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TEXT(BA$6,"yyyymm") &amp; "]"
),
0
)</f>
        <v>-2772.8848077760954</v>
      </c>
      <c r="BB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TEXT(BB$6,"yyyymm") &amp; "]"
),
0
)</f>
        <v>-2666.0316598947265</v>
      </c>
      <c r="BC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TEXT(BC$6,"yyyymm") &amp; "]"
),
0
)</f>
        <v>-2551.7777003903907</v>
      </c>
      <c r="BD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TEXT(BD$6,"yyyymm") &amp; "]"
),
0
)</f>
        <v>-2542.4078041517309</v>
      </c>
      <c r="BE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TEXT(BE$6,"yyyymm") &amp; "]"
),
0
)</f>
        <v>-2408.6843539056226</v>
      </c>
      <c r="BF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TEXT(BF$6,"yyyymm") &amp; "]"
),
0
)</f>
        <v>-1978.7630665575414</v>
      </c>
      <c r="BG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TEXT(BG$6,"yyyymm") &amp; "]"
),
0
)</f>
        <v>-2671.6128374336031</v>
      </c>
      <c r="BH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TEXT(BH$6,"yyyymm") &amp; "]"
),
0
)</f>
        <v>-2197.9054761151147</v>
      </c>
      <c r="BI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TEXT(BI$6,"yyyymm") &amp; "]"
),
0
)</f>
        <v>-2318.4498447817905</v>
      </c>
      <c r="BJ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TEXT(BJ$6,"yyyymm") &amp; "]"
),
0
)</f>
        <v>-2074.5951258557479</v>
      </c>
      <c r="BK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TEXT(BK$6,"yyyymm") &amp; "]"
),
0
)</f>
        <v>-2521.6395697199364</v>
      </c>
      <c r="BO56" s="24">
        <f t="shared" ref="BO56:BT57" si="163">SUMIFS($D56:$BM56,$D$6:$BM$6,"&gt;="&amp;BO$2,$D$6:$BM$6,"&lt;="&amp;BO$6,$D$5:$BM$5,BO$5)</f>
        <v>-11472.36803</v>
      </c>
      <c r="BP56" s="24">
        <f t="shared" si="163"/>
        <v>-7345.3793215706937</v>
      </c>
      <c r="BQ56" s="24">
        <f t="shared" si="163"/>
        <v>-7501.92886</v>
      </c>
      <c r="BR56" s="24">
        <f t="shared" si="163"/>
        <v>-5654.0023737217689</v>
      </c>
      <c r="BS56" s="24">
        <f t="shared" si="163"/>
        <v>-14869.4770301071</v>
      </c>
      <c r="BT56" s="24">
        <f t="shared" si="163"/>
        <v>-821.89107668985639</v>
      </c>
    </row>
    <row r="57" spans="1:72" hidden="1" outlineLevel="1" x14ac:dyDescent="0.25">
      <c r="A57" s="11" t="s">
        <v>65</v>
      </c>
      <c r="C57" s="2" t="s">
        <v>69</v>
      </c>
      <c r="D57" s="8">
        <f>IFERROR(
GETPIVOTDATA(
"[Base].[Importe]",
TDinamica_R!$A$5,
"[Calendario].[AñoMes]",
"[Calendario].[AñoMes].&amp;[" &amp; TEXT(D$6,"yyyymm") &amp; "]",
"[Base].[Metrica]",
"[Base].[Metrica].&amp;[" &amp; $A57 &amp; "]",
"[Base].[SEGMENTO_DESCRIP]",
"[Base].[SEGMENTO_DESCRIP].&amp;[" &amp; $C$6 &amp; "]",
"[Base].[SITUACION]",
"[Base].[SITUACION].&amp;[" &amp; $C57 &amp; "]"
),0)/1000</f>
        <v>13.048597037315393</v>
      </c>
      <c r="E57" s="8">
        <f>IFERROR(
GETPIVOTDATA(
"[Base].[Importe]",
TDinamica_R!$A$5,
"[Calendario].[AñoMes]",
"[Calendario].[AñoMes].&amp;[" &amp; TEXT(E$6,"yyyymm") &amp; "]",
"[Base].[Metrica]",
"[Base].[Metrica].&amp;[" &amp; $A57 &amp; "]",
"[Base].[SEGMENTO_DESCRIP]",
"[Base].[SEGMENTO_DESCRIP].&amp;[" &amp; $C$6 &amp; "]",
"[Base].[SITUACION]",
"[Base].[SITUACION].&amp;[" &amp; $C57 &amp; "]"
),0)/1000</f>
        <v>3.5524029648208955</v>
      </c>
      <c r="F57" s="8">
        <f>IFERROR(
GETPIVOTDATA(
"[Base].[Importe]",
TDinamica_R!$A$5,
"[Calendario].[AñoMes]",
"[Calendario].[AñoMes].&amp;[" &amp; TEXT(F$6,"yyyymm") &amp; "]",
"[Base].[Metrica]",
"[Base].[Metrica].&amp;[" &amp; $A57 &amp; "]",
"[Base].[SEGMENTO_DESCRIP]",
"[Base].[SEGMENTO_DESCRIP].&amp;[" &amp; $C$6 &amp; "]",
"[Base].[SITUACION]",
"[Base].[SITUACION].&amp;[" &amp; $C57 &amp; "]"
),0)/1000</f>
        <v>9.4728384000844734</v>
      </c>
      <c r="G57" s="8">
        <f>IFERROR(
GETPIVOTDATA(
"[Base].[Importe]",
TDinamica_R!$A$5,
"[Calendario].[AñoMes]",
"[Calendario].[AñoMes].&amp;[" &amp; TEXT(G$6,"yyyymm") &amp; "]",
"[Base].[Metrica]",
"[Base].[Metrica].&amp;[" &amp; $A57 &amp; "]",
"[Base].[SEGMENTO_DESCRIP]",
"[Base].[SEGMENTO_DESCRIP].&amp;[" &amp; $C$6 &amp; "]",
"[Base].[SITUACION]",
"[Base].[SITUACION].&amp;[" &amp; $C57 &amp; "]"
),0)/1000</f>
        <v>6.1769386938218229</v>
      </c>
      <c r="H57" s="8">
        <f>IFERROR(
GETPIVOTDATA(
"[Base].[Importe]",
TDinamica_R!$A$5,
"[Calendario].[AñoMes]",
"[Calendario].[AñoMes].&amp;[" &amp; TEXT(H$6,"yyyymm") &amp; "]",
"[Base].[Metrica]",
"[Base].[Metrica].&amp;[" &amp; $A57 &amp; "]",
"[Base].[SEGMENTO_DESCRIP]",
"[Base].[SEGMENTO_DESCRIP].&amp;[" &amp; $C$6 &amp; "]",
"[Base].[SITUACION]",
"[Base].[SITUACION].&amp;[" &amp; $C57 &amp; "]"
),0)/1000</f>
        <v>7.2568187100833965</v>
      </c>
      <c r="I57" s="8">
        <f>IFERROR(
GETPIVOTDATA(
"[Base].[Importe]",
TDinamica_R!$A$5,
"[Calendario].[AñoMes]",
"[Calendario].[AñoMes].&amp;[" &amp; TEXT(I$6,"yyyymm") &amp; "]",
"[Base].[Metrica]",
"[Base].[Metrica].&amp;[" &amp; $A57 &amp; "]",
"[Base].[SEGMENTO_DESCRIP]",
"[Base].[SEGMENTO_DESCRIP].&amp;[" &amp; $C$6 &amp; "]",
"[Base].[SITUACION]",
"[Base].[SITUACION].&amp;[" &amp; $C57 &amp; "]"
),0)/1000</f>
        <v>8.2760764010055308</v>
      </c>
      <c r="J57" s="8">
        <f>IFERROR(
GETPIVOTDATA(
"[Base].[Importe]",
TDinamica_R!$A$5,
"[Calendario].[AñoMes]",
"[Calendario].[AñoMes].&amp;[" &amp; TEXT(J$6,"yyyymm") &amp; "]",
"[Base].[Metrica]",
"[Base].[Metrica].&amp;[" &amp; $A57 &amp; "]",
"[Base].[SEGMENTO_DESCRIP]",
"[Base].[SEGMENTO_DESCRIP].&amp;[" &amp; $C$6 &amp; "]",
"[Base].[SITUACION]",
"[Base].[SITUACION].&amp;[" &amp; $C57 &amp; "]"
),0)/1000</f>
        <v>7.3523407548237367</v>
      </c>
      <c r="K57" s="8">
        <f>IFERROR(
GETPIVOTDATA(
"[Base].[Importe]",
TDinamica_R!$A$5,
"[Calendario].[AñoMes]",
"[Calendario].[AñoMes].&amp;[" &amp; TEXT(K$6,"yyyymm") &amp; "]",
"[Base].[Metrica]",
"[Base].[Metrica].&amp;[" &amp; $A57 &amp; "]",
"[Base].[SEGMENTO_DESCRIP]",
"[Base].[SEGMENTO_DESCRIP].&amp;[" &amp; $C$6 &amp; "]",
"[Base].[SITUACION]",
"[Base].[SITUACION].&amp;[" &amp; $C57 &amp; "]"
),0)/1000</f>
        <v>6.919391775266388</v>
      </c>
      <c r="L57" s="8">
        <f>IFERROR(
GETPIVOTDATA(
"[Base].[Importe]",
TDinamica_R!$A$5,
"[Calendario].[AñoMes]",
"[Calendario].[AñoMes].&amp;[" &amp; TEXT(L$6,"yyyymm") &amp; "]",
"[Base].[Metrica]",
"[Base].[Metrica].&amp;[" &amp; $A57 &amp; "]",
"[Base].[SEGMENTO_DESCRIP]",
"[Base].[SEGMENTO_DESCRIP].&amp;[" &amp; $C$6 &amp; "]",
"[Base].[SITUACION]",
"[Base].[SITUACION].&amp;[" &amp; $C57 &amp; "]"
),0)/1000</f>
        <v>2.0509603940314589</v>
      </c>
      <c r="M57" s="8">
        <f>IFERROR(
GETPIVOTDATA(
"[Base].[Importe]",
TDinamica_R!$A$5,
"[Calendario].[AñoMes]",
"[Calendario].[AñoMes].&amp;[" &amp; TEXT(M$6,"yyyymm") &amp; "]",
"[Base].[Metrica]",
"[Base].[Metrica].&amp;[" &amp; $A57 &amp; "]",
"[Base].[SEGMENTO_DESCRIP]",
"[Base].[SEGMENTO_DESCRIP].&amp;[" &amp; $C$6 &amp; "]",
"[Base].[SITUACION]",
"[Base].[SITUACION].&amp;[" &amp; $C57 &amp; "]"
),0)/1000</f>
        <v>10.359098260813251</v>
      </c>
      <c r="N57" s="8">
        <f>IFERROR(
GETPIVOTDATA(
"[Base].[Importe]",
TDinamica_R!$A$5,
"[Calendario].[AñoMes]",
"[Calendario].[AñoMes].&amp;[" &amp; TEXT(N$6,"yyyymm") &amp; "]",
"[Base].[Metrica]",
"[Base].[Metrica].&amp;[" &amp; $A57 &amp; "]",
"[Base].[SEGMENTO_DESCRIP]",
"[Base].[SEGMENTO_DESCRIP].&amp;[" &amp; $C$6 &amp; "]",
"[Base].[SITUACION]",
"[Base].[SITUACION].&amp;[" &amp; $C57 &amp; "]"
),0)/1000</f>
        <v>7.6326292424641835</v>
      </c>
      <c r="O57" s="8">
        <f>IFERROR(
GETPIVOTDATA(
"[Base].[Importe]",
TDinamica_R!$A$5,
"[Calendario].[AñoMes]",
"[Calendario].[AñoMes].&amp;[" &amp; TEXT(O$6,"yyyymm") &amp; "]",
"[Base].[Metrica]",
"[Base].[Metrica].&amp;[" &amp; $A57 &amp; "]",
"[Base].[SEGMENTO_DESCRIP]",
"[Base].[SEGMENTO_DESCRIP].&amp;[" &amp; $C$6 &amp; "]",
"[Base].[SITUACION]",
"[Base].[SITUACION].&amp;[" &amp; $C57 &amp; "]"
),0)/1000</f>
        <v>7.6723421469492799</v>
      </c>
      <c r="P57" s="8">
        <f>IFERROR(
GETPIVOTDATA(
"[Base].[Importe]",
TDinamica_R!$A$5,
"[Calendario].[AñoMes]",
"[Calendario].[AñoMes].&amp;[" &amp; TEXT(P$6,"yyyymm") &amp; "]",
"[Base].[Metrica]",
"[Base].[Metrica].&amp;[" &amp; $A57 &amp; "]",
"[Base].[SEGMENTO_DESCRIP]",
"[Base].[SEGMENTO_DESCRIP].&amp;[" &amp; $C$6 &amp; "]",
"[Base].[SITUACION]",
"[Base].[SITUACION].&amp;[" &amp; $C57 &amp; "]"
),0)/1000</f>
        <v>0.63143999999999989</v>
      </c>
      <c r="Q57" s="8">
        <f>IFERROR(
GETPIVOTDATA(
"[Base].[Importe]",
TDinamica_R!$A$5,
"[Calendario].[AñoMes]",
"[Calendario].[AñoMes].&amp;[" &amp; TEXT(Q$6,"yyyymm") &amp; "]",
"[Base].[Metrica]",
"[Base].[Metrica].&amp;[" &amp; $A57 &amp; "]",
"[Base].[SEGMENTO_DESCRIP]",
"[Base].[SEGMENTO_DESCRIP].&amp;[" &amp; $C$6 &amp; "]",
"[Base].[SITUACION]",
"[Base].[SITUACION].&amp;[" &amp; $C57 &amp; "]"
),0)/1000</f>
        <v>3.81148</v>
      </c>
      <c r="R57" s="8">
        <f>IFERROR(
GETPIVOTDATA(
"[Base].[Importe]",
TDinamica_R!$A$5,
"[Calendario].[AñoMes]",
"[Calendario].[AñoMes].&amp;[" &amp; TEXT(R$6,"yyyymm") &amp; "]",
"[Base].[Metrica]",
"[Base].[Metrica].&amp;[" &amp; $A57 &amp; "]",
"[Base].[SEGMENTO_DESCRIP]",
"[Base].[SEGMENTO_DESCRIP].&amp;[" &amp; $C$6 &amp; "]",
"[Base].[SITUACION]",
"[Base].[SITUACION].&amp;[" &amp; $C57 &amp; "]"
),0)/1000</f>
        <v>65.002809999999997</v>
      </c>
      <c r="S57" s="8">
        <f>IFERROR(
GETPIVOTDATA(
"[Base].[Importe]",
TDinamica_R!$A$5,
"[Calendario].[AñoMes]",
"[Calendario].[AñoMes].&amp;[" &amp; TEXT(S$6,"yyyymm") &amp; "]",
"[Base].[Metrica]",
"[Base].[Metrica].&amp;[" &amp; $A57 &amp; "]",
"[Base].[SEGMENTO_DESCRIP]",
"[Base].[SEGMENTO_DESCRIP].&amp;[" &amp; $C$6 &amp; "]",
"[Base].[SITUACION]",
"[Base].[SITUACION].&amp;[" &amp; $C57 &amp; "]"
),0)/1000</f>
        <v>23.585459999999998</v>
      </c>
      <c r="T57" s="8">
        <f>IFERROR(
GETPIVOTDATA(
"[Base].[Importe]",
TDinamica_R!$A$5,
"[Calendario].[AñoMes]",
"[Calendario].[AñoMes].&amp;[" &amp; TEXT(T$6,"yyyymm") &amp; "]",
"[Base].[Metrica]",
"[Base].[Metrica].&amp;[" &amp; $A57 &amp; "]",
"[Base].[SEGMENTO_DESCRIP]",
"[Base].[SEGMENTO_DESCRIP].&amp;[" &amp; $C$6 &amp; "]",
"[Base].[SITUACION]",
"[Base].[SITUACION].&amp;[" &amp; $C57 &amp; "]"
),0)/1000</f>
        <v>32.013810000000007</v>
      </c>
      <c r="U57" s="8">
        <f>IFERROR(
GETPIVOTDATA(
"[Base].[Importe]",
TDinamica_R!$A$5,
"[Calendario].[AñoMes]",
"[Calendario].[AñoMes].&amp;[" &amp; TEXT(U$6,"yyyymm") &amp; "]",
"[Base].[Metrica]",
"[Base].[Metrica].&amp;[" &amp; $A57 &amp; "]",
"[Base].[SEGMENTO_DESCRIP]",
"[Base].[SEGMENTO_DESCRIP].&amp;[" &amp; $C$6 &amp; "]",
"[Base].[SITUACION]",
"[Base].[SITUACION].&amp;[" &amp; $C57 &amp; "]"
),0)/1000</f>
        <v>78.760949999999994</v>
      </c>
      <c r="V57" s="8">
        <f>IFERROR(
GETPIVOTDATA(
"[Base].[Importe]",
TDinamica_R!$A$5,
"[Calendario].[AñoMes]",
"[Calendario].[AñoMes].&amp;[" &amp; TEXT(V$6,"yyyymm") &amp; "]",
"[Base].[Metrica]",
"[Base].[Metrica].&amp;[" &amp; $A57 &amp; "]",
"[Base].[SEGMENTO_DESCRIP]",
"[Base].[SEGMENTO_DESCRIP].&amp;[" &amp; $C$6 &amp; "]",
"[Base].[SITUACION]",
"[Base].[SITUACION].&amp;[" &amp; $C57 &amp; "]"
),0)/1000</f>
        <v>132.36883</v>
      </c>
      <c r="W57" s="8">
        <f>IFERROR(
GETPIVOTDATA(
"[Base].[Importe]",
TDinamica_R!$A$5,
"[Calendario].[AñoMes]",
"[Calendario].[AñoMes].&amp;[" &amp; TEXT(W$6,"yyyymm") &amp; "]",
"[Base].[Metrica]",
"[Base].[Metrica].&amp;[" &amp; $A57 &amp; "]",
"[Base].[SEGMENTO_DESCRIP]",
"[Base].[SEGMENTO_DESCRIP].&amp;[" &amp; $C$6 &amp; "]",
"[Base].[SITUACION]",
"[Base].[SITUACION].&amp;[" &amp; $C57 &amp; "]"
),0)/1000</f>
        <v>166.83781999999999</v>
      </c>
      <c r="X57" s="8">
        <f>IFERROR(
GETPIVOTDATA(
"[Base].[Importe]",
TDinamica_R!$A$5,
"[Calendario].[AñoMes]",
"[Calendario].[AñoMes].&amp;[" &amp; TEXT(X$6,"yyyymm") &amp; "]",
"[Base].[Metrica]",
"[Base].[Metrica].&amp;[" &amp; $A57 &amp; "]",
"[Base].[SEGMENTO_DESCRIP]",
"[Base].[SEGMENTO_DESCRIP].&amp;[" &amp; $C$6 &amp; "]",
"[Base].[SITUACION]",
"[Base].[SITUACION].&amp;[" &amp; $C57 &amp; "]"
),0)/1000</f>
        <v>229.08429999999998</v>
      </c>
      <c r="Y57" s="8">
        <f>IFERROR(
GETPIVOTDATA(
"[Base].[Importe]",
TDinamica_R!$A$5,
"[Calendario].[AñoMes]",
"[Calendario].[AñoMes].&amp;[" &amp; TEXT(Y$6,"yyyymm") &amp; "]",
"[Base].[Metrica]",
"[Base].[Metrica].&amp;[" &amp; $A57 &amp; "]",
"[Base].[SEGMENTO_DESCRIP]",
"[Base].[SEGMENTO_DESCRIP].&amp;[" &amp; $C$6 &amp; "]",
"[Base].[SITUACION]",
"[Base].[SITUACION].&amp;[" &amp; $C57 &amp; "]"
),0)/1000</f>
        <v>242.32575</v>
      </c>
      <c r="Z57" s="8">
        <f>IFERROR(
GETPIVOTDATA(
"[Base].[Importe]",
TDinamica_R!$A$5,
"[Calendario].[AñoMes]",
"[Calendario].[AñoMes].&amp;[" &amp; TEXT(Z$6,"yyyymm") &amp; "]",
"[Base].[Metrica]",
"[Base].[Metrica].&amp;[" &amp; $A57 &amp; "]",
"[Base].[SEGMENTO_DESCRIP]",
"[Base].[SEGMENTO_DESCRIP].&amp;[" &amp; $C$6 &amp; "]",
"[Base].[SITUACION]",
"[Base].[SITUACION].&amp;[" &amp; $C57 &amp; "]"
),0)/1000</f>
        <v>145.47041000000002</v>
      </c>
      <c r="AA57" s="8">
        <f>IFERROR(
GETPIVOTDATA(
"[Base].[Importe]",
TDinamica_R!$A$5,
"[Calendario].[AñoMes]",
"[Calendario].[AñoMes].&amp;[" &amp; TEXT(AA$6,"yyyymm") &amp; "]",
"[Base].[Metrica]",
"[Base].[Metrica].&amp;[" &amp; $A57 &amp; "]",
"[Base].[SEGMENTO_DESCRIP]",
"[Base].[SEGMENTO_DESCRIP].&amp;[" &amp; $C$6 &amp; "]",
"[Base].[SITUACION]",
"[Base].[SITUACION].&amp;[" &amp; $C57 &amp; "]"
),0)/1000</f>
        <v>130.33353</v>
      </c>
      <c r="AB57" s="8">
        <f>IFERROR(
GETPIVOTDATA(
"[Base].[Importe]",
TDinamica_R!$A$5,
"[Calendario].[AñoMes]",
"[Calendario].[AñoMes].&amp;[" &amp; TEXT(AB$6,"yyyymm") &amp; "]",
"[Base].[Metrica]",
"[Base].[Metrica].&amp;[" &amp; $A57 &amp; "]",
"[Base].[SEGMENTO_DESCRIP]",
"[Base].[SEGMENTO_DESCRIP].&amp;[" &amp; $C$6 &amp; "]",
"[Base].[SITUACION]",
"[Base].[SITUACION].&amp;[" &amp; $C57 &amp; "]"
),0)/1000</f>
        <v>138.72460999999998</v>
      </c>
      <c r="AC57" s="8">
        <f>IFERROR(
GETPIVOTDATA(
"[Base].[Importe]",
TDinamica_R!$A$5,
"[Calendario].[AñoMes]",
"[Calendario].[AñoMes].&amp;[" &amp; TEXT(AC$6,"yyyymm") &amp; "]",
"[Base].[Metrica]",
"[Base].[Metrica].&amp;[" &amp; $A57 &amp; "]",
"[Base].[SEGMENTO_DESCRIP]",
"[Base].[SEGMENTO_DESCRIP].&amp;[" &amp; $C$6 &amp; "]",
"[Base].[SITUACION]",
"[Base].[SITUACION].&amp;[" &amp; $C57 &amp; "]"
),0)/1000</f>
        <v>189.83366999999998</v>
      </c>
      <c r="AD57" s="8">
        <f>IFERROR(
GETPIVOTDATA(
"[Base].[Importe]",
TDinamica_R!$A$5,
"[Calendario].[AñoMes]",
"[Calendario].[AñoMes].&amp;[" &amp; TEXT(AD$6,"yyyymm") &amp; "]",
"[Base].[Metrica]",
"[Base].[Metrica].&amp;[" &amp; $A57 &amp; "]",
"[Base].[SEGMENTO_DESCRIP]",
"[Base].[SEGMENTO_DESCRIP].&amp;[" &amp; $C$6 &amp; "]",
"[Base].[SITUACION]",
"[Base].[SITUACION].&amp;[" &amp; $C57 &amp; "]"
),0)/1000</f>
        <v>318.19670000000002</v>
      </c>
      <c r="AE57" s="8">
        <f>IFERROR(
GETPIVOTDATA(
"[Base].[Importe]",
TDinamica_R!$A$5,
"[Calendario].[AñoMes]",
"[Calendario].[AñoMes].&amp;[" &amp; TEXT(AE$6,"yyyymm") &amp; "]",
"[Base].[Metrica]",
"[Base].[Metrica].&amp;[" &amp; $A57 &amp; "]",
"[Base].[SEGMENTO_DESCRIP]",
"[Base].[SEGMENTO_DESCRIP].&amp;[" &amp; $C$6 &amp; "]",
"[Base].[SITUACION]",
"[Base].[SITUACION].&amp;[" &amp; $C57 &amp; "]"
),0)/1000</f>
        <v>111.95375</v>
      </c>
      <c r="AF57" s="8">
        <f>IFERROR(
GETPIVOTDATA(
"[Base].[Importe]",
TDinamica_R!$A$5,
"[Calendario].[AñoMes]",
"[Calendario].[AñoMes].&amp;[" &amp; TEXT(AF$6,"yyyymm") &amp; "]",
"[Base].[Metrica]",
"[Base].[Metrica].&amp;[" &amp; $A57 &amp; "]",
"[Base].[SEGMENTO_DESCRIP]",
"[Base].[SEGMENTO_DESCRIP].&amp;[" &amp; $C$6 &amp; "]",
"[Base].[SITUACION]",
"[Base].[SITUACION].&amp;[" &amp; $C57 &amp; "]"
),0)/1000</f>
        <v>190.90635999999998</v>
      </c>
      <c r="AG57" s="8">
        <f>IFERROR(
GETPIVOTDATA(
"[Base].[Importe]",
TDinamica_R!$A$5,
"[Calendario].[AñoMes]",
"[Calendario].[AñoMes].&amp;[" &amp; TEXT(AG$6,"yyyymm") &amp; "]",
"[Base].[Metrica]",
"[Base].[Metrica].&amp;[" &amp; $A57 &amp; "]",
"[Base].[SEGMENTO_DESCRIP]",
"[Base].[SEGMENTO_DESCRIP].&amp;[" &amp; $C$6 &amp; "]",
"[Base].[SITUACION]",
"[Base].[SITUACION].&amp;[" &amp; $C57 &amp; "]"
),0)/1000</f>
        <v>252.44248999999999</v>
      </c>
      <c r="AH57" s="8">
        <f>IFERROR(
GETPIVOTDATA(
"[Base].[Importe]",
TDinamica_R!$A$5,
"[Calendario].[AñoMes]",
"[Calendario].[AñoMes].&amp;[" &amp; TEXT(AH$6,"yyyymm") &amp; "]",
"[Base].[Metrica]",
"[Base].[Metrica].&amp;[" &amp; $A57 &amp; "]",
"[Base].[SEGMENTO_DESCRIP]",
"[Base].[SEGMENTO_DESCRIP].&amp;[" &amp; $C$6 &amp; "]",
"[Base].[SITUACION]",
"[Base].[SITUACION].&amp;[" &amp; $C57 &amp; "]"
),0)/1000</f>
        <v>106.90656</v>
      </c>
      <c r="AI57" s="8">
        <f>IFERROR(
GETPIVOTDATA(
"[Base].[Importe]",
TDinamica_R!$A$5,
"[Calendario].[AñoMes]",
"[Calendario].[AñoMes].&amp;[" &amp; TEXT(AI$6,"yyyymm") &amp; "]",
"[Base].[Metrica]",
"[Base].[Metrica].&amp;[" &amp; $A57 &amp; "]",
"[Base].[SEGMENTO_DESCRIP]",
"[Base].[SEGMENTO_DESCRIP].&amp;[" &amp; $C$6 &amp; "]",
"[Base].[SITUACION]",
"[Base].[SITUACION].&amp;[" &amp; $C57 &amp; "]"
),0)/1000</f>
        <v>130.98621</v>
      </c>
      <c r="AJ57" s="8">
        <f>IFERROR(
GETPIVOTDATA(
"[Base].[Importe]",
TDinamica_R!$A$5,
"[Calendario].[AñoMes]",
"[Calendario].[AñoMes].&amp;[" &amp; TEXT(AJ$6,"yyyymm") &amp; "]",
"[Base].[Metrica]",
"[Base].[Metrica].&amp;[" &amp; $A57 &amp; "]",
"[Base].[SEGMENTO_DESCRIP]",
"[Base].[SEGMENTO_DESCRIP].&amp;[" &amp; $C$6 &amp; "]",
"[Base].[SITUACION]",
"[Base].[SITUACION].&amp;[" &amp; $C57 &amp; "]"
),0)/1000</f>
        <v>113.33150000000001</v>
      </c>
      <c r="AK57" s="8">
        <f>IFERROR(
GETPIVOTDATA(
"[Base].[Importe]",
TDinamica_R!$A$5,
"[Calendario].[AñoMes]",
"[Calendario].[AñoMes].&amp;[" &amp; TEXT(AK$6,"yyyymm") &amp; "]",
"[Base].[Metrica]",
"[Base].[Metrica].&amp;[" &amp; $A57 &amp; "]",
"[Base].[SEGMENTO_DESCRIP]",
"[Base].[SEGMENTO_DESCRIP].&amp;[" &amp; $C$6 &amp; "]",
"[Base].[SITUACION]",
"[Base].[SITUACION].&amp;[" &amp; $C57 &amp; "]"
),0)/1000</f>
        <v>124.66419999999999</v>
      </c>
      <c r="AL57" s="8">
        <f>IFERROR(
GETPIVOTDATA(
"[Base].[Importe]",
TDinamica_R!$A$5,
"[Calendario].[AñoMes]",
"[Calendario].[AñoMes].&amp;[" &amp; TEXT(AL$6,"yyyymm") &amp; "]",
"[Base].[Metrica]",
"[Base].[Metrica].&amp;[" &amp; $A57 &amp; "]",
"[Base].[SEGMENTO_DESCRIP]",
"[Base].[SEGMENTO_DESCRIP].&amp;[" &amp; $C$6 &amp; "]",
"[Base].[SITUACION]",
"[Base].[SITUACION].&amp;[" &amp; $C57 &amp; "]"
),0)/1000</f>
        <v>181.08850000000001</v>
      </c>
      <c r="AM57" s="8">
        <f>IFERROR(
GETPIVOTDATA(
"[Base].[Importe]",
TDinamica_R!$A$5,
"[Calendario].[AñoMes]",
"[Calendario].[AñoMes].&amp;[" &amp; TEXT(AM$6,"yyyymm") &amp; "]",
"[Base].[Metrica]",
"[Base].[Metrica].&amp;[" &amp; $A57 &amp; "]",
"[Base].[SEGMENTO_DESCRIP]",
"[Base].[SEGMENTO_DESCRIP].&amp;[" &amp; $C$6 &amp; "]",
"[Base].[SITUACION]",
"[Base].[SITUACION].&amp;[" &amp; $C57 &amp; "]"
),0)/1000</f>
        <v>133.70099999999999</v>
      </c>
      <c r="AN57" s="8">
        <f>IFERROR(
GETPIVOTDATA(
"[Base].[Importe]",
TDinamica_R!$A$5,
"[Calendario].[AñoMes]",
"[Calendario].[AñoMes].&amp;[" &amp; TEXT(AN$6,"yyyymm") &amp; "]",
"[Base].[Metrica]",
"[Base].[Metrica].&amp;[" &amp; $A57 &amp; "]",
"[Base].[SEGMENTO_DESCRIP]",
"[Base].[SEGMENTO_DESCRIP].&amp;[" &amp; $C$6 &amp; "]",
"[Base].[SITUACION]",
"[Base].[SITUACION].&amp;[" &amp; $C57 &amp; "]"
),0)/1000</f>
        <v>180.44289999999998</v>
      </c>
      <c r="AO57" s="8">
        <f>IFERROR(
GETPIVOTDATA(
"[Base].[Importe]",
TDinamica_R!$A$5,
"[Calendario].[AñoMes]",
"[Calendario].[AñoMes].&amp;[" &amp; TEXT(AO$6,"yyyymm") &amp; "]",
"[Base].[Metrica]",
"[Base].[Metrica].&amp;[" &amp; $A57 &amp; "]",
"[Base].[SEGMENTO_DESCRIP]",
"[Base].[SEGMENTO_DESCRIP].&amp;[" &amp; $C$6 &amp; "]",
"[Base].[SITUACION]",
"[Base].[SITUACION].&amp;[" &amp; $C57 &amp; "]"
),0)/1000</f>
        <v>46.181129999999996</v>
      </c>
      <c r="AP57" s="8">
        <f>IFERROR(
GETPIVOTDATA(
"[Base].[Importe]",
TDinamica_R!$A$5,
"[Calendario].[AñoMes]",
"[Calendario].[AñoMes].&amp;[" &amp; TEXT(AP$6,"yyyymm") &amp; "]",
"[Base].[Metrica]",
"[Base].[Metrica].&amp;[" &amp; $A57 &amp; "]",
"[Base].[SEGMENTO_DESCRIP]",
"[Base].[SEGMENTO_DESCRIP].&amp;[" &amp; $C$6 &amp; "]",
"[Base].[SITUACION]",
"[Base].[SITUACION].&amp;[" &amp; $C57 &amp; "]"
),0)/1000</f>
        <v>87.057190000000006</v>
      </c>
      <c r="AQ57" s="8">
        <f>IFERROR(
GETPIVOTDATA(
"[Base].[Importe]",
TDinamica_R!$A$5,
"[Calendario].[AñoMes]",
"[Calendario].[AñoMes].&amp;[" &amp; TEXT(AQ$6,"yyyymm") &amp; "]",
"[Base].[Metrica]",
"[Base].[Metrica].&amp;[" &amp; $A57 &amp; "]",
"[Base].[SEGMENTO_DESCRIP]",
"[Base].[SEGMENTO_DESCRIP].&amp;[" &amp; $C$6 &amp; "]",
"[Base].[SITUACION]",
"[Base].[SITUACION].&amp;[" &amp; $C57 &amp; "]"
),0)/1000</f>
        <v>243.25316000000001</v>
      </c>
      <c r="AR57" s="8">
        <f>IFERROR(
GETPIVOTDATA(
"[Base].[Importe]",
TDinamica_R!$A$5,
"[Calendario].[AñoMes]",
"[Calendario].[AñoMes].&amp;[" &amp; TEXT(AR$6,"yyyymm") &amp; "]",
"[Base].[Metrica]",
"[Base].[Metrica].&amp;[" &amp; $A57 &amp; "]",
"[Base].[SEGMENTO_DESCRIP]",
"[Base].[SEGMENTO_DESCRIP].&amp;[" &amp; $C$6 &amp; "]",
"[Base].[SITUACION]",
"[Base].[SITUACION].&amp;[" &amp; $C57 &amp; "]"
),0)/1000</f>
        <v>135.48176999999998</v>
      </c>
      <c r="AS57" s="8">
        <f>IFERROR(
GETPIVOTDATA(
"[Base].[Importe]",
TDinamica_R!$A$5,
"[Calendario].[AñoMes]",
"[Calendario].[AñoMes].&amp;[" &amp; TEXT(AS$6,"yyyymm") &amp; "]",
"[Base].[Metrica]",
"[Base].[Metrica].&amp;[" &amp; $A57 &amp; "]",
"[Base].[SEGMENTO_DESCRIP]",
"[Base].[SEGMENTO_DESCRIP].&amp;[" &amp; $C$6 &amp; "]",
"[Base].[SITUACION]",
"[Base].[SITUACION].&amp;[" &amp; $C57 &amp; "]"
),0)/1000</f>
        <v>87.492159999999998</v>
      </c>
      <c r="AT57" s="8">
        <f>IFERROR(
GETPIVOTDATA(
"[Base].[Importe]",
TDinamica_R!$A$5,
"[Calendario].[AñoMes]",
"[Calendario].[AñoMes].&amp;[" &amp; TEXT(AT$6,"yyyymm")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U57" s="8">
        <f>IFERROR(
GETPIVOTDATA(
"[Base].[Importe]",
TDinamica_R!$A$5,
"[Calendario].[AñoMes]",
"[Calendario].[AñoMes].&amp;[" &amp; TEXT(AU$6,"yyyymm")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V57" s="8">
        <f>IFERROR(
GETPIVOTDATA(
"[Base].[Importe]",
TDinamica_R!$A$5,
"[Calendario].[AñoMes]",
"[Calendario].[AñoMes].&amp;[" &amp; TEXT(AV$6,"yyyymm")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W57" s="8">
        <f>IFERROR(
GETPIVOTDATA(
"[Base].[Importe]",
TDinamica_R!$A$5,
"[Calendario].[AñoMes]",
"[Calendario].[AñoMes].&amp;[" &amp; TEXT(AW$6,"yyyymm")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X57" s="8">
        <f>IFERROR(
GETPIVOTDATA(
"[Base].[Importe]",
TDinamica_R!$A$5,
"[Calendario].[AñoMes]",
"[Calendario].[AñoMes].&amp;[" &amp; TEXT(AX$6,"yyyymm")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Y57" s="8">
        <f>IFERROR(
GETPIVOTDATA(
"[Base].[Importe]",
TDinamica_R!$A$5,
"[Calendario].[AñoMes]",
"[Calendario].[AñoMes].&amp;[" &amp; TEXT(AY$6,"yyyymm")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Z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TEXT(AZ$6,"yyyymm") &amp; "]"
),
0
)</f>
        <v>20.707092042456697</v>
      </c>
      <c r="BA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TEXT(BA$6,"yyyymm") &amp; "]"
),
0
)</f>
        <v>40.064576488051287</v>
      </c>
      <c r="BB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TEXT(BB$6,"yyyymm") &amp; "]"
),
0
)</f>
        <v>73.062891337531525</v>
      </c>
      <c r="BC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TEXT(BC$6,"yyyymm") &amp; "]"
),
0
)</f>
        <v>39.729429230982461</v>
      </c>
      <c r="BD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TEXT(BD$6,"yyyymm") &amp; "]"
),
0
)</f>
        <v>75.24751135388702</v>
      </c>
      <c r="BE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TEXT(BE$6,"yyyymm") &amp; "]"
),
0
)</f>
        <v>100.74948191605907</v>
      </c>
      <c r="BF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TEXT(BF$6,"yyyymm") &amp; "]"
),
0
)</f>
        <v>64.607020198194078</v>
      </c>
      <c r="BG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TEXT(BG$6,"yyyymm") &amp; "]"
),
0
)</f>
        <v>80.227076069455649</v>
      </c>
      <c r="BH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TEXT(BH$6,"yyyymm") &amp; "]"
),
0
)</f>
        <v>85.827849157447815</v>
      </c>
      <c r="BI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TEXT(BI$6,"yyyymm") &amp; "]"
),
0
)</f>
        <v>77.264298468931955</v>
      </c>
      <c r="BJ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TEXT(BJ$6,"yyyymm") &amp; "]"
),
0
)</f>
        <v>54.039439754964192</v>
      </c>
      <c r="BK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TEXT(BK$6,"yyyymm") &amp; "]"
),
0
)</f>
        <v>50.037697146972519</v>
      </c>
      <c r="BO57" s="24">
        <f t="shared" si="163"/>
        <v>313.68122</v>
      </c>
      <c r="BP57" s="24">
        <f t="shared" si="163"/>
        <v>133.83455986803949</v>
      </c>
      <c r="BQ57" s="24">
        <f t="shared" si="163"/>
        <v>226.62402999999998</v>
      </c>
      <c r="BR57" s="24">
        <f t="shared" si="163"/>
        <v>646.75497999999993</v>
      </c>
      <c r="BS57" s="24">
        <f t="shared" si="163"/>
        <v>69.445729999999998</v>
      </c>
      <c r="BT57" s="24">
        <f t="shared" si="163"/>
        <v>26.073838402220762</v>
      </c>
    </row>
    <row r="58" spans="1:72" collapsed="1" x14ac:dyDescent="0.25">
      <c r="C58" s="3" t="s">
        <v>68</v>
      </c>
      <c r="D58" s="10">
        <f t="shared" ref="D58:AY58" si="164">SUM(D56:D57)</f>
        <v>-254.01629655472607</v>
      </c>
      <c r="E58" s="10">
        <f t="shared" si="164"/>
        <v>-399.99384441043787</v>
      </c>
      <c r="F58" s="10">
        <f t="shared" si="164"/>
        <v>-141.80709732247172</v>
      </c>
      <c r="G58" s="10">
        <f t="shared" si="164"/>
        <v>-537.61925969533263</v>
      </c>
      <c r="H58" s="10">
        <f t="shared" si="164"/>
        <v>-514.71510698842599</v>
      </c>
      <c r="I58" s="10">
        <f t="shared" si="164"/>
        <v>-601.77699416981159</v>
      </c>
      <c r="J58" s="10">
        <f t="shared" si="164"/>
        <v>-946.77231211176104</v>
      </c>
      <c r="K58" s="10">
        <f t="shared" si="164"/>
        <v>-973.28874232949511</v>
      </c>
      <c r="L58" s="10">
        <f t="shared" si="164"/>
        <v>-1066.5622256059801</v>
      </c>
      <c r="M58" s="10">
        <f t="shared" si="164"/>
        <v>-1706.9473690236796</v>
      </c>
      <c r="N58" s="10">
        <f t="shared" si="164"/>
        <v>-1710.1966757653438</v>
      </c>
      <c r="O58" s="10">
        <f t="shared" si="164"/>
        <v>-2075.8066903690101</v>
      </c>
      <c r="P58" s="10">
        <f t="shared" si="164"/>
        <v>-3288.3811102182922</v>
      </c>
      <c r="Q58" s="10">
        <f t="shared" si="164"/>
        <v>-4852.9107741956941</v>
      </c>
      <c r="R58" s="10">
        <f t="shared" si="164"/>
        <v>-6658.7394156931132</v>
      </c>
      <c r="S58" s="10">
        <f t="shared" si="164"/>
        <v>-6797.6579222027985</v>
      </c>
      <c r="T58" s="10">
        <f t="shared" si="164"/>
        <v>-7274.5456535149387</v>
      </c>
      <c r="U58" s="10">
        <f t="shared" si="164"/>
        <v>-7397.8573567655394</v>
      </c>
      <c r="V58" s="10">
        <f t="shared" si="164"/>
        <v>-5618.8629980893693</v>
      </c>
      <c r="W58" s="10">
        <f t="shared" si="164"/>
        <v>-4842.6090456656384</v>
      </c>
      <c r="X58" s="10">
        <f t="shared" si="164"/>
        <v>-3224.6261832397336</v>
      </c>
      <c r="Y58" s="10">
        <f t="shared" si="164"/>
        <v>-4498.2170218200281</v>
      </c>
      <c r="Z58" s="10">
        <f t="shared" si="164"/>
        <v>-1896.4702412260094</v>
      </c>
      <c r="AA58" s="10">
        <f t="shared" si="164"/>
        <v>-2157.5070857775577</v>
      </c>
      <c r="AB58" s="10">
        <f t="shared" si="164"/>
        <v>-3247.3093503028731</v>
      </c>
      <c r="AC58" s="10">
        <f t="shared" si="164"/>
        <v>-803.31016341889563</v>
      </c>
      <c r="AD58" s="10">
        <f t="shared" si="164"/>
        <v>-956.62788</v>
      </c>
      <c r="AE58" s="10">
        <f t="shared" si="164"/>
        <v>-1613.2457700000002</v>
      </c>
      <c r="AF58" s="10">
        <f t="shared" si="164"/>
        <v>-1465.18371</v>
      </c>
      <c r="AG58" s="10">
        <f t="shared" si="164"/>
        <v>-2383.8924200000001</v>
      </c>
      <c r="AH58" s="10">
        <f t="shared" si="164"/>
        <v>-2174.7768100000003</v>
      </c>
      <c r="AI58" s="10">
        <f t="shared" si="164"/>
        <v>-2459.0716022689198</v>
      </c>
      <c r="AJ58" s="10">
        <f t="shared" si="164"/>
        <v>-2749.1951440601106</v>
      </c>
      <c r="AK58" s="10">
        <f t="shared" si="164"/>
        <v>-4254.29417843805</v>
      </c>
      <c r="AL58" s="10">
        <f t="shared" si="164"/>
        <v>-3014.9872605311202</v>
      </c>
      <c r="AM58" s="10">
        <f t="shared" si="164"/>
        <v>-3243.7035824565801</v>
      </c>
      <c r="AN58" s="10">
        <f t="shared" si="164"/>
        <v>-3689.33275</v>
      </c>
      <c r="AO58" s="10">
        <f t="shared" si="164"/>
        <v>-3585.97208</v>
      </c>
      <c r="AP58" s="10">
        <f t="shared" si="164"/>
        <v>-3883.3819800000001</v>
      </c>
      <c r="AQ58" s="10">
        <f t="shared" si="164"/>
        <v>-4598.6958399999994</v>
      </c>
      <c r="AR58" s="10">
        <f t="shared" si="164"/>
        <v>-3820.4982999999997</v>
      </c>
      <c r="AS58" s="10">
        <f t="shared" si="164"/>
        <v>-4950.1879300000101</v>
      </c>
      <c r="AT58" s="10">
        <f t="shared" si="164"/>
        <v>0</v>
      </c>
      <c r="AU58" s="10">
        <f t="shared" si="164"/>
        <v>0</v>
      </c>
      <c r="AV58" s="10">
        <f t="shared" si="164"/>
        <v>0</v>
      </c>
      <c r="AW58" s="10">
        <f t="shared" si="164"/>
        <v>0</v>
      </c>
      <c r="AX58" s="10">
        <f t="shared" si="164"/>
        <v>0</v>
      </c>
      <c r="AY58" s="10">
        <f t="shared" si="164"/>
        <v>0</v>
      </c>
      <c r="AZ58" s="10">
        <f t="shared" ref="AZ58:BK58" si="165">SUM(AZ56:AZ57)</f>
        <v>-1885.7557618574147</v>
      </c>
      <c r="BA58" s="10">
        <f t="shared" si="165"/>
        <v>-2732.8202312880439</v>
      </c>
      <c r="BB58" s="10">
        <f t="shared" si="165"/>
        <v>-2592.9687685571948</v>
      </c>
      <c r="BC58" s="10">
        <f t="shared" si="165"/>
        <v>-2512.0482711594082</v>
      </c>
      <c r="BD58" s="10">
        <f t="shared" si="165"/>
        <v>-2467.1602927978438</v>
      </c>
      <c r="BE58" s="10">
        <f t="shared" si="165"/>
        <v>-2307.9348719895634</v>
      </c>
      <c r="BF58" s="10">
        <f t="shared" si="165"/>
        <v>-1914.1560463593473</v>
      </c>
      <c r="BG58" s="10">
        <f t="shared" si="165"/>
        <v>-2591.3857613641476</v>
      </c>
      <c r="BH58" s="10">
        <f t="shared" si="165"/>
        <v>-2112.0776269576668</v>
      </c>
      <c r="BI58" s="10">
        <f t="shared" si="165"/>
        <v>-2241.1855463128586</v>
      </c>
      <c r="BJ58" s="10">
        <f t="shared" si="165"/>
        <v>-2020.5556861007838</v>
      </c>
      <c r="BK58" s="10">
        <f t="shared" si="165"/>
        <v>-2471.6018725729637</v>
      </c>
      <c r="BO58" s="23">
        <f>SUM(BO56:BO57)</f>
        <v>-11158.686809999999</v>
      </c>
      <c r="BP58" s="23">
        <f t="shared" ref="BP58:BT58" si="166">SUM(BP56:BP57)</f>
        <v>-7211.5447617026539</v>
      </c>
      <c r="BQ58" s="23">
        <f t="shared" si="166"/>
        <v>-7275.30483</v>
      </c>
      <c r="BR58" s="23">
        <f t="shared" si="166"/>
        <v>-5007.2473937217692</v>
      </c>
      <c r="BS58" s="23">
        <f t="shared" si="166"/>
        <v>-14800.031300107101</v>
      </c>
      <c r="BT58" s="23">
        <f t="shared" si="166"/>
        <v>-795.81723828763563</v>
      </c>
    </row>
    <row r="60" spans="1:72" x14ac:dyDescent="0.25">
      <c r="C60" s="3" t="s">
        <v>70</v>
      </c>
      <c r="D60" s="10">
        <f>D53+D58</f>
        <v>4481.6786002552744</v>
      </c>
      <c r="E60" s="10">
        <f t="shared" ref="E60:AY60" si="167">E53+E58</f>
        <v>3754.9242932795628</v>
      </c>
      <c r="F60" s="10">
        <f t="shared" si="167"/>
        <v>4770.3462267975283</v>
      </c>
      <c r="G60" s="10">
        <f t="shared" si="167"/>
        <v>4383.8058114746709</v>
      </c>
      <c r="H60" s="10">
        <f t="shared" si="167"/>
        <v>4894.5831899515733</v>
      </c>
      <c r="I60" s="10">
        <f t="shared" si="167"/>
        <v>4725.5585778101895</v>
      </c>
      <c r="J60" s="10">
        <f t="shared" si="167"/>
        <v>4718.5063662382399</v>
      </c>
      <c r="K60" s="10">
        <f t="shared" si="167"/>
        <v>4922.1666420905076</v>
      </c>
      <c r="L60" s="10">
        <f t="shared" si="167"/>
        <v>4764.9452347057195</v>
      </c>
      <c r="M60" s="10">
        <f t="shared" si="167"/>
        <v>4324.5863254263204</v>
      </c>
      <c r="N60" s="10">
        <f t="shared" si="167"/>
        <v>4036.9210574846556</v>
      </c>
      <c r="O60" s="10">
        <f t="shared" si="167"/>
        <v>3734.7435850409879</v>
      </c>
      <c r="P60" s="10">
        <f t="shared" si="167"/>
        <v>2298.612108081707</v>
      </c>
      <c r="Q60" s="10">
        <f t="shared" si="167"/>
        <v>132.31175790430552</v>
      </c>
      <c r="R60" s="10">
        <f t="shared" si="167"/>
        <v>-1462.3875839831126</v>
      </c>
      <c r="S60" s="10">
        <f t="shared" si="167"/>
        <v>-1788.397085282797</v>
      </c>
      <c r="T60" s="10">
        <f t="shared" si="167"/>
        <v>-2183.6384588649362</v>
      </c>
      <c r="U60" s="10">
        <f t="shared" si="167"/>
        <v>-2650.9895945855387</v>
      </c>
      <c r="V60" s="10">
        <f t="shared" si="167"/>
        <v>-693.96098250936939</v>
      </c>
      <c r="W60" s="10">
        <f t="shared" si="167"/>
        <v>-6.8338782056380296</v>
      </c>
      <c r="X60" s="10">
        <f t="shared" si="167"/>
        <v>1456.0414347602632</v>
      </c>
      <c r="Y60" s="10">
        <f t="shared" si="167"/>
        <v>335.70896623997214</v>
      </c>
      <c r="Z60" s="10">
        <f t="shared" si="167"/>
        <v>2815.1252841339901</v>
      </c>
      <c r="AA60" s="10">
        <f t="shared" si="167"/>
        <v>2912.5883872124409</v>
      </c>
      <c r="AB60" s="10">
        <f t="shared" si="167"/>
        <v>1876.3834126471274</v>
      </c>
      <c r="AC60" s="10">
        <f t="shared" si="167"/>
        <v>3896.501907021106</v>
      </c>
      <c r="AD60" s="10">
        <f t="shared" si="167"/>
        <v>4485.6560598799952</v>
      </c>
      <c r="AE60" s="10">
        <f t="shared" si="167"/>
        <v>3798.409740269999</v>
      </c>
      <c r="AF60" s="10">
        <f t="shared" si="167"/>
        <v>4221.4307772299971</v>
      </c>
      <c r="AG60" s="10">
        <f t="shared" si="167"/>
        <v>3237.0983334599996</v>
      </c>
      <c r="AH60" s="10">
        <f t="shared" si="167"/>
        <v>3763.774581419998</v>
      </c>
      <c r="AI60" s="10">
        <f t="shared" si="167"/>
        <v>3643.002475031079</v>
      </c>
      <c r="AJ60" s="10">
        <f t="shared" si="167"/>
        <v>3382.2196153998893</v>
      </c>
      <c r="AK60" s="10">
        <f t="shared" si="167"/>
        <v>2352.7961924219499</v>
      </c>
      <c r="AL60" s="10">
        <f t="shared" si="167"/>
        <v>3620.6546923588821</v>
      </c>
      <c r="AM60" s="10">
        <f t="shared" si="167"/>
        <v>3767.9343438934156</v>
      </c>
      <c r="AN60" s="10">
        <f t="shared" si="167"/>
        <v>3341.8386100899993</v>
      </c>
      <c r="AO60" s="10">
        <f t="shared" si="167"/>
        <v>2931.488473840001</v>
      </c>
      <c r="AP60" s="10">
        <f t="shared" si="167"/>
        <v>3451.6705750299989</v>
      </c>
      <c r="AQ60" s="10">
        <f t="shared" si="167"/>
        <v>2361.342481390001</v>
      </c>
      <c r="AR60" s="10">
        <f t="shared" si="167"/>
        <v>3375.1225388399994</v>
      </c>
      <c r="AS60" s="10">
        <f t="shared" si="167"/>
        <v>2033.1455112199928</v>
      </c>
      <c r="AT60" s="10">
        <f t="shared" si="167"/>
        <v>0</v>
      </c>
      <c r="AU60" s="10">
        <f t="shared" si="167"/>
        <v>0</v>
      </c>
      <c r="AV60" s="10">
        <f t="shared" si="167"/>
        <v>0</v>
      </c>
      <c r="AW60" s="10">
        <f t="shared" si="167"/>
        <v>0</v>
      </c>
      <c r="AX60" s="10">
        <f t="shared" si="167"/>
        <v>0</v>
      </c>
      <c r="AY60" s="10">
        <f t="shared" si="167"/>
        <v>0</v>
      </c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O60" s="23">
        <f>BO53+BO58</f>
        <v>9724.997658960001</v>
      </c>
      <c r="BP60" s="23">
        <f t="shared" ref="BP60:BT60" si="168">BP53+BP58</f>
        <v>14492.959094877686</v>
      </c>
      <c r="BQ60" s="23">
        <f t="shared" si="168"/>
        <v>6273.3270839300012</v>
      </c>
      <c r="BR60" s="23">
        <f t="shared" si="168"/>
        <v>10258.541379548233</v>
      </c>
      <c r="BS60" s="23">
        <f t="shared" si="168"/>
        <v>968.53628200290223</v>
      </c>
      <c r="BT60" s="23">
        <f t="shared" si="168"/>
        <v>13006.949120332361</v>
      </c>
    </row>
    <row r="63" spans="1:72" hidden="1" outlineLevel="1" x14ac:dyDescent="0.25">
      <c r="A63" s="11" t="s">
        <v>71</v>
      </c>
      <c r="C63" s="2" t="s">
        <v>75</v>
      </c>
      <c r="D63" s="8">
        <f>IFERROR(
GETPIVOTDATA(
"[Base].[Importe]",
TDinamica_R!$A$5,
"[Calendario].[AñoMes]",
"[Calendario].[AñoMes].&amp;[" &amp; TEXT(D$6,"yyyymm") &amp; "]",
"[Base].[Metrica]",
"[Base].[Metrica].&amp;[" &amp; $A63 &amp; "]",
"[Base].[SEGMENTO_DESCRIP]",
"[Base].[SEGMENTO_DESCRIP].&amp;[" &amp; $C$6 &amp; "]",
"[Base].[SITUACION]",
"[Base].[SITUACION].&amp;[" &amp; $C63 &amp; "]"
),0)/1000</f>
        <v>91.056834737100004</v>
      </c>
      <c r="E63" s="8">
        <f>IFERROR(
GETPIVOTDATA(
"[Base].[Importe]",
TDinamica_R!$A$5,
"[Calendario].[AñoMes]",
"[Calendario].[AñoMes].&amp;[" &amp; TEXT(E$6,"yyyymm") &amp; "]",
"[Base].[Metrica]",
"[Base].[Metrica].&amp;[" &amp; $A63 &amp; "]",
"[Base].[SEGMENTO_DESCRIP]",
"[Base].[SEGMENTO_DESCRIP].&amp;[" &amp; $C$6 &amp; "]",
"[Base].[SITUACION]",
"[Base].[SITUACION].&amp;[" &amp; $C63 &amp; "]"
),0)/1000</f>
        <v>84.654994070099988</v>
      </c>
      <c r="F63" s="8">
        <f>IFERROR(
GETPIVOTDATA(
"[Base].[Importe]",
TDinamica_R!$A$5,
"[Calendario].[AñoMes]",
"[Calendario].[AñoMes].&amp;[" &amp; TEXT(F$6,"yyyymm") &amp; "]",
"[Base].[Metrica]",
"[Base].[Metrica].&amp;[" &amp; $A63 &amp; "]",
"[Base].[SEGMENTO_DESCRIP]",
"[Base].[SEGMENTO_DESCRIP].&amp;[" &amp; $C$6 &amp; "]",
"[Base].[SITUACION]",
"[Base].[SITUACION].&amp;[" &amp; $C63 &amp; "]"
),0)/1000</f>
        <v>69.773422169</v>
      </c>
      <c r="G63" s="8">
        <f>IFERROR(
GETPIVOTDATA(
"[Base].[Importe]",
TDinamica_R!$A$5,
"[Calendario].[AñoMes]",
"[Calendario].[AñoMes].&amp;[" &amp; TEXT(G$6,"yyyymm") &amp; "]",
"[Base].[Metrica]",
"[Base].[Metrica].&amp;[" &amp; $A63 &amp; "]",
"[Base].[SEGMENTO_DESCRIP]",
"[Base].[SEGMENTO_DESCRIP].&amp;[" &amp; $C$6 &amp; "]",
"[Base].[SITUACION]",
"[Base].[SITUACION].&amp;[" &amp; $C63 &amp; "]"
),0)/1000</f>
        <v>105.3771964198</v>
      </c>
      <c r="H63" s="8">
        <f>IFERROR(
GETPIVOTDATA(
"[Base].[Importe]",
TDinamica_R!$A$5,
"[Calendario].[AñoMes]",
"[Calendario].[AñoMes].&amp;[" &amp; TEXT(H$6,"yyyymm") &amp; "]",
"[Base].[Metrica]",
"[Base].[Metrica].&amp;[" &amp; $A63 &amp; "]",
"[Base].[SEGMENTO_DESCRIP]",
"[Base].[SEGMENTO_DESCRIP].&amp;[" &amp; $C$6 &amp; "]",
"[Base].[SITUACION]",
"[Base].[SITUACION].&amp;[" &amp; $C63 &amp; "]"
),0)/1000</f>
        <v>87.964845584599999</v>
      </c>
      <c r="I63" s="8">
        <f>IFERROR(
GETPIVOTDATA(
"[Base].[Importe]",
TDinamica_R!$A$5,
"[Calendario].[AñoMes]",
"[Calendario].[AñoMes].&amp;[" &amp; TEXT(I$6,"yyyymm") &amp; "]",
"[Base].[Metrica]",
"[Base].[Metrica].&amp;[" &amp; $A63 &amp; "]",
"[Base].[SEGMENTO_DESCRIP]",
"[Base].[SEGMENTO_DESCRIP].&amp;[" &amp; $C$6 &amp; "]",
"[Base].[SITUACION]",
"[Base].[SITUACION].&amp;[" &amp; $C63 &amp; "]"
),0)/1000</f>
        <v>102.6091839133</v>
      </c>
      <c r="J63" s="8">
        <f>IFERROR(
GETPIVOTDATA(
"[Base].[Importe]",
TDinamica_R!$A$5,
"[Calendario].[AñoMes]",
"[Calendario].[AñoMes].&amp;[" &amp; TEXT(J$6,"yyyymm") &amp; "]",
"[Base].[Metrica]",
"[Base].[Metrica].&amp;[" &amp; $A63 &amp; "]",
"[Base].[SEGMENTO_DESCRIP]",
"[Base].[SEGMENTO_DESCRIP].&amp;[" &amp; $C$6 &amp; "]",
"[Base].[SITUACION]",
"[Base].[SITUACION].&amp;[" &amp; $C63 &amp; "]"
),0)/1000</f>
        <v>97.624390173899997</v>
      </c>
      <c r="K63" s="8">
        <f>IFERROR(
GETPIVOTDATA(
"[Base].[Importe]",
TDinamica_R!$A$5,
"[Calendario].[AñoMes]",
"[Calendario].[AñoMes].&amp;[" &amp; TEXT(K$6,"yyyymm") &amp; "]",
"[Base].[Metrica]",
"[Base].[Metrica].&amp;[" &amp; $A63 &amp; "]",
"[Base].[SEGMENTO_DESCRIP]",
"[Base].[SEGMENTO_DESCRIP].&amp;[" &amp; $C$6 &amp; "]",
"[Base].[SITUACION]",
"[Base].[SITUACION].&amp;[" &amp; $C63 &amp; "]"
),0)/1000</f>
        <v>106.5974630777</v>
      </c>
      <c r="L63" s="8">
        <f>IFERROR(
GETPIVOTDATA(
"[Base].[Importe]",
TDinamica_R!$A$5,
"[Calendario].[AñoMes]",
"[Calendario].[AñoMes].&amp;[" &amp; TEXT(L$6,"yyyymm") &amp; "]",
"[Base].[Metrica]",
"[Base].[Metrica].&amp;[" &amp; $A63 &amp; "]",
"[Base].[SEGMENTO_DESCRIP]",
"[Base].[SEGMENTO_DESCRIP].&amp;[" &amp; $C$6 &amp; "]",
"[Base].[SITUACION]",
"[Base].[SITUACION].&amp;[" &amp; $C63 &amp; "]"
),0)/1000</f>
        <v>110.07065628410001</v>
      </c>
      <c r="M63" s="8">
        <f>IFERROR(
GETPIVOTDATA(
"[Base].[Importe]",
TDinamica_R!$A$5,
"[Calendario].[AñoMes]",
"[Calendario].[AñoMes].&amp;[" &amp; TEXT(M$6,"yyyymm") &amp; "]",
"[Base].[Metrica]",
"[Base].[Metrica].&amp;[" &amp; $A63 &amp; "]",
"[Base].[SEGMENTO_DESCRIP]",
"[Base].[SEGMENTO_DESCRIP].&amp;[" &amp; $C$6 &amp; "]",
"[Base].[SITUACION]",
"[Base].[SITUACION].&amp;[" &amp; $C63 &amp; "]"
),0)/1000</f>
        <v>98.267467514000003</v>
      </c>
      <c r="N63" s="8">
        <f>IFERROR(
GETPIVOTDATA(
"[Base].[Importe]",
TDinamica_R!$A$5,
"[Calendario].[AñoMes]",
"[Calendario].[AñoMes].&amp;[" &amp; TEXT(N$6,"yyyymm") &amp; "]",
"[Base].[Metrica]",
"[Base].[Metrica].&amp;[" &amp; $A63 &amp; "]",
"[Base].[SEGMENTO_DESCRIP]",
"[Base].[SEGMENTO_DESCRIP].&amp;[" &amp; $C$6 &amp; "]",
"[Base].[SITUACION]",
"[Base].[SITUACION].&amp;[" &amp; $C63 &amp; "]"
),0)/1000</f>
        <v>101.45881949379999</v>
      </c>
      <c r="O63" s="8">
        <f>IFERROR(
GETPIVOTDATA(
"[Base].[Importe]",
TDinamica_R!$A$5,
"[Calendario].[AñoMes]",
"[Calendario].[AñoMes].&amp;[" &amp; TEXT(O$6,"yyyymm") &amp; "]",
"[Base].[Metrica]",
"[Base].[Metrica].&amp;[" &amp; $A63 &amp; "]",
"[Base].[SEGMENTO_DESCRIP]",
"[Base].[SEGMENTO_DESCRIP].&amp;[" &amp; $C$6 &amp; "]",
"[Base].[SITUACION]",
"[Base].[SITUACION].&amp;[" &amp; $C63 &amp; "]"
),0)/1000</f>
        <v>89.760819080299996</v>
      </c>
      <c r="P63" s="8">
        <f>IFERROR(
GETPIVOTDATA(
"[Base].[Importe]",
TDinamica_R!$A$5,
"[Calendario].[AñoMes]",
"[Calendario].[AñoMes].&amp;[" &amp; TEXT(P$6,"yyyymm") &amp; "]",
"[Base].[Metrica]",
"[Base].[Metrica].&amp;[" &amp; $A63 &amp; "]",
"[Base].[SEGMENTO_DESCRIP]",
"[Base].[SEGMENTO_DESCRIP].&amp;[" &amp; $C$6 &amp; "]",
"[Base].[SITUACION]",
"[Base].[SITUACION].&amp;[" &amp; $C63 &amp; "]"
),0)/1000</f>
        <v>111.1849948018</v>
      </c>
      <c r="Q63" s="8">
        <f>IFERROR(
GETPIVOTDATA(
"[Base].[Importe]",
TDinamica_R!$A$5,
"[Calendario].[AñoMes]",
"[Calendario].[AñoMes].&amp;[" &amp; TEXT(Q$6,"yyyymm") &amp; "]",
"[Base].[Metrica]",
"[Base].[Metrica].&amp;[" &amp; $A63 &amp; "]",
"[Base].[SEGMENTO_DESCRIP]",
"[Base].[SEGMENTO_DESCRIP].&amp;[" &amp; $C$6 &amp; "]",
"[Base].[SITUACION]",
"[Base].[SITUACION].&amp;[" &amp; $C63 &amp; "]"
),0)/1000</f>
        <v>99.770946569200007</v>
      </c>
      <c r="R63" s="8">
        <f>IFERROR(
GETPIVOTDATA(
"[Base].[Importe]",
TDinamica_R!$A$5,
"[Calendario].[AñoMes]",
"[Calendario].[AñoMes].&amp;[" &amp; TEXT(R$6,"yyyymm") &amp; "]",
"[Base].[Metrica]",
"[Base].[Metrica].&amp;[" &amp; $A63 &amp; "]",
"[Base].[SEGMENTO_DESCRIP]",
"[Base].[SEGMENTO_DESCRIP].&amp;[" &amp; $C$6 &amp; "]",
"[Base].[SITUACION]",
"[Base].[SITUACION].&amp;[" &amp; $C63 &amp; "]"
),0)/1000</f>
        <v>113.3504050881</v>
      </c>
      <c r="S63" s="8">
        <f>IFERROR(
GETPIVOTDATA(
"[Base].[Importe]",
TDinamica_R!$A$5,
"[Calendario].[AñoMes]",
"[Calendario].[AñoMes].&amp;[" &amp; TEXT(S$6,"yyyymm") &amp; "]",
"[Base].[Metrica]",
"[Base].[Metrica].&amp;[" &amp; $A63 &amp; "]",
"[Base].[SEGMENTO_DESCRIP]",
"[Base].[SEGMENTO_DESCRIP].&amp;[" &amp; $C$6 &amp; "]",
"[Base].[SITUACION]",
"[Base].[SITUACION].&amp;[" &amp; $C63 &amp; "]"
),0)/1000</f>
        <v>87.680001763700005</v>
      </c>
      <c r="T63" s="8">
        <f>IFERROR(
GETPIVOTDATA(
"[Base].[Importe]",
TDinamica_R!$A$5,
"[Calendario].[AñoMes]",
"[Calendario].[AñoMes].&amp;[" &amp; TEXT(T$6,"yyyymm") &amp; "]",
"[Base].[Metrica]",
"[Base].[Metrica].&amp;[" &amp; $A63 &amp; "]",
"[Base].[SEGMENTO_DESCRIP]",
"[Base].[SEGMENTO_DESCRIP].&amp;[" &amp; $C$6 &amp; "]",
"[Base].[SITUACION]",
"[Base].[SITUACION].&amp;[" &amp; $C63 &amp; "]"
),0)/1000</f>
        <v>92.75618016819999</v>
      </c>
      <c r="U63" s="8">
        <f>IFERROR(
GETPIVOTDATA(
"[Base].[Importe]",
TDinamica_R!$A$5,
"[Calendario].[AñoMes]",
"[Calendario].[AñoMes].&amp;[" &amp; TEXT(U$6,"yyyymm") &amp; "]",
"[Base].[Metrica]",
"[Base].[Metrica].&amp;[" &amp; $A63 &amp; "]",
"[Base].[SEGMENTO_DESCRIP]",
"[Base].[SEGMENTO_DESCRIP].&amp;[" &amp; $C$6 &amp; "]",
"[Base].[SITUACION]",
"[Base].[SITUACION].&amp;[" &amp; $C63 &amp; "]"
),0)/1000</f>
        <v>94.373441123600003</v>
      </c>
      <c r="V63" s="8">
        <f>IFERROR(
GETPIVOTDATA(
"[Base].[Importe]",
TDinamica_R!$A$5,
"[Calendario].[AñoMes]",
"[Calendario].[AñoMes].&amp;[" &amp; TEXT(V$6,"yyyymm") &amp; "]",
"[Base].[Metrica]",
"[Base].[Metrica].&amp;[" &amp; $A63 &amp; "]",
"[Base].[SEGMENTO_DESCRIP]",
"[Base].[SEGMENTO_DESCRIP].&amp;[" &amp; $C$6 &amp; "]",
"[Base].[SITUACION]",
"[Base].[SITUACION].&amp;[" &amp; $C63 &amp; "]"
),0)/1000</f>
        <v>84.208564531299999</v>
      </c>
      <c r="W63" s="8">
        <f>IFERROR(
GETPIVOTDATA(
"[Base].[Importe]",
TDinamica_R!$A$5,
"[Calendario].[AñoMes]",
"[Calendario].[AñoMes].&amp;[" &amp; TEXT(W$6,"yyyymm") &amp; "]",
"[Base].[Metrica]",
"[Base].[Metrica].&amp;[" &amp; $A63 &amp; "]",
"[Base].[SEGMENTO_DESCRIP]",
"[Base].[SEGMENTO_DESCRIP].&amp;[" &amp; $C$6 &amp; "]",
"[Base].[SITUACION]",
"[Base].[SITUACION].&amp;[" &amp; $C63 &amp; "]"
),0)/1000</f>
        <v>91.475690536200005</v>
      </c>
      <c r="X63" s="8">
        <f>IFERROR(
GETPIVOTDATA(
"[Base].[Importe]",
TDinamica_R!$A$5,
"[Calendario].[AñoMes]",
"[Calendario].[AñoMes].&amp;[" &amp; TEXT(X$6,"yyyymm") &amp; "]",
"[Base].[Metrica]",
"[Base].[Metrica].&amp;[" &amp; $A63 &amp; "]",
"[Base].[SEGMENTO_DESCRIP]",
"[Base].[SEGMENTO_DESCRIP].&amp;[" &amp; $C$6 &amp; "]",
"[Base].[SITUACION]",
"[Base].[SITUACION].&amp;[" &amp; $C63 &amp; "]"
),0)/1000</f>
        <v>210.83952618550001</v>
      </c>
      <c r="Y63" s="8">
        <f>IFERROR(
GETPIVOTDATA(
"[Base].[Importe]",
TDinamica_R!$A$5,
"[Calendario].[AñoMes]",
"[Calendario].[AñoMes].&amp;[" &amp; TEXT(Y$6,"yyyymm") &amp; "]",
"[Base].[Metrica]",
"[Base].[Metrica].&amp;[" &amp; $A63 &amp; "]",
"[Base].[SEGMENTO_DESCRIP]",
"[Base].[SEGMENTO_DESCRIP].&amp;[" &amp; $C$6 &amp; "]",
"[Base].[SITUACION]",
"[Base].[SITUACION].&amp;[" &amp; $C63 &amp; "]"
),0)/1000</f>
        <v>-28.638608160249998</v>
      </c>
      <c r="Z63" s="8">
        <f>IFERROR(
GETPIVOTDATA(
"[Base].[Importe]",
TDinamica_R!$A$5,
"[Calendario].[AñoMes]",
"[Calendario].[AñoMes].&amp;[" &amp; TEXT(Z$6,"yyyymm") &amp; "]",
"[Base].[Metrica]",
"[Base].[Metrica].&amp;[" &amp; $A63 &amp; "]",
"[Base].[SEGMENTO_DESCRIP]",
"[Base].[SEGMENTO_DESCRIP].&amp;[" &amp; $C$6 &amp; "]",
"[Base].[SITUACION]",
"[Base].[SITUACION].&amp;[" &amp; $C63 &amp; "]"
),0)/1000</f>
        <v>97.869491265300013</v>
      </c>
      <c r="AA63" s="8">
        <f>IFERROR(
GETPIVOTDATA(
"[Base].[Importe]",
TDinamica_R!$A$5,
"[Calendario].[AñoMes]",
"[Calendario].[AñoMes].&amp;[" &amp; TEXT(AA$6,"yyyymm") &amp; "]",
"[Base].[Metrica]",
"[Base].[Metrica].&amp;[" &amp; $A63 &amp; "]",
"[Base].[SEGMENTO_DESCRIP]",
"[Base].[SEGMENTO_DESCRIP].&amp;[" &amp; $C$6 &amp; "]",
"[Base].[SITUACION]",
"[Base].[SITUACION].&amp;[" &amp; $C63 &amp; "]"
),0)/1000</f>
        <v>82.919419238100005</v>
      </c>
      <c r="AB63" s="8">
        <f>IFERROR(
GETPIVOTDATA(
"[Base].[Importe]",
TDinamica_R!$A$5,
"[Calendario].[AñoMes]",
"[Calendario].[AñoMes].&amp;[" &amp; TEXT(AB$6,"yyyymm") &amp; "]",
"[Base].[Metrica]",
"[Base].[Metrica].&amp;[" &amp; $A63 &amp; "]",
"[Base].[SEGMENTO_DESCRIP]",
"[Base].[SEGMENTO_DESCRIP].&amp;[" &amp; $C$6 &amp; "]",
"[Base].[SITUACION]",
"[Base].[SITUACION].&amp;[" &amp; $C63 &amp; "]"
),0)/1000</f>
        <v>115.1028077365</v>
      </c>
      <c r="AC63" s="8">
        <f>IFERROR(
GETPIVOTDATA(
"[Base].[Importe]",
TDinamica_R!$A$5,
"[Calendario].[AñoMes]",
"[Calendario].[AñoMes].&amp;[" &amp; TEXT(AC$6,"yyyymm") &amp; "]",
"[Base].[Metrica]",
"[Base].[Metrica].&amp;[" &amp; $A63 &amp; "]",
"[Base].[SEGMENTO_DESCRIP]",
"[Base].[SEGMENTO_DESCRIP].&amp;[" &amp; $C$6 &amp; "]",
"[Base].[SITUACION]",
"[Base].[SITUACION].&amp;[" &amp; $C63 &amp; "]"
),0)/1000</f>
        <v>80.464333270099985</v>
      </c>
      <c r="AD63" s="8">
        <f>IFERROR(
GETPIVOTDATA(
"[Base].[Importe]",
TDinamica_R!$A$5,
"[Calendario].[AñoMes]",
"[Calendario].[AñoMes].&amp;[" &amp; TEXT(AD$6,"yyyymm") &amp; "]",
"[Base].[Metrica]",
"[Base].[Metrica].&amp;[" &amp; $A63 &amp; "]",
"[Base].[SEGMENTO_DESCRIP]",
"[Base].[SEGMENTO_DESCRIP].&amp;[" &amp; $C$6 &amp; "]",
"[Base].[SITUACION]",
"[Base].[SITUACION].&amp;[" &amp; $C63 &amp; "]"
),0)/1000</f>
        <v>48.158188490800001</v>
      </c>
      <c r="AE63" s="8">
        <f>IFERROR(
GETPIVOTDATA(
"[Base].[Importe]",
TDinamica_R!$A$5,
"[Calendario].[AñoMes]",
"[Calendario].[AñoMes].&amp;[" &amp; TEXT(AE$6,"yyyymm") &amp; "]",
"[Base].[Metrica]",
"[Base].[Metrica].&amp;[" &amp; $A63 &amp; "]",
"[Base].[SEGMENTO_DESCRIP]",
"[Base].[SEGMENTO_DESCRIP].&amp;[" &amp; $C$6 &amp; "]",
"[Base].[SITUACION]",
"[Base].[SITUACION].&amp;[" &amp; $C63 &amp; "]"
),0)/1000</f>
        <v>95.726563806100003</v>
      </c>
      <c r="AF63" s="8">
        <f>IFERROR(
GETPIVOTDATA(
"[Base].[Importe]",
TDinamica_R!$A$5,
"[Calendario].[AñoMes]",
"[Calendario].[AñoMes].&amp;[" &amp; TEXT(AF$6,"yyyymm") &amp; "]",
"[Base].[Metrica]",
"[Base].[Metrica].&amp;[" &amp; $A63 &amp; "]",
"[Base].[SEGMENTO_DESCRIP]",
"[Base].[SEGMENTO_DESCRIP].&amp;[" &amp; $C$6 &amp; "]",
"[Base].[SITUACION]",
"[Base].[SITUACION].&amp;[" &amp; $C63 &amp; "]"
),0)/1000</f>
        <v>93.878900716100006</v>
      </c>
      <c r="AG63" s="8">
        <f>IFERROR(
GETPIVOTDATA(
"[Base].[Importe]",
TDinamica_R!$A$5,
"[Calendario].[AñoMes]",
"[Calendario].[AñoMes].&amp;[" &amp; TEXT(AG$6,"yyyymm") &amp; "]",
"[Base].[Metrica]",
"[Base].[Metrica].&amp;[" &amp; $A63 &amp; "]",
"[Base].[SEGMENTO_DESCRIP]",
"[Base].[SEGMENTO_DESCRIP].&amp;[" &amp; $C$6 &amp; "]",
"[Base].[SITUACION]",
"[Base].[SITUACION].&amp;[" &amp; $C63 &amp; "]"
),0)/1000</f>
        <v>120.82031025799999</v>
      </c>
      <c r="AH63" s="8">
        <f>IFERROR(
GETPIVOTDATA(
"[Base].[Importe]",
TDinamica_R!$A$5,
"[Calendario].[AñoMes]",
"[Calendario].[AñoMes].&amp;[" &amp; TEXT(AH$6,"yyyymm") &amp; "]",
"[Base].[Metrica]",
"[Base].[Metrica].&amp;[" &amp; $A63 &amp; "]",
"[Base].[SEGMENTO_DESCRIP]",
"[Base].[SEGMENTO_DESCRIP].&amp;[" &amp; $C$6 &amp; "]",
"[Base].[SITUACION]",
"[Base].[SITUACION].&amp;[" &amp; $C63 &amp; "]"
),0)/1000</f>
        <v>102.31896481240001</v>
      </c>
      <c r="AI63" s="8">
        <f>IFERROR(
GETPIVOTDATA(
"[Base].[Importe]",
TDinamica_R!$A$5,
"[Calendario].[AñoMes]",
"[Calendario].[AñoMes].&amp;[" &amp; TEXT(AI$6,"yyyymm") &amp; "]",
"[Base].[Metrica]",
"[Base].[Metrica].&amp;[" &amp; $A63 &amp; "]",
"[Base].[SEGMENTO_DESCRIP]",
"[Base].[SEGMENTO_DESCRIP].&amp;[" &amp; $C$6 &amp; "]",
"[Base].[SITUACION]",
"[Base].[SITUACION].&amp;[" &amp; $C63 &amp; "]"
),0)/1000</f>
        <v>115.599776315</v>
      </c>
      <c r="AJ63" s="8">
        <f>IFERROR(
GETPIVOTDATA(
"[Base].[Importe]",
TDinamica_R!$A$5,
"[Calendario].[AñoMes]",
"[Calendario].[AñoMes].&amp;[" &amp; TEXT(AJ$6,"yyyymm") &amp; "]",
"[Base].[Metrica]",
"[Base].[Metrica].&amp;[" &amp; $A63 &amp; "]",
"[Base].[SEGMENTO_DESCRIP]",
"[Base].[SEGMENTO_DESCRIP].&amp;[" &amp; $C$6 &amp; "]",
"[Base].[SITUACION]",
"[Base].[SITUACION].&amp;[" &amp; $C63 &amp; "]"
),0)/1000</f>
        <v>114.39552464320001</v>
      </c>
      <c r="AK63" s="8">
        <f>IFERROR(
GETPIVOTDATA(
"[Base].[Importe]",
TDinamica_R!$A$5,
"[Calendario].[AñoMes]",
"[Calendario].[AñoMes].&amp;[" &amp; TEXT(AK$6,"yyyymm") &amp; "]",
"[Base].[Metrica]",
"[Base].[Metrica].&amp;[" &amp; $A63 &amp; "]",
"[Base].[SEGMENTO_DESCRIP]",
"[Base].[SEGMENTO_DESCRIP].&amp;[" &amp; $C$6 &amp; "]",
"[Base].[SITUACION]",
"[Base].[SITUACION].&amp;[" &amp; $C63 &amp; "]"
),0)/1000</f>
        <v>107.06172826839999</v>
      </c>
      <c r="AL63" s="8">
        <f>IFERROR(
GETPIVOTDATA(
"[Base].[Importe]",
TDinamica_R!$A$5,
"[Calendario].[AñoMes]",
"[Calendario].[AñoMes].&amp;[" &amp; TEXT(AL$6,"yyyymm") &amp; "]",
"[Base].[Metrica]",
"[Base].[Metrica].&amp;[" &amp; $A63 &amp; "]",
"[Base].[SEGMENTO_DESCRIP]",
"[Base].[SEGMENTO_DESCRIP].&amp;[" &amp; $C$6 &amp; "]",
"[Base].[SITUACION]",
"[Base].[SITUACION].&amp;[" &amp; $C63 &amp; "]"
),0)/1000</f>
        <v>162.43640860490001</v>
      </c>
      <c r="AM63" s="8">
        <f>IFERROR(
GETPIVOTDATA(
"[Base].[Importe]",
TDinamica_R!$A$5,
"[Calendario].[AñoMes]",
"[Calendario].[AñoMes].&amp;[" &amp; TEXT(AM$6,"yyyymm") &amp; "]",
"[Base].[Metrica]",
"[Base].[Metrica].&amp;[" &amp; $A63 &amp; "]",
"[Base].[SEGMENTO_DESCRIP]",
"[Base].[SEGMENTO_DESCRIP].&amp;[" &amp; $C$6 &amp; "]",
"[Base].[SITUACION]",
"[Base].[SITUACION].&amp;[" &amp; $C63 &amp; "]"
),0)/1000</f>
        <v>113.39700554459999</v>
      </c>
      <c r="AN63" s="8">
        <f>IFERROR(
GETPIVOTDATA(
"[Base].[Importe]",
TDinamica_R!$A$5,
"[Calendario].[AñoMes]",
"[Calendario].[AñoMes].&amp;[" &amp; TEXT(AN$6,"yyyymm") &amp; "]",
"[Base].[Metrica]",
"[Base].[Metrica].&amp;[" &amp; $A63 &amp; "]",
"[Base].[SEGMENTO_DESCRIP]",
"[Base].[SEGMENTO_DESCRIP].&amp;[" &amp; $C$6 &amp; "]",
"[Base].[SITUACION]",
"[Base].[SITUACION].&amp;[" &amp; $C63 &amp; "]"
),0)/1000</f>
        <v>135.52765902044339</v>
      </c>
      <c r="AO63" s="8">
        <f>IFERROR(
GETPIVOTDATA(
"[Base].[Importe]",
TDinamica_R!$A$5,
"[Calendario].[AñoMes]",
"[Calendario].[AñoMes].&amp;[" &amp; TEXT(AO$6,"yyyymm") &amp; "]",
"[Base].[Metrica]",
"[Base].[Metrica].&amp;[" &amp; $A63 &amp; "]",
"[Base].[SEGMENTO_DESCRIP]",
"[Base].[SEGMENTO_DESCRIP].&amp;[" &amp; $C$6 &amp; "]",
"[Base].[SITUACION]",
"[Base].[SITUACION].&amp;[" &amp; $C63 &amp; "]"
),0)/1000</f>
        <v>104.22875016342724</v>
      </c>
      <c r="AP63" s="8">
        <f>IFERROR(
GETPIVOTDATA(
"[Base].[Importe]",
TDinamica_R!$A$5,
"[Calendario].[AñoMes]",
"[Calendario].[AñoMes].&amp;[" &amp; TEXT(AP$6,"yyyymm") &amp; "]",
"[Base].[Metrica]",
"[Base].[Metrica].&amp;[" &amp; $A63 &amp; "]",
"[Base].[SEGMENTO_DESCRIP]",
"[Base].[SEGMENTO_DESCRIP].&amp;[" &amp; $C$6 &amp; "]",
"[Base].[SITUACION]",
"[Base].[SITUACION].&amp;[" &amp; $C63 &amp; "]"
),0)/1000</f>
        <v>111.27706429476176</v>
      </c>
      <c r="AQ63" s="8">
        <f>IFERROR(
GETPIVOTDATA(
"[Base].[Importe]",
TDinamica_R!$A$5,
"[Calendario].[AñoMes]",
"[Calendario].[AñoMes].&amp;[" &amp; TEXT(AQ$6,"yyyymm") &amp; "]",
"[Base].[Metrica]",
"[Base].[Metrica].&amp;[" &amp; $A63 &amp; "]",
"[Base].[SEGMENTO_DESCRIP]",
"[Base].[SEGMENTO_DESCRIP].&amp;[" &amp; $C$6 &amp; "]",
"[Base].[SITUACION]",
"[Base].[SITUACION].&amp;[" &amp; $C63 &amp; "]"
),0)/1000</f>
        <v>156.74742336052191</v>
      </c>
      <c r="AR63" s="8">
        <f>IFERROR(
GETPIVOTDATA(
"[Base].[Importe]",
TDinamica_R!$A$5,
"[Calendario].[AñoMes]",
"[Calendario].[AñoMes].&amp;[" &amp; TEXT(AR$6,"yyyymm") &amp; "]",
"[Base].[Metrica]",
"[Base].[Metrica].&amp;[" &amp; $A63 &amp; "]",
"[Base].[SEGMENTO_DESCRIP]",
"[Base].[SEGMENTO_DESCRIP].&amp;[" &amp; $C$6 &amp; "]",
"[Base].[SITUACION]",
"[Base].[SITUACION].&amp;[" &amp; $C63 &amp; "]"
),0)/1000</f>
        <v>137.293985348436</v>
      </c>
      <c r="AS63" s="8">
        <f>IFERROR(
GETPIVOTDATA(
"[Base].[Importe]",
TDinamica_R!$A$5,
"[Calendario].[AñoMes]",
"[Calendario].[AñoMes].&amp;[" &amp; TEXT(AS$6,"yyyymm") &amp; "]",
"[Base].[Metrica]",
"[Base].[Metrica].&amp;[" &amp; $A63 &amp; "]",
"[Base].[SEGMENTO_DESCRIP]",
"[Base].[SEGMENTO_DESCRIP].&amp;[" &amp; $C$6 &amp; "]",
"[Base].[SITUACION]",
"[Base].[SITUACION].&amp;[" &amp; $C63 &amp; "]"
),0)/1000</f>
        <v>153.37862292745712</v>
      </c>
      <c r="AT63" s="8">
        <f>IFERROR(
GETPIVOTDATA(
"[Base].[Importe]",
TDinamica_R!$A$5,
"[Calendario].[AñoMes]",
"[Calendario].[AñoMes].&amp;[" &amp; TEXT(AT$6,"yyyymm")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U63" s="8">
        <f>IFERROR(
GETPIVOTDATA(
"[Base].[Importe]",
TDinamica_R!$A$5,
"[Calendario].[AñoMes]",
"[Calendario].[AñoMes].&amp;[" &amp; TEXT(AU$6,"yyyymm")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V63" s="8">
        <f>IFERROR(
GETPIVOTDATA(
"[Base].[Importe]",
TDinamica_R!$A$5,
"[Calendario].[AñoMes]",
"[Calendario].[AñoMes].&amp;[" &amp; TEXT(AV$6,"yyyymm")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W63" s="8">
        <f>IFERROR(
GETPIVOTDATA(
"[Base].[Importe]",
TDinamica_R!$A$5,
"[Calendario].[AñoMes]",
"[Calendario].[AñoMes].&amp;[" &amp; TEXT(AW$6,"yyyymm")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X63" s="8">
        <f>IFERROR(
GETPIVOTDATA(
"[Base].[Importe]",
TDinamica_R!$A$5,
"[Calendario].[AñoMes]",
"[Calendario].[AñoMes].&amp;[" &amp; TEXT(AX$6,"yyyymm")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Y63" s="8">
        <f>IFERROR(
GETPIVOTDATA(
"[Base].[Importe]",
TDinamica_R!$A$5,
"[Calendario].[AñoMes]",
"[Calendario].[AñoMes].&amp;[" &amp; TEXT(AY$6,"yyyymm")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Z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TEXT(AZ$6,"yyyymm") &amp; "]"
),
0
)</f>
        <v>120.40675646904765</v>
      </c>
      <c r="BA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TEXT(BA$6,"yyyymm") &amp; "]"
),
0
)</f>
        <v>122.51320507828967</v>
      </c>
      <c r="BB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TEXT(BB$6,"yyyymm") &amp; "]"
),
0
)</f>
        <v>125.1717879567984</v>
      </c>
      <c r="BC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TEXT(BC$6,"yyyymm") &amp; "]"
),
0
)</f>
        <v>128.89933725025139</v>
      </c>
      <c r="BD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TEXT(BD$6,"yyyymm") &amp; "]"
),
0
)</f>
        <v>133.28397153920912</v>
      </c>
      <c r="BE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TEXT(BE$6,"yyyymm") &amp; "]"
),
0
)</f>
        <v>137.12789533537702</v>
      </c>
      <c r="BF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TEXT(BF$6,"yyyymm") &amp; "]"
),
0
)</f>
        <v>139.48057977259987</v>
      </c>
      <c r="BG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TEXT(BG$6,"yyyymm") &amp; "]"
),
0
)</f>
        <v>141.58611681749528</v>
      </c>
      <c r="BH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TEXT(BH$6,"yyyymm") &amp; "]"
),
0
)</f>
        <v>144.61944031681972</v>
      </c>
      <c r="BI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TEXT(BI$6,"yyyymm") &amp; "]"
),
0
)</f>
        <v>148.01067842341314</v>
      </c>
      <c r="BJ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TEXT(BJ$6,"yyyymm") &amp; "]"
),
0
)</f>
        <v>150.58324837388722</v>
      </c>
      <c r="BK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TEXT(BK$6,"yyyymm") &amp; "]"
),
0
)</f>
        <v>151.9963697191582</v>
      </c>
      <c r="BO63" s="24">
        <f t="shared" ref="BO63:BT72" si="169">SUMIFS($D63:$BM63,$D$6:$BM$6,"&gt;="&amp;BO$2,$D$6:$BM$6,"&lt;="&amp;BO$6,$D$5:$BM$5,BO$5)</f>
        <v>351.0334734786324</v>
      </c>
      <c r="BP63" s="24">
        <f t="shared" si="169"/>
        <v>368.09174950413569</v>
      </c>
      <c r="BQ63" s="24">
        <f t="shared" si="169"/>
        <v>239.75640918387063</v>
      </c>
      <c r="BR63" s="24">
        <f t="shared" si="169"/>
        <v>243.72532949739997</v>
      </c>
      <c r="BS63" s="24">
        <f t="shared" si="169"/>
        <v>324.30634645909998</v>
      </c>
      <c r="BT63" s="24">
        <f t="shared" si="169"/>
        <v>245.48525097620001</v>
      </c>
    </row>
    <row r="64" spans="1:72" hidden="1" outlineLevel="1" x14ac:dyDescent="0.25">
      <c r="A64" s="11" t="s">
        <v>71</v>
      </c>
      <c r="C64" s="2" t="s">
        <v>113</v>
      </c>
      <c r="D64" s="8">
        <f>IFERROR(
GETPIVOTDATA(
"[Base].[Importe]",
TDinamica_R!$A$5,
"[Calendario].[AñoMes]",
"[Calendario].[AñoMes].&amp;[" &amp; TEXT(D$6,"yyyymm") &amp; "]",
"[Base].[Metrica]",
"[Base].[Metrica].&amp;[" &amp; $A64 &amp; "]",
"[Base].[SEGMENTO_DESCRIP]",
"[Base].[SEGMENTO_DESCRIP].&amp;[" &amp; $C$6 &amp; "]",
"[Base].[SITUACION]",
"[Base].[SITUACION].&amp;[" &amp; $C64 &amp; "]"
),0)/1000</f>
        <v>0.13</v>
      </c>
      <c r="E64" s="8">
        <f>IFERROR(
GETPIVOTDATA(
"[Base].[Importe]",
TDinamica_R!$A$5,
"[Calendario].[AñoMes]",
"[Calendario].[AñoMes].&amp;[" &amp; TEXT(E$6,"yyyymm") &amp; "]",
"[Base].[Metrica]",
"[Base].[Metrica].&amp;[" &amp; $A64 &amp; "]",
"[Base].[SEGMENTO_DESCRIP]",
"[Base].[SEGMENTO_DESCRIP].&amp;[" &amp; $C$6 &amp; "]",
"[Base].[SITUACION]",
"[Base].[SITUACION].&amp;[" &amp; $C64 &amp; "]"
),0)/1000</f>
        <v>0.10367</v>
      </c>
      <c r="F64" s="8">
        <f>IFERROR(
GETPIVOTDATA(
"[Base].[Importe]",
TDinamica_R!$A$5,
"[Calendario].[AñoMes]",
"[Calendario].[AñoMes].&amp;[" &amp; TEXT(F$6,"yyyymm") &amp; "]",
"[Base].[Metrica]",
"[Base].[Metrica].&amp;[" &amp; $A64 &amp; "]",
"[Base].[SEGMENTO_DESCRIP]",
"[Base].[SEGMENTO_DESCRIP].&amp;[" &amp; $C$6 &amp; "]",
"[Base].[SITUACION]",
"[Base].[SITUACION].&amp;[" &amp; $C64 &amp; "]"
),0)/1000</f>
        <v>8.0670000000000006E-2</v>
      </c>
      <c r="G64" s="8">
        <f>IFERROR(
GETPIVOTDATA(
"[Base].[Importe]",
TDinamica_R!$A$5,
"[Calendario].[AñoMes]",
"[Calendario].[AñoMes].&amp;[" &amp; TEXT(G$6,"yyyymm") &amp; "]",
"[Base].[Metrica]",
"[Base].[Metrica].&amp;[" &amp; $A64 &amp; "]",
"[Base].[SEGMENTO_DESCRIP]",
"[Base].[SEGMENTO_DESCRIP].&amp;[" &amp; $C$6 &amp; "]",
"[Base].[SITUACION]",
"[Base].[SITUACION].&amp;[" &amp; $C64 &amp; "]"
),0)/1000</f>
        <v>8.3670000000000008E-2</v>
      </c>
      <c r="H64" s="8">
        <f>IFERROR(
GETPIVOTDATA(
"[Base].[Importe]",
TDinamica_R!$A$5,
"[Calendario].[AñoMes]",
"[Calendario].[AñoMes].&amp;[" &amp; TEXT(H$6,"yyyymm") &amp; "]",
"[Base].[Metrica]",
"[Base].[Metrica].&amp;[" &amp; $A64 &amp; "]",
"[Base].[SEGMENTO_DESCRIP]",
"[Base].[SEGMENTO_DESCRIP].&amp;[" &amp; $C$6 &amp; "]",
"[Base].[SITUACION]",
"[Base].[SITUACION].&amp;[" &amp; $C64 &amp; "]"
),0)/1000</f>
        <v>7.0000000000000007E-2</v>
      </c>
      <c r="I64" s="8">
        <f>IFERROR(
GETPIVOTDATA(
"[Base].[Importe]",
TDinamica_R!$A$5,
"[Calendario].[AñoMes]",
"[Calendario].[AñoMes].&amp;[" &amp; TEXT(I$6,"yyyymm") &amp; "]",
"[Base].[Metrica]",
"[Base].[Metrica].&amp;[" &amp; $A64 &amp; "]",
"[Base].[SEGMENTO_DESCRIP]",
"[Base].[SEGMENTO_DESCRIP].&amp;[" &amp; $C$6 &amp; "]",
"[Base].[SITUACION]",
"[Base].[SITUACION].&amp;[" &amp; $C64 &amp; "]"
),0)/1000</f>
        <v>7.0000000000000007E-2</v>
      </c>
      <c r="J64" s="8">
        <f>IFERROR(
GETPIVOTDATA(
"[Base].[Importe]",
TDinamica_R!$A$5,
"[Calendario].[AñoMes]",
"[Calendario].[AñoMes].&amp;[" &amp; TEXT(J$6,"yyyymm") &amp; "]",
"[Base].[Metrica]",
"[Base].[Metrica].&amp;[" &amp; $A64 &amp; "]",
"[Base].[SEGMENTO_DESCRIP]",
"[Base].[SEGMENTO_DESCRIP].&amp;[" &amp; $C$6 &amp; "]",
"[Base].[SITUACION]",
"[Base].[SITUACION].&amp;[" &amp; $C64 &amp; "]"
),0)/1000</f>
        <v>7.0000000000000007E-2</v>
      </c>
      <c r="K64" s="8">
        <f>IFERROR(
GETPIVOTDATA(
"[Base].[Importe]",
TDinamica_R!$A$5,
"[Calendario].[AñoMes]",
"[Calendario].[AñoMes].&amp;[" &amp; TEXT(K$6,"yyyymm") &amp; "]",
"[Base].[Metrica]",
"[Base].[Metrica].&amp;[" &amp; $A64 &amp; "]",
"[Base].[SEGMENTO_DESCRIP]",
"[Base].[SEGMENTO_DESCRIP].&amp;[" &amp; $C$6 &amp; "]",
"[Base].[SITUACION]",
"[Base].[SITUACION].&amp;[" &amp; $C64 &amp; "]"
),0)/1000</f>
        <v>4.9669999999999999E-2</v>
      </c>
      <c r="L64" s="8">
        <f>IFERROR(
GETPIVOTDATA(
"[Base].[Importe]",
TDinamica_R!$A$5,
"[Calendario].[AñoMes]",
"[Calendario].[AñoMes].&amp;[" &amp; TEXT(L$6,"yyyymm") &amp; "]",
"[Base].[Metrica]",
"[Base].[Metrica].&amp;[" &amp; $A64 &amp; "]",
"[Base].[SEGMENTO_DESCRIP]",
"[Base].[SEGMENTO_DESCRIP].&amp;[" &amp; $C$6 &amp; "]",
"[Base].[SITUACION]",
"[Base].[SITUACION].&amp;[" &amp; $C64 &amp; "]"
),0)/1000</f>
        <v>0.04</v>
      </c>
      <c r="M64" s="8">
        <f>IFERROR(
GETPIVOTDATA(
"[Base].[Importe]",
TDinamica_R!$A$5,
"[Calendario].[AñoMes]",
"[Calendario].[AñoMes].&amp;[" &amp; TEXT(M$6,"yyyymm") &amp; "]",
"[Base].[Metrica]",
"[Base].[Metrica].&amp;[" &amp; $A64 &amp; "]",
"[Base].[SEGMENTO_DESCRIP]",
"[Base].[SEGMENTO_DESCRIP].&amp;[" &amp; $C$6 &amp; "]",
"[Base].[SITUACION]",
"[Base].[SITUACION].&amp;[" &amp; $C64 &amp; "]"
),0)/1000</f>
        <v>0.11</v>
      </c>
      <c r="N64" s="8">
        <f>IFERROR(
GETPIVOTDATA(
"[Base].[Importe]",
TDinamica_R!$A$5,
"[Calendario].[AñoMes]",
"[Calendario].[AñoMes].&amp;[" &amp; TEXT(N$6,"yyyymm") &amp; "]",
"[Base].[Metrica]",
"[Base].[Metrica].&amp;[" &amp; $A64 &amp; "]",
"[Base].[SEGMENTO_DESCRIP]",
"[Base].[SEGMENTO_DESCRIP].&amp;[" &amp; $C$6 &amp; "]",
"[Base].[SITUACION]",
"[Base].[SITUACION].&amp;[" &amp; $C64 &amp; "]"
),0)/1000</f>
        <v>0.14000000000000001</v>
      </c>
      <c r="O64" s="8">
        <f>IFERROR(
GETPIVOTDATA(
"[Base].[Importe]",
TDinamica_R!$A$5,
"[Calendario].[AñoMes]",
"[Calendario].[AñoMes].&amp;[" &amp; TEXT(O$6,"yyyymm") &amp; "]",
"[Base].[Metrica]",
"[Base].[Metrica].&amp;[" &amp; $A64 &amp; "]",
"[Base].[SEGMENTO_DESCRIP]",
"[Base].[SEGMENTO_DESCRIP].&amp;[" &amp; $C$6 &amp; "]",
"[Base].[SITUACION]",
"[Base].[SITUACION].&amp;[" &amp; $C64 &amp; "]"
),0)/1000</f>
        <v>0.22</v>
      </c>
      <c r="P64" s="8">
        <f>IFERROR(
GETPIVOTDATA(
"[Base].[Importe]",
TDinamica_R!$A$5,
"[Calendario].[AñoMes]",
"[Calendario].[AñoMes].&amp;[" &amp; TEXT(P$6,"yyyymm") &amp; "]",
"[Base].[Metrica]",
"[Base].[Metrica].&amp;[" &amp; $A64 &amp; "]",
"[Base].[SEGMENTO_DESCRIP]",
"[Base].[SEGMENTO_DESCRIP].&amp;[" &amp; $C$6 &amp; "]",
"[Base].[SITUACION]",
"[Base].[SITUACION].&amp;[" &amp; $C64 &amp; "]"
),0)/1000</f>
        <v>0.27</v>
      </c>
      <c r="Q64" s="8">
        <f>IFERROR(
GETPIVOTDATA(
"[Base].[Importe]",
TDinamica_R!$A$5,
"[Calendario].[AñoMes]",
"[Calendario].[AñoMes].&amp;[" &amp; TEXT(Q$6,"yyyymm") &amp; "]",
"[Base].[Metrica]",
"[Base].[Metrica].&amp;[" &amp; $A64 &amp; "]",
"[Base].[SEGMENTO_DESCRIP]",
"[Base].[SEGMENTO_DESCRIP].&amp;[" &amp; $C$6 &amp; "]",
"[Base].[SITUACION]",
"[Base].[SITUACION].&amp;[" &amp; $C64 &amp; "]"
),0)/1000</f>
        <v>0.2</v>
      </c>
      <c r="R64" s="8">
        <f>IFERROR(
GETPIVOTDATA(
"[Base].[Importe]",
TDinamica_R!$A$5,
"[Calendario].[AñoMes]",
"[Calendario].[AñoMes].&amp;[" &amp; TEXT(R$6,"yyyymm") &amp; "]",
"[Base].[Metrica]",
"[Base].[Metrica].&amp;[" &amp; $A64 &amp; "]",
"[Base].[SEGMENTO_DESCRIP]",
"[Base].[SEGMENTO_DESCRIP].&amp;[" &amp; $C$6 &amp; "]",
"[Base].[SITUACION]",
"[Base].[SITUACION].&amp;[" &amp; $C64 &amp; "]"
),0)/1000</f>
        <v>0.21</v>
      </c>
      <c r="S64" s="8">
        <f>IFERROR(
GETPIVOTDATA(
"[Base].[Importe]",
TDinamica_R!$A$5,
"[Calendario].[AñoMes]",
"[Calendario].[AñoMes].&amp;[" &amp; TEXT(S$6,"yyyymm") &amp; "]",
"[Base].[Metrica]",
"[Base].[Metrica].&amp;[" &amp; $A64 &amp; "]",
"[Base].[SEGMENTO_DESCRIP]",
"[Base].[SEGMENTO_DESCRIP].&amp;[" &amp; $C$6 &amp; "]",
"[Base].[SITUACION]",
"[Base].[SITUACION].&amp;[" &amp; $C64 &amp; "]"
),0)/1000</f>
        <v>0.27</v>
      </c>
      <c r="T64" s="8">
        <f>IFERROR(
GETPIVOTDATA(
"[Base].[Importe]",
TDinamica_R!$A$5,
"[Calendario].[AñoMes]",
"[Calendario].[AñoMes].&amp;[" &amp; TEXT(T$6,"yyyymm") &amp; "]",
"[Base].[Metrica]",
"[Base].[Metrica].&amp;[" &amp; $A64 &amp; "]",
"[Base].[SEGMENTO_DESCRIP]",
"[Base].[SEGMENTO_DESCRIP].&amp;[" &amp; $C$6 &amp; "]",
"[Base].[SITUACION]",
"[Base].[SITUACION].&amp;[" &amp; $C64 &amp; "]"
),0)/1000</f>
        <v>0.2</v>
      </c>
      <c r="U64" s="8">
        <f>IFERROR(
GETPIVOTDATA(
"[Base].[Importe]",
TDinamica_R!$A$5,
"[Calendario].[AñoMes]",
"[Calendario].[AñoMes].&amp;[" &amp; TEXT(U$6,"yyyymm") &amp; "]",
"[Base].[Metrica]",
"[Base].[Metrica].&amp;[" &amp; $A64 &amp; "]",
"[Base].[SEGMENTO_DESCRIP]",
"[Base].[SEGMENTO_DESCRIP].&amp;[" &amp; $C$6 &amp; "]",
"[Base].[SITUACION]",
"[Base].[SITUACION].&amp;[" &amp; $C64 &amp; "]"
),0)/1000</f>
        <v>0.23</v>
      </c>
      <c r="V64" s="8">
        <f>IFERROR(
GETPIVOTDATA(
"[Base].[Importe]",
TDinamica_R!$A$5,
"[Calendario].[AñoMes]",
"[Calendario].[AñoMes].&amp;[" &amp; TEXT(V$6,"yyyymm") &amp; "]",
"[Base].[Metrica]",
"[Base].[Metrica].&amp;[" &amp; $A64 &amp; "]",
"[Base].[SEGMENTO_DESCRIP]",
"[Base].[SEGMENTO_DESCRIP].&amp;[" &amp; $C$6 &amp; "]",
"[Base].[SITUACION]",
"[Base].[SITUACION].&amp;[" &amp; $C64 &amp; "]"
),0)/1000</f>
        <v>0.27</v>
      </c>
      <c r="W64" s="8">
        <f>IFERROR(
GETPIVOTDATA(
"[Base].[Importe]",
TDinamica_R!$A$5,
"[Calendario].[AñoMes]",
"[Calendario].[AñoMes].&amp;[" &amp; TEXT(W$6,"yyyymm") &amp; "]",
"[Base].[Metrica]",
"[Base].[Metrica].&amp;[" &amp; $A64 &amp; "]",
"[Base].[SEGMENTO_DESCRIP]",
"[Base].[SEGMENTO_DESCRIP].&amp;[" &amp; $C$6 &amp; "]",
"[Base].[SITUACION]",
"[Base].[SITUACION].&amp;[" &amp; $C64 &amp; "]"
),0)/1000</f>
        <v>0.24167000000000002</v>
      </c>
      <c r="X64" s="8">
        <f>IFERROR(
GETPIVOTDATA(
"[Base].[Importe]",
TDinamica_R!$A$5,
"[Calendario].[AñoMes]",
"[Calendario].[AñoMes].&amp;[" &amp; TEXT(X$6,"yyyymm") &amp; "]",
"[Base].[Metrica]",
"[Base].[Metrica].&amp;[" &amp; $A64 &amp; "]",
"[Base].[SEGMENTO_DESCRIP]",
"[Base].[SEGMENTO_DESCRIP].&amp;[" &amp; $C$6 &amp; "]",
"[Base].[SITUACION]",
"[Base].[SITUACION].&amp;[" &amp; $C64 &amp; "]"
),0)/1000</f>
        <v>0.26500000000000001</v>
      </c>
      <c r="Y64" s="8">
        <f>IFERROR(
GETPIVOTDATA(
"[Base].[Importe]",
TDinamica_R!$A$5,
"[Calendario].[AñoMes]",
"[Calendario].[AñoMes].&amp;[" &amp; TEXT(Y$6,"yyyymm") &amp; "]",
"[Base].[Metrica]",
"[Base].[Metrica].&amp;[" &amp; $A64 &amp; "]",
"[Base].[SEGMENTO_DESCRIP]",
"[Base].[SEGMENTO_DESCRIP].&amp;[" &amp; $C$6 &amp; "]",
"[Base].[SITUACION]",
"[Base].[SITUACION].&amp;[" &amp; $C64 &amp; "]"
),0)/1000</f>
        <v>0.26233000000000006</v>
      </c>
      <c r="Z64" s="8">
        <f>IFERROR(
GETPIVOTDATA(
"[Base].[Importe]",
TDinamica_R!$A$5,
"[Calendario].[AñoMes]",
"[Calendario].[AñoMes].&amp;[" &amp; TEXT(Z$6,"yyyymm") &amp; "]",
"[Base].[Metrica]",
"[Base].[Metrica].&amp;[" &amp; $A64 &amp; "]",
"[Base].[SEGMENTO_DESCRIP]",
"[Base].[SEGMENTO_DESCRIP].&amp;[" &amp; $C$6 &amp; "]",
"[Base].[SITUACION]",
"[Base].[SITUACION].&amp;[" &amp; $C64 &amp; "]"
),0)/1000</f>
        <v>0.26</v>
      </c>
      <c r="AA64" s="8">
        <f>IFERROR(
GETPIVOTDATA(
"[Base].[Importe]",
TDinamica_R!$A$5,
"[Calendario].[AñoMes]",
"[Calendario].[AñoMes].&amp;[" &amp; TEXT(AA$6,"yyyymm") &amp; "]",
"[Base].[Metrica]",
"[Base].[Metrica].&amp;[" &amp; $A64 &amp; "]",
"[Base].[SEGMENTO_DESCRIP]",
"[Base].[SEGMENTO_DESCRIP].&amp;[" &amp; $C$6 &amp; "]",
"[Base].[SITUACION]",
"[Base].[SITUACION].&amp;[" &amp; $C64 &amp; "]"
),0)/1000</f>
        <v>0.28000000000000003</v>
      </c>
      <c r="AB64" s="8">
        <f>IFERROR(
GETPIVOTDATA(
"[Base].[Importe]",
TDinamica_R!$A$5,
"[Calendario].[AñoMes]",
"[Calendario].[AñoMes].&amp;[" &amp; TEXT(AB$6,"yyyymm") &amp; "]",
"[Base].[Metrica]",
"[Base].[Metrica].&amp;[" &amp; $A64 &amp; "]",
"[Base].[SEGMENTO_DESCRIP]",
"[Base].[SEGMENTO_DESCRIP].&amp;[" &amp; $C$6 &amp; "]",
"[Base].[SITUACION]",
"[Base].[SITUACION].&amp;[" &amp; $C64 &amp; "]"
),0)/1000</f>
        <v>0.28299999999999997</v>
      </c>
      <c r="AC64" s="8">
        <f>IFERROR(
GETPIVOTDATA(
"[Base].[Importe]",
TDinamica_R!$A$5,
"[Calendario].[AñoMes]",
"[Calendario].[AñoMes].&amp;[" &amp; TEXT(AC$6,"yyyymm") &amp; "]",
"[Base].[Metrica]",
"[Base].[Metrica].&amp;[" &amp; $A64 &amp; "]",
"[Base].[SEGMENTO_DESCRIP]",
"[Base].[SEGMENTO_DESCRIP].&amp;[" &amp; $C$6 &amp; "]",
"[Base].[SITUACION]",
"[Base].[SITUACION].&amp;[" &amp; $C64 &amp; "]"
),0)/1000</f>
        <v>0.187</v>
      </c>
      <c r="AD64" s="8">
        <f>IFERROR(
GETPIVOTDATA(
"[Base].[Importe]",
TDinamica_R!$A$5,
"[Calendario].[AñoMes]",
"[Calendario].[AñoMes].&amp;[" &amp; TEXT(AD$6,"yyyymm") &amp; "]",
"[Base].[Metrica]",
"[Base].[Metrica].&amp;[" &amp; $A64 &amp; "]",
"[Base].[SEGMENTO_DESCRIP]",
"[Base].[SEGMENTO_DESCRIP].&amp;[" &amp; $C$6 &amp; "]",
"[Base].[SITUACION]",
"[Base].[SITUACION].&amp;[" &amp; $C64 &amp; "]"
),0)/1000</f>
        <v>0.27632999999999996</v>
      </c>
      <c r="AE64" s="8">
        <f>IFERROR(
GETPIVOTDATA(
"[Base].[Importe]",
TDinamica_R!$A$5,
"[Calendario].[AñoMes]",
"[Calendario].[AñoMes].&amp;[" &amp; TEXT(AE$6,"yyyymm") &amp; "]",
"[Base].[Metrica]",
"[Base].[Metrica].&amp;[" &amp; $A64 &amp; "]",
"[Base].[SEGMENTO_DESCRIP]",
"[Base].[SEGMENTO_DESCRIP].&amp;[" &amp; $C$6 &amp; "]",
"[Base].[SITUACION]",
"[Base].[SITUACION].&amp;[" &amp; $C64 &amp; "]"
),0)/1000</f>
        <v>0.18633</v>
      </c>
      <c r="AF64" s="8">
        <f>IFERROR(
GETPIVOTDATA(
"[Base].[Importe]",
TDinamica_R!$A$5,
"[Calendario].[AñoMes]",
"[Calendario].[AñoMes].&amp;[" &amp; TEXT(AF$6,"yyyymm") &amp; "]",
"[Base].[Metrica]",
"[Base].[Metrica].&amp;[" &amp; $A64 &amp; "]",
"[Base].[SEGMENTO_DESCRIP]",
"[Base].[SEGMENTO_DESCRIP].&amp;[" &amp; $C$6 &amp; "]",
"[Base].[SITUACION]",
"[Base].[SITUACION].&amp;[" &amp; $C64 &amp; "]"
),0)/1000</f>
        <v>0.13332999999999998</v>
      </c>
      <c r="AG64" s="8">
        <f>IFERROR(
GETPIVOTDATA(
"[Base].[Importe]",
TDinamica_R!$A$5,
"[Calendario].[AñoMes]",
"[Calendario].[AñoMes].&amp;[" &amp; TEXT(AG$6,"yyyymm") &amp; "]",
"[Base].[Metrica]",
"[Base].[Metrica].&amp;[" &amp; $A64 &amp; "]",
"[Base].[SEGMENTO_DESCRIP]",
"[Base].[SEGMENTO_DESCRIP].&amp;[" &amp; $C$6 &amp; "]",
"[Base].[SITUACION]",
"[Base].[SITUACION].&amp;[" &amp; $C64 &amp; "]"
),0)/1000</f>
        <v>0.18</v>
      </c>
      <c r="AH64" s="8">
        <f>IFERROR(
GETPIVOTDATA(
"[Base].[Importe]",
TDinamica_R!$A$5,
"[Calendario].[AñoMes]",
"[Calendario].[AñoMes].&amp;[" &amp; TEXT(AH$6,"yyyymm") &amp; "]",
"[Base].[Metrica]",
"[Base].[Metrica].&amp;[" &amp; $A64 &amp; "]",
"[Base].[SEGMENTO_DESCRIP]",
"[Base].[SEGMENTO_DESCRIP].&amp;[" &amp; $C$6 &amp; "]",
"[Base].[SITUACION]",
"[Base].[SITUACION].&amp;[" &amp; $C64 &amp; "]"
),0)/1000</f>
        <v>0.18</v>
      </c>
      <c r="AI64" s="8">
        <f>IFERROR(
GETPIVOTDATA(
"[Base].[Importe]",
TDinamica_R!$A$5,
"[Calendario].[AñoMes]",
"[Calendario].[AñoMes].&amp;[" &amp; TEXT(AI$6,"yyyymm") &amp; "]",
"[Base].[Metrica]",
"[Base].[Metrica].&amp;[" &amp; $A64 &amp; "]",
"[Base].[SEGMENTO_DESCRIP]",
"[Base].[SEGMENTO_DESCRIP].&amp;[" &amp; $C$6 &amp; "]",
"[Base].[SITUACION]",
"[Base].[SITUACION].&amp;[" &amp; $C64 &amp; "]"
),0)/1000</f>
        <v>0.18</v>
      </c>
      <c r="AJ64" s="8">
        <f>IFERROR(
GETPIVOTDATA(
"[Base].[Importe]",
TDinamica_R!$A$5,
"[Calendario].[AñoMes]",
"[Calendario].[AñoMes].&amp;[" &amp; TEXT(AJ$6,"yyyymm") &amp; "]",
"[Base].[Metrica]",
"[Base].[Metrica].&amp;[" &amp; $A64 &amp; "]",
"[Base].[SEGMENTO_DESCRIP]",
"[Base].[SEGMENTO_DESCRIP].&amp;[" &amp; $C$6 &amp; "]",
"[Base].[SITUACION]",
"[Base].[SITUACION].&amp;[" &amp; $C64 &amp; "]"
),0)/1000</f>
        <v>0.14266999999999999</v>
      </c>
      <c r="AK64" s="8">
        <f>IFERROR(
GETPIVOTDATA(
"[Base].[Importe]",
TDinamica_R!$A$5,
"[Calendario].[AñoMes]",
"[Calendario].[AñoMes].&amp;[" &amp; TEXT(AK$6,"yyyymm") &amp; "]",
"[Base].[Metrica]",
"[Base].[Metrica].&amp;[" &amp; $A64 &amp; "]",
"[Base].[SEGMENTO_DESCRIP]",
"[Base].[SEGMENTO_DESCRIP].&amp;[" &amp; $C$6 &amp; "]",
"[Base].[SITUACION]",
"[Base].[SITUACION].&amp;[" &amp; $C64 &amp; "]"
),0)/1000</f>
        <v>0.18</v>
      </c>
      <c r="AL64" s="8">
        <f>IFERROR(
GETPIVOTDATA(
"[Base].[Importe]",
TDinamica_R!$A$5,
"[Calendario].[AñoMes]",
"[Calendario].[AñoMes].&amp;[" &amp; TEXT(AL$6,"yyyymm") &amp; "]",
"[Base].[Metrica]",
"[Base].[Metrica].&amp;[" &amp; $A64 &amp; "]",
"[Base].[SEGMENTO_DESCRIP]",
"[Base].[SEGMENTO_DESCRIP].&amp;[" &amp; $C$6 &amp; "]",
"[Base].[SITUACION]",
"[Base].[SITUACION].&amp;[" &amp; $C64 &amp; "]"
),0)/1000</f>
        <v>0.14000000000000001</v>
      </c>
      <c r="AM64" s="8">
        <f>IFERROR(
GETPIVOTDATA(
"[Base].[Importe]",
TDinamica_R!$A$5,
"[Calendario].[AñoMes]",
"[Calendario].[AñoMes].&amp;[" &amp; TEXT(AM$6,"yyyymm") &amp; "]",
"[Base].[Metrica]",
"[Base].[Metrica].&amp;[" &amp; $A64 &amp; "]",
"[Base].[SEGMENTO_DESCRIP]",
"[Base].[SEGMENTO_DESCRIP].&amp;[" &amp; $C$6 &amp; "]",
"[Base].[SITUACION]",
"[Base].[SITUACION].&amp;[" &amp; $C64 &amp; "]"
),0)/1000</f>
        <v>0.15299000000000001</v>
      </c>
      <c r="AN64" s="8">
        <f>IFERROR(
GETPIVOTDATA(
"[Base].[Importe]",
TDinamica_R!$A$5,
"[Calendario].[AñoMes]",
"[Calendario].[AñoMes].&amp;[" &amp; TEXT(AN$6,"yyyymm") &amp; "]",
"[Base].[Metrica]",
"[Base].[Metrica].&amp;[" &amp; $A64 &amp; "]",
"[Base].[SEGMENTO_DESCRIP]",
"[Base].[SEGMENTO_DESCRIP].&amp;[" &amp; $C$6 &amp; "]",
"[Base].[SITUACION]",
"[Base].[SITUACION].&amp;[" &amp; $C64 &amp; "]"
),0)/1000</f>
        <v>0.15</v>
      </c>
      <c r="AO64" s="8">
        <f>IFERROR(
GETPIVOTDATA(
"[Base].[Importe]",
TDinamica_R!$A$5,
"[Calendario].[AñoMes]",
"[Calendario].[AñoMes].&amp;[" &amp; TEXT(AO$6,"yyyymm") &amp; "]",
"[Base].[Metrica]",
"[Base].[Metrica].&amp;[" &amp; $A64 &amp; "]",
"[Base].[SEGMENTO_DESCRIP]",
"[Base].[SEGMENTO_DESCRIP].&amp;[" &amp; $C$6 &amp; "]",
"[Base].[SITUACION]",
"[Base].[SITUACION].&amp;[" &amp; $C64 &amp; "]"
),0)/1000</f>
        <v>0.107</v>
      </c>
      <c r="AP64" s="8">
        <f>IFERROR(
GETPIVOTDATA(
"[Base].[Importe]",
TDinamica_R!$A$5,
"[Calendario].[AñoMes]",
"[Calendario].[AñoMes].&amp;[" &amp; TEXT(AP$6,"yyyymm") &amp; "]",
"[Base].[Metrica]",
"[Base].[Metrica].&amp;[" &amp; $A64 &amp; "]",
"[Base].[SEGMENTO_DESCRIP]",
"[Base].[SEGMENTO_DESCRIP].&amp;[" &amp; $C$6 &amp; "]",
"[Base].[SITUACION]",
"[Base].[SITUACION].&amp;[" &amp; $C64 &amp; "]"
),0)/1000</f>
        <v>0.13832999999999998</v>
      </c>
      <c r="AQ64" s="8">
        <f>IFERROR(
GETPIVOTDATA(
"[Base].[Importe]",
TDinamica_R!$A$5,
"[Calendario].[AñoMes]",
"[Calendario].[AñoMes].&amp;[" &amp; TEXT(AQ$6,"yyyymm") &amp; "]",
"[Base].[Metrica]",
"[Base].[Metrica].&amp;[" &amp; $A64 &amp; "]",
"[Base].[SEGMENTO_DESCRIP]",
"[Base].[SEGMENTO_DESCRIP].&amp;[" &amp; $C$6 &amp; "]",
"[Base].[SITUACION]",
"[Base].[SITUACION].&amp;[" &amp; $C64 &amp; "]"
),0)/1000</f>
        <v>7.9329999999999998E-2</v>
      </c>
      <c r="AR64" s="8">
        <f>IFERROR(
GETPIVOTDATA(
"[Base].[Importe]",
TDinamica_R!$A$5,
"[Calendario].[AñoMes]",
"[Calendario].[AñoMes].&amp;[" &amp; TEXT(AR$6,"yyyymm") &amp; "]",
"[Base].[Metrica]",
"[Base].[Metrica].&amp;[" &amp; $A64 &amp; "]",
"[Base].[SEGMENTO_DESCRIP]",
"[Base].[SEGMENTO_DESCRIP].&amp;[" &amp; $C$6 &amp; "]",
"[Base].[SITUACION]",
"[Base].[SITUACION].&amp;[" &amp; $C64 &amp; "]"
),0)/1000</f>
        <v>0.11767</v>
      </c>
      <c r="AS64" s="8">
        <f>IFERROR(
GETPIVOTDATA(
"[Base].[Importe]",
TDinamica_R!$A$5,
"[Calendario].[AñoMes]",
"[Calendario].[AñoMes].&amp;[" &amp; TEXT(AS$6,"yyyymm") &amp; "]",
"[Base].[Metrica]",
"[Base].[Metrica].&amp;[" &amp; $A64 &amp; "]",
"[Base].[SEGMENTO_DESCRIP]",
"[Base].[SEGMENTO_DESCRIP].&amp;[" &amp; $C$6 &amp; "]",
"[Base].[SITUACION]",
"[Base].[SITUACION].&amp;[" &amp; $C64 &amp; "]"
),0)/1000</f>
        <v>0.08</v>
      </c>
      <c r="AT64" s="8">
        <f>IFERROR(
GETPIVOTDATA(
"[Base].[Importe]",
TDinamica_R!$A$5,
"[Calendario].[AñoMes]",
"[Calendario].[AñoMes].&amp;[" &amp; TEXT(AT$6,"yyyymm")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U64" s="8">
        <f>IFERROR(
GETPIVOTDATA(
"[Base].[Importe]",
TDinamica_R!$A$5,
"[Calendario].[AñoMes]",
"[Calendario].[AñoMes].&amp;[" &amp; TEXT(AU$6,"yyyymm")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V64" s="8">
        <f>IFERROR(
GETPIVOTDATA(
"[Base].[Importe]",
TDinamica_R!$A$5,
"[Calendario].[AñoMes]",
"[Calendario].[AñoMes].&amp;[" &amp; TEXT(AV$6,"yyyymm")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W64" s="8">
        <f>IFERROR(
GETPIVOTDATA(
"[Base].[Importe]",
TDinamica_R!$A$5,
"[Calendario].[AñoMes]",
"[Calendario].[AñoMes].&amp;[" &amp; TEXT(AW$6,"yyyymm")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X64" s="8">
        <f>IFERROR(
GETPIVOTDATA(
"[Base].[Importe]",
TDinamica_R!$A$5,
"[Calendario].[AñoMes]",
"[Calendario].[AñoMes].&amp;[" &amp; TEXT(AX$6,"yyyymm")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Y64" s="8">
        <f>IFERROR(
GETPIVOTDATA(
"[Base].[Importe]",
TDinamica_R!$A$5,
"[Calendario].[AñoMes]",
"[Calendario].[AñoMes].&amp;[" &amp; TEXT(AY$6,"yyyymm")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Z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TEXT(AZ$6,"yyyymm") &amp; "]"
),
0
)</f>
        <v>0.20371285714285711</v>
      </c>
      <c r="BA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TEXT(BA$6,"yyyymm") &amp; "]"
),
0
)</f>
        <v>0.20371285714285711</v>
      </c>
      <c r="BB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TEXT(BB$6,"yyyymm") &amp; "]"
),
0
)</f>
        <v>0.20371285714285711</v>
      </c>
      <c r="BC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TEXT(BC$6,"yyyymm") &amp; "]"
),
0
)</f>
        <v>0.20371285714285711</v>
      </c>
      <c r="BD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TEXT(BD$6,"yyyymm") &amp; "]"
),
0
)</f>
        <v>0.20371285714285711</v>
      </c>
      <c r="BE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TEXT(BE$6,"yyyymm") &amp; "]"
),
0
)</f>
        <v>0.20371285714285711</v>
      </c>
      <c r="BF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TEXT(BF$6,"yyyymm") &amp; "]"
),
0
)</f>
        <v>0.20371285714285711</v>
      </c>
      <c r="BG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TEXT(BG$6,"yyyymm") &amp; "]"
),
0
)</f>
        <v>0.20371285714285711</v>
      </c>
      <c r="BH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TEXT(BH$6,"yyyymm") &amp; "]"
),
0
)</f>
        <v>0.20371285714285711</v>
      </c>
      <c r="BI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TEXT(BI$6,"yyyymm") &amp; "]"
),
0
)</f>
        <v>0.20371285714285711</v>
      </c>
      <c r="BJ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TEXT(BJ$6,"yyyymm") &amp; "]"
),
0
)</f>
        <v>0.20371285714285711</v>
      </c>
      <c r="BK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TEXT(BK$6,"yyyymm") &amp; "]"
),
0
)</f>
        <v>0.20371285714285711</v>
      </c>
      <c r="BO64" s="24">
        <f t="shared" si="169"/>
        <v>0.39532999999999996</v>
      </c>
      <c r="BP64" s="24">
        <f t="shared" si="169"/>
        <v>0.61113857142857131</v>
      </c>
      <c r="BQ64" s="24">
        <f t="shared" si="169"/>
        <v>0.25700000000000001</v>
      </c>
      <c r="BR64" s="24">
        <f t="shared" si="169"/>
        <v>0.74632999999999994</v>
      </c>
      <c r="BS64" s="24">
        <f t="shared" si="169"/>
        <v>0.68</v>
      </c>
      <c r="BT64" s="24">
        <f t="shared" si="169"/>
        <v>0.31434000000000001</v>
      </c>
    </row>
    <row r="65" spans="1:72" hidden="1" outlineLevel="1" x14ac:dyDescent="0.25">
      <c r="A65" s="11" t="s">
        <v>71</v>
      </c>
      <c r="C65" s="2" t="s">
        <v>114</v>
      </c>
      <c r="D65" s="8">
        <f>IFERROR(
GETPIVOTDATA(
"[Base].[Importe]",
TDinamica_R!$A$5,
"[Calendario].[AñoMes]",
"[Calendario].[AñoMes].&amp;[" &amp; TEXT(D$6,"yyyymm") &amp; "]",
"[Base].[Metrica]",
"[Base].[Metrica].&amp;[" &amp; $A65 &amp; "]",
"[Base].[SEGMENTO_DESCRIP]",
"[Base].[SEGMENTO_DESCRIP].&amp;[" &amp; $C$6 &amp; "]",
"[Base].[SITUACION]",
"[Base].[SITUACION].&amp;[" &amp; $C65 &amp; "]"
),0)/1000</f>
        <v>4.2934334049999995E-2</v>
      </c>
      <c r="E65" s="8">
        <f>IFERROR(
GETPIVOTDATA(
"[Base].[Importe]",
TDinamica_R!$A$5,
"[Calendario].[AñoMes]",
"[Calendario].[AñoMes].&amp;[" &amp; TEXT(E$6,"yyyymm")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F65" s="8">
        <f>IFERROR(
GETPIVOTDATA(
"[Base].[Importe]",
TDinamica_R!$A$5,
"[Calendario].[AñoMes]",
"[Calendario].[AñoMes].&amp;[" &amp; TEXT(F$6,"yyyymm")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G65" s="8">
        <f>IFERROR(
GETPIVOTDATA(
"[Base].[Importe]",
TDinamica_R!$A$5,
"[Calendario].[AñoMes]",
"[Calendario].[AñoMes].&amp;[" &amp; TEXT(G$6,"yyyymm")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H65" s="8">
        <f>IFERROR(
GETPIVOTDATA(
"[Base].[Importe]",
TDinamica_R!$A$5,
"[Calendario].[AñoMes]",
"[Calendario].[AñoMes].&amp;[" &amp; TEXT(H$6,"yyyymm")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I65" s="8">
        <f>IFERROR(
GETPIVOTDATA(
"[Base].[Importe]",
TDinamica_R!$A$5,
"[Calendario].[AñoMes]",
"[Calendario].[AñoMes].&amp;[" &amp; TEXT(I$6,"yyyymm") &amp; "]",
"[Base].[Metrica]",
"[Base].[Metrica].&amp;[" &amp; $A65 &amp; "]",
"[Base].[SEGMENTO_DESCRIP]",
"[Base].[SEGMENTO_DESCRIP].&amp;[" &amp; $C$6 &amp; "]",
"[Base].[SITUACION]",
"[Base].[SITUACION].&amp;[" &amp; $C65 &amp; "]"
),0)/1000</f>
        <v>4.7785996630000001E-2</v>
      </c>
      <c r="J65" s="8">
        <f>IFERROR(
GETPIVOTDATA(
"[Base].[Importe]",
TDinamica_R!$A$5,
"[Calendario].[AñoMes]",
"[Calendario].[AñoMes].&amp;[" &amp; TEXT(J$6,"yyyymm")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K65" s="8">
        <f>IFERROR(
GETPIVOTDATA(
"[Base].[Importe]",
TDinamica_R!$A$5,
"[Calendario].[AñoMes]",
"[Calendario].[AñoMes].&amp;[" &amp; TEXT(K$6,"yyyymm")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L65" s="8">
        <f>IFERROR(
GETPIVOTDATA(
"[Base].[Importe]",
TDinamica_R!$A$5,
"[Calendario].[AñoMes]",
"[Calendario].[AñoMes].&amp;[" &amp; TEXT(L$6,"yyyymm")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M65" s="8">
        <f>IFERROR(
GETPIVOTDATA(
"[Base].[Importe]",
TDinamica_R!$A$5,
"[Calendario].[AñoMes]",
"[Calendario].[AñoMes].&amp;[" &amp; TEXT(M$6,"yyyymm")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N65" s="8">
        <f>IFERROR(
GETPIVOTDATA(
"[Base].[Importe]",
TDinamica_R!$A$5,
"[Calendario].[AñoMes]",
"[Calendario].[AñoMes].&amp;[" &amp; TEXT(N$6,"yyyymm") &amp; "]",
"[Base].[Metrica]",
"[Base].[Metrica].&amp;[" &amp; $A65 &amp; "]",
"[Base].[SEGMENTO_DESCRIP]",
"[Base].[SEGMENTO_DESCRIP].&amp;[" &amp; $C$6 &amp; "]",
"[Base].[SITUACION]",
"[Base].[SITUACION].&amp;[" &amp; $C65 &amp; "]"
),0)/1000</f>
        <v>1.5140125900000002E-3</v>
      </c>
      <c r="O65" s="8">
        <f>IFERROR(
GETPIVOTDATA(
"[Base].[Importe]",
TDinamica_R!$A$5,
"[Calendario].[AñoMes]",
"[Calendario].[AñoMes].&amp;[" &amp; TEXT(O$6,"yyyymm") &amp; "]",
"[Base].[Metrica]",
"[Base].[Metrica].&amp;[" &amp; $A65 &amp; "]",
"[Base].[SEGMENTO_DESCRIP]",
"[Base].[SEGMENTO_DESCRIP].&amp;[" &amp; $C$6 &amp; "]",
"[Base].[SITUACION]",
"[Base].[SITUACION].&amp;[" &amp; $C65 &amp; "]"
),0)/1000</f>
        <v>8.4615442650000011E-2</v>
      </c>
      <c r="P65" s="8">
        <f>IFERROR(
GETPIVOTDATA(
"[Base].[Importe]",
TDinamica_R!$A$5,
"[Calendario].[AñoMes]",
"[Calendario].[AñoMes].&amp;[" &amp; TEXT(P$6,"yyyymm") &amp; "]",
"[Base].[Metrica]",
"[Base].[Metrica].&amp;[" &amp; $A65 &amp; "]",
"[Base].[SEGMENTO_DESCRIP]",
"[Base].[SEGMENTO_DESCRIP].&amp;[" &amp; $C$6 &amp; "]",
"[Base].[SITUACION]",
"[Base].[SITUACION].&amp;[" &amp; $C65 &amp; "]"
),0)/1000</f>
        <v>-3.8627907810000001E-2</v>
      </c>
      <c r="Q65" s="8">
        <f>IFERROR(
GETPIVOTDATA(
"[Base].[Importe]",
TDinamica_R!$A$5,
"[Calendario].[AñoMes]",
"[Calendario].[AñoMes].&amp;[" &amp; TEXT(Q$6,"yyyymm")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R65" s="8">
        <f>IFERROR(
GETPIVOTDATA(
"[Base].[Importe]",
TDinamica_R!$A$5,
"[Calendario].[AñoMes]",
"[Calendario].[AñoMes].&amp;[" &amp; TEXT(R$6,"yyyymm")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S65" s="8">
        <f>IFERROR(
GETPIVOTDATA(
"[Base].[Importe]",
TDinamica_R!$A$5,
"[Calendario].[AñoMes]",
"[Calendario].[AñoMes].&amp;[" &amp; TEXT(S$6,"yyyymm")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T65" s="8">
        <f>IFERROR(
GETPIVOTDATA(
"[Base].[Importe]",
TDinamica_R!$A$5,
"[Calendario].[AñoMes]",
"[Calendario].[AñoMes].&amp;[" &amp; TEXT(T$6,"yyyymm") &amp; "]",
"[Base].[Metrica]",
"[Base].[Metrica].&amp;[" &amp; $A65 &amp; "]",
"[Base].[SEGMENTO_DESCRIP]",
"[Base].[SEGMENTO_DESCRIP].&amp;[" &amp; $C$6 &amp; "]",
"[Base].[SITUACION]",
"[Base].[SITUACION].&amp;[" &amp; $C65 &amp; "]"
),0)/1000</f>
        <v>4.8621889469999999E-2</v>
      </c>
      <c r="U65" s="8">
        <f>IFERROR(
GETPIVOTDATA(
"[Base].[Importe]",
TDinamica_R!$A$5,
"[Calendario].[AñoMes]",
"[Calendario].[AñoMes].&amp;[" &amp; TEXT(U$6,"yyyymm") &amp; "]",
"[Base].[Metrica]",
"[Base].[Metrica].&amp;[" &amp; $A65 &amp; "]",
"[Base].[SEGMENTO_DESCRIP]",
"[Base].[SEGMENTO_DESCRIP].&amp;[" &amp; $C$6 &amp; "]",
"[Base].[SITUACION]",
"[Base].[SITUACION].&amp;[" &amp; $C65 &amp; "]"
),0)/1000</f>
        <v>4.9065653859999996E-2</v>
      </c>
      <c r="V65" s="8">
        <f>IFERROR(
GETPIVOTDATA(
"[Base].[Importe]",
TDinamica_R!$A$5,
"[Calendario].[AñoMes]",
"[Calendario].[AñoMes].&amp;[" &amp; TEXT(V$6,"yyyymm") &amp; "]",
"[Base].[Metrica]",
"[Base].[Metrica].&amp;[" &amp; $A65 &amp; "]",
"[Base].[SEGMENTO_DESCRIP]",
"[Base].[SEGMENTO_DESCRIP].&amp;[" &amp; $C$6 &amp; "]",
"[Base].[SITUACION]",
"[Base].[SITUACION].&amp;[" &amp; $C65 &amp; "]"
),0)/1000</f>
        <v>4.9594280609999999E-2</v>
      </c>
      <c r="W65" s="8">
        <f>IFERROR(
GETPIVOTDATA(
"[Base].[Importe]",
TDinamica_R!$A$5,
"[Calendario].[AñoMes]",
"[Calendario].[AñoMes].&amp;[" &amp; TEXT(W$6,"yyyymm")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X65" s="8">
        <f>IFERROR(
GETPIVOTDATA(
"[Base].[Importe]",
TDinamica_R!$A$5,
"[Calendario].[AñoMes]",
"[Calendario].[AñoMes].&amp;[" &amp; TEXT(X$6,"yyyymm") &amp; "]",
"[Base].[Metrica]",
"[Base].[Metrica].&amp;[" &amp; $A65 &amp; "]",
"[Base].[SEGMENTO_DESCRIP]",
"[Base].[SEGMENTO_DESCRIP].&amp;[" &amp; $C$6 &amp; "]",
"[Base].[SITUACION]",
"[Base].[SITUACION].&amp;[" &amp; $C65 &amp; "]"
),0)/1000</f>
        <v>1.6666234169999999E-2</v>
      </c>
      <c r="Y65" s="8">
        <f>IFERROR(
GETPIVOTDATA(
"[Base].[Importe]",
TDinamica_R!$A$5,
"[Calendario].[AñoMes]",
"[Calendario].[AñoMes].&amp;[" &amp; TEXT(Y$6,"yyyymm") &amp; "]",
"[Base].[Metrica]",
"[Base].[Metrica].&amp;[" &amp; $A65 &amp; "]",
"[Base].[SEGMENTO_DESCRIP]",
"[Base].[SEGMENTO_DESCRIP].&amp;[" &amp; $C$6 &amp; "]",
"[Base].[SITUACION]",
"[Base].[SITUACION].&amp;[" &amp; $C65 &amp; "]"
),0)/1000</f>
        <v>5.1901491800000005E-2</v>
      </c>
      <c r="Z65" s="8">
        <f>IFERROR(
GETPIVOTDATA(
"[Base].[Importe]",
TDinamica_R!$A$5,
"[Calendario].[AñoMes]",
"[Calendario].[AñoMes].&amp;[" &amp; TEXT(Z$6,"yyyymm")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A65" s="8">
        <f>IFERROR(
GETPIVOTDATA(
"[Base].[Importe]",
TDinamica_R!$A$5,
"[Calendario].[AñoMes]",
"[Calendario].[AñoMes].&amp;[" &amp; TEXT(AA$6,"yyyymm")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B65" s="8">
        <f>IFERROR(
GETPIVOTDATA(
"[Base].[Importe]",
TDinamica_R!$A$5,
"[Calendario].[AñoMes]",
"[Calendario].[AñoMes].&amp;[" &amp; TEXT(AB$6,"yyyymm")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C65" s="8">
        <f>IFERROR(
GETPIVOTDATA(
"[Base].[Importe]",
TDinamica_R!$A$5,
"[Calendario].[AñoMes]",
"[Calendario].[AñoMes].&amp;[" &amp; TEXT(AC$6,"yyyymm") &amp; "]",
"[Base].[Metrica]",
"[Base].[Metrica].&amp;[" &amp; $A65 &amp; "]",
"[Base].[SEGMENTO_DESCRIP]",
"[Base].[SEGMENTO_DESCRIP].&amp;[" &amp; $C$6 &amp; "]",
"[Base].[SITUACION]",
"[Base].[SITUACION].&amp;[" &amp; $C65 &amp; "]"
),0)/1000</f>
        <v>5.6480191560000004E-2</v>
      </c>
      <c r="AD65" s="8">
        <f>IFERROR(
GETPIVOTDATA(
"[Base].[Importe]",
TDinamica_R!$A$5,
"[Calendario].[AñoMes]",
"[Calendario].[AñoMes].&amp;[" &amp; TEXT(AD$6,"yyyymm")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E65" s="8">
        <f>IFERROR(
GETPIVOTDATA(
"[Base].[Importe]",
TDinamica_R!$A$5,
"[Calendario].[AñoMes]",
"[Calendario].[AñoMes].&amp;[" &amp; TEXT(AE$6,"yyyymm")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F65" s="8">
        <f>IFERROR(
GETPIVOTDATA(
"[Base].[Importe]",
TDinamica_R!$A$5,
"[Calendario].[AñoMes]",
"[Calendario].[AñoMes].&amp;[" &amp; TEXT(AF$6,"yyyymm") &amp; "]",
"[Base].[Metrica]",
"[Base].[Metrica].&amp;[" &amp; $A65 &amp; "]",
"[Base].[SEGMENTO_DESCRIP]",
"[Base].[SEGMENTO_DESCRIP].&amp;[" &amp; $C$6 &amp; "]",
"[Base].[SITUACION]",
"[Base].[SITUACION].&amp;[" &amp; $C65 &amp; "]"
),0)/1000</f>
        <v>5.996524214E-2</v>
      </c>
      <c r="AG65" s="8">
        <f>IFERROR(
GETPIVOTDATA(
"[Base].[Importe]",
TDinamica_R!$A$5,
"[Calendario].[AñoMes]",
"[Calendario].[AñoMes].&amp;[" &amp; TEXT(AG$6,"yyyymm")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H65" s="8">
        <f>IFERROR(
GETPIVOTDATA(
"[Base].[Importe]",
TDinamica_R!$A$5,
"[Calendario].[AñoMes]",
"[Calendario].[AñoMes].&amp;[" &amp; TEXT(AH$6,"yyyymm") &amp; "]",
"[Base].[Metrica]",
"[Base].[Metrica].&amp;[" &amp; $A65 &amp; "]",
"[Base].[SEGMENTO_DESCRIP]",
"[Base].[SEGMENTO_DESCRIP].&amp;[" &amp; $C$6 &amp; "]",
"[Base].[SITUACION]",
"[Base].[SITUACION].&amp;[" &amp; $C65 &amp; "]"
),0)/1000</f>
        <v>1.236370067E-2</v>
      </c>
      <c r="AI65" s="8">
        <f>IFERROR(
GETPIVOTDATA(
"[Base].[Importe]",
TDinamica_R!$A$5,
"[Calendario].[AñoMes]",
"[Calendario].[AñoMes].&amp;[" &amp; TEXT(AI$6,"yyyymm")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J65" s="8">
        <f>IFERROR(
GETPIVOTDATA(
"[Base].[Importe]",
TDinamica_R!$A$5,
"[Calendario].[AñoMes]",
"[Calendario].[AñoMes].&amp;[" &amp; TEXT(AJ$6,"yyyymm")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K65" s="8">
        <f>IFERROR(
GETPIVOTDATA(
"[Base].[Importe]",
TDinamica_R!$A$5,
"[Calendario].[AñoMes]",
"[Calendario].[AñoMes].&amp;[" &amp; TEXT(AK$6,"yyyymm")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L65" s="8">
        <f>IFERROR(
GETPIVOTDATA(
"[Base].[Importe]",
TDinamica_R!$A$5,
"[Calendario].[AñoMes]",
"[Calendario].[AñoMes].&amp;[" &amp; TEXT(AL$6,"yyyymm")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M65" s="8">
        <f>IFERROR(
GETPIVOTDATA(
"[Base].[Importe]",
TDinamica_R!$A$5,
"[Calendario].[AñoMes]",
"[Calendario].[AñoMes].&amp;[" &amp; TEXT(AM$6,"yyyymm") &amp; "]",
"[Base].[Metrica]",
"[Base].[Metrica].&amp;[" &amp; $A65 &amp; "]",
"[Base].[SEGMENTO_DESCRIP]",
"[Base].[SEGMENTO_DESCRIP].&amp;[" &amp; $C$6 &amp; "]",
"[Base].[SITUACION]",
"[Base].[SITUACION].&amp;[" &amp; $C65 &amp; "]"
),0)/1000</f>
        <v>6.8339151459999997E-2</v>
      </c>
      <c r="AN65" s="8">
        <f>IFERROR(
GETPIVOTDATA(
"[Base].[Importe]",
TDinamica_R!$A$5,
"[Calendario].[AñoMes]",
"[Calendario].[AñoMes].&amp;[" &amp; TEXT(AN$6,"yyyymm") &amp; "]",
"[Base].[Metrica]",
"[Base].[Metrica].&amp;[" &amp; $A65 &amp; "]",
"[Base].[SEGMENTO_DESCRIP]",
"[Base].[SEGMENTO_DESCRIP].&amp;[" &amp; $C$6 &amp; "]",
"[Base].[SITUACION]",
"[Base].[SITUACION].&amp;[" &amp; $C65 &amp; "]"
),0)/1000</f>
        <v>9.9018388989426248E-2</v>
      </c>
      <c r="AO65" s="8">
        <f>IFERROR(
GETPIVOTDATA(
"[Base].[Importe]",
TDinamica_R!$A$5,
"[Calendario].[AñoMes]",
"[Calendario].[AñoMes].&amp;[" &amp; TEXT(AO$6,"yyyymm")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P65" s="8">
        <f>IFERROR(
GETPIVOTDATA(
"[Base].[Importe]",
TDinamica_R!$A$5,
"[Calendario].[AñoMes]",
"[Calendario].[AñoMes].&amp;[" &amp; TEXT(AP$6,"yyyymm") &amp; "]",
"[Base].[Metrica]",
"[Base].[Metrica].&amp;[" &amp; $A65 &amp; "]",
"[Base].[SEGMENTO_DESCRIP]",
"[Base].[SEGMENTO_DESCRIP].&amp;[" &amp; $C$6 &amp; "]",
"[Base].[SITUACION]",
"[Base].[SITUACION].&amp;[" &amp; $C65 &amp; "]"
),0)/1000</f>
        <v>0.11286217165887114</v>
      </c>
      <c r="AQ65" s="8">
        <f>IFERROR(
GETPIVOTDATA(
"[Base].[Importe]",
TDinamica_R!$A$5,
"[Calendario].[AñoMes]",
"[Calendario].[AñoMes].&amp;[" &amp; TEXT(AQ$6,"yyyymm")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R65" s="8">
        <f>IFERROR(
GETPIVOTDATA(
"[Base].[Importe]",
TDinamica_R!$A$5,
"[Calendario].[AñoMes]",
"[Calendario].[AñoMes].&amp;[" &amp; TEXT(AR$6,"yyyymm")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S65" s="8">
        <f>IFERROR(
GETPIVOTDATA(
"[Base].[Importe]",
TDinamica_R!$A$5,
"[Calendario].[AñoMes]",
"[Calendario].[AñoMes].&amp;[" &amp; TEXT(AS$6,"yyyymm")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T65" s="8">
        <f>IFERROR(
GETPIVOTDATA(
"[Base].[Importe]",
TDinamica_R!$A$5,
"[Calendario].[AñoMes]",
"[Calendario].[AñoMes].&amp;[" &amp; TEXT(AT$6,"yyyymm")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U65" s="8">
        <f>IFERROR(
GETPIVOTDATA(
"[Base].[Importe]",
TDinamica_R!$A$5,
"[Calendario].[AñoMes]",
"[Calendario].[AñoMes].&amp;[" &amp; TEXT(AU$6,"yyyymm")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V65" s="8">
        <f>IFERROR(
GETPIVOTDATA(
"[Base].[Importe]",
TDinamica_R!$A$5,
"[Calendario].[AñoMes]",
"[Calendario].[AñoMes].&amp;[" &amp; TEXT(AV$6,"yyyymm")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W65" s="8">
        <f>IFERROR(
GETPIVOTDATA(
"[Base].[Importe]",
TDinamica_R!$A$5,
"[Calendario].[AñoMes]",
"[Calendario].[AñoMes].&amp;[" &amp; TEXT(AW$6,"yyyymm")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X65" s="8">
        <f>IFERROR(
GETPIVOTDATA(
"[Base].[Importe]",
TDinamica_R!$A$5,
"[Calendario].[AñoMes]",
"[Calendario].[AñoMes].&amp;[" &amp; TEXT(AX$6,"yyyymm")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Y65" s="8">
        <f>IFERROR(
GETPIVOTDATA(
"[Base].[Importe]",
TDinamica_R!$A$5,
"[Calendario].[AñoMes]",
"[Calendario].[AñoMes].&amp;[" &amp; TEXT(AY$6,"yyyymm")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Z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TEXT(AZ$6,"yyyymm") &amp; "]"
),
0
)</f>
        <v>0</v>
      </c>
      <c r="BA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TEXT(BA$6,"yyyymm") &amp; "]"
),
0
)</f>
        <v>0</v>
      </c>
      <c r="BB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TEXT(BB$6,"yyyymm") &amp; "]"
),
0
)</f>
        <v>0</v>
      </c>
      <c r="BC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TEXT(BC$6,"yyyymm") &amp; "]"
),
0
)</f>
        <v>0</v>
      </c>
      <c r="BD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TEXT(BD$6,"yyyymm") &amp; "]"
),
0
)</f>
        <v>0</v>
      </c>
      <c r="BE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TEXT(BE$6,"yyyymm") &amp; "]"
),
0
)</f>
        <v>0</v>
      </c>
      <c r="BF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TEXT(BF$6,"yyyymm") &amp; "]"
),
0
)</f>
        <v>0</v>
      </c>
      <c r="BG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TEXT(BG$6,"yyyymm") &amp; "]"
),
0
)</f>
        <v>0</v>
      </c>
      <c r="BH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TEXT(BH$6,"yyyymm") &amp; "]"
),
0
)</f>
        <v>0</v>
      </c>
      <c r="BI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TEXT(BI$6,"yyyymm") &amp; "]"
),
0
)</f>
        <v>0</v>
      </c>
      <c r="BJ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TEXT(BJ$6,"yyyymm") &amp; "]"
),
0
)</f>
        <v>0</v>
      </c>
      <c r="BK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TEXT(BK$6,"yyyymm") &amp; "]"
),
0
)</f>
        <v>0</v>
      </c>
      <c r="BO65" s="24">
        <f t="shared" si="169"/>
        <v>0.21188056064829738</v>
      </c>
      <c r="BP65" s="24">
        <f t="shared" si="169"/>
        <v>0</v>
      </c>
      <c r="BQ65" s="24">
        <f t="shared" si="169"/>
        <v>9.9018388989426248E-2</v>
      </c>
      <c r="BR65" s="24">
        <f t="shared" si="169"/>
        <v>5.6480191560000004E-2</v>
      </c>
      <c r="BS65" s="24">
        <f t="shared" si="169"/>
        <v>-3.8627907810000001E-2</v>
      </c>
      <c r="BT65" s="24">
        <f t="shared" si="169"/>
        <v>4.2934334049999995E-2</v>
      </c>
    </row>
    <row r="66" spans="1:72" hidden="1" outlineLevel="1" x14ac:dyDescent="0.25">
      <c r="A66" s="11" t="s">
        <v>71</v>
      </c>
      <c r="C66" s="2"/>
      <c r="D66" s="8">
        <f>IFERROR(
GETPIVOTDATA(
"[Base].[Importe]",
TDinamica_R!$A$5,
"[Calendario].[AñoMes]",
"[Calendario].[AñoMes].&amp;[" &amp; TEXT(D$6,"yyyymm")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E66" s="8">
        <f>IFERROR(
GETPIVOTDATA(
"[Base].[Importe]",
TDinamica_R!$A$5,
"[Calendario].[AñoMes]",
"[Calendario].[AñoMes].&amp;[" &amp; TEXT(E$6,"yyyymm")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F66" s="8">
        <f>IFERROR(
GETPIVOTDATA(
"[Base].[Importe]",
TDinamica_R!$A$5,
"[Calendario].[AñoMes]",
"[Calendario].[AñoMes].&amp;[" &amp; TEXT(F$6,"yyyymm")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G66" s="8">
        <f>IFERROR(
GETPIVOTDATA(
"[Base].[Importe]",
TDinamica_R!$A$5,
"[Calendario].[AñoMes]",
"[Calendario].[AñoMes].&amp;[" &amp; TEXT(G$6,"yyyymm")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H66" s="8">
        <f>IFERROR(
GETPIVOTDATA(
"[Base].[Importe]",
TDinamica_R!$A$5,
"[Calendario].[AñoMes]",
"[Calendario].[AñoMes].&amp;[" &amp; TEXT(H$6,"yyyymm")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I66" s="8">
        <f>IFERROR(
GETPIVOTDATA(
"[Base].[Importe]",
TDinamica_R!$A$5,
"[Calendario].[AñoMes]",
"[Calendario].[AñoMes].&amp;[" &amp; TEXT(I$6,"yyyymm")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J66" s="8">
        <f>IFERROR(
GETPIVOTDATA(
"[Base].[Importe]",
TDinamica_R!$A$5,
"[Calendario].[AñoMes]",
"[Calendario].[AñoMes].&amp;[" &amp; TEXT(J$6,"yyyymm")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K66" s="8">
        <f>IFERROR(
GETPIVOTDATA(
"[Base].[Importe]",
TDinamica_R!$A$5,
"[Calendario].[AñoMes]",
"[Calendario].[AñoMes].&amp;[" &amp; TEXT(K$6,"yyyymm")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L66" s="8">
        <f>IFERROR(
GETPIVOTDATA(
"[Base].[Importe]",
TDinamica_R!$A$5,
"[Calendario].[AñoMes]",
"[Calendario].[AñoMes].&amp;[" &amp; TEXT(L$6,"yyyymm")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M66" s="8">
        <f>IFERROR(
GETPIVOTDATA(
"[Base].[Importe]",
TDinamica_R!$A$5,
"[Calendario].[AñoMes]",
"[Calendario].[AñoMes].&amp;[" &amp; TEXT(M$6,"yyyymm")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N66" s="8">
        <f>IFERROR(
GETPIVOTDATA(
"[Base].[Importe]",
TDinamica_R!$A$5,
"[Calendario].[AñoMes]",
"[Calendario].[AñoMes].&amp;[" &amp; TEXT(N$6,"yyyymm")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O66" s="8">
        <f>IFERROR(
GETPIVOTDATA(
"[Base].[Importe]",
TDinamica_R!$A$5,
"[Calendario].[AñoMes]",
"[Calendario].[AñoMes].&amp;[" &amp; TEXT(O$6,"yyyymm")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P66" s="8">
        <f>IFERROR(
GETPIVOTDATA(
"[Base].[Importe]",
TDinamica_R!$A$5,
"[Calendario].[AñoMes]",
"[Calendario].[AñoMes].&amp;[" &amp; TEXT(P$6,"yyyymm")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Q66" s="8">
        <f>IFERROR(
GETPIVOTDATA(
"[Base].[Importe]",
TDinamica_R!$A$5,
"[Calendario].[AñoMes]",
"[Calendario].[AñoMes].&amp;[" &amp; TEXT(Q$6,"yyyymm")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R66" s="8">
        <f>IFERROR(
GETPIVOTDATA(
"[Base].[Importe]",
TDinamica_R!$A$5,
"[Calendario].[AñoMes]",
"[Calendario].[AñoMes].&amp;[" &amp; TEXT(R$6,"yyyymm")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S66" s="8">
        <f>IFERROR(
GETPIVOTDATA(
"[Base].[Importe]",
TDinamica_R!$A$5,
"[Calendario].[AñoMes]",
"[Calendario].[AñoMes].&amp;[" &amp; TEXT(S$6,"yyyymm")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T66" s="8">
        <f>IFERROR(
GETPIVOTDATA(
"[Base].[Importe]",
TDinamica_R!$A$5,
"[Calendario].[AñoMes]",
"[Calendario].[AñoMes].&amp;[" &amp; TEXT(T$6,"yyyymm")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U66" s="8">
        <f>IFERROR(
GETPIVOTDATA(
"[Base].[Importe]",
TDinamica_R!$A$5,
"[Calendario].[AñoMes]",
"[Calendario].[AñoMes].&amp;[" &amp; TEXT(U$6,"yyyymm")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V66" s="8">
        <f>IFERROR(
GETPIVOTDATA(
"[Base].[Importe]",
TDinamica_R!$A$5,
"[Calendario].[AñoMes]",
"[Calendario].[AñoMes].&amp;[" &amp; TEXT(V$6,"yyyymm")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W66" s="8">
        <f>IFERROR(
GETPIVOTDATA(
"[Base].[Importe]",
TDinamica_R!$A$5,
"[Calendario].[AñoMes]",
"[Calendario].[AñoMes].&amp;[" &amp; TEXT(W$6,"yyyymm")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X66" s="8">
        <f>IFERROR(
GETPIVOTDATA(
"[Base].[Importe]",
TDinamica_R!$A$5,
"[Calendario].[AñoMes]",
"[Calendario].[AñoMes].&amp;[" &amp; TEXT(X$6,"yyyymm")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Y66" s="8">
        <f>IFERROR(
GETPIVOTDATA(
"[Base].[Importe]",
TDinamica_R!$A$5,
"[Calendario].[AñoMes]",
"[Calendario].[AñoMes].&amp;[" &amp; TEXT(Y$6,"yyyymm")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Z66" s="8">
        <f>IFERROR(
GETPIVOTDATA(
"[Base].[Importe]",
TDinamica_R!$A$5,
"[Calendario].[AñoMes]",
"[Calendario].[AñoMes].&amp;[" &amp; TEXT(Z$6,"yyyymm")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A66" s="8">
        <f>IFERROR(
GETPIVOTDATA(
"[Base].[Importe]",
TDinamica_R!$A$5,
"[Calendario].[AñoMes]",
"[Calendario].[AñoMes].&amp;[" &amp; TEXT(AA$6,"yyyymm")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B66" s="8">
        <f>IFERROR(
GETPIVOTDATA(
"[Base].[Importe]",
TDinamica_R!$A$5,
"[Calendario].[AñoMes]",
"[Calendario].[AñoMes].&amp;[" &amp; TEXT(AB$6,"yyyymm")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C66" s="8">
        <f>IFERROR(
GETPIVOTDATA(
"[Base].[Importe]",
TDinamica_R!$A$5,
"[Calendario].[AñoMes]",
"[Calendario].[AñoMes].&amp;[" &amp; TEXT(AC$6,"yyyymm")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D66" s="8">
        <f>IFERROR(
GETPIVOTDATA(
"[Base].[Importe]",
TDinamica_R!$A$5,
"[Calendario].[AñoMes]",
"[Calendario].[AñoMes].&amp;[" &amp; TEXT(AD$6,"yyyymm")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E66" s="8">
        <f>IFERROR(
GETPIVOTDATA(
"[Base].[Importe]",
TDinamica_R!$A$5,
"[Calendario].[AñoMes]",
"[Calendario].[AñoMes].&amp;[" &amp; TEXT(AE$6,"yyyymm")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F66" s="8">
        <f>IFERROR(
GETPIVOTDATA(
"[Base].[Importe]",
TDinamica_R!$A$5,
"[Calendario].[AñoMes]",
"[Calendario].[AñoMes].&amp;[" &amp; TEXT(AF$6,"yyyymm")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G66" s="8">
        <f>IFERROR(
GETPIVOTDATA(
"[Base].[Importe]",
TDinamica_R!$A$5,
"[Calendario].[AñoMes]",
"[Calendario].[AñoMes].&amp;[" &amp; TEXT(AG$6,"yyyymm")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H66" s="8">
        <f>IFERROR(
GETPIVOTDATA(
"[Base].[Importe]",
TDinamica_R!$A$5,
"[Calendario].[AñoMes]",
"[Calendario].[AñoMes].&amp;[" &amp; TEXT(AH$6,"yyyymm")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I66" s="8">
        <f>IFERROR(
GETPIVOTDATA(
"[Base].[Importe]",
TDinamica_R!$A$5,
"[Calendario].[AñoMes]",
"[Calendario].[AñoMes].&amp;[" &amp; TEXT(AI$6,"yyyymm")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J66" s="8">
        <f>IFERROR(
GETPIVOTDATA(
"[Base].[Importe]",
TDinamica_R!$A$5,
"[Calendario].[AñoMes]",
"[Calendario].[AñoMes].&amp;[" &amp; TEXT(AJ$6,"yyyymm")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K66" s="8">
        <f>IFERROR(
GETPIVOTDATA(
"[Base].[Importe]",
TDinamica_R!$A$5,
"[Calendario].[AñoMes]",
"[Calendario].[AñoMes].&amp;[" &amp; TEXT(AK$6,"yyyymm")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L66" s="8">
        <f>IFERROR(
GETPIVOTDATA(
"[Base].[Importe]",
TDinamica_R!$A$5,
"[Calendario].[AñoMes]",
"[Calendario].[AñoMes].&amp;[" &amp; TEXT(AL$6,"yyyymm")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M66" s="8">
        <f>IFERROR(
GETPIVOTDATA(
"[Base].[Importe]",
TDinamica_R!$A$5,
"[Calendario].[AñoMes]",
"[Calendario].[AñoMes].&amp;[" &amp; TEXT(AM$6,"yyyymm")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N66" s="8">
        <f>IFERROR(
GETPIVOTDATA(
"[Base].[Importe]",
TDinamica_R!$A$5,
"[Calendario].[AñoMes]",
"[Calendario].[AñoMes].&amp;[" &amp; TEXT(AN$6,"yyyymm")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O66" s="8">
        <f>IFERROR(
GETPIVOTDATA(
"[Base].[Importe]",
TDinamica_R!$A$5,
"[Calendario].[AñoMes]",
"[Calendario].[AñoMes].&amp;[" &amp; TEXT(AO$6,"yyyymm")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P66" s="8">
        <f>IFERROR(
GETPIVOTDATA(
"[Base].[Importe]",
TDinamica_R!$A$5,
"[Calendario].[AñoMes]",
"[Calendario].[AñoMes].&amp;[" &amp; TEXT(AP$6,"yyyymm")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Q66" s="8">
        <f>IFERROR(
GETPIVOTDATA(
"[Base].[Importe]",
TDinamica_R!$A$5,
"[Calendario].[AñoMes]",
"[Calendario].[AñoMes].&amp;[" &amp; TEXT(AQ$6,"yyyymm")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R66" s="8">
        <f>IFERROR(
GETPIVOTDATA(
"[Base].[Importe]",
TDinamica_R!$A$5,
"[Calendario].[AñoMes]",
"[Calendario].[AñoMes].&amp;[" &amp; TEXT(AR$6,"yyyymm")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S66" s="8">
        <f>IFERROR(
GETPIVOTDATA(
"[Base].[Importe]",
TDinamica_R!$A$5,
"[Calendario].[AñoMes]",
"[Calendario].[AñoMes].&amp;[" &amp; TEXT(AS$6,"yyyymm")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T66" s="8">
        <f>IFERROR(
GETPIVOTDATA(
"[Base].[Importe]",
TDinamica_R!$A$5,
"[Calendario].[AñoMes]",
"[Calendario].[AñoMes].&amp;[" &amp; TEXT(AT$6,"yyyymm")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U66" s="8">
        <f>IFERROR(
GETPIVOTDATA(
"[Base].[Importe]",
TDinamica_R!$A$5,
"[Calendario].[AñoMes]",
"[Calendario].[AñoMes].&amp;[" &amp; TEXT(AU$6,"yyyymm")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V66" s="8">
        <f>IFERROR(
GETPIVOTDATA(
"[Base].[Importe]",
TDinamica_R!$A$5,
"[Calendario].[AñoMes]",
"[Calendario].[AñoMes].&amp;[" &amp; TEXT(AV$6,"yyyymm")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W66" s="8">
        <f>IFERROR(
GETPIVOTDATA(
"[Base].[Importe]",
TDinamica_R!$A$5,
"[Calendario].[AñoMes]",
"[Calendario].[AñoMes].&amp;[" &amp; TEXT(AW$6,"yyyymm")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X66" s="8">
        <f>IFERROR(
GETPIVOTDATA(
"[Base].[Importe]",
TDinamica_R!$A$5,
"[Calendario].[AñoMes]",
"[Calendario].[AñoMes].&amp;[" &amp; TEXT(AX$6,"yyyymm")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Y66" s="8">
        <f>IFERROR(
GETPIVOTDATA(
"[Base].[Importe]",
TDinamica_R!$A$5,
"[Calendario].[AñoMes]",
"[Calendario].[AñoMes].&amp;[" &amp; TEXT(AY$6,"yyyymm")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Z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TEXT(AZ$6,"yyyymm") &amp; "]"
),
0
)</f>
        <v>0</v>
      </c>
      <c r="BA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TEXT(BA$6,"yyyymm") &amp; "]"
),
0
)</f>
        <v>0</v>
      </c>
      <c r="BB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TEXT(BB$6,"yyyymm") &amp; "]"
),
0
)</f>
        <v>0</v>
      </c>
      <c r="BC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TEXT(BC$6,"yyyymm") &amp; "]"
),
0
)</f>
        <v>0</v>
      </c>
      <c r="BD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TEXT(BD$6,"yyyymm") &amp; "]"
),
0
)</f>
        <v>0</v>
      </c>
      <c r="BE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TEXT(BE$6,"yyyymm") &amp; "]"
),
0
)</f>
        <v>0</v>
      </c>
      <c r="BF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TEXT(BF$6,"yyyymm") &amp; "]"
),
0
)</f>
        <v>0</v>
      </c>
      <c r="BG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TEXT(BG$6,"yyyymm") &amp; "]"
),
0
)</f>
        <v>0</v>
      </c>
      <c r="BH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TEXT(BH$6,"yyyymm") &amp; "]"
),
0
)</f>
        <v>0</v>
      </c>
      <c r="BI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TEXT(BI$6,"yyyymm") &amp; "]"
),
0
)</f>
        <v>0</v>
      </c>
      <c r="BJ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TEXT(BJ$6,"yyyymm") &amp; "]"
),
0
)</f>
        <v>0</v>
      </c>
      <c r="BK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TEXT(BK$6,"yyyymm") &amp; "]"
),
0
)</f>
        <v>0</v>
      </c>
      <c r="BO66" s="24">
        <f t="shared" si="169"/>
        <v>0</v>
      </c>
      <c r="BP66" s="24">
        <f t="shared" si="169"/>
        <v>0</v>
      </c>
      <c r="BQ66" s="24">
        <f t="shared" si="169"/>
        <v>0</v>
      </c>
      <c r="BR66" s="24">
        <f t="shared" si="169"/>
        <v>0</v>
      </c>
      <c r="BS66" s="24">
        <f t="shared" si="169"/>
        <v>0</v>
      </c>
      <c r="BT66" s="24">
        <f t="shared" si="169"/>
        <v>0</v>
      </c>
    </row>
    <row r="67" spans="1:72" hidden="1" outlineLevel="1" x14ac:dyDescent="0.25">
      <c r="A67" s="11" t="s">
        <v>71</v>
      </c>
      <c r="C67" s="2"/>
      <c r="D67" s="8">
        <f>IFERROR(
GETPIVOTDATA(
"[Base].[Importe]",
TDinamica_R!$A$5,
"[Calendario].[AñoMes]",
"[Calendario].[AñoMes].&amp;[" &amp; TEXT(D$6,"yyyymm")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E67" s="8">
        <f>IFERROR(
GETPIVOTDATA(
"[Base].[Importe]",
TDinamica_R!$A$5,
"[Calendario].[AñoMes]",
"[Calendario].[AñoMes].&amp;[" &amp; TEXT(E$6,"yyyymm")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F67" s="8">
        <f>IFERROR(
GETPIVOTDATA(
"[Base].[Importe]",
TDinamica_R!$A$5,
"[Calendario].[AñoMes]",
"[Calendario].[AñoMes].&amp;[" &amp; TEXT(F$6,"yyyymm")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G67" s="8">
        <f>IFERROR(
GETPIVOTDATA(
"[Base].[Importe]",
TDinamica_R!$A$5,
"[Calendario].[AñoMes]",
"[Calendario].[AñoMes].&amp;[" &amp; TEXT(G$6,"yyyymm")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H67" s="8">
        <f>IFERROR(
GETPIVOTDATA(
"[Base].[Importe]",
TDinamica_R!$A$5,
"[Calendario].[AñoMes]",
"[Calendario].[AñoMes].&amp;[" &amp; TEXT(H$6,"yyyymm")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I67" s="8">
        <f>IFERROR(
GETPIVOTDATA(
"[Base].[Importe]",
TDinamica_R!$A$5,
"[Calendario].[AñoMes]",
"[Calendario].[AñoMes].&amp;[" &amp; TEXT(I$6,"yyyymm")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J67" s="8">
        <f>IFERROR(
GETPIVOTDATA(
"[Base].[Importe]",
TDinamica_R!$A$5,
"[Calendario].[AñoMes]",
"[Calendario].[AñoMes].&amp;[" &amp; TEXT(J$6,"yyyymm")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K67" s="8">
        <f>IFERROR(
GETPIVOTDATA(
"[Base].[Importe]",
TDinamica_R!$A$5,
"[Calendario].[AñoMes]",
"[Calendario].[AñoMes].&amp;[" &amp; TEXT(K$6,"yyyymm")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L67" s="8">
        <f>IFERROR(
GETPIVOTDATA(
"[Base].[Importe]",
TDinamica_R!$A$5,
"[Calendario].[AñoMes]",
"[Calendario].[AñoMes].&amp;[" &amp; TEXT(L$6,"yyyymm")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M67" s="8">
        <f>IFERROR(
GETPIVOTDATA(
"[Base].[Importe]",
TDinamica_R!$A$5,
"[Calendario].[AñoMes]",
"[Calendario].[AñoMes].&amp;[" &amp; TEXT(M$6,"yyyymm")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N67" s="8">
        <f>IFERROR(
GETPIVOTDATA(
"[Base].[Importe]",
TDinamica_R!$A$5,
"[Calendario].[AñoMes]",
"[Calendario].[AñoMes].&amp;[" &amp; TEXT(N$6,"yyyymm")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O67" s="8">
        <f>IFERROR(
GETPIVOTDATA(
"[Base].[Importe]",
TDinamica_R!$A$5,
"[Calendario].[AñoMes]",
"[Calendario].[AñoMes].&amp;[" &amp; TEXT(O$6,"yyyymm")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P67" s="8">
        <f>IFERROR(
GETPIVOTDATA(
"[Base].[Importe]",
TDinamica_R!$A$5,
"[Calendario].[AñoMes]",
"[Calendario].[AñoMes].&amp;[" &amp; TEXT(P$6,"yyyymm")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Q67" s="8">
        <f>IFERROR(
GETPIVOTDATA(
"[Base].[Importe]",
TDinamica_R!$A$5,
"[Calendario].[AñoMes]",
"[Calendario].[AñoMes].&amp;[" &amp; TEXT(Q$6,"yyyymm")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R67" s="8">
        <f>IFERROR(
GETPIVOTDATA(
"[Base].[Importe]",
TDinamica_R!$A$5,
"[Calendario].[AñoMes]",
"[Calendario].[AñoMes].&amp;[" &amp; TEXT(R$6,"yyyymm")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S67" s="8">
        <f>IFERROR(
GETPIVOTDATA(
"[Base].[Importe]",
TDinamica_R!$A$5,
"[Calendario].[AñoMes]",
"[Calendario].[AñoMes].&amp;[" &amp; TEXT(S$6,"yyyymm")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T67" s="8">
        <f>IFERROR(
GETPIVOTDATA(
"[Base].[Importe]",
TDinamica_R!$A$5,
"[Calendario].[AñoMes]",
"[Calendario].[AñoMes].&amp;[" &amp; TEXT(T$6,"yyyymm")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U67" s="8">
        <f>IFERROR(
GETPIVOTDATA(
"[Base].[Importe]",
TDinamica_R!$A$5,
"[Calendario].[AñoMes]",
"[Calendario].[AñoMes].&amp;[" &amp; TEXT(U$6,"yyyymm")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V67" s="8">
        <f>IFERROR(
GETPIVOTDATA(
"[Base].[Importe]",
TDinamica_R!$A$5,
"[Calendario].[AñoMes]",
"[Calendario].[AñoMes].&amp;[" &amp; TEXT(V$6,"yyyymm")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W67" s="8">
        <f>IFERROR(
GETPIVOTDATA(
"[Base].[Importe]",
TDinamica_R!$A$5,
"[Calendario].[AñoMes]",
"[Calendario].[AñoMes].&amp;[" &amp; TEXT(W$6,"yyyymm")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X67" s="8">
        <f>IFERROR(
GETPIVOTDATA(
"[Base].[Importe]",
TDinamica_R!$A$5,
"[Calendario].[AñoMes]",
"[Calendario].[AñoMes].&amp;[" &amp; TEXT(X$6,"yyyymm")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Y67" s="8">
        <f>IFERROR(
GETPIVOTDATA(
"[Base].[Importe]",
TDinamica_R!$A$5,
"[Calendario].[AñoMes]",
"[Calendario].[AñoMes].&amp;[" &amp; TEXT(Y$6,"yyyymm")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Z67" s="8">
        <f>IFERROR(
GETPIVOTDATA(
"[Base].[Importe]",
TDinamica_R!$A$5,
"[Calendario].[AñoMes]",
"[Calendario].[AñoMes].&amp;[" &amp; TEXT(Z$6,"yyyymm")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A67" s="8">
        <f>IFERROR(
GETPIVOTDATA(
"[Base].[Importe]",
TDinamica_R!$A$5,
"[Calendario].[AñoMes]",
"[Calendario].[AñoMes].&amp;[" &amp; TEXT(AA$6,"yyyymm")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B67" s="8">
        <f>IFERROR(
GETPIVOTDATA(
"[Base].[Importe]",
TDinamica_R!$A$5,
"[Calendario].[AñoMes]",
"[Calendario].[AñoMes].&amp;[" &amp; TEXT(AB$6,"yyyymm")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C67" s="8">
        <f>IFERROR(
GETPIVOTDATA(
"[Base].[Importe]",
TDinamica_R!$A$5,
"[Calendario].[AñoMes]",
"[Calendario].[AñoMes].&amp;[" &amp; TEXT(AC$6,"yyyymm")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D67" s="8">
        <f>IFERROR(
GETPIVOTDATA(
"[Base].[Importe]",
TDinamica_R!$A$5,
"[Calendario].[AñoMes]",
"[Calendario].[AñoMes].&amp;[" &amp; TEXT(AD$6,"yyyymm")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E67" s="8">
        <f>IFERROR(
GETPIVOTDATA(
"[Base].[Importe]",
TDinamica_R!$A$5,
"[Calendario].[AñoMes]",
"[Calendario].[AñoMes].&amp;[" &amp; TEXT(AE$6,"yyyymm")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F67" s="8">
        <f>IFERROR(
GETPIVOTDATA(
"[Base].[Importe]",
TDinamica_R!$A$5,
"[Calendario].[AñoMes]",
"[Calendario].[AñoMes].&amp;[" &amp; TEXT(AF$6,"yyyymm")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G67" s="8">
        <f>IFERROR(
GETPIVOTDATA(
"[Base].[Importe]",
TDinamica_R!$A$5,
"[Calendario].[AñoMes]",
"[Calendario].[AñoMes].&amp;[" &amp; TEXT(AG$6,"yyyymm")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H67" s="8">
        <f>IFERROR(
GETPIVOTDATA(
"[Base].[Importe]",
TDinamica_R!$A$5,
"[Calendario].[AñoMes]",
"[Calendario].[AñoMes].&amp;[" &amp; TEXT(AH$6,"yyyymm")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I67" s="8">
        <f>IFERROR(
GETPIVOTDATA(
"[Base].[Importe]",
TDinamica_R!$A$5,
"[Calendario].[AñoMes]",
"[Calendario].[AñoMes].&amp;[" &amp; TEXT(AI$6,"yyyymm")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J67" s="8">
        <f>IFERROR(
GETPIVOTDATA(
"[Base].[Importe]",
TDinamica_R!$A$5,
"[Calendario].[AñoMes]",
"[Calendario].[AñoMes].&amp;[" &amp; TEXT(AJ$6,"yyyymm")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K67" s="8">
        <f>IFERROR(
GETPIVOTDATA(
"[Base].[Importe]",
TDinamica_R!$A$5,
"[Calendario].[AñoMes]",
"[Calendario].[AñoMes].&amp;[" &amp; TEXT(AK$6,"yyyymm")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L67" s="8">
        <f>IFERROR(
GETPIVOTDATA(
"[Base].[Importe]",
TDinamica_R!$A$5,
"[Calendario].[AñoMes]",
"[Calendario].[AñoMes].&amp;[" &amp; TEXT(AL$6,"yyyymm")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M67" s="8">
        <f>IFERROR(
GETPIVOTDATA(
"[Base].[Importe]",
TDinamica_R!$A$5,
"[Calendario].[AñoMes]",
"[Calendario].[AñoMes].&amp;[" &amp; TEXT(AM$6,"yyyymm")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N67" s="8">
        <f>IFERROR(
GETPIVOTDATA(
"[Base].[Importe]",
TDinamica_R!$A$5,
"[Calendario].[AñoMes]",
"[Calendario].[AñoMes].&amp;[" &amp; TEXT(AN$6,"yyyymm")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O67" s="8">
        <f>IFERROR(
GETPIVOTDATA(
"[Base].[Importe]",
TDinamica_R!$A$5,
"[Calendario].[AñoMes]",
"[Calendario].[AñoMes].&amp;[" &amp; TEXT(AO$6,"yyyymm")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P67" s="8">
        <f>IFERROR(
GETPIVOTDATA(
"[Base].[Importe]",
TDinamica_R!$A$5,
"[Calendario].[AñoMes]",
"[Calendario].[AñoMes].&amp;[" &amp; TEXT(AP$6,"yyyymm")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Q67" s="8">
        <f>IFERROR(
GETPIVOTDATA(
"[Base].[Importe]",
TDinamica_R!$A$5,
"[Calendario].[AñoMes]",
"[Calendario].[AñoMes].&amp;[" &amp; TEXT(AQ$6,"yyyymm")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R67" s="8">
        <f>IFERROR(
GETPIVOTDATA(
"[Base].[Importe]",
TDinamica_R!$A$5,
"[Calendario].[AñoMes]",
"[Calendario].[AñoMes].&amp;[" &amp; TEXT(AR$6,"yyyymm")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S67" s="8">
        <f>IFERROR(
GETPIVOTDATA(
"[Base].[Importe]",
TDinamica_R!$A$5,
"[Calendario].[AñoMes]",
"[Calendario].[AñoMes].&amp;[" &amp; TEXT(AS$6,"yyyymm")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T67" s="8">
        <f>IFERROR(
GETPIVOTDATA(
"[Base].[Importe]",
TDinamica_R!$A$5,
"[Calendario].[AñoMes]",
"[Calendario].[AñoMes].&amp;[" &amp; TEXT(AT$6,"yyyymm")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U67" s="8">
        <f>IFERROR(
GETPIVOTDATA(
"[Base].[Importe]",
TDinamica_R!$A$5,
"[Calendario].[AñoMes]",
"[Calendario].[AñoMes].&amp;[" &amp; TEXT(AU$6,"yyyymm")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V67" s="8">
        <f>IFERROR(
GETPIVOTDATA(
"[Base].[Importe]",
TDinamica_R!$A$5,
"[Calendario].[AñoMes]",
"[Calendario].[AñoMes].&amp;[" &amp; TEXT(AV$6,"yyyymm")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W67" s="8">
        <f>IFERROR(
GETPIVOTDATA(
"[Base].[Importe]",
TDinamica_R!$A$5,
"[Calendario].[AñoMes]",
"[Calendario].[AñoMes].&amp;[" &amp; TEXT(AW$6,"yyyymm")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X67" s="8">
        <f>IFERROR(
GETPIVOTDATA(
"[Base].[Importe]",
TDinamica_R!$A$5,
"[Calendario].[AñoMes]",
"[Calendario].[AñoMes].&amp;[" &amp; TEXT(AX$6,"yyyymm")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Y67" s="8">
        <f>IFERROR(
GETPIVOTDATA(
"[Base].[Importe]",
TDinamica_R!$A$5,
"[Calendario].[AñoMes]",
"[Calendario].[AñoMes].&amp;[" &amp; TEXT(AY$6,"yyyymm")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Z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TEXT(AZ$6,"yyyymm") &amp; "]"
),
0
)</f>
        <v>0</v>
      </c>
      <c r="BA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TEXT(BA$6,"yyyymm") &amp; "]"
),
0
)</f>
        <v>0</v>
      </c>
      <c r="BB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TEXT(BB$6,"yyyymm") &amp; "]"
),
0
)</f>
        <v>0</v>
      </c>
      <c r="BC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TEXT(BC$6,"yyyymm") &amp; "]"
),
0
)</f>
        <v>0</v>
      </c>
      <c r="BD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TEXT(BD$6,"yyyymm") &amp; "]"
),
0
)</f>
        <v>0</v>
      </c>
      <c r="BE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TEXT(BE$6,"yyyymm") &amp; "]"
),
0
)</f>
        <v>0</v>
      </c>
      <c r="BF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TEXT(BF$6,"yyyymm") &amp; "]"
),
0
)</f>
        <v>0</v>
      </c>
      <c r="BG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TEXT(BG$6,"yyyymm") &amp; "]"
),
0
)</f>
        <v>0</v>
      </c>
      <c r="BH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TEXT(BH$6,"yyyymm") &amp; "]"
),
0
)</f>
        <v>0</v>
      </c>
      <c r="BI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TEXT(BI$6,"yyyymm") &amp; "]"
),
0
)</f>
        <v>0</v>
      </c>
      <c r="BJ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TEXT(BJ$6,"yyyymm") &amp; "]"
),
0
)</f>
        <v>0</v>
      </c>
      <c r="BK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TEXT(BK$6,"yyyymm") &amp; "]"
),
0
)</f>
        <v>0</v>
      </c>
      <c r="BO67" s="24">
        <f t="shared" si="169"/>
        <v>0</v>
      </c>
      <c r="BP67" s="24">
        <f t="shared" si="169"/>
        <v>0</v>
      </c>
      <c r="BQ67" s="24">
        <f t="shared" si="169"/>
        <v>0</v>
      </c>
      <c r="BR67" s="24">
        <f t="shared" si="169"/>
        <v>0</v>
      </c>
      <c r="BS67" s="24">
        <f t="shared" si="169"/>
        <v>0</v>
      </c>
      <c r="BT67" s="24">
        <f t="shared" si="169"/>
        <v>0</v>
      </c>
    </row>
    <row r="68" spans="1:72" hidden="1" outlineLevel="1" x14ac:dyDescent="0.25">
      <c r="A68" s="11" t="s">
        <v>71</v>
      </c>
      <c r="C68" s="2"/>
      <c r="D68" s="8">
        <f>IFERROR(
GETPIVOTDATA(
"[Base].[Importe]",
TDinamica_R!$A$5,
"[Calendario].[AñoMes]",
"[Calendario].[AñoMes].&amp;[" &amp; TEXT(D$6,"yyyymm")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E68" s="8">
        <f>IFERROR(
GETPIVOTDATA(
"[Base].[Importe]",
TDinamica_R!$A$5,
"[Calendario].[AñoMes]",
"[Calendario].[AñoMes].&amp;[" &amp; TEXT(E$6,"yyyymm")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F68" s="8">
        <f>IFERROR(
GETPIVOTDATA(
"[Base].[Importe]",
TDinamica_R!$A$5,
"[Calendario].[AñoMes]",
"[Calendario].[AñoMes].&amp;[" &amp; TEXT(F$6,"yyyymm")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G68" s="8">
        <f>IFERROR(
GETPIVOTDATA(
"[Base].[Importe]",
TDinamica_R!$A$5,
"[Calendario].[AñoMes]",
"[Calendario].[AñoMes].&amp;[" &amp; TEXT(G$6,"yyyymm")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H68" s="8">
        <f>IFERROR(
GETPIVOTDATA(
"[Base].[Importe]",
TDinamica_R!$A$5,
"[Calendario].[AñoMes]",
"[Calendario].[AñoMes].&amp;[" &amp; TEXT(H$6,"yyyymm")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I68" s="8">
        <f>IFERROR(
GETPIVOTDATA(
"[Base].[Importe]",
TDinamica_R!$A$5,
"[Calendario].[AñoMes]",
"[Calendario].[AñoMes].&amp;[" &amp; TEXT(I$6,"yyyymm")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J68" s="8">
        <f>IFERROR(
GETPIVOTDATA(
"[Base].[Importe]",
TDinamica_R!$A$5,
"[Calendario].[AñoMes]",
"[Calendario].[AñoMes].&amp;[" &amp; TEXT(J$6,"yyyymm")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K68" s="8">
        <f>IFERROR(
GETPIVOTDATA(
"[Base].[Importe]",
TDinamica_R!$A$5,
"[Calendario].[AñoMes]",
"[Calendario].[AñoMes].&amp;[" &amp; TEXT(K$6,"yyyymm")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L68" s="8">
        <f>IFERROR(
GETPIVOTDATA(
"[Base].[Importe]",
TDinamica_R!$A$5,
"[Calendario].[AñoMes]",
"[Calendario].[AñoMes].&amp;[" &amp; TEXT(L$6,"yyyymm")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M68" s="8">
        <f>IFERROR(
GETPIVOTDATA(
"[Base].[Importe]",
TDinamica_R!$A$5,
"[Calendario].[AñoMes]",
"[Calendario].[AñoMes].&amp;[" &amp; TEXT(M$6,"yyyymm")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N68" s="8">
        <f>IFERROR(
GETPIVOTDATA(
"[Base].[Importe]",
TDinamica_R!$A$5,
"[Calendario].[AñoMes]",
"[Calendario].[AñoMes].&amp;[" &amp; TEXT(N$6,"yyyymm")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O68" s="8">
        <f>IFERROR(
GETPIVOTDATA(
"[Base].[Importe]",
TDinamica_R!$A$5,
"[Calendario].[AñoMes]",
"[Calendario].[AñoMes].&amp;[" &amp; TEXT(O$6,"yyyymm")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P68" s="8">
        <f>IFERROR(
GETPIVOTDATA(
"[Base].[Importe]",
TDinamica_R!$A$5,
"[Calendario].[AñoMes]",
"[Calendario].[AñoMes].&amp;[" &amp; TEXT(P$6,"yyyymm")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Q68" s="8">
        <f>IFERROR(
GETPIVOTDATA(
"[Base].[Importe]",
TDinamica_R!$A$5,
"[Calendario].[AñoMes]",
"[Calendario].[AñoMes].&amp;[" &amp; TEXT(Q$6,"yyyymm")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R68" s="8">
        <f>IFERROR(
GETPIVOTDATA(
"[Base].[Importe]",
TDinamica_R!$A$5,
"[Calendario].[AñoMes]",
"[Calendario].[AñoMes].&amp;[" &amp; TEXT(R$6,"yyyymm")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S68" s="8">
        <f>IFERROR(
GETPIVOTDATA(
"[Base].[Importe]",
TDinamica_R!$A$5,
"[Calendario].[AñoMes]",
"[Calendario].[AñoMes].&amp;[" &amp; TEXT(S$6,"yyyymm")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T68" s="8">
        <f>IFERROR(
GETPIVOTDATA(
"[Base].[Importe]",
TDinamica_R!$A$5,
"[Calendario].[AñoMes]",
"[Calendario].[AñoMes].&amp;[" &amp; TEXT(T$6,"yyyymm")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U68" s="8">
        <f>IFERROR(
GETPIVOTDATA(
"[Base].[Importe]",
TDinamica_R!$A$5,
"[Calendario].[AñoMes]",
"[Calendario].[AñoMes].&amp;[" &amp; TEXT(U$6,"yyyymm")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V68" s="8">
        <f>IFERROR(
GETPIVOTDATA(
"[Base].[Importe]",
TDinamica_R!$A$5,
"[Calendario].[AñoMes]",
"[Calendario].[AñoMes].&amp;[" &amp; TEXT(V$6,"yyyymm")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W68" s="8">
        <f>IFERROR(
GETPIVOTDATA(
"[Base].[Importe]",
TDinamica_R!$A$5,
"[Calendario].[AñoMes]",
"[Calendario].[AñoMes].&amp;[" &amp; TEXT(W$6,"yyyymm")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X68" s="8">
        <f>IFERROR(
GETPIVOTDATA(
"[Base].[Importe]",
TDinamica_R!$A$5,
"[Calendario].[AñoMes]",
"[Calendario].[AñoMes].&amp;[" &amp; TEXT(X$6,"yyyymm")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Y68" s="8">
        <f>IFERROR(
GETPIVOTDATA(
"[Base].[Importe]",
TDinamica_R!$A$5,
"[Calendario].[AñoMes]",
"[Calendario].[AñoMes].&amp;[" &amp; TEXT(Y$6,"yyyymm")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Z68" s="8">
        <f>IFERROR(
GETPIVOTDATA(
"[Base].[Importe]",
TDinamica_R!$A$5,
"[Calendario].[AñoMes]",
"[Calendario].[AñoMes].&amp;[" &amp; TEXT(Z$6,"yyyymm")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A68" s="8">
        <f>IFERROR(
GETPIVOTDATA(
"[Base].[Importe]",
TDinamica_R!$A$5,
"[Calendario].[AñoMes]",
"[Calendario].[AñoMes].&amp;[" &amp; TEXT(AA$6,"yyyymm")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B68" s="8">
        <f>IFERROR(
GETPIVOTDATA(
"[Base].[Importe]",
TDinamica_R!$A$5,
"[Calendario].[AñoMes]",
"[Calendario].[AñoMes].&amp;[" &amp; TEXT(AB$6,"yyyymm")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C68" s="8">
        <f>IFERROR(
GETPIVOTDATA(
"[Base].[Importe]",
TDinamica_R!$A$5,
"[Calendario].[AñoMes]",
"[Calendario].[AñoMes].&amp;[" &amp; TEXT(AC$6,"yyyymm")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D68" s="8">
        <f>IFERROR(
GETPIVOTDATA(
"[Base].[Importe]",
TDinamica_R!$A$5,
"[Calendario].[AñoMes]",
"[Calendario].[AñoMes].&amp;[" &amp; TEXT(AD$6,"yyyymm")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E68" s="8">
        <f>IFERROR(
GETPIVOTDATA(
"[Base].[Importe]",
TDinamica_R!$A$5,
"[Calendario].[AñoMes]",
"[Calendario].[AñoMes].&amp;[" &amp; TEXT(AE$6,"yyyymm")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F68" s="8">
        <f>IFERROR(
GETPIVOTDATA(
"[Base].[Importe]",
TDinamica_R!$A$5,
"[Calendario].[AñoMes]",
"[Calendario].[AñoMes].&amp;[" &amp; TEXT(AF$6,"yyyymm")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G68" s="8">
        <f>IFERROR(
GETPIVOTDATA(
"[Base].[Importe]",
TDinamica_R!$A$5,
"[Calendario].[AñoMes]",
"[Calendario].[AñoMes].&amp;[" &amp; TEXT(AG$6,"yyyymm")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H68" s="8">
        <f>IFERROR(
GETPIVOTDATA(
"[Base].[Importe]",
TDinamica_R!$A$5,
"[Calendario].[AñoMes]",
"[Calendario].[AñoMes].&amp;[" &amp; TEXT(AH$6,"yyyymm")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I68" s="8">
        <f>IFERROR(
GETPIVOTDATA(
"[Base].[Importe]",
TDinamica_R!$A$5,
"[Calendario].[AñoMes]",
"[Calendario].[AñoMes].&amp;[" &amp; TEXT(AI$6,"yyyymm")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J68" s="8">
        <f>IFERROR(
GETPIVOTDATA(
"[Base].[Importe]",
TDinamica_R!$A$5,
"[Calendario].[AñoMes]",
"[Calendario].[AñoMes].&amp;[" &amp; TEXT(AJ$6,"yyyymm")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K68" s="8">
        <f>IFERROR(
GETPIVOTDATA(
"[Base].[Importe]",
TDinamica_R!$A$5,
"[Calendario].[AñoMes]",
"[Calendario].[AñoMes].&amp;[" &amp; TEXT(AK$6,"yyyymm")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L68" s="8">
        <f>IFERROR(
GETPIVOTDATA(
"[Base].[Importe]",
TDinamica_R!$A$5,
"[Calendario].[AñoMes]",
"[Calendario].[AñoMes].&amp;[" &amp; TEXT(AL$6,"yyyymm")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M68" s="8">
        <f>IFERROR(
GETPIVOTDATA(
"[Base].[Importe]",
TDinamica_R!$A$5,
"[Calendario].[AñoMes]",
"[Calendario].[AñoMes].&amp;[" &amp; TEXT(AM$6,"yyyymm")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N68" s="8">
        <f>IFERROR(
GETPIVOTDATA(
"[Base].[Importe]",
TDinamica_R!$A$5,
"[Calendario].[AñoMes]",
"[Calendario].[AñoMes].&amp;[" &amp; TEXT(AN$6,"yyyymm")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O68" s="8">
        <f>IFERROR(
GETPIVOTDATA(
"[Base].[Importe]",
TDinamica_R!$A$5,
"[Calendario].[AñoMes]",
"[Calendario].[AñoMes].&amp;[" &amp; TEXT(AO$6,"yyyymm")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P68" s="8">
        <f>IFERROR(
GETPIVOTDATA(
"[Base].[Importe]",
TDinamica_R!$A$5,
"[Calendario].[AñoMes]",
"[Calendario].[AñoMes].&amp;[" &amp; TEXT(AP$6,"yyyymm")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Q68" s="8">
        <f>IFERROR(
GETPIVOTDATA(
"[Base].[Importe]",
TDinamica_R!$A$5,
"[Calendario].[AñoMes]",
"[Calendario].[AñoMes].&amp;[" &amp; TEXT(AQ$6,"yyyymm")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R68" s="8">
        <f>IFERROR(
GETPIVOTDATA(
"[Base].[Importe]",
TDinamica_R!$A$5,
"[Calendario].[AñoMes]",
"[Calendario].[AñoMes].&amp;[" &amp; TEXT(AR$6,"yyyymm")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S68" s="8">
        <f>IFERROR(
GETPIVOTDATA(
"[Base].[Importe]",
TDinamica_R!$A$5,
"[Calendario].[AñoMes]",
"[Calendario].[AñoMes].&amp;[" &amp; TEXT(AS$6,"yyyymm")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T68" s="8">
        <f>IFERROR(
GETPIVOTDATA(
"[Base].[Importe]",
TDinamica_R!$A$5,
"[Calendario].[AñoMes]",
"[Calendario].[AñoMes].&amp;[" &amp; TEXT(AT$6,"yyyymm")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U68" s="8">
        <f>IFERROR(
GETPIVOTDATA(
"[Base].[Importe]",
TDinamica_R!$A$5,
"[Calendario].[AñoMes]",
"[Calendario].[AñoMes].&amp;[" &amp; TEXT(AU$6,"yyyymm")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V68" s="8">
        <f>IFERROR(
GETPIVOTDATA(
"[Base].[Importe]",
TDinamica_R!$A$5,
"[Calendario].[AñoMes]",
"[Calendario].[AñoMes].&amp;[" &amp; TEXT(AV$6,"yyyymm")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W68" s="8">
        <f>IFERROR(
GETPIVOTDATA(
"[Base].[Importe]",
TDinamica_R!$A$5,
"[Calendario].[AñoMes]",
"[Calendario].[AñoMes].&amp;[" &amp; TEXT(AW$6,"yyyymm")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X68" s="8">
        <f>IFERROR(
GETPIVOTDATA(
"[Base].[Importe]",
TDinamica_R!$A$5,
"[Calendario].[AñoMes]",
"[Calendario].[AñoMes].&amp;[" &amp; TEXT(AX$6,"yyyymm")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Y68" s="8">
        <f>IFERROR(
GETPIVOTDATA(
"[Base].[Importe]",
TDinamica_R!$A$5,
"[Calendario].[AñoMes]",
"[Calendario].[AñoMes].&amp;[" &amp; TEXT(AY$6,"yyyymm")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Z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TEXT(AZ$6,"yyyymm") &amp; "]"
),
0
)</f>
        <v>0</v>
      </c>
      <c r="BA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TEXT(BA$6,"yyyymm") &amp; "]"
),
0
)</f>
        <v>0</v>
      </c>
      <c r="BB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TEXT(BB$6,"yyyymm") &amp; "]"
),
0
)</f>
        <v>0</v>
      </c>
      <c r="BC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TEXT(BC$6,"yyyymm") &amp; "]"
),
0
)</f>
        <v>0</v>
      </c>
      <c r="BD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TEXT(BD$6,"yyyymm") &amp; "]"
),
0
)</f>
        <v>0</v>
      </c>
      <c r="BE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TEXT(BE$6,"yyyymm") &amp; "]"
),
0
)</f>
        <v>0</v>
      </c>
      <c r="BF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TEXT(BF$6,"yyyymm") &amp; "]"
),
0
)</f>
        <v>0</v>
      </c>
      <c r="BG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TEXT(BG$6,"yyyymm") &amp; "]"
),
0
)</f>
        <v>0</v>
      </c>
      <c r="BH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TEXT(BH$6,"yyyymm") &amp; "]"
),
0
)</f>
        <v>0</v>
      </c>
      <c r="BI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TEXT(BI$6,"yyyymm") &amp; "]"
),
0
)</f>
        <v>0</v>
      </c>
      <c r="BJ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TEXT(BJ$6,"yyyymm") &amp; "]"
),
0
)</f>
        <v>0</v>
      </c>
      <c r="BK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TEXT(BK$6,"yyyymm") &amp; "]"
),
0
)</f>
        <v>0</v>
      </c>
      <c r="BO68" s="24">
        <f t="shared" si="169"/>
        <v>0</v>
      </c>
      <c r="BP68" s="24">
        <f t="shared" si="169"/>
        <v>0</v>
      </c>
      <c r="BQ68" s="24">
        <f t="shared" si="169"/>
        <v>0</v>
      </c>
      <c r="BR68" s="24">
        <f t="shared" si="169"/>
        <v>0</v>
      </c>
      <c r="BS68" s="24">
        <f t="shared" si="169"/>
        <v>0</v>
      </c>
      <c r="BT68" s="24">
        <f t="shared" si="169"/>
        <v>0</v>
      </c>
    </row>
    <row r="69" spans="1:72" hidden="1" outlineLevel="1" x14ac:dyDescent="0.25">
      <c r="A69" s="11" t="s">
        <v>71</v>
      </c>
      <c r="C69" s="2"/>
      <c r="D69" s="8">
        <f>IFERROR(
GETPIVOTDATA(
"[Base].[Importe]",
TDinamica_R!$A$5,
"[Calendario].[AñoMes]",
"[Calendario].[AñoMes].&amp;[" &amp; TEXT(D$6,"yyyymm")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E69" s="8">
        <f>IFERROR(
GETPIVOTDATA(
"[Base].[Importe]",
TDinamica_R!$A$5,
"[Calendario].[AñoMes]",
"[Calendario].[AñoMes].&amp;[" &amp; TEXT(E$6,"yyyymm")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F69" s="8">
        <f>IFERROR(
GETPIVOTDATA(
"[Base].[Importe]",
TDinamica_R!$A$5,
"[Calendario].[AñoMes]",
"[Calendario].[AñoMes].&amp;[" &amp; TEXT(F$6,"yyyymm")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G69" s="8">
        <f>IFERROR(
GETPIVOTDATA(
"[Base].[Importe]",
TDinamica_R!$A$5,
"[Calendario].[AñoMes]",
"[Calendario].[AñoMes].&amp;[" &amp; TEXT(G$6,"yyyymm")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H69" s="8">
        <f>IFERROR(
GETPIVOTDATA(
"[Base].[Importe]",
TDinamica_R!$A$5,
"[Calendario].[AñoMes]",
"[Calendario].[AñoMes].&amp;[" &amp; TEXT(H$6,"yyyymm")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I69" s="8">
        <f>IFERROR(
GETPIVOTDATA(
"[Base].[Importe]",
TDinamica_R!$A$5,
"[Calendario].[AñoMes]",
"[Calendario].[AñoMes].&amp;[" &amp; TEXT(I$6,"yyyymm")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J69" s="8">
        <f>IFERROR(
GETPIVOTDATA(
"[Base].[Importe]",
TDinamica_R!$A$5,
"[Calendario].[AñoMes]",
"[Calendario].[AñoMes].&amp;[" &amp; TEXT(J$6,"yyyymm")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K69" s="8">
        <f>IFERROR(
GETPIVOTDATA(
"[Base].[Importe]",
TDinamica_R!$A$5,
"[Calendario].[AñoMes]",
"[Calendario].[AñoMes].&amp;[" &amp; TEXT(K$6,"yyyymm")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L69" s="8">
        <f>IFERROR(
GETPIVOTDATA(
"[Base].[Importe]",
TDinamica_R!$A$5,
"[Calendario].[AñoMes]",
"[Calendario].[AñoMes].&amp;[" &amp; TEXT(L$6,"yyyymm")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M69" s="8">
        <f>IFERROR(
GETPIVOTDATA(
"[Base].[Importe]",
TDinamica_R!$A$5,
"[Calendario].[AñoMes]",
"[Calendario].[AñoMes].&amp;[" &amp; TEXT(M$6,"yyyymm")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N69" s="8">
        <f>IFERROR(
GETPIVOTDATA(
"[Base].[Importe]",
TDinamica_R!$A$5,
"[Calendario].[AñoMes]",
"[Calendario].[AñoMes].&amp;[" &amp; TEXT(N$6,"yyyymm")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O69" s="8">
        <f>IFERROR(
GETPIVOTDATA(
"[Base].[Importe]",
TDinamica_R!$A$5,
"[Calendario].[AñoMes]",
"[Calendario].[AñoMes].&amp;[" &amp; TEXT(O$6,"yyyymm")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P69" s="8">
        <f>IFERROR(
GETPIVOTDATA(
"[Base].[Importe]",
TDinamica_R!$A$5,
"[Calendario].[AñoMes]",
"[Calendario].[AñoMes].&amp;[" &amp; TEXT(P$6,"yyyymm")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Q69" s="8">
        <f>IFERROR(
GETPIVOTDATA(
"[Base].[Importe]",
TDinamica_R!$A$5,
"[Calendario].[AñoMes]",
"[Calendario].[AñoMes].&amp;[" &amp; TEXT(Q$6,"yyyymm")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R69" s="8">
        <f>IFERROR(
GETPIVOTDATA(
"[Base].[Importe]",
TDinamica_R!$A$5,
"[Calendario].[AñoMes]",
"[Calendario].[AñoMes].&amp;[" &amp; TEXT(R$6,"yyyymm")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S69" s="8">
        <f>IFERROR(
GETPIVOTDATA(
"[Base].[Importe]",
TDinamica_R!$A$5,
"[Calendario].[AñoMes]",
"[Calendario].[AñoMes].&amp;[" &amp; TEXT(S$6,"yyyymm")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T69" s="8">
        <f>IFERROR(
GETPIVOTDATA(
"[Base].[Importe]",
TDinamica_R!$A$5,
"[Calendario].[AñoMes]",
"[Calendario].[AñoMes].&amp;[" &amp; TEXT(T$6,"yyyymm")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U69" s="8">
        <f>IFERROR(
GETPIVOTDATA(
"[Base].[Importe]",
TDinamica_R!$A$5,
"[Calendario].[AñoMes]",
"[Calendario].[AñoMes].&amp;[" &amp; TEXT(U$6,"yyyymm")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V69" s="8">
        <f>IFERROR(
GETPIVOTDATA(
"[Base].[Importe]",
TDinamica_R!$A$5,
"[Calendario].[AñoMes]",
"[Calendario].[AñoMes].&amp;[" &amp; TEXT(V$6,"yyyymm")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W69" s="8">
        <f>IFERROR(
GETPIVOTDATA(
"[Base].[Importe]",
TDinamica_R!$A$5,
"[Calendario].[AñoMes]",
"[Calendario].[AñoMes].&amp;[" &amp; TEXT(W$6,"yyyymm")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X69" s="8">
        <f>IFERROR(
GETPIVOTDATA(
"[Base].[Importe]",
TDinamica_R!$A$5,
"[Calendario].[AñoMes]",
"[Calendario].[AñoMes].&amp;[" &amp; TEXT(X$6,"yyyymm")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Y69" s="8">
        <f>IFERROR(
GETPIVOTDATA(
"[Base].[Importe]",
TDinamica_R!$A$5,
"[Calendario].[AñoMes]",
"[Calendario].[AñoMes].&amp;[" &amp; TEXT(Y$6,"yyyymm")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Z69" s="8">
        <f>IFERROR(
GETPIVOTDATA(
"[Base].[Importe]",
TDinamica_R!$A$5,
"[Calendario].[AñoMes]",
"[Calendario].[AñoMes].&amp;[" &amp; TEXT(Z$6,"yyyymm")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A69" s="8">
        <f>IFERROR(
GETPIVOTDATA(
"[Base].[Importe]",
TDinamica_R!$A$5,
"[Calendario].[AñoMes]",
"[Calendario].[AñoMes].&amp;[" &amp; TEXT(AA$6,"yyyymm")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B69" s="8">
        <f>IFERROR(
GETPIVOTDATA(
"[Base].[Importe]",
TDinamica_R!$A$5,
"[Calendario].[AñoMes]",
"[Calendario].[AñoMes].&amp;[" &amp; TEXT(AB$6,"yyyymm")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C69" s="8">
        <f>IFERROR(
GETPIVOTDATA(
"[Base].[Importe]",
TDinamica_R!$A$5,
"[Calendario].[AñoMes]",
"[Calendario].[AñoMes].&amp;[" &amp; TEXT(AC$6,"yyyymm")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D69" s="8">
        <f>IFERROR(
GETPIVOTDATA(
"[Base].[Importe]",
TDinamica_R!$A$5,
"[Calendario].[AñoMes]",
"[Calendario].[AñoMes].&amp;[" &amp; TEXT(AD$6,"yyyymm")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E69" s="8">
        <f>IFERROR(
GETPIVOTDATA(
"[Base].[Importe]",
TDinamica_R!$A$5,
"[Calendario].[AñoMes]",
"[Calendario].[AñoMes].&amp;[" &amp; TEXT(AE$6,"yyyymm")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F69" s="8">
        <f>IFERROR(
GETPIVOTDATA(
"[Base].[Importe]",
TDinamica_R!$A$5,
"[Calendario].[AñoMes]",
"[Calendario].[AñoMes].&amp;[" &amp; TEXT(AF$6,"yyyymm")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G69" s="8">
        <f>IFERROR(
GETPIVOTDATA(
"[Base].[Importe]",
TDinamica_R!$A$5,
"[Calendario].[AñoMes]",
"[Calendario].[AñoMes].&amp;[" &amp; TEXT(AG$6,"yyyymm")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H69" s="8">
        <f>IFERROR(
GETPIVOTDATA(
"[Base].[Importe]",
TDinamica_R!$A$5,
"[Calendario].[AñoMes]",
"[Calendario].[AñoMes].&amp;[" &amp; TEXT(AH$6,"yyyymm")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I69" s="8">
        <f>IFERROR(
GETPIVOTDATA(
"[Base].[Importe]",
TDinamica_R!$A$5,
"[Calendario].[AñoMes]",
"[Calendario].[AñoMes].&amp;[" &amp; TEXT(AI$6,"yyyymm")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J69" s="8">
        <f>IFERROR(
GETPIVOTDATA(
"[Base].[Importe]",
TDinamica_R!$A$5,
"[Calendario].[AñoMes]",
"[Calendario].[AñoMes].&amp;[" &amp; TEXT(AJ$6,"yyyymm")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K69" s="8">
        <f>IFERROR(
GETPIVOTDATA(
"[Base].[Importe]",
TDinamica_R!$A$5,
"[Calendario].[AñoMes]",
"[Calendario].[AñoMes].&amp;[" &amp; TEXT(AK$6,"yyyymm")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L69" s="8">
        <f>IFERROR(
GETPIVOTDATA(
"[Base].[Importe]",
TDinamica_R!$A$5,
"[Calendario].[AñoMes]",
"[Calendario].[AñoMes].&amp;[" &amp; TEXT(AL$6,"yyyymm")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M69" s="8">
        <f>IFERROR(
GETPIVOTDATA(
"[Base].[Importe]",
TDinamica_R!$A$5,
"[Calendario].[AñoMes]",
"[Calendario].[AñoMes].&amp;[" &amp; TEXT(AM$6,"yyyymm")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N69" s="8">
        <f>IFERROR(
GETPIVOTDATA(
"[Base].[Importe]",
TDinamica_R!$A$5,
"[Calendario].[AñoMes]",
"[Calendario].[AñoMes].&amp;[" &amp; TEXT(AN$6,"yyyymm")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O69" s="8">
        <f>IFERROR(
GETPIVOTDATA(
"[Base].[Importe]",
TDinamica_R!$A$5,
"[Calendario].[AñoMes]",
"[Calendario].[AñoMes].&amp;[" &amp; TEXT(AO$6,"yyyymm")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P69" s="8">
        <f>IFERROR(
GETPIVOTDATA(
"[Base].[Importe]",
TDinamica_R!$A$5,
"[Calendario].[AñoMes]",
"[Calendario].[AñoMes].&amp;[" &amp; TEXT(AP$6,"yyyymm")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Q69" s="8">
        <f>IFERROR(
GETPIVOTDATA(
"[Base].[Importe]",
TDinamica_R!$A$5,
"[Calendario].[AñoMes]",
"[Calendario].[AñoMes].&amp;[" &amp; TEXT(AQ$6,"yyyymm")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R69" s="8">
        <f>IFERROR(
GETPIVOTDATA(
"[Base].[Importe]",
TDinamica_R!$A$5,
"[Calendario].[AñoMes]",
"[Calendario].[AñoMes].&amp;[" &amp; TEXT(AR$6,"yyyymm")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S69" s="8">
        <f>IFERROR(
GETPIVOTDATA(
"[Base].[Importe]",
TDinamica_R!$A$5,
"[Calendario].[AñoMes]",
"[Calendario].[AñoMes].&amp;[" &amp; TEXT(AS$6,"yyyymm")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T69" s="8">
        <f>IFERROR(
GETPIVOTDATA(
"[Base].[Importe]",
TDinamica_R!$A$5,
"[Calendario].[AñoMes]",
"[Calendario].[AñoMes].&amp;[" &amp; TEXT(AT$6,"yyyymm")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U69" s="8">
        <f>IFERROR(
GETPIVOTDATA(
"[Base].[Importe]",
TDinamica_R!$A$5,
"[Calendario].[AñoMes]",
"[Calendario].[AñoMes].&amp;[" &amp; TEXT(AU$6,"yyyymm")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V69" s="8">
        <f>IFERROR(
GETPIVOTDATA(
"[Base].[Importe]",
TDinamica_R!$A$5,
"[Calendario].[AñoMes]",
"[Calendario].[AñoMes].&amp;[" &amp; TEXT(AV$6,"yyyymm")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W69" s="8">
        <f>IFERROR(
GETPIVOTDATA(
"[Base].[Importe]",
TDinamica_R!$A$5,
"[Calendario].[AñoMes]",
"[Calendario].[AñoMes].&amp;[" &amp; TEXT(AW$6,"yyyymm")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X69" s="8">
        <f>IFERROR(
GETPIVOTDATA(
"[Base].[Importe]",
TDinamica_R!$A$5,
"[Calendario].[AñoMes]",
"[Calendario].[AñoMes].&amp;[" &amp; TEXT(AX$6,"yyyymm")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Y69" s="8">
        <f>IFERROR(
GETPIVOTDATA(
"[Base].[Importe]",
TDinamica_R!$A$5,
"[Calendario].[AñoMes]",
"[Calendario].[AñoMes].&amp;[" &amp; TEXT(AY$6,"yyyymm")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Z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TEXT(AZ$6,"yyyymm") &amp; "]"
),
0
)</f>
        <v>0</v>
      </c>
      <c r="BA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TEXT(BA$6,"yyyymm") &amp; "]"
),
0
)</f>
        <v>0</v>
      </c>
      <c r="BB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TEXT(BB$6,"yyyymm") &amp; "]"
),
0
)</f>
        <v>0</v>
      </c>
      <c r="BC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TEXT(BC$6,"yyyymm") &amp; "]"
),
0
)</f>
        <v>0</v>
      </c>
      <c r="BD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TEXT(BD$6,"yyyymm") &amp; "]"
),
0
)</f>
        <v>0</v>
      </c>
      <c r="BE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TEXT(BE$6,"yyyymm") &amp; "]"
),
0
)</f>
        <v>0</v>
      </c>
      <c r="BF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TEXT(BF$6,"yyyymm") &amp; "]"
),
0
)</f>
        <v>0</v>
      </c>
      <c r="BG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TEXT(BG$6,"yyyymm") &amp; "]"
),
0
)</f>
        <v>0</v>
      </c>
      <c r="BH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TEXT(BH$6,"yyyymm") &amp; "]"
),
0
)</f>
        <v>0</v>
      </c>
      <c r="BI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TEXT(BI$6,"yyyymm") &amp; "]"
),
0
)</f>
        <v>0</v>
      </c>
      <c r="BJ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TEXT(BJ$6,"yyyymm") &amp; "]"
),
0
)</f>
        <v>0</v>
      </c>
      <c r="BK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TEXT(BK$6,"yyyymm") &amp; "]"
),
0
)</f>
        <v>0</v>
      </c>
      <c r="BO69" s="24">
        <f t="shared" si="169"/>
        <v>0</v>
      </c>
      <c r="BP69" s="24">
        <f t="shared" si="169"/>
        <v>0</v>
      </c>
      <c r="BQ69" s="24">
        <f t="shared" si="169"/>
        <v>0</v>
      </c>
      <c r="BR69" s="24">
        <f t="shared" si="169"/>
        <v>0</v>
      </c>
      <c r="BS69" s="24">
        <f t="shared" si="169"/>
        <v>0</v>
      </c>
      <c r="BT69" s="24">
        <f t="shared" si="169"/>
        <v>0</v>
      </c>
    </row>
    <row r="70" spans="1:72" hidden="1" outlineLevel="1" x14ac:dyDescent="0.25">
      <c r="A70" s="11" t="s">
        <v>71</v>
      </c>
      <c r="C70" s="2"/>
      <c r="D70" s="8">
        <f>IFERROR(
GETPIVOTDATA(
"[Base].[Importe]",
TDinamica_R!$A$5,
"[Calendario].[AñoMes]",
"[Calendario].[AñoMes].&amp;[" &amp; TEXT(D$6,"yyyymm")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E70" s="8">
        <f>IFERROR(
GETPIVOTDATA(
"[Base].[Importe]",
TDinamica_R!$A$5,
"[Calendario].[AñoMes]",
"[Calendario].[AñoMes].&amp;[" &amp; TEXT(E$6,"yyyymm")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F70" s="8">
        <f>IFERROR(
GETPIVOTDATA(
"[Base].[Importe]",
TDinamica_R!$A$5,
"[Calendario].[AñoMes]",
"[Calendario].[AñoMes].&amp;[" &amp; TEXT(F$6,"yyyymm")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G70" s="8">
        <f>IFERROR(
GETPIVOTDATA(
"[Base].[Importe]",
TDinamica_R!$A$5,
"[Calendario].[AñoMes]",
"[Calendario].[AñoMes].&amp;[" &amp; TEXT(G$6,"yyyymm")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H70" s="8">
        <f>IFERROR(
GETPIVOTDATA(
"[Base].[Importe]",
TDinamica_R!$A$5,
"[Calendario].[AñoMes]",
"[Calendario].[AñoMes].&amp;[" &amp; TEXT(H$6,"yyyymm")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I70" s="8">
        <f>IFERROR(
GETPIVOTDATA(
"[Base].[Importe]",
TDinamica_R!$A$5,
"[Calendario].[AñoMes]",
"[Calendario].[AñoMes].&amp;[" &amp; TEXT(I$6,"yyyymm")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J70" s="8">
        <f>IFERROR(
GETPIVOTDATA(
"[Base].[Importe]",
TDinamica_R!$A$5,
"[Calendario].[AñoMes]",
"[Calendario].[AñoMes].&amp;[" &amp; TEXT(J$6,"yyyymm")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K70" s="8">
        <f>IFERROR(
GETPIVOTDATA(
"[Base].[Importe]",
TDinamica_R!$A$5,
"[Calendario].[AñoMes]",
"[Calendario].[AñoMes].&amp;[" &amp; TEXT(K$6,"yyyymm")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L70" s="8">
        <f>IFERROR(
GETPIVOTDATA(
"[Base].[Importe]",
TDinamica_R!$A$5,
"[Calendario].[AñoMes]",
"[Calendario].[AñoMes].&amp;[" &amp; TEXT(L$6,"yyyymm")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M70" s="8">
        <f>IFERROR(
GETPIVOTDATA(
"[Base].[Importe]",
TDinamica_R!$A$5,
"[Calendario].[AñoMes]",
"[Calendario].[AñoMes].&amp;[" &amp; TEXT(M$6,"yyyymm")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N70" s="8">
        <f>IFERROR(
GETPIVOTDATA(
"[Base].[Importe]",
TDinamica_R!$A$5,
"[Calendario].[AñoMes]",
"[Calendario].[AñoMes].&amp;[" &amp; TEXT(N$6,"yyyymm")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O70" s="8">
        <f>IFERROR(
GETPIVOTDATA(
"[Base].[Importe]",
TDinamica_R!$A$5,
"[Calendario].[AñoMes]",
"[Calendario].[AñoMes].&amp;[" &amp; TEXT(O$6,"yyyymm")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P70" s="8">
        <f>IFERROR(
GETPIVOTDATA(
"[Base].[Importe]",
TDinamica_R!$A$5,
"[Calendario].[AñoMes]",
"[Calendario].[AñoMes].&amp;[" &amp; TEXT(P$6,"yyyymm")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Q70" s="8">
        <f>IFERROR(
GETPIVOTDATA(
"[Base].[Importe]",
TDinamica_R!$A$5,
"[Calendario].[AñoMes]",
"[Calendario].[AñoMes].&amp;[" &amp; TEXT(Q$6,"yyyymm")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R70" s="8">
        <f>IFERROR(
GETPIVOTDATA(
"[Base].[Importe]",
TDinamica_R!$A$5,
"[Calendario].[AñoMes]",
"[Calendario].[AñoMes].&amp;[" &amp; TEXT(R$6,"yyyymm")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S70" s="8">
        <f>IFERROR(
GETPIVOTDATA(
"[Base].[Importe]",
TDinamica_R!$A$5,
"[Calendario].[AñoMes]",
"[Calendario].[AñoMes].&amp;[" &amp; TEXT(S$6,"yyyymm")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T70" s="8">
        <f>IFERROR(
GETPIVOTDATA(
"[Base].[Importe]",
TDinamica_R!$A$5,
"[Calendario].[AñoMes]",
"[Calendario].[AñoMes].&amp;[" &amp; TEXT(T$6,"yyyymm")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U70" s="8">
        <f>IFERROR(
GETPIVOTDATA(
"[Base].[Importe]",
TDinamica_R!$A$5,
"[Calendario].[AñoMes]",
"[Calendario].[AñoMes].&amp;[" &amp; TEXT(U$6,"yyyymm")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V70" s="8">
        <f>IFERROR(
GETPIVOTDATA(
"[Base].[Importe]",
TDinamica_R!$A$5,
"[Calendario].[AñoMes]",
"[Calendario].[AñoMes].&amp;[" &amp; TEXT(V$6,"yyyymm")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W70" s="8">
        <f>IFERROR(
GETPIVOTDATA(
"[Base].[Importe]",
TDinamica_R!$A$5,
"[Calendario].[AñoMes]",
"[Calendario].[AñoMes].&amp;[" &amp; TEXT(W$6,"yyyymm")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X70" s="8">
        <f>IFERROR(
GETPIVOTDATA(
"[Base].[Importe]",
TDinamica_R!$A$5,
"[Calendario].[AñoMes]",
"[Calendario].[AñoMes].&amp;[" &amp; TEXT(X$6,"yyyymm")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Y70" s="8">
        <f>IFERROR(
GETPIVOTDATA(
"[Base].[Importe]",
TDinamica_R!$A$5,
"[Calendario].[AñoMes]",
"[Calendario].[AñoMes].&amp;[" &amp; TEXT(Y$6,"yyyymm")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Z70" s="8">
        <f>IFERROR(
GETPIVOTDATA(
"[Base].[Importe]",
TDinamica_R!$A$5,
"[Calendario].[AñoMes]",
"[Calendario].[AñoMes].&amp;[" &amp; TEXT(Z$6,"yyyymm")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A70" s="8">
        <f>IFERROR(
GETPIVOTDATA(
"[Base].[Importe]",
TDinamica_R!$A$5,
"[Calendario].[AñoMes]",
"[Calendario].[AñoMes].&amp;[" &amp; TEXT(AA$6,"yyyymm")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B70" s="8">
        <f>IFERROR(
GETPIVOTDATA(
"[Base].[Importe]",
TDinamica_R!$A$5,
"[Calendario].[AñoMes]",
"[Calendario].[AñoMes].&amp;[" &amp; TEXT(AB$6,"yyyymm")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C70" s="8">
        <f>IFERROR(
GETPIVOTDATA(
"[Base].[Importe]",
TDinamica_R!$A$5,
"[Calendario].[AñoMes]",
"[Calendario].[AñoMes].&amp;[" &amp; TEXT(AC$6,"yyyymm")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D70" s="8">
        <f>IFERROR(
GETPIVOTDATA(
"[Base].[Importe]",
TDinamica_R!$A$5,
"[Calendario].[AñoMes]",
"[Calendario].[AñoMes].&amp;[" &amp; TEXT(AD$6,"yyyymm")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E70" s="8">
        <f>IFERROR(
GETPIVOTDATA(
"[Base].[Importe]",
TDinamica_R!$A$5,
"[Calendario].[AñoMes]",
"[Calendario].[AñoMes].&amp;[" &amp; TEXT(AE$6,"yyyymm")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F70" s="8">
        <f>IFERROR(
GETPIVOTDATA(
"[Base].[Importe]",
TDinamica_R!$A$5,
"[Calendario].[AñoMes]",
"[Calendario].[AñoMes].&amp;[" &amp; TEXT(AF$6,"yyyymm")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G70" s="8">
        <f>IFERROR(
GETPIVOTDATA(
"[Base].[Importe]",
TDinamica_R!$A$5,
"[Calendario].[AñoMes]",
"[Calendario].[AñoMes].&amp;[" &amp; TEXT(AG$6,"yyyymm")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H70" s="8">
        <f>IFERROR(
GETPIVOTDATA(
"[Base].[Importe]",
TDinamica_R!$A$5,
"[Calendario].[AñoMes]",
"[Calendario].[AñoMes].&amp;[" &amp; TEXT(AH$6,"yyyymm")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I70" s="8">
        <f>IFERROR(
GETPIVOTDATA(
"[Base].[Importe]",
TDinamica_R!$A$5,
"[Calendario].[AñoMes]",
"[Calendario].[AñoMes].&amp;[" &amp; TEXT(AI$6,"yyyymm")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J70" s="8">
        <f>IFERROR(
GETPIVOTDATA(
"[Base].[Importe]",
TDinamica_R!$A$5,
"[Calendario].[AñoMes]",
"[Calendario].[AñoMes].&amp;[" &amp; TEXT(AJ$6,"yyyymm")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K70" s="8">
        <f>IFERROR(
GETPIVOTDATA(
"[Base].[Importe]",
TDinamica_R!$A$5,
"[Calendario].[AñoMes]",
"[Calendario].[AñoMes].&amp;[" &amp; TEXT(AK$6,"yyyymm")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L70" s="8">
        <f>IFERROR(
GETPIVOTDATA(
"[Base].[Importe]",
TDinamica_R!$A$5,
"[Calendario].[AñoMes]",
"[Calendario].[AñoMes].&amp;[" &amp; TEXT(AL$6,"yyyymm")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M70" s="8">
        <f>IFERROR(
GETPIVOTDATA(
"[Base].[Importe]",
TDinamica_R!$A$5,
"[Calendario].[AñoMes]",
"[Calendario].[AñoMes].&amp;[" &amp; TEXT(AM$6,"yyyymm")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N70" s="8">
        <f>IFERROR(
GETPIVOTDATA(
"[Base].[Importe]",
TDinamica_R!$A$5,
"[Calendario].[AñoMes]",
"[Calendario].[AñoMes].&amp;[" &amp; TEXT(AN$6,"yyyymm")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O70" s="8">
        <f>IFERROR(
GETPIVOTDATA(
"[Base].[Importe]",
TDinamica_R!$A$5,
"[Calendario].[AñoMes]",
"[Calendario].[AñoMes].&amp;[" &amp; TEXT(AO$6,"yyyymm")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P70" s="8">
        <f>IFERROR(
GETPIVOTDATA(
"[Base].[Importe]",
TDinamica_R!$A$5,
"[Calendario].[AñoMes]",
"[Calendario].[AñoMes].&amp;[" &amp; TEXT(AP$6,"yyyymm")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Q70" s="8">
        <f>IFERROR(
GETPIVOTDATA(
"[Base].[Importe]",
TDinamica_R!$A$5,
"[Calendario].[AñoMes]",
"[Calendario].[AñoMes].&amp;[" &amp; TEXT(AQ$6,"yyyymm")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R70" s="8">
        <f>IFERROR(
GETPIVOTDATA(
"[Base].[Importe]",
TDinamica_R!$A$5,
"[Calendario].[AñoMes]",
"[Calendario].[AñoMes].&amp;[" &amp; TEXT(AR$6,"yyyymm")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S70" s="8">
        <f>IFERROR(
GETPIVOTDATA(
"[Base].[Importe]",
TDinamica_R!$A$5,
"[Calendario].[AñoMes]",
"[Calendario].[AñoMes].&amp;[" &amp; TEXT(AS$6,"yyyymm")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T70" s="8">
        <f>IFERROR(
GETPIVOTDATA(
"[Base].[Importe]",
TDinamica_R!$A$5,
"[Calendario].[AñoMes]",
"[Calendario].[AñoMes].&amp;[" &amp; TEXT(AT$6,"yyyymm")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U70" s="8">
        <f>IFERROR(
GETPIVOTDATA(
"[Base].[Importe]",
TDinamica_R!$A$5,
"[Calendario].[AñoMes]",
"[Calendario].[AñoMes].&amp;[" &amp; TEXT(AU$6,"yyyymm")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V70" s="8">
        <f>IFERROR(
GETPIVOTDATA(
"[Base].[Importe]",
TDinamica_R!$A$5,
"[Calendario].[AñoMes]",
"[Calendario].[AñoMes].&amp;[" &amp; TEXT(AV$6,"yyyymm")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W70" s="8">
        <f>IFERROR(
GETPIVOTDATA(
"[Base].[Importe]",
TDinamica_R!$A$5,
"[Calendario].[AñoMes]",
"[Calendario].[AñoMes].&amp;[" &amp; TEXT(AW$6,"yyyymm")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X70" s="8">
        <f>IFERROR(
GETPIVOTDATA(
"[Base].[Importe]",
TDinamica_R!$A$5,
"[Calendario].[AñoMes]",
"[Calendario].[AñoMes].&amp;[" &amp; TEXT(AX$6,"yyyymm")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Y70" s="8">
        <f>IFERROR(
GETPIVOTDATA(
"[Base].[Importe]",
TDinamica_R!$A$5,
"[Calendario].[AñoMes]",
"[Calendario].[AñoMes].&amp;[" &amp; TEXT(AY$6,"yyyymm")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Z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TEXT(AZ$6,"yyyymm") &amp; "]"
),
0
)</f>
        <v>0</v>
      </c>
      <c r="BA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TEXT(BA$6,"yyyymm") &amp; "]"
),
0
)</f>
        <v>0</v>
      </c>
      <c r="BB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TEXT(BB$6,"yyyymm") &amp; "]"
),
0
)</f>
        <v>0</v>
      </c>
      <c r="BC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TEXT(BC$6,"yyyymm") &amp; "]"
),
0
)</f>
        <v>0</v>
      </c>
      <c r="BD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TEXT(BD$6,"yyyymm") &amp; "]"
),
0
)</f>
        <v>0</v>
      </c>
      <c r="BE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TEXT(BE$6,"yyyymm") &amp; "]"
),
0
)</f>
        <v>0</v>
      </c>
      <c r="BF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TEXT(BF$6,"yyyymm") &amp; "]"
),
0
)</f>
        <v>0</v>
      </c>
      <c r="BG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TEXT(BG$6,"yyyymm") &amp; "]"
),
0
)</f>
        <v>0</v>
      </c>
      <c r="BH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TEXT(BH$6,"yyyymm") &amp; "]"
),
0
)</f>
        <v>0</v>
      </c>
      <c r="BI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TEXT(BI$6,"yyyymm") &amp; "]"
),
0
)</f>
        <v>0</v>
      </c>
      <c r="BJ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TEXT(BJ$6,"yyyymm") &amp; "]"
),
0
)</f>
        <v>0</v>
      </c>
      <c r="BK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TEXT(BK$6,"yyyymm") &amp; "]"
),
0
)</f>
        <v>0</v>
      </c>
      <c r="BO70" s="24">
        <f t="shared" si="169"/>
        <v>0</v>
      </c>
      <c r="BP70" s="24">
        <f t="shared" si="169"/>
        <v>0</v>
      </c>
      <c r="BQ70" s="24">
        <f t="shared" si="169"/>
        <v>0</v>
      </c>
      <c r="BR70" s="24">
        <f t="shared" si="169"/>
        <v>0</v>
      </c>
      <c r="BS70" s="24">
        <f t="shared" si="169"/>
        <v>0</v>
      </c>
      <c r="BT70" s="24">
        <f t="shared" si="169"/>
        <v>0</v>
      </c>
    </row>
    <row r="71" spans="1:72" hidden="1" outlineLevel="1" x14ac:dyDescent="0.25">
      <c r="A71" s="11" t="s">
        <v>71</v>
      </c>
      <c r="C71" s="2"/>
      <c r="D71" s="8">
        <f>IFERROR(
GETPIVOTDATA(
"[Base].[Importe]",
TDinamica_R!$A$5,
"[Calendario].[AñoMes]",
"[Calendario].[AñoMes].&amp;[" &amp; TEXT(D$6,"yyyymm")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E71" s="8">
        <f>IFERROR(
GETPIVOTDATA(
"[Base].[Importe]",
TDinamica_R!$A$5,
"[Calendario].[AñoMes]",
"[Calendario].[AñoMes].&amp;[" &amp; TEXT(E$6,"yyyymm")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F71" s="8">
        <f>IFERROR(
GETPIVOTDATA(
"[Base].[Importe]",
TDinamica_R!$A$5,
"[Calendario].[AñoMes]",
"[Calendario].[AñoMes].&amp;[" &amp; TEXT(F$6,"yyyymm")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G71" s="8">
        <f>IFERROR(
GETPIVOTDATA(
"[Base].[Importe]",
TDinamica_R!$A$5,
"[Calendario].[AñoMes]",
"[Calendario].[AñoMes].&amp;[" &amp; TEXT(G$6,"yyyymm")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H71" s="8">
        <f>IFERROR(
GETPIVOTDATA(
"[Base].[Importe]",
TDinamica_R!$A$5,
"[Calendario].[AñoMes]",
"[Calendario].[AñoMes].&amp;[" &amp; TEXT(H$6,"yyyymm")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I71" s="8">
        <f>IFERROR(
GETPIVOTDATA(
"[Base].[Importe]",
TDinamica_R!$A$5,
"[Calendario].[AñoMes]",
"[Calendario].[AñoMes].&amp;[" &amp; TEXT(I$6,"yyyymm")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J71" s="8">
        <f>IFERROR(
GETPIVOTDATA(
"[Base].[Importe]",
TDinamica_R!$A$5,
"[Calendario].[AñoMes]",
"[Calendario].[AñoMes].&amp;[" &amp; TEXT(J$6,"yyyymm")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K71" s="8">
        <f>IFERROR(
GETPIVOTDATA(
"[Base].[Importe]",
TDinamica_R!$A$5,
"[Calendario].[AñoMes]",
"[Calendario].[AñoMes].&amp;[" &amp; TEXT(K$6,"yyyymm")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L71" s="8">
        <f>IFERROR(
GETPIVOTDATA(
"[Base].[Importe]",
TDinamica_R!$A$5,
"[Calendario].[AñoMes]",
"[Calendario].[AñoMes].&amp;[" &amp; TEXT(L$6,"yyyymm")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M71" s="8">
        <f>IFERROR(
GETPIVOTDATA(
"[Base].[Importe]",
TDinamica_R!$A$5,
"[Calendario].[AñoMes]",
"[Calendario].[AñoMes].&amp;[" &amp; TEXT(M$6,"yyyymm")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N71" s="8">
        <f>IFERROR(
GETPIVOTDATA(
"[Base].[Importe]",
TDinamica_R!$A$5,
"[Calendario].[AñoMes]",
"[Calendario].[AñoMes].&amp;[" &amp; TEXT(N$6,"yyyymm")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O71" s="8">
        <f>IFERROR(
GETPIVOTDATA(
"[Base].[Importe]",
TDinamica_R!$A$5,
"[Calendario].[AñoMes]",
"[Calendario].[AñoMes].&amp;[" &amp; TEXT(O$6,"yyyymm")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P71" s="8">
        <f>IFERROR(
GETPIVOTDATA(
"[Base].[Importe]",
TDinamica_R!$A$5,
"[Calendario].[AñoMes]",
"[Calendario].[AñoMes].&amp;[" &amp; TEXT(P$6,"yyyymm")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Q71" s="8">
        <f>IFERROR(
GETPIVOTDATA(
"[Base].[Importe]",
TDinamica_R!$A$5,
"[Calendario].[AñoMes]",
"[Calendario].[AñoMes].&amp;[" &amp; TEXT(Q$6,"yyyymm")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R71" s="8">
        <f>IFERROR(
GETPIVOTDATA(
"[Base].[Importe]",
TDinamica_R!$A$5,
"[Calendario].[AñoMes]",
"[Calendario].[AñoMes].&amp;[" &amp; TEXT(R$6,"yyyymm")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S71" s="8">
        <f>IFERROR(
GETPIVOTDATA(
"[Base].[Importe]",
TDinamica_R!$A$5,
"[Calendario].[AñoMes]",
"[Calendario].[AñoMes].&amp;[" &amp; TEXT(S$6,"yyyymm")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T71" s="8">
        <f>IFERROR(
GETPIVOTDATA(
"[Base].[Importe]",
TDinamica_R!$A$5,
"[Calendario].[AñoMes]",
"[Calendario].[AñoMes].&amp;[" &amp; TEXT(T$6,"yyyymm")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U71" s="8">
        <f>IFERROR(
GETPIVOTDATA(
"[Base].[Importe]",
TDinamica_R!$A$5,
"[Calendario].[AñoMes]",
"[Calendario].[AñoMes].&amp;[" &amp; TEXT(U$6,"yyyymm")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V71" s="8">
        <f>IFERROR(
GETPIVOTDATA(
"[Base].[Importe]",
TDinamica_R!$A$5,
"[Calendario].[AñoMes]",
"[Calendario].[AñoMes].&amp;[" &amp; TEXT(V$6,"yyyymm")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W71" s="8">
        <f>IFERROR(
GETPIVOTDATA(
"[Base].[Importe]",
TDinamica_R!$A$5,
"[Calendario].[AñoMes]",
"[Calendario].[AñoMes].&amp;[" &amp; TEXT(W$6,"yyyymm")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X71" s="8">
        <f>IFERROR(
GETPIVOTDATA(
"[Base].[Importe]",
TDinamica_R!$A$5,
"[Calendario].[AñoMes]",
"[Calendario].[AñoMes].&amp;[" &amp; TEXT(X$6,"yyyymm")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Y71" s="8">
        <f>IFERROR(
GETPIVOTDATA(
"[Base].[Importe]",
TDinamica_R!$A$5,
"[Calendario].[AñoMes]",
"[Calendario].[AñoMes].&amp;[" &amp; TEXT(Y$6,"yyyymm")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Z71" s="8">
        <f>IFERROR(
GETPIVOTDATA(
"[Base].[Importe]",
TDinamica_R!$A$5,
"[Calendario].[AñoMes]",
"[Calendario].[AñoMes].&amp;[" &amp; TEXT(Z$6,"yyyymm")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A71" s="8">
        <f>IFERROR(
GETPIVOTDATA(
"[Base].[Importe]",
TDinamica_R!$A$5,
"[Calendario].[AñoMes]",
"[Calendario].[AñoMes].&amp;[" &amp; TEXT(AA$6,"yyyymm")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B71" s="8">
        <f>IFERROR(
GETPIVOTDATA(
"[Base].[Importe]",
TDinamica_R!$A$5,
"[Calendario].[AñoMes]",
"[Calendario].[AñoMes].&amp;[" &amp; TEXT(AB$6,"yyyymm")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C71" s="8">
        <f>IFERROR(
GETPIVOTDATA(
"[Base].[Importe]",
TDinamica_R!$A$5,
"[Calendario].[AñoMes]",
"[Calendario].[AñoMes].&amp;[" &amp; TEXT(AC$6,"yyyymm")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D71" s="8">
        <f>IFERROR(
GETPIVOTDATA(
"[Base].[Importe]",
TDinamica_R!$A$5,
"[Calendario].[AñoMes]",
"[Calendario].[AñoMes].&amp;[" &amp; TEXT(AD$6,"yyyymm")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E71" s="8">
        <f>IFERROR(
GETPIVOTDATA(
"[Base].[Importe]",
TDinamica_R!$A$5,
"[Calendario].[AñoMes]",
"[Calendario].[AñoMes].&amp;[" &amp; TEXT(AE$6,"yyyymm")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F71" s="8">
        <f>IFERROR(
GETPIVOTDATA(
"[Base].[Importe]",
TDinamica_R!$A$5,
"[Calendario].[AñoMes]",
"[Calendario].[AñoMes].&amp;[" &amp; TEXT(AF$6,"yyyymm")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G71" s="8">
        <f>IFERROR(
GETPIVOTDATA(
"[Base].[Importe]",
TDinamica_R!$A$5,
"[Calendario].[AñoMes]",
"[Calendario].[AñoMes].&amp;[" &amp; TEXT(AG$6,"yyyymm")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H71" s="8">
        <f>IFERROR(
GETPIVOTDATA(
"[Base].[Importe]",
TDinamica_R!$A$5,
"[Calendario].[AñoMes]",
"[Calendario].[AñoMes].&amp;[" &amp; TEXT(AH$6,"yyyymm")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I71" s="8">
        <f>IFERROR(
GETPIVOTDATA(
"[Base].[Importe]",
TDinamica_R!$A$5,
"[Calendario].[AñoMes]",
"[Calendario].[AñoMes].&amp;[" &amp; TEXT(AI$6,"yyyymm")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J71" s="8">
        <f>IFERROR(
GETPIVOTDATA(
"[Base].[Importe]",
TDinamica_R!$A$5,
"[Calendario].[AñoMes]",
"[Calendario].[AñoMes].&amp;[" &amp; TEXT(AJ$6,"yyyymm")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K71" s="8">
        <f>IFERROR(
GETPIVOTDATA(
"[Base].[Importe]",
TDinamica_R!$A$5,
"[Calendario].[AñoMes]",
"[Calendario].[AñoMes].&amp;[" &amp; TEXT(AK$6,"yyyymm")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L71" s="8">
        <f>IFERROR(
GETPIVOTDATA(
"[Base].[Importe]",
TDinamica_R!$A$5,
"[Calendario].[AñoMes]",
"[Calendario].[AñoMes].&amp;[" &amp; TEXT(AL$6,"yyyymm")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M71" s="8">
        <f>IFERROR(
GETPIVOTDATA(
"[Base].[Importe]",
TDinamica_R!$A$5,
"[Calendario].[AñoMes]",
"[Calendario].[AñoMes].&amp;[" &amp; TEXT(AM$6,"yyyymm")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N71" s="8">
        <f>IFERROR(
GETPIVOTDATA(
"[Base].[Importe]",
TDinamica_R!$A$5,
"[Calendario].[AñoMes]",
"[Calendario].[AñoMes].&amp;[" &amp; TEXT(AN$6,"yyyymm")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O71" s="8">
        <f>IFERROR(
GETPIVOTDATA(
"[Base].[Importe]",
TDinamica_R!$A$5,
"[Calendario].[AñoMes]",
"[Calendario].[AñoMes].&amp;[" &amp; TEXT(AO$6,"yyyymm")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P71" s="8">
        <f>IFERROR(
GETPIVOTDATA(
"[Base].[Importe]",
TDinamica_R!$A$5,
"[Calendario].[AñoMes]",
"[Calendario].[AñoMes].&amp;[" &amp; TEXT(AP$6,"yyyymm")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Q71" s="8">
        <f>IFERROR(
GETPIVOTDATA(
"[Base].[Importe]",
TDinamica_R!$A$5,
"[Calendario].[AñoMes]",
"[Calendario].[AñoMes].&amp;[" &amp; TEXT(AQ$6,"yyyymm")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R71" s="8">
        <f>IFERROR(
GETPIVOTDATA(
"[Base].[Importe]",
TDinamica_R!$A$5,
"[Calendario].[AñoMes]",
"[Calendario].[AñoMes].&amp;[" &amp; TEXT(AR$6,"yyyymm")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S71" s="8">
        <f>IFERROR(
GETPIVOTDATA(
"[Base].[Importe]",
TDinamica_R!$A$5,
"[Calendario].[AñoMes]",
"[Calendario].[AñoMes].&amp;[" &amp; TEXT(AS$6,"yyyymm")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T71" s="8">
        <f>IFERROR(
GETPIVOTDATA(
"[Base].[Importe]",
TDinamica_R!$A$5,
"[Calendario].[AñoMes]",
"[Calendario].[AñoMes].&amp;[" &amp; TEXT(AT$6,"yyyymm")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U71" s="8">
        <f>IFERROR(
GETPIVOTDATA(
"[Base].[Importe]",
TDinamica_R!$A$5,
"[Calendario].[AñoMes]",
"[Calendario].[AñoMes].&amp;[" &amp; TEXT(AU$6,"yyyymm")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V71" s="8">
        <f>IFERROR(
GETPIVOTDATA(
"[Base].[Importe]",
TDinamica_R!$A$5,
"[Calendario].[AñoMes]",
"[Calendario].[AñoMes].&amp;[" &amp; TEXT(AV$6,"yyyymm")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W71" s="8">
        <f>IFERROR(
GETPIVOTDATA(
"[Base].[Importe]",
TDinamica_R!$A$5,
"[Calendario].[AñoMes]",
"[Calendario].[AñoMes].&amp;[" &amp; TEXT(AW$6,"yyyymm")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X71" s="8">
        <f>IFERROR(
GETPIVOTDATA(
"[Base].[Importe]",
TDinamica_R!$A$5,
"[Calendario].[AñoMes]",
"[Calendario].[AñoMes].&amp;[" &amp; TEXT(AX$6,"yyyymm")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Y71" s="8">
        <f>IFERROR(
GETPIVOTDATA(
"[Base].[Importe]",
TDinamica_R!$A$5,
"[Calendario].[AñoMes]",
"[Calendario].[AñoMes].&amp;[" &amp; TEXT(AY$6,"yyyymm")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Z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TEXT(AZ$6,"yyyymm") &amp; "]"
),
0
)</f>
        <v>0</v>
      </c>
      <c r="BA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TEXT(BA$6,"yyyymm") &amp; "]"
),
0
)</f>
        <v>0</v>
      </c>
      <c r="BB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TEXT(BB$6,"yyyymm") &amp; "]"
),
0
)</f>
        <v>0</v>
      </c>
      <c r="BC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TEXT(BC$6,"yyyymm") &amp; "]"
),
0
)</f>
        <v>0</v>
      </c>
      <c r="BD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TEXT(BD$6,"yyyymm") &amp; "]"
),
0
)</f>
        <v>0</v>
      </c>
      <c r="BE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TEXT(BE$6,"yyyymm") &amp; "]"
),
0
)</f>
        <v>0</v>
      </c>
      <c r="BF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TEXT(BF$6,"yyyymm") &amp; "]"
),
0
)</f>
        <v>0</v>
      </c>
      <c r="BG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TEXT(BG$6,"yyyymm") &amp; "]"
),
0
)</f>
        <v>0</v>
      </c>
      <c r="BH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TEXT(BH$6,"yyyymm") &amp; "]"
),
0
)</f>
        <v>0</v>
      </c>
      <c r="BI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TEXT(BI$6,"yyyymm") &amp; "]"
),
0
)</f>
        <v>0</v>
      </c>
      <c r="BJ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TEXT(BJ$6,"yyyymm") &amp; "]"
),
0
)</f>
        <v>0</v>
      </c>
      <c r="BK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TEXT(BK$6,"yyyymm") &amp; "]"
),
0
)</f>
        <v>0</v>
      </c>
      <c r="BO71" s="24">
        <f t="shared" si="169"/>
        <v>0</v>
      </c>
      <c r="BP71" s="24">
        <f t="shared" si="169"/>
        <v>0</v>
      </c>
      <c r="BQ71" s="24">
        <f t="shared" si="169"/>
        <v>0</v>
      </c>
      <c r="BR71" s="24">
        <f t="shared" si="169"/>
        <v>0</v>
      </c>
      <c r="BS71" s="24">
        <f t="shared" si="169"/>
        <v>0</v>
      </c>
      <c r="BT71" s="24">
        <f t="shared" si="169"/>
        <v>0</v>
      </c>
    </row>
    <row r="72" spans="1:72" hidden="1" outlineLevel="1" x14ac:dyDescent="0.25">
      <c r="A72" s="11" t="s">
        <v>71</v>
      </c>
      <c r="C72" s="2"/>
      <c r="D72" s="8">
        <f>IFERROR(
GETPIVOTDATA(
"[Base].[Importe]",
TDinamica_R!$A$5,
"[Calendario].[AñoMes]",
"[Calendario].[AñoMes].&amp;[" &amp; TEXT(D$6,"yyyymm")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E72" s="8">
        <f>IFERROR(
GETPIVOTDATA(
"[Base].[Importe]",
TDinamica_R!$A$5,
"[Calendario].[AñoMes]",
"[Calendario].[AñoMes].&amp;[" &amp; TEXT(E$6,"yyyymm")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F72" s="8">
        <f>IFERROR(
GETPIVOTDATA(
"[Base].[Importe]",
TDinamica_R!$A$5,
"[Calendario].[AñoMes]",
"[Calendario].[AñoMes].&amp;[" &amp; TEXT(F$6,"yyyymm")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G72" s="8">
        <f>IFERROR(
GETPIVOTDATA(
"[Base].[Importe]",
TDinamica_R!$A$5,
"[Calendario].[AñoMes]",
"[Calendario].[AñoMes].&amp;[" &amp; TEXT(G$6,"yyyymm")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H72" s="8">
        <f>IFERROR(
GETPIVOTDATA(
"[Base].[Importe]",
TDinamica_R!$A$5,
"[Calendario].[AñoMes]",
"[Calendario].[AñoMes].&amp;[" &amp; TEXT(H$6,"yyyymm")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I72" s="8">
        <f>IFERROR(
GETPIVOTDATA(
"[Base].[Importe]",
TDinamica_R!$A$5,
"[Calendario].[AñoMes]",
"[Calendario].[AñoMes].&amp;[" &amp; TEXT(I$6,"yyyymm")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J72" s="8">
        <f>IFERROR(
GETPIVOTDATA(
"[Base].[Importe]",
TDinamica_R!$A$5,
"[Calendario].[AñoMes]",
"[Calendario].[AñoMes].&amp;[" &amp; TEXT(J$6,"yyyymm")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K72" s="8">
        <f>IFERROR(
GETPIVOTDATA(
"[Base].[Importe]",
TDinamica_R!$A$5,
"[Calendario].[AñoMes]",
"[Calendario].[AñoMes].&amp;[" &amp; TEXT(K$6,"yyyymm")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L72" s="8">
        <f>IFERROR(
GETPIVOTDATA(
"[Base].[Importe]",
TDinamica_R!$A$5,
"[Calendario].[AñoMes]",
"[Calendario].[AñoMes].&amp;[" &amp; TEXT(L$6,"yyyymm")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M72" s="8">
        <f>IFERROR(
GETPIVOTDATA(
"[Base].[Importe]",
TDinamica_R!$A$5,
"[Calendario].[AñoMes]",
"[Calendario].[AñoMes].&amp;[" &amp; TEXT(M$6,"yyyymm")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N72" s="8">
        <f>IFERROR(
GETPIVOTDATA(
"[Base].[Importe]",
TDinamica_R!$A$5,
"[Calendario].[AñoMes]",
"[Calendario].[AñoMes].&amp;[" &amp; TEXT(N$6,"yyyymm")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O72" s="8">
        <f>IFERROR(
GETPIVOTDATA(
"[Base].[Importe]",
TDinamica_R!$A$5,
"[Calendario].[AñoMes]",
"[Calendario].[AñoMes].&amp;[" &amp; TEXT(O$6,"yyyymm")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P72" s="8">
        <f>IFERROR(
GETPIVOTDATA(
"[Base].[Importe]",
TDinamica_R!$A$5,
"[Calendario].[AñoMes]",
"[Calendario].[AñoMes].&amp;[" &amp; TEXT(P$6,"yyyymm")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Q72" s="8">
        <f>IFERROR(
GETPIVOTDATA(
"[Base].[Importe]",
TDinamica_R!$A$5,
"[Calendario].[AñoMes]",
"[Calendario].[AñoMes].&amp;[" &amp; TEXT(Q$6,"yyyymm")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R72" s="8">
        <f>IFERROR(
GETPIVOTDATA(
"[Base].[Importe]",
TDinamica_R!$A$5,
"[Calendario].[AñoMes]",
"[Calendario].[AñoMes].&amp;[" &amp; TEXT(R$6,"yyyymm")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S72" s="8">
        <f>IFERROR(
GETPIVOTDATA(
"[Base].[Importe]",
TDinamica_R!$A$5,
"[Calendario].[AñoMes]",
"[Calendario].[AñoMes].&amp;[" &amp; TEXT(S$6,"yyyymm")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T72" s="8">
        <f>IFERROR(
GETPIVOTDATA(
"[Base].[Importe]",
TDinamica_R!$A$5,
"[Calendario].[AñoMes]",
"[Calendario].[AñoMes].&amp;[" &amp; TEXT(T$6,"yyyymm")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U72" s="8">
        <f>IFERROR(
GETPIVOTDATA(
"[Base].[Importe]",
TDinamica_R!$A$5,
"[Calendario].[AñoMes]",
"[Calendario].[AñoMes].&amp;[" &amp; TEXT(U$6,"yyyymm")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V72" s="8">
        <f>IFERROR(
GETPIVOTDATA(
"[Base].[Importe]",
TDinamica_R!$A$5,
"[Calendario].[AñoMes]",
"[Calendario].[AñoMes].&amp;[" &amp; TEXT(V$6,"yyyymm")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W72" s="8">
        <f>IFERROR(
GETPIVOTDATA(
"[Base].[Importe]",
TDinamica_R!$A$5,
"[Calendario].[AñoMes]",
"[Calendario].[AñoMes].&amp;[" &amp; TEXT(W$6,"yyyymm")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X72" s="8">
        <f>IFERROR(
GETPIVOTDATA(
"[Base].[Importe]",
TDinamica_R!$A$5,
"[Calendario].[AñoMes]",
"[Calendario].[AñoMes].&amp;[" &amp; TEXT(X$6,"yyyymm")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Y72" s="8">
        <f>IFERROR(
GETPIVOTDATA(
"[Base].[Importe]",
TDinamica_R!$A$5,
"[Calendario].[AñoMes]",
"[Calendario].[AñoMes].&amp;[" &amp; TEXT(Y$6,"yyyymm")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Z72" s="8">
        <f>IFERROR(
GETPIVOTDATA(
"[Base].[Importe]",
TDinamica_R!$A$5,
"[Calendario].[AñoMes]",
"[Calendario].[AñoMes].&amp;[" &amp; TEXT(Z$6,"yyyymm")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A72" s="8">
        <f>IFERROR(
GETPIVOTDATA(
"[Base].[Importe]",
TDinamica_R!$A$5,
"[Calendario].[AñoMes]",
"[Calendario].[AñoMes].&amp;[" &amp; TEXT(AA$6,"yyyymm")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B72" s="8">
        <f>IFERROR(
GETPIVOTDATA(
"[Base].[Importe]",
TDinamica_R!$A$5,
"[Calendario].[AñoMes]",
"[Calendario].[AñoMes].&amp;[" &amp; TEXT(AB$6,"yyyymm")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C72" s="8">
        <f>IFERROR(
GETPIVOTDATA(
"[Base].[Importe]",
TDinamica_R!$A$5,
"[Calendario].[AñoMes]",
"[Calendario].[AñoMes].&amp;[" &amp; TEXT(AC$6,"yyyymm")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D72" s="8">
        <f>IFERROR(
GETPIVOTDATA(
"[Base].[Importe]",
TDinamica_R!$A$5,
"[Calendario].[AñoMes]",
"[Calendario].[AñoMes].&amp;[" &amp; TEXT(AD$6,"yyyymm")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E72" s="8">
        <f>IFERROR(
GETPIVOTDATA(
"[Base].[Importe]",
TDinamica_R!$A$5,
"[Calendario].[AñoMes]",
"[Calendario].[AñoMes].&amp;[" &amp; TEXT(AE$6,"yyyymm")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F72" s="8">
        <f>IFERROR(
GETPIVOTDATA(
"[Base].[Importe]",
TDinamica_R!$A$5,
"[Calendario].[AñoMes]",
"[Calendario].[AñoMes].&amp;[" &amp; TEXT(AF$6,"yyyymm")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G72" s="8">
        <f>IFERROR(
GETPIVOTDATA(
"[Base].[Importe]",
TDinamica_R!$A$5,
"[Calendario].[AñoMes]",
"[Calendario].[AñoMes].&amp;[" &amp; TEXT(AG$6,"yyyymm")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H72" s="8">
        <f>IFERROR(
GETPIVOTDATA(
"[Base].[Importe]",
TDinamica_R!$A$5,
"[Calendario].[AñoMes]",
"[Calendario].[AñoMes].&amp;[" &amp; TEXT(AH$6,"yyyymm")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I72" s="8">
        <f>IFERROR(
GETPIVOTDATA(
"[Base].[Importe]",
TDinamica_R!$A$5,
"[Calendario].[AñoMes]",
"[Calendario].[AñoMes].&amp;[" &amp; TEXT(AI$6,"yyyymm")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J72" s="8">
        <f>IFERROR(
GETPIVOTDATA(
"[Base].[Importe]",
TDinamica_R!$A$5,
"[Calendario].[AñoMes]",
"[Calendario].[AñoMes].&amp;[" &amp; TEXT(AJ$6,"yyyymm")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K72" s="8">
        <f>IFERROR(
GETPIVOTDATA(
"[Base].[Importe]",
TDinamica_R!$A$5,
"[Calendario].[AñoMes]",
"[Calendario].[AñoMes].&amp;[" &amp; TEXT(AK$6,"yyyymm")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L72" s="8">
        <f>IFERROR(
GETPIVOTDATA(
"[Base].[Importe]",
TDinamica_R!$A$5,
"[Calendario].[AñoMes]",
"[Calendario].[AñoMes].&amp;[" &amp; TEXT(AL$6,"yyyymm")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M72" s="8">
        <f>IFERROR(
GETPIVOTDATA(
"[Base].[Importe]",
TDinamica_R!$A$5,
"[Calendario].[AñoMes]",
"[Calendario].[AñoMes].&amp;[" &amp; TEXT(AM$6,"yyyymm")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N72" s="8">
        <f>IFERROR(
GETPIVOTDATA(
"[Base].[Importe]",
TDinamica_R!$A$5,
"[Calendario].[AñoMes]",
"[Calendario].[AñoMes].&amp;[" &amp; TEXT(AN$6,"yyyymm")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O72" s="8">
        <f>IFERROR(
GETPIVOTDATA(
"[Base].[Importe]",
TDinamica_R!$A$5,
"[Calendario].[AñoMes]",
"[Calendario].[AñoMes].&amp;[" &amp; TEXT(AO$6,"yyyymm")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P72" s="8">
        <f>IFERROR(
GETPIVOTDATA(
"[Base].[Importe]",
TDinamica_R!$A$5,
"[Calendario].[AñoMes]",
"[Calendario].[AñoMes].&amp;[" &amp; TEXT(AP$6,"yyyymm")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Q72" s="8">
        <f>IFERROR(
GETPIVOTDATA(
"[Base].[Importe]",
TDinamica_R!$A$5,
"[Calendario].[AñoMes]",
"[Calendario].[AñoMes].&amp;[" &amp; TEXT(AQ$6,"yyyymm")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R72" s="8">
        <f>IFERROR(
GETPIVOTDATA(
"[Base].[Importe]",
TDinamica_R!$A$5,
"[Calendario].[AñoMes]",
"[Calendario].[AñoMes].&amp;[" &amp; TEXT(AR$6,"yyyymm")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S72" s="8">
        <f>IFERROR(
GETPIVOTDATA(
"[Base].[Importe]",
TDinamica_R!$A$5,
"[Calendario].[AñoMes]",
"[Calendario].[AñoMes].&amp;[" &amp; TEXT(AS$6,"yyyymm")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T72" s="8">
        <f>IFERROR(
GETPIVOTDATA(
"[Base].[Importe]",
TDinamica_R!$A$5,
"[Calendario].[AñoMes]",
"[Calendario].[AñoMes].&amp;[" &amp; TEXT(AT$6,"yyyymm")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U72" s="8">
        <f>IFERROR(
GETPIVOTDATA(
"[Base].[Importe]",
TDinamica_R!$A$5,
"[Calendario].[AñoMes]",
"[Calendario].[AñoMes].&amp;[" &amp; TEXT(AU$6,"yyyymm")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V72" s="8">
        <f>IFERROR(
GETPIVOTDATA(
"[Base].[Importe]",
TDinamica_R!$A$5,
"[Calendario].[AñoMes]",
"[Calendario].[AñoMes].&amp;[" &amp; TEXT(AV$6,"yyyymm")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W72" s="8">
        <f>IFERROR(
GETPIVOTDATA(
"[Base].[Importe]",
TDinamica_R!$A$5,
"[Calendario].[AñoMes]",
"[Calendario].[AñoMes].&amp;[" &amp; TEXT(AW$6,"yyyymm")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X72" s="8">
        <f>IFERROR(
GETPIVOTDATA(
"[Base].[Importe]",
TDinamica_R!$A$5,
"[Calendario].[AñoMes]",
"[Calendario].[AñoMes].&amp;[" &amp; TEXT(AX$6,"yyyymm")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Y72" s="8">
        <f>IFERROR(
GETPIVOTDATA(
"[Base].[Importe]",
TDinamica_R!$A$5,
"[Calendario].[AñoMes]",
"[Calendario].[AñoMes].&amp;[" &amp; TEXT(AY$6,"yyyymm")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Z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TEXT(AZ$6,"yyyymm") &amp; "]"
),
0
)</f>
        <v>0</v>
      </c>
      <c r="BA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TEXT(BA$6,"yyyymm") &amp; "]"
),
0
)</f>
        <v>0</v>
      </c>
      <c r="BB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TEXT(BB$6,"yyyymm") &amp; "]"
),
0
)</f>
        <v>0</v>
      </c>
      <c r="BC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TEXT(BC$6,"yyyymm") &amp; "]"
),
0
)</f>
        <v>0</v>
      </c>
      <c r="BD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TEXT(BD$6,"yyyymm") &amp; "]"
),
0
)</f>
        <v>0</v>
      </c>
      <c r="BE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TEXT(BE$6,"yyyymm") &amp; "]"
),
0
)</f>
        <v>0</v>
      </c>
      <c r="BF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TEXT(BF$6,"yyyymm") &amp; "]"
),
0
)</f>
        <v>0</v>
      </c>
      <c r="BG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TEXT(BG$6,"yyyymm") &amp; "]"
),
0
)</f>
        <v>0</v>
      </c>
      <c r="BH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TEXT(BH$6,"yyyymm") &amp; "]"
),
0
)</f>
        <v>0</v>
      </c>
      <c r="BI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TEXT(BI$6,"yyyymm") &amp; "]"
),
0
)</f>
        <v>0</v>
      </c>
      <c r="BJ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TEXT(BJ$6,"yyyymm") &amp; "]"
),
0
)</f>
        <v>0</v>
      </c>
      <c r="BK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TEXT(BK$6,"yyyymm") &amp; "]"
),
0
)</f>
        <v>0</v>
      </c>
      <c r="BO72" s="24">
        <f t="shared" si="169"/>
        <v>0</v>
      </c>
      <c r="BP72" s="24">
        <f t="shared" si="169"/>
        <v>0</v>
      </c>
      <c r="BQ72" s="24">
        <f t="shared" si="169"/>
        <v>0</v>
      </c>
      <c r="BR72" s="24">
        <f t="shared" si="169"/>
        <v>0</v>
      </c>
      <c r="BS72" s="24">
        <f t="shared" si="169"/>
        <v>0</v>
      </c>
      <c r="BT72" s="24">
        <f t="shared" si="169"/>
        <v>0</v>
      </c>
    </row>
    <row r="73" spans="1:72" hidden="1" outlineLevel="1" x14ac:dyDescent="0.25">
      <c r="A73" s="11" t="s">
        <v>71</v>
      </c>
      <c r="C73" s="2"/>
      <c r="D73" s="8">
        <f>IFERROR(
GETPIVOTDATA(
"[Base].[Importe]",
TDinamica_R!$A$5,
"[Calendario].[AñoMes]",
"[Calendario].[AñoMes].&amp;[" &amp; TEXT(D$6,"yyyymm")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E73" s="8">
        <f>IFERROR(
GETPIVOTDATA(
"[Base].[Importe]",
TDinamica_R!$A$5,
"[Calendario].[AñoMes]",
"[Calendario].[AñoMes].&amp;[" &amp; TEXT(E$6,"yyyymm")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F73" s="8">
        <f>IFERROR(
GETPIVOTDATA(
"[Base].[Importe]",
TDinamica_R!$A$5,
"[Calendario].[AñoMes]",
"[Calendario].[AñoMes].&amp;[" &amp; TEXT(F$6,"yyyymm")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G73" s="8">
        <f>IFERROR(
GETPIVOTDATA(
"[Base].[Importe]",
TDinamica_R!$A$5,
"[Calendario].[AñoMes]",
"[Calendario].[AñoMes].&amp;[" &amp; TEXT(G$6,"yyyymm")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H73" s="8">
        <f>IFERROR(
GETPIVOTDATA(
"[Base].[Importe]",
TDinamica_R!$A$5,
"[Calendario].[AñoMes]",
"[Calendario].[AñoMes].&amp;[" &amp; TEXT(H$6,"yyyymm")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I73" s="8">
        <f>IFERROR(
GETPIVOTDATA(
"[Base].[Importe]",
TDinamica_R!$A$5,
"[Calendario].[AñoMes]",
"[Calendario].[AñoMes].&amp;[" &amp; TEXT(I$6,"yyyymm")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J73" s="8">
        <f>IFERROR(
GETPIVOTDATA(
"[Base].[Importe]",
TDinamica_R!$A$5,
"[Calendario].[AñoMes]",
"[Calendario].[AñoMes].&amp;[" &amp; TEXT(J$6,"yyyymm")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K73" s="8">
        <f>IFERROR(
GETPIVOTDATA(
"[Base].[Importe]",
TDinamica_R!$A$5,
"[Calendario].[AñoMes]",
"[Calendario].[AñoMes].&amp;[" &amp; TEXT(K$6,"yyyymm")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L73" s="8">
        <f>IFERROR(
GETPIVOTDATA(
"[Base].[Importe]",
TDinamica_R!$A$5,
"[Calendario].[AñoMes]",
"[Calendario].[AñoMes].&amp;[" &amp; TEXT(L$6,"yyyymm")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M73" s="8">
        <f>IFERROR(
GETPIVOTDATA(
"[Base].[Importe]",
TDinamica_R!$A$5,
"[Calendario].[AñoMes]",
"[Calendario].[AñoMes].&amp;[" &amp; TEXT(M$6,"yyyymm")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N73" s="8">
        <f>IFERROR(
GETPIVOTDATA(
"[Base].[Importe]",
TDinamica_R!$A$5,
"[Calendario].[AñoMes]",
"[Calendario].[AñoMes].&amp;[" &amp; TEXT(N$6,"yyyymm")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O73" s="8">
        <f>IFERROR(
GETPIVOTDATA(
"[Base].[Importe]",
TDinamica_R!$A$5,
"[Calendario].[AñoMes]",
"[Calendario].[AñoMes].&amp;[" &amp; TEXT(O$6,"yyyymm")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P73" s="8">
        <f>IFERROR(
GETPIVOTDATA(
"[Base].[Importe]",
TDinamica_R!$A$5,
"[Calendario].[AñoMes]",
"[Calendario].[AñoMes].&amp;[" &amp; TEXT(P$6,"yyyymm")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Q73" s="8">
        <f>IFERROR(
GETPIVOTDATA(
"[Base].[Importe]",
TDinamica_R!$A$5,
"[Calendario].[AñoMes]",
"[Calendario].[AñoMes].&amp;[" &amp; TEXT(Q$6,"yyyymm")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R73" s="8">
        <f>IFERROR(
GETPIVOTDATA(
"[Base].[Importe]",
TDinamica_R!$A$5,
"[Calendario].[AñoMes]",
"[Calendario].[AñoMes].&amp;[" &amp; TEXT(R$6,"yyyymm")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S73" s="8">
        <f>IFERROR(
GETPIVOTDATA(
"[Base].[Importe]",
TDinamica_R!$A$5,
"[Calendario].[AñoMes]",
"[Calendario].[AñoMes].&amp;[" &amp; TEXT(S$6,"yyyymm")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T73" s="8">
        <f>IFERROR(
GETPIVOTDATA(
"[Base].[Importe]",
TDinamica_R!$A$5,
"[Calendario].[AñoMes]",
"[Calendario].[AñoMes].&amp;[" &amp; TEXT(T$6,"yyyymm")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U73" s="8">
        <f>IFERROR(
GETPIVOTDATA(
"[Base].[Importe]",
TDinamica_R!$A$5,
"[Calendario].[AñoMes]",
"[Calendario].[AñoMes].&amp;[" &amp; TEXT(U$6,"yyyymm")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V73" s="8">
        <f>IFERROR(
GETPIVOTDATA(
"[Base].[Importe]",
TDinamica_R!$A$5,
"[Calendario].[AñoMes]",
"[Calendario].[AñoMes].&amp;[" &amp; TEXT(V$6,"yyyymm")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W73" s="8">
        <f>IFERROR(
GETPIVOTDATA(
"[Base].[Importe]",
TDinamica_R!$A$5,
"[Calendario].[AñoMes]",
"[Calendario].[AñoMes].&amp;[" &amp; TEXT(W$6,"yyyymm")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X73" s="8">
        <f>IFERROR(
GETPIVOTDATA(
"[Base].[Importe]",
TDinamica_R!$A$5,
"[Calendario].[AñoMes]",
"[Calendario].[AñoMes].&amp;[" &amp; TEXT(X$6,"yyyymm")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Y73" s="8">
        <f>IFERROR(
GETPIVOTDATA(
"[Base].[Importe]",
TDinamica_R!$A$5,
"[Calendario].[AñoMes]",
"[Calendario].[AñoMes].&amp;[" &amp; TEXT(Y$6,"yyyymm")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Z73" s="8">
        <f>IFERROR(
GETPIVOTDATA(
"[Base].[Importe]",
TDinamica_R!$A$5,
"[Calendario].[AñoMes]",
"[Calendario].[AñoMes].&amp;[" &amp; TEXT(Z$6,"yyyymm")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A73" s="8">
        <f>IFERROR(
GETPIVOTDATA(
"[Base].[Importe]",
TDinamica_R!$A$5,
"[Calendario].[AñoMes]",
"[Calendario].[AñoMes].&amp;[" &amp; TEXT(AA$6,"yyyymm")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B73" s="8">
        <f>IFERROR(
GETPIVOTDATA(
"[Base].[Importe]",
TDinamica_R!$A$5,
"[Calendario].[AñoMes]",
"[Calendario].[AñoMes].&amp;[" &amp; TEXT(AB$6,"yyyymm")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C73" s="8">
        <f>IFERROR(
GETPIVOTDATA(
"[Base].[Importe]",
TDinamica_R!$A$5,
"[Calendario].[AñoMes]",
"[Calendario].[AñoMes].&amp;[" &amp; TEXT(AC$6,"yyyymm")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D73" s="8">
        <f>IFERROR(
GETPIVOTDATA(
"[Base].[Importe]",
TDinamica_R!$A$5,
"[Calendario].[AñoMes]",
"[Calendario].[AñoMes].&amp;[" &amp; TEXT(AD$6,"yyyymm")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E73" s="8">
        <f>IFERROR(
GETPIVOTDATA(
"[Base].[Importe]",
TDinamica_R!$A$5,
"[Calendario].[AñoMes]",
"[Calendario].[AñoMes].&amp;[" &amp; TEXT(AE$6,"yyyymm")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F73" s="8">
        <f>IFERROR(
GETPIVOTDATA(
"[Base].[Importe]",
TDinamica_R!$A$5,
"[Calendario].[AñoMes]",
"[Calendario].[AñoMes].&amp;[" &amp; TEXT(AF$6,"yyyymm")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G73" s="8">
        <f>IFERROR(
GETPIVOTDATA(
"[Base].[Importe]",
TDinamica_R!$A$5,
"[Calendario].[AñoMes]",
"[Calendario].[AñoMes].&amp;[" &amp; TEXT(AG$6,"yyyymm")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H73" s="8">
        <f>IFERROR(
GETPIVOTDATA(
"[Base].[Importe]",
TDinamica_R!$A$5,
"[Calendario].[AñoMes]",
"[Calendario].[AñoMes].&amp;[" &amp; TEXT(AH$6,"yyyymm")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I73" s="8">
        <f>IFERROR(
GETPIVOTDATA(
"[Base].[Importe]",
TDinamica_R!$A$5,
"[Calendario].[AñoMes]",
"[Calendario].[AñoMes].&amp;[" &amp; TEXT(AI$6,"yyyymm")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J73" s="8">
        <f>IFERROR(
GETPIVOTDATA(
"[Base].[Importe]",
TDinamica_R!$A$5,
"[Calendario].[AñoMes]",
"[Calendario].[AñoMes].&amp;[" &amp; TEXT(AJ$6,"yyyymm")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K73" s="8">
        <f>IFERROR(
GETPIVOTDATA(
"[Base].[Importe]",
TDinamica_R!$A$5,
"[Calendario].[AñoMes]",
"[Calendario].[AñoMes].&amp;[" &amp; TEXT(AK$6,"yyyymm")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L73" s="8">
        <f>IFERROR(
GETPIVOTDATA(
"[Base].[Importe]",
TDinamica_R!$A$5,
"[Calendario].[AñoMes]",
"[Calendario].[AñoMes].&amp;[" &amp; TEXT(AL$6,"yyyymm")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M73" s="8">
        <f>IFERROR(
GETPIVOTDATA(
"[Base].[Importe]",
TDinamica_R!$A$5,
"[Calendario].[AñoMes]",
"[Calendario].[AñoMes].&amp;[" &amp; TEXT(AM$6,"yyyymm")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N73" s="8">
        <f>IFERROR(
GETPIVOTDATA(
"[Base].[Importe]",
TDinamica_R!$A$5,
"[Calendario].[AñoMes]",
"[Calendario].[AñoMes].&amp;[" &amp; TEXT(AN$6,"yyyymm")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O73" s="8">
        <f>IFERROR(
GETPIVOTDATA(
"[Base].[Importe]",
TDinamica_R!$A$5,
"[Calendario].[AñoMes]",
"[Calendario].[AñoMes].&amp;[" &amp; TEXT(AO$6,"yyyymm")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P73" s="8">
        <f>IFERROR(
GETPIVOTDATA(
"[Base].[Importe]",
TDinamica_R!$A$5,
"[Calendario].[AñoMes]",
"[Calendario].[AñoMes].&amp;[" &amp; TEXT(AP$6,"yyyymm")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Q73" s="8">
        <f>IFERROR(
GETPIVOTDATA(
"[Base].[Importe]",
TDinamica_R!$A$5,
"[Calendario].[AñoMes]",
"[Calendario].[AñoMes].&amp;[" &amp; TEXT(AQ$6,"yyyymm")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R73" s="8">
        <f>IFERROR(
GETPIVOTDATA(
"[Base].[Importe]",
TDinamica_R!$A$5,
"[Calendario].[AñoMes]",
"[Calendario].[AñoMes].&amp;[" &amp; TEXT(AR$6,"yyyymm")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S73" s="8">
        <f>IFERROR(
GETPIVOTDATA(
"[Base].[Importe]",
TDinamica_R!$A$5,
"[Calendario].[AñoMes]",
"[Calendario].[AñoMes].&amp;[" &amp; TEXT(AS$6,"yyyymm")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T73" s="8">
        <f>IFERROR(
GETPIVOTDATA(
"[Base].[Importe]",
TDinamica_R!$A$5,
"[Calendario].[AñoMes]",
"[Calendario].[AñoMes].&amp;[" &amp; TEXT(AT$6,"yyyymm")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U73" s="8">
        <f>IFERROR(
GETPIVOTDATA(
"[Base].[Importe]",
TDinamica_R!$A$5,
"[Calendario].[AñoMes]",
"[Calendario].[AñoMes].&amp;[" &amp; TEXT(AU$6,"yyyymm")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V73" s="8">
        <f>IFERROR(
GETPIVOTDATA(
"[Base].[Importe]",
TDinamica_R!$A$5,
"[Calendario].[AñoMes]",
"[Calendario].[AñoMes].&amp;[" &amp; TEXT(AV$6,"yyyymm")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W73" s="8">
        <f>IFERROR(
GETPIVOTDATA(
"[Base].[Importe]",
TDinamica_R!$A$5,
"[Calendario].[AñoMes]",
"[Calendario].[AñoMes].&amp;[" &amp; TEXT(AW$6,"yyyymm")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X73" s="8">
        <f>IFERROR(
GETPIVOTDATA(
"[Base].[Importe]",
TDinamica_R!$A$5,
"[Calendario].[AñoMes]",
"[Calendario].[AñoMes].&amp;[" &amp; TEXT(AX$6,"yyyymm")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Y73" s="8">
        <f>IFERROR(
GETPIVOTDATA(
"[Base].[Importe]",
TDinamica_R!$A$5,
"[Calendario].[AñoMes]",
"[Calendario].[AñoMes].&amp;[" &amp; TEXT(AY$6,"yyyymm")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Z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TEXT(AZ$6,"yyyymm") &amp; "]"
),
0
)</f>
        <v>0</v>
      </c>
      <c r="BA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TEXT(BA$6,"yyyymm") &amp; "]"
),
0
)</f>
        <v>0</v>
      </c>
      <c r="BB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TEXT(BB$6,"yyyymm") &amp; "]"
),
0
)</f>
        <v>0</v>
      </c>
      <c r="BC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TEXT(BC$6,"yyyymm") &amp; "]"
),
0
)</f>
        <v>0</v>
      </c>
      <c r="BD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TEXT(BD$6,"yyyymm") &amp; "]"
),
0
)</f>
        <v>0</v>
      </c>
      <c r="BE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TEXT(BE$6,"yyyymm") &amp; "]"
),
0
)</f>
        <v>0</v>
      </c>
      <c r="BF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TEXT(BF$6,"yyyymm") &amp; "]"
),
0
)</f>
        <v>0</v>
      </c>
      <c r="BG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TEXT(BG$6,"yyyymm") &amp; "]"
),
0
)</f>
        <v>0</v>
      </c>
      <c r="BH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TEXT(BH$6,"yyyymm") &amp; "]"
),
0
)</f>
        <v>0</v>
      </c>
      <c r="BI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TEXT(BI$6,"yyyymm") &amp; "]"
),
0
)</f>
        <v>0</v>
      </c>
      <c r="BJ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TEXT(BJ$6,"yyyymm") &amp; "]"
),
0
)</f>
        <v>0</v>
      </c>
      <c r="BK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TEXT(BK$6,"yyyymm") &amp; "]"
),
0
)</f>
        <v>0</v>
      </c>
      <c r="BO73" s="24">
        <f t="shared" ref="BO73:BT82" si="170">SUMIFS($D73:$BM73,$D$6:$BM$6,"&gt;="&amp;BO$2,$D$6:$BM$6,"&lt;="&amp;BO$6,$D$5:$BM$5,BO$5)</f>
        <v>0</v>
      </c>
      <c r="BP73" s="24">
        <f t="shared" si="170"/>
        <v>0</v>
      </c>
      <c r="BQ73" s="24">
        <f t="shared" si="170"/>
        <v>0</v>
      </c>
      <c r="BR73" s="24">
        <f t="shared" si="170"/>
        <v>0</v>
      </c>
      <c r="BS73" s="24">
        <f t="shared" si="170"/>
        <v>0</v>
      </c>
      <c r="BT73" s="24">
        <f t="shared" si="170"/>
        <v>0</v>
      </c>
    </row>
    <row r="74" spans="1:72" hidden="1" outlineLevel="1" x14ac:dyDescent="0.25">
      <c r="A74" s="11" t="s">
        <v>71</v>
      </c>
      <c r="C74" s="2"/>
      <c r="D74" s="8">
        <f>IFERROR(
GETPIVOTDATA(
"[Base].[Importe]",
TDinamica_R!$A$5,
"[Calendario].[AñoMes]",
"[Calendario].[AñoMes].&amp;[" &amp; TEXT(D$6,"yyyymm")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E74" s="8">
        <f>IFERROR(
GETPIVOTDATA(
"[Base].[Importe]",
TDinamica_R!$A$5,
"[Calendario].[AñoMes]",
"[Calendario].[AñoMes].&amp;[" &amp; TEXT(E$6,"yyyymm")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F74" s="8">
        <f>IFERROR(
GETPIVOTDATA(
"[Base].[Importe]",
TDinamica_R!$A$5,
"[Calendario].[AñoMes]",
"[Calendario].[AñoMes].&amp;[" &amp; TEXT(F$6,"yyyymm")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G74" s="8">
        <f>IFERROR(
GETPIVOTDATA(
"[Base].[Importe]",
TDinamica_R!$A$5,
"[Calendario].[AñoMes]",
"[Calendario].[AñoMes].&amp;[" &amp; TEXT(G$6,"yyyymm")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H74" s="8">
        <f>IFERROR(
GETPIVOTDATA(
"[Base].[Importe]",
TDinamica_R!$A$5,
"[Calendario].[AñoMes]",
"[Calendario].[AñoMes].&amp;[" &amp; TEXT(H$6,"yyyymm")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I74" s="8">
        <f>IFERROR(
GETPIVOTDATA(
"[Base].[Importe]",
TDinamica_R!$A$5,
"[Calendario].[AñoMes]",
"[Calendario].[AñoMes].&amp;[" &amp; TEXT(I$6,"yyyymm")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J74" s="8">
        <f>IFERROR(
GETPIVOTDATA(
"[Base].[Importe]",
TDinamica_R!$A$5,
"[Calendario].[AñoMes]",
"[Calendario].[AñoMes].&amp;[" &amp; TEXT(J$6,"yyyymm")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K74" s="8">
        <f>IFERROR(
GETPIVOTDATA(
"[Base].[Importe]",
TDinamica_R!$A$5,
"[Calendario].[AñoMes]",
"[Calendario].[AñoMes].&amp;[" &amp; TEXT(K$6,"yyyymm")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L74" s="8">
        <f>IFERROR(
GETPIVOTDATA(
"[Base].[Importe]",
TDinamica_R!$A$5,
"[Calendario].[AñoMes]",
"[Calendario].[AñoMes].&amp;[" &amp; TEXT(L$6,"yyyymm")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M74" s="8">
        <f>IFERROR(
GETPIVOTDATA(
"[Base].[Importe]",
TDinamica_R!$A$5,
"[Calendario].[AñoMes]",
"[Calendario].[AñoMes].&amp;[" &amp; TEXT(M$6,"yyyymm")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N74" s="8">
        <f>IFERROR(
GETPIVOTDATA(
"[Base].[Importe]",
TDinamica_R!$A$5,
"[Calendario].[AñoMes]",
"[Calendario].[AñoMes].&amp;[" &amp; TEXT(N$6,"yyyymm")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O74" s="8">
        <f>IFERROR(
GETPIVOTDATA(
"[Base].[Importe]",
TDinamica_R!$A$5,
"[Calendario].[AñoMes]",
"[Calendario].[AñoMes].&amp;[" &amp; TEXT(O$6,"yyyymm")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P74" s="8">
        <f>IFERROR(
GETPIVOTDATA(
"[Base].[Importe]",
TDinamica_R!$A$5,
"[Calendario].[AñoMes]",
"[Calendario].[AñoMes].&amp;[" &amp; TEXT(P$6,"yyyymm")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Q74" s="8">
        <f>IFERROR(
GETPIVOTDATA(
"[Base].[Importe]",
TDinamica_R!$A$5,
"[Calendario].[AñoMes]",
"[Calendario].[AñoMes].&amp;[" &amp; TEXT(Q$6,"yyyymm")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R74" s="8">
        <f>IFERROR(
GETPIVOTDATA(
"[Base].[Importe]",
TDinamica_R!$A$5,
"[Calendario].[AñoMes]",
"[Calendario].[AñoMes].&amp;[" &amp; TEXT(R$6,"yyyymm")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S74" s="8">
        <f>IFERROR(
GETPIVOTDATA(
"[Base].[Importe]",
TDinamica_R!$A$5,
"[Calendario].[AñoMes]",
"[Calendario].[AñoMes].&amp;[" &amp; TEXT(S$6,"yyyymm")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T74" s="8">
        <f>IFERROR(
GETPIVOTDATA(
"[Base].[Importe]",
TDinamica_R!$A$5,
"[Calendario].[AñoMes]",
"[Calendario].[AñoMes].&amp;[" &amp; TEXT(T$6,"yyyymm")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U74" s="8">
        <f>IFERROR(
GETPIVOTDATA(
"[Base].[Importe]",
TDinamica_R!$A$5,
"[Calendario].[AñoMes]",
"[Calendario].[AñoMes].&amp;[" &amp; TEXT(U$6,"yyyymm")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V74" s="8">
        <f>IFERROR(
GETPIVOTDATA(
"[Base].[Importe]",
TDinamica_R!$A$5,
"[Calendario].[AñoMes]",
"[Calendario].[AñoMes].&amp;[" &amp; TEXT(V$6,"yyyymm")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W74" s="8">
        <f>IFERROR(
GETPIVOTDATA(
"[Base].[Importe]",
TDinamica_R!$A$5,
"[Calendario].[AñoMes]",
"[Calendario].[AñoMes].&amp;[" &amp; TEXT(W$6,"yyyymm")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X74" s="8">
        <f>IFERROR(
GETPIVOTDATA(
"[Base].[Importe]",
TDinamica_R!$A$5,
"[Calendario].[AñoMes]",
"[Calendario].[AñoMes].&amp;[" &amp; TEXT(X$6,"yyyymm")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Y74" s="8">
        <f>IFERROR(
GETPIVOTDATA(
"[Base].[Importe]",
TDinamica_R!$A$5,
"[Calendario].[AñoMes]",
"[Calendario].[AñoMes].&amp;[" &amp; TEXT(Y$6,"yyyymm")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Z74" s="8">
        <f>IFERROR(
GETPIVOTDATA(
"[Base].[Importe]",
TDinamica_R!$A$5,
"[Calendario].[AñoMes]",
"[Calendario].[AñoMes].&amp;[" &amp; TEXT(Z$6,"yyyymm")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A74" s="8">
        <f>IFERROR(
GETPIVOTDATA(
"[Base].[Importe]",
TDinamica_R!$A$5,
"[Calendario].[AñoMes]",
"[Calendario].[AñoMes].&amp;[" &amp; TEXT(AA$6,"yyyymm")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B74" s="8">
        <f>IFERROR(
GETPIVOTDATA(
"[Base].[Importe]",
TDinamica_R!$A$5,
"[Calendario].[AñoMes]",
"[Calendario].[AñoMes].&amp;[" &amp; TEXT(AB$6,"yyyymm")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C74" s="8">
        <f>IFERROR(
GETPIVOTDATA(
"[Base].[Importe]",
TDinamica_R!$A$5,
"[Calendario].[AñoMes]",
"[Calendario].[AñoMes].&amp;[" &amp; TEXT(AC$6,"yyyymm")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D74" s="8">
        <f>IFERROR(
GETPIVOTDATA(
"[Base].[Importe]",
TDinamica_R!$A$5,
"[Calendario].[AñoMes]",
"[Calendario].[AñoMes].&amp;[" &amp; TEXT(AD$6,"yyyymm")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E74" s="8">
        <f>IFERROR(
GETPIVOTDATA(
"[Base].[Importe]",
TDinamica_R!$A$5,
"[Calendario].[AñoMes]",
"[Calendario].[AñoMes].&amp;[" &amp; TEXT(AE$6,"yyyymm")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F74" s="8">
        <f>IFERROR(
GETPIVOTDATA(
"[Base].[Importe]",
TDinamica_R!$A$5,
"[Calendario].[AñoMes]",
"[Calendario].[AñoMes].&amp;[" &amp; TEXT(AF$6,"yyyymm")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G74" s="8">
        <f>IFERROR(
GETPIVOTDATA(
"[Base].[Importe]",
TDinamica_R!$A$5,
"[Calendario].[AñoMes]",
"[Calendario].[AñoMes].&amp;[" &amp; TEXT(AG$6,"yyyymm")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H74" s="8">
        <f>IFERROR(
GETPIVOTDATA(
"[Base].[Importe]",
TDinamica_R!$A$5,
"[Calendario].[AñoMes]",
"[Calendario].[AñoMes].&amp;[" &amp; TEXT(AH$6,"yyyymm")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I74" s="8">
        <f>IFERROR(
GETPIVOTDATA(
"[Base].[Importe]",
TDinamica_R!$A$5,
"[Calendario].[AñoMes]",
"[Calendario].[AñoMes].&amp;[" &amp; TEXT(AI$6,"yyyymm")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J74" s="8">
        <f>IFERROR(
GETPIVOTDATA(
"[Base].[Importe]",
TDinamica_R!$A$5,
"[Calendario].[AñoMes]",
"[Calendario].[AñoMes].&amp;[" &amp; TEXT(AJ$6,"yyyymm")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K74" s="8">
        <f>IFERROR(
GETPIVOTDATA(
"[Base].[Importe]",
TDinamica_R!$A$5,
"[Calendario].[AñoMes]",
"[Calendario].[AñoMes].&amp;[" &amp; TEXT(AK$6,"yyyymm")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L74" s="8">
        <f>IFERROR(
GETPIVOTDATA(
"[Base].[Importe]",
TDinamica_R!$A$5,
"[Calendario].[AñoMes]",
"[Calendario].[AñoMes].&amp;[" &amp; TEXT(AL$6,"yyyymm")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M74" s="8">
        <f>IFERROR(
GETPIVOTDATA(
"[Base].[Importe]",
TDinamica_R!$A$5,
"[Calendario].[AñoMes]",
"[Calendario].[AñoMes].&amp;[" &amp; TEXT(AM$6,"yyyymm")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N74" s="8">
        <f>IFERROR(
GETPIVOTDATA(
"[Base].[Importe]",
TDinamica_R!$A$5,
"[Calendario].[AñoMes]",
"[Calendario].[AñoMes].&amp;[" &amp; TEXT(AN$6,"yyyymm")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O74" s="8">
        <f>IFERROR(
GETPIVOTDATA(
"[Base].[Importe]",
TDinamica_R!$A$5,
"[Calendario].[AñoMes]",
"[Calendario].[AñoMes].&amp;[" &amp; TEXT(AO$6,"yyyymm")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P74" s="8">
        <f>IFERROR(
GETPIVOTDATA(
"[Base].[Importe]",
TDinamica_R!$A$5,
"[Calendario].[AñoMes]",
"[Calendario].[AñoMes].&amp;[" &amp; TEXT(AP$6,"yyyymm")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Q74" s="8">
        <f>IFERROR(
GETPIVOTDATA(
"[Base].[Importe]",
TDinamica_R!$A$5,
"[Calendario].[AñoMes]",
"[Calendario].[AñoMes].&amp;[" &amp; TEXT(AQ$6,"yyyymm")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R74" s="8">
        <f>IFERROR(
GETPIVOTDATA(
"[Base].[Importe]",
TDinamica_R!$A$5,
"[Calendario].[AñoMes]",
"[Calendario].[AñoMes].&amp;[" &amp; TEXT(AR$6,"yyyymm")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S74" s="8">
        <f>IFERROR(
GETPIVOTDATA(
"[Base].[Importe]",
TDinamica_R!$A$5,
"[Calendario].[AñoMes]",
"[Calendario].[AñoMes].&amp;[" &amp; TEXT(AS$6,"yyyymm")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T74" s="8">
        <f>IFERROR(
GETPIVOTDATA(
"[Base].[Importe]",
TDinamica_R!$A$5,
"[Calendario].[AñoMes]",
"[Calendario].[AñoMes].&amp;[" &amp; TEXT(AT$6,"yyyymm")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U74" s="8">
        <f>IFERROR(
GETPIVOTDATA(
"[Base].[Importe]",
TDinamica_R!$A$5,
"[Calendario].[AñoMes]",
"[Calendario].[AñoMes].&amp;[" &amp; TEXT(AU$6,"yyyymm")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V74" s="8">
        <f>IFERROR(
GETPIVOTDATA(
"[Base].[Importe]",
TDinamica_R!$A$5,
"[Calendario].[AñoMes]",
"[Calendario].[AñoMes].&amp;[" &amp; TEXT(AV$6,"yyyymm")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W74" s="8">
        <f>IFERROR(
GETPIVOTDATA(
"[Base].[Importe]",
TDinamica_R!$A$5,
"[Calendario].[AñoMes]",
"[Calendario].[AñoMes].&amp;[" &amp; TEXT(AW$6,"yyyymm")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X74" s="8">
        <f>IFERROR(
GETPIVOTDATA(
"[Base].[Importe]",
TDinamica_R!$A$5,
"[Calendario].[AñoMes]",
"[Calendario].[AñoMes].&amp;[" &amp; TEXT(AX$6,"yyyymm")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Y74" s="8">
        <f>IFERROR(
GETPIVOTDATA(
"[Base].[Importe]",
TDinamica_R!$A$5,
"[Calendario].[AñoMes]",
"[Calendario].[AñoMes].&amp;[" &amp; TEXT(AY$6,"yyyymm")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Z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TEXT(AZ$6,"yyyymm") &amp; "]"
),
0
)</f>
        <v>0</v>
      </c>
      <c r="BA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TEXT(BA$6,"yyyymm") &amp; "]"
),
0
)</f>
        <v>0</v>
      </c>
      <c r="BB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TEXT(BB$6,"yyyymm") &amp; "]"
),
0
)</f>
        <v>0</v>
      </c>
      <c r="BC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TEXT(BC$6,"yyyymm") &amp; "]"
),
0
)</f>
        <v>0</v>
      </c>
      <c r="BD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TEXT(BD$6,"yyyymm") &amp; "]"
),
0
)</f>
        <v>0</v>
      </c>
      <c r="BE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TEXT(BE$6,"yyyymm") &amp; "]"
),
0
)</f>
        <v>0</v>
      </c>
      <c r="BF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TEXT(BF$6,"yyyymm") &amp; "]"
),
0
)</f>
        <v>0</v>
      </c>
      <c r="BG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TEXT(BG$6,"yyyymm") &amp; "]"
),
0
)</f>
        <v>0</v>
      </c>
      <c r="BH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TEXT(BH$6,"yyyymm") &amp; "]"
),
0
)</f>
        <v>0</v>
      </c>
      <c r="BI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TEXT(BI$6,"yyyymm") &amp; "]"
),
0
)</f>
        <v>0</v>
      </c>
      <c r="BJ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TEXT(BJ$6,"yyyymm") &amp; "]"
),
0
)</f>
        <v>0</v>
      </c>
      <c r="BK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TEXT(BK$6,"yyyymm") &amp; "]"
),
0
)</f>
        <v>0</v>
      </c>
      <c r="BO74" s="24">
        <f t="shared" si="170"/>
        <v>0</v>
      </c>
      <c r="BP74" s="24">
        <f t="shared" si="170"/>
        <v>0</v>
      </c>
      <c r="BQ74" s="24">
        <f t="shared" si="170"/>
        <v>0</v>
      </c>
      <c r="BR74" s="24">
        <f t="shared" si="170"/>
        <v>0</v>
      </c>
      <c r="BS74" s="24">
        <f t="shared" si="170"/>
        <v>0</v>
      </c>
      <c r="BT74" s="24">
        <f t="shared" si="170"/>
        <v>0</v>
      </c>
    </row>
    <row r="75" spans="1:72" hidden="1" outlineLevel="1" x14ac:dyDescent="0.25">
      <c r="A75" s="11" t="s">
        <v>71</v>
      </c>
      <c r="C75" s="2"/>
      <c r="D75" s="8">
        <f>IFERROR(
GETPIVOTDATA(
"[Base].[Importe]",
TDinamica_R!$A$5,
"[Calendario].[AñoMes]",
"[Calendario].[AñoMes].&amp;[" &amp; TEXT(D$6,"yyyymm")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E75" s="8">
        <f>IFERROR(
GETPIVOTDATA(
"[Base].[Importe]",
TDinamica_R!$A$5,
"[Calendario].[AñoMes]",
"[Calendario].[AñoMes].&amp;[" &amp; TEXT(E$6,"yyyymm")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F75" s="8">
        <f>IFERROR(
GETPIVOTDATA(
"[Base].[Importe]",
TDinamica_R!$A$5,
"[Calendario].[AñoMes]",
"[Calendario].[AñoMes].&amp;[" &amp; TEXT(F$6,"yyyymm")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G75" s="8">
        <f>IFERROR(
GETPIVOTDATA(
"[Base].[Importe]",
TDinamica_R!$A$5,
"[Calendario].[AñoMes]",
"[Calendario].[AñoMes].&amp;[" &amp; TEXT(G$6,"yyyymm")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H75" s="8">
        <f>IFERROR(
GETPIVOTDATA(
"[Base].[Importe]",
TDinamica_R!$A$5,
"[Calendario].[AñoMes]",
"[Calendario].[AñoMes].&amp;[" &amp; TEXT(H$6,"yyyymm")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I75" s="8">
        <f>IFERROR(
GETPIVOTDATA(
"[Base].[Importe]",
TDinamica_R!$A$5,
"[Calendario].[AñoMes]",
"[Calendario].[AñoMes].&amp;[" &amp; TEXT(I$6,"yyyymm")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J75" s="8">
        <f>IFERROR(
GETPIVOTDATA(
"[Base].[Importe]",
TDinamica_R!$A$5,
"[Calendario].[AñoMes]",
"[Calendario].[AñoMes].&amp;[" &amp; TEXT(J$6,"yyyymm")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K75" s="8">
        <f>IFERROR(
GETPIVOTDATA(
"[Base].[Importe]",
TDinamica_R!$A$5,
"[Calendario].[AñoMes]",
"[Calendario].[AñoMes].&amp;[" &amp; TEXT(K$6,"yyyymm")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L75" s="8">
        <f>IFERROR(
GETPIVOTDATA(
"[Base].[Importe]",
TDinamica_R!$A$5,
"[Calendario].[AñoMes]",
"[Calendario].[AñoMes].&amp;[" &amp; TEXT(L$6,"yyyymm")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M75" s="8">
        <f>IFERROR(
GETPIVOTDATA(
"[Base].[Importe]",
TDinamica_R!$A$5,
"[Calendario].[AñoMes]",
"[Calendario].[AñoMes].&amp;[" &amp; TEXT(M$6,"yyyymm")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N75" s="8">
        <f>IFERROR(
GETPIVOTDATA(
"[Base].[Importe]",
TDinamica_R!$A$5,
"[Calendario].[AñoMes]",
"[Calendario].[AñoMes].&amp;[" &amp; TEXT(N$6,"yyyymm")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O75" s="8">
        <f>IFERROR(
GETPIVOTDATA(
"[Base].[Importe]",
TDinamica_R!$A$5,
"[Calendario].[AñoMes]",
"[Calendario].[AñoMes].&amp;[" &amp; TEXT(O$6,"yyyymm")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P75" s="8">
        <f>IFERROR(
GETPIVOTDATA(
"[Base].[Importe]",
TDinamica_R!$A$5,
"[Calendario].[AñoMes]",
"[Calendario].[AñoMes].&amp;[" &amp; TEXT(P$6,"yyyymm")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Q75" s="8">
        <f>IFERROR(
GETPIVOTDATA(
"[Base].[Importe]",
TDinamica_R!$A$5,
"[Calendario].[AñoMes]",
"[Calendario].[AñoMes].&amp;[" &amp; TEXT(Q$6,"yyyymm")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R75" s="8">
        <f>IFERROR(
GETPIVOTDATA(
"[Base].[Importe]",
TDinamica_R!$A$5,
"[Calendario].[AñoMes]",
"[Calendario].[AñoMes].&amp;[" &amp; TEXT(R$6,"yyyymm")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S75" s="8">
        <f>IFERROR(
GETPIVOTDATA(
"[Base].[Importe]",
TDinamica_R!$A$5,
"[Calendario].[AñoMes]",
"[Calendario].[AñoMes].&amp;[" &amp; TEXT(S$6,"yyyymm")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T75" s="8">
        <f>IFERROR(
GETPIVOTDATA(
"[Base].[Importe]",
TDinamica_R!$A$5,
"[Calendario].[AñoMes]",
"[Calendario].[AñoMes].&amp;[" &amp; TEXT(T$6,"yyyymm")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U75" s="8">
        <f>IFERROR(
GETPIVOTDATA(
"[Base].[Importe]",
TDinamica_R!$A$5,
"[Calendario].[AñoMes]",
"[Calendario].[AñoMes].&amp;[" &amp; TEXT(U$6,"yyyymm")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V75" s="8">
        <f>IFERROR(
GETPIVOTDATA(
"[Base].[Importe]",
TDinamica_R!$A$5,
"[Calendario].[AñoMes]",
"[Calendario].[AñoMes].&amp;[" &amp; TEXT(V$6,"yyyymm")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W75" s="8">
        <f>IFERROR(
GETPIVOTDATA(
"[Base].[Importe]",
TDinamica_R!$A$5,
"[Calendario].[AñoMes]",
"[Calendario].[AñoMes].&amp;[" &amp; TEXT(W$6,"yyyymm")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X75" s="8">
        <f>IFERROR(
GETPIVOTDATA(
"[Base].[Importe]",
TDinamica_R!$A$5,
"[Calendario].[AñoMes]",
"[Calendario].[AñoMes].&amp;[" &amp; TEXT(X$6,"yyyymm")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Y75" s="8">
        <f>IFERROR(
GETPIVOTDATA(
"[Base].[Importe]",
TDinamica_R!$A$5,
"[Calendario].[AñoMes]",
"[Calendario].[AñoMes].&amp;[" &amp; TEXT(Y$6,"yyyymm")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Z75" s="8">
        <f>IFERROR(
GETPIVOTDATA(
"[Base].[Importe]",
TDinamica_R!$A$5,
"[Calendario].[AñoMes]",
"[Calendario].[AñoMes].&amp;[" &amp; TEXT(Z$6,"yyyymm")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A75" s="8">
        <f>IFERROR(
GETPIVOTDATA(
"[Base].[Importe]",
TDinamica_R!$A$5,
"[Calendario].[AñoMes]",
"[Calendario].[AñoMes].&amp;[" &amp; TEXT(AA$6,"yyyymm")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B75" s="8">
        <f>IFERROR(
GETPIVOTDATA(
"[Base].[Importe]",
TDinamica_R!$A$5,
"[Calendario].[AñoMes]",
"[Calendario].[AñoMes].&amp;[" &amp; TEXT(AB$6,"yyyymm")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C75" s="8">
        <f>IFERROR(
GETPIVOTDATA(
"[Base].[Importe]",
TDinamica_R!$A$5,
"[Calendario].[AñoMes]",
"[Calendario].[AñoMes].&amp;[" &amp; TEXT(AC$6,"yyyymm")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D75" s="8">
        <f>IFERROR(
GETPIVOTDATA(
"[Base].[Importe]",
TDinamica_R!$A$5,
"[Calendario].[AñoMes]",
"[Calendario].[AñoMes].&amp;[" &amp; TEXT(AD$6,"yyyymm")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E75" s="8">
        <f>IFERROR(
GETPIVOTDATA(
"[Base].[Importe]",
TDinamica_R!$A$5,
"[Calendario].[AñoMes]",
"[Calendario].[AñoMes].&amp;[" &amp; TEXT(AE$6,"yyyymm")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F75" s="8">
        <f>IFERROR(
GETPIVOTDATA(
"[Base].[Importe]",
TDinamica_R!$A$5,
"[Calendario].[AñoMes]",
"[Calendario].[AñoMes].&amp;[" &amp; TEXT(AF$6,"yyyymm")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G75" s="8">
        <f>IFERROR(
GETPIVOTDATA(
"[Base].[Importe]",
TDinamica_R!$A$5,
"[Calendario].[AñoMes]",
"[Calendario].[AñoMes].&amp;[" &amp; TEXT(AG$6,"yyyymm")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H75" s="8">
        <f>IFERROR(
GETPIVOTDATA(
"[Base].[Importe]",
TDinamica_R!$A$5,
"[Calendario].[AñoMes]",
"[Calendario].[AñoMes].&amp;[" &amp; TEXT(AH$6,"yyyymm")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I75" s="8">
        <f>IFERROR(
GETPIVOTDATA(
"[Base].[Importe]",
TDinamica_R!$A$5,
"[Calendario].[AñoMes]",
"[Calendario].[AñoMes].&amp;[" &amp; TEXT(AI$6,"yyyymm")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J75" s="8">
        <f>IFERROR(
GETPIVOTDATA(
"[Base].[Importe]",
TDinamica_R!$A$5,
"[Calendario].[AñoMes]",
"[Calendario].[AñoMes].&amp;[" &amp; TEXT(AJ$6,"yyyymm")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K75" s="8">
        <f>IFERROR(
GETPIVOTDATA(
"[Base].[Importe]",
TDinamica_R!$A$5,
"[Calendario].[AñoMes]",
"[Calendario].[AñoMes].&amp;[" &amp; TEXT(AK$6,"yyyymm")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L75" s="8">
        <f>IFERROR(
GETPIVOTDATA(
"[Base].[Importe]",
TDinamica_R!$A$5,
"[Calendario].[AñoMes]",
"[Calendario].[AñoMes].&amp;[" &amp; TEXT(AL$6,"yyyymm")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M75" s="8">
        <f>IFERROR(
GETPIVOTDATA(
"[Base].[Importe]",
TDinamica_R!$A$5,
"[Calendario].[AñoMes]",
"[Calendario].[AñoMes].&amp;[" &amp; TEXT(AM$6,"yyyymm")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N75" s="8">
        <f>IFERROR(
GETPIVOTDATA(
"[Base].[Importe]",
TDinamica_R!$A$5,
"[Calendario].[AñoMes]",
"[Calendario].[AñoMes].&amp;[" &amp; TEXT(AN$6,"yyyymm")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O75" s="8">
        <f>IFERROR(
GETPIVOTDATA(
"[Base].[Importe]",
TDinamica_R!$A$5,
"[Calendario].[AñoMes]",
"[Calendario].[AñoMes].&amp;[" &amp; TEXT(AO$6,"yyyymm")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P75" s="8">
        <f>IFERROR(
GETPIVOTDATA(
"[Base].[Importe]",
TDinamica_R!$A$5,
"[Calendario].[AñoMes]",
"[Calendario].[AñoMes].&amp;[" &amp; TEXT(AP$6,"yyyymm")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Q75" s="8">
        <f>IFERROR(
GETPIVOTDATA(
"[Base].[Importe]",
TDinamica_R!$A$5,
"[Calendario].[AñoMes]",
"[Calendario].[AñoMes].&amp;[" &amp; TEXT(AQ$6,"yyyymm")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R75" s="8">
        <f>IFERROR(
GETPIVOTDATA(
"[Base].[Importe]",
TDinamica_R!$A$5,
"[Calendario].[AñoMes]",
"[Calendario].[AñoMes].&amp;[" &amp; TEXT(AR$6,"yyyymm")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S75" s="8">
        <f>IFERROR(
GETPIVOTDATA(
"[Base].[Importe]",
TDinamica_R!$A$5,
"[Calendario].[AñoMes]",
"[Calendario].[AñoMes].&amp;[" &amp; TEXT(AS$6,"yyyymm")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T75" s="8">
        <f>IFERROR(
GETPIVOTDATA(
"[Base].[Importe]",
TDinamica_R!$A$5,
"[Calendario].[AñoMes]",
"[Calendario].[AñoMes].&amp;[" &amp; TEXT(AT$6,"yyyymm")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U75" s="8">
        <f>IFERROR(
GETPIVOTDATA(
"[Base].[Importe]",
TDinamica_R!$A$5,
"[Calendario].[AñoMes]",
"[Calendario].[AñoMes].&amp;[" &amp; TEXT(AU$6,"yyyymm")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V75" s="8">
        <f>IFERROR(
GETPIVOTDATA(
"[Base].[Importe]",
TDinamica_R!$A$5,
"[Calendario].[AñoMes]",
"[Calendario].[AñoMes].&amp;[" &amp; TEXT(AV$6,"yyyymm")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W75" s="8">
        <f>IFERROR(
GETPIVOTDATA(
"[Base].[Importe]",
TDinamica_R!$A$5,
"[Calendario].[AñoMes]",
"[Calendario].[AñoMes].&amp;[" &amp; TEXT(AW$6,"yyyymm")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X75" s="8">
        <f>IFERROR(
GETPIVOTDATA(
"[Base].[Importe]",
TDinamica_R!$A$5,
"[Calendario].[AñoMes]",
"[Calendario].[AñoMes].&amp;[" &amp; TEXT(AX$6,"yyyymm")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Y75" s="8">
        <f>IFERROR(
GETPIVOTDATA(
"[Base].[Importe]",
TDinamica_R!$A$5,
"[Calendario].[AñoMes]",
"[Calendario].[AñoMes].&amp;[" &amp; TEXT(AY$6,"yyyymm")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Z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TEXT(AZ$6,"yyyymm") &amp; "]"
),
0
)</f>
        <v>0</v>
      </c>
      <c r="BA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TEXT(BA$6,"yyyymm") &amp; "]"
),
0
)</f>
        <v>0</v>
      </c>
      <c r="BB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TEXT(BB$6,"yyyymm") &amp; "]"
),
0
)</f>
        <v>0</v>
      </c>
      <c r="BC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TEXT(BC$6,"yyyymm") &amp; "]"
),
0
)</f>
        <v>0</v>
      </c>
      <c r="BD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TEXT(BD$6,"yyyymm") &amp; "]"
),
0
)</f>
        <v>0</v>
      </c>
      <c r="BE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TEXT(BE$6,"yyyymm") &amp; "]"
),
0
)</f>
        <v>0</v>
      </c>
      <c r="BF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TEXT(BF$6,"yyyymm") &amp; "]"
),
0
)</f>
        <v>0</v>
      </c>
      <c r="BG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TEXT(BG$6,"yyyymm") &amp; "]"
),
0
)</f>
        <v>0</v>
      </c>
      <c r="BH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TEXT(BH$6,"yyyymm") &amp; "]"
),
0
)</f>
        <v>0</v>
      </c>
      <c r="BI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TEXT(BI$6,"yyyymm") &amp; "]"
),
0
)</f>
        <v>0</v>
      </c>
      <c r="BJ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TEXT(BJ$6,"yyyymm") &amp; "]"
),
0
)</f>
        <v>0</v>
      </c>
      <c r="BK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TEXT(BK$6,"yyyymm") &amp; "]"
),
0
)</f>
        <v>0</v>
      </c>
      <c r="BO75" s="24">
        <f t="shared" si="170"/>
        <v>0</v>
      </c>
      <c r="BP75" s="24">
        <f t="shared" si="170"/>
        <v>0</v>
      </c>
      <c r="BQ75" s="24">
        <f t="shared" si="170"/>
        <v>0</v>
      </c>
      <c r="BR75" s="24">
        <f t="shared" si="170"/>
        <v>0</v>
      </c>
      <c r="BS75" s="24">
        <f t="shared" si="170"/>
        <v>0</v>
      </c>
      <c r="BT75" s="24">
        <f t="shared" si="170"/>
        <v>0</v>
      </c>
    </row>
    <row r="76" spans="1:72" hidden="1" outlineLevel="1" x14ac:dyDescent="0.25">
      <c r="A76" s="11" t="s">
        <v>71</v>
      </c>
      <c r="C76" s="2"/>
      <c r="D76" s="8">
        <f>IFERROR(
GETPIVOTDATA(
"[Base].[Importe]",
TDinamica_R!$A$5,
"[Calendario].[AñoMes]",
"[Calendario].[AñoMes].&amp;[" &amp; TEXT(D$6,"yyyymm")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E76" s="8">
        <f>IFERROR(
GETPIVOTDATA(
"[Base].[Importe]",
TDinamica_R!$A$5,
"[Calendario].[AñoMes]",
"[Calendario].[AñoMes].&amp;[" &amp; TEXT(E$6,"yyyymm")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F76" s="8">
        <f>IFERROR(
GETPIVOTDATA(
"[Base].[Importe]",
TDinamica_R!$A$5,
"[Calendario].[AñoMes]",
"[Calendario].[AñoMes].&amp;[" &amp; TEXT(F$6,"yyyymm")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G76" s="8">
        <f>IFERROR(
GETPIVOTDATA(
"[Base].[Importe]",
TDinamica_R!$A$5,
"[Calendario].[AñoMes]",
"[Calendario].[AñoMes].&amp;[" &amp; TEXT(G$6,"yyyymm")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H76" s="8">
        <f>IFERROR(
GETPIVOTDATA(
"[Base].[Importe]",
TDinamica_R!$A$5,
"[Calendario].[AñoMes]",
"[Calendario].[AñoMes].&amp;[" &amp; TEXT(H$6,"yyyymm")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I76" s="8">
        <f>IFERROR(
GETPIVOTDATA(
"[Base].[Importe]",
TDinamica_R!$A$5,
"[Calendario].[AñoMes]",
"[Calendario].[AñoMes].&amp;[" &amp; TEXT(I$6,"yyyymm")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J76" s="8">
        <f>IFERROR(
GETPIVOTDATA(
"[Base].[Importe]",
TDinamica_R!$A$5,
"[Calendario].[AñoMes]",
"[Calendario].[AñoMes].&amp;[" &amp; TEXT(J$6,"yyyymm")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K76" s="8">
        <f>IFERROR(
GETPIVOTDATA(
"[Base].[Importe]",
TDinamica_R!$A$5,
"[Calendario].[AñoMes]",
"[Calendario].[AñoMes].&amp;[" &amp; TEXT(K$6,"yyyymm")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L76" s="8">
        <f>IFERROR(
GETPIVOTDATA(
"[Base].[Importe]",
TDinamica_R!$A$5,
"[Calendario].[AñoMes]",
"[Calendario].[AñoMes].&amp;[" &amp; TEXT(L$6,"yyyymm")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M76" s="8">
        <f>IFERROR(
GETPIVOTDATA(
"[Base].[Importe]",
TDinamica_R!$A$5,
"[Calendario].[AñoMes]",
"[Calendario].[AñoMes].&amp;[" &amp; TEXT(M$6,"yyyymm")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N76" s="8">
        <f>IFERROR(
GETPIVOTDATA(
"[Base].[Importe]",
TDinamica_R!$A$5,
"[Calendario].[AñoMes]",
"[Calendario].[AñoMes].&amp;[" &amp; TEXT(N$6,"yyyymm")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O76" s="8">
        <f>IFERROR(
GETPIVOTDATA(
"[Base].[Importe]",
TDinamica_R!$A$5,
"[Calendario].[AñoMes]",
"[Calendario].[AñoMes].&amp;[" &amp; TEXT(O$6,"yyyymm")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P76" s="8">
        <f>IFERROR(
GETPIVOTDATA(
"[Base].[Importe]",
TDinamica_R!$A$5,
"[Calendario].[AñoMes]",
"[Calendario].[AñoMes].&amp;[" &amp; TEXT(P$6,"yyyymm")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Q76" s="8">
        <f>IFERROR(
GETPIVOTDATA(
"[Base].[Importe]",
TDinamica_R!$A$5,
"[Calendario].[AñoMes]",
"[Calendario].[AñoMes].&amp;[" &amp; TEXT(Q$6,"yyyymm")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R76" s="8">
        <f>IFERROR(
GETPIVOTDATA(
"[Base].[Importe]",
TDinamica_R!$A$5,
"[Calendario].[AñoMes]",
"[Calendario].[AñoMes].&amp;[" &amp; TEXT(R$6,"yyyymm")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S76" s="8">
        <f>IFERROR(
GETPIVOTDATA(
"[Base].[Importe]",
TDinamica_R!$A$5,
"[Calendario].[AñoMes]",
"[Calendario].[AñoMes].&amp;[" &amp; TEXT(S$6,"yyyymm")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T76" s="8">
        <f>IFERROR(
GETPIVOTDATA(
"[Base].[Importe]",
TDinamica_R!$A$5,
"[Calendario].[AñoMes]",
"[Calendario].[AñoMes].&amp;[" &amp; TEXT(T$6,"yyyymm")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U76" s="8">
        <f>IFERROR(
GETPIVOTDATA(
"[Base].[Importe]",
TDinamica_R!$A$5,
"[Calendario].[AñoMes]",
"[Calendario].[AñoMes].&amp;[" &amp; TEXT(U$6,"yyyymm")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V76" s="8">
        <f>IFERROR(
GETPIVOTDATA(
"[Base].[Importe]",
TDinamica_R!$A$5,
"[Calendario].[AñoMes]",
"[Calendario].[AñoMes].&amp;[" &amp; TEXT(V$6,"yyyymm")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W76" s="8">
        <f>IFERROR(
GETPIVOTDATA(
"[Base].[Importe]",
TDinamica_R!$A$5,
"[Calendario].[AñoMes]",
"[Calendario].[AñoMes].&amp;[" &amp; TEXT(W$6,"yyyymm")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X76" s="8">
        <f>IFERROR(
GETPIVOTDATA(
"[Base].[Importe]",
TDinamica_R!$A$5,
"[Calendario].[AñoMes]",
"[Calendario].[AñoMes].&amp;[" &amp; TEXT(X$6,"yyyymm")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Y76" s="8">
        <f>IFERROR(
GETPIVOTDATA(
"[Base].[Importe]",
TDinamica_R!$A$5,
"[Calendario].[AñoMes]",
"[Calendario].[AñoMes].&amp;[" &amp; TEXT(Y$6,"yyyymm")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Z76" s="8">
        <f>IFERROR(
GETPIVOTDATA(
"[Base].[Importe]",
TDinamica_R!$A$5,
"[Calendario].[AñoMes]",
"[Calendario].[AñoMes].&amp;[" &amp; TEXT(Z$6,"yyyymm")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A76" s="8">
        <f>IFERROR(
GETPIVOTDATA(
"[Base].[Importe]",
TDinamica_R!$A$5,
"[Calendario].[AñoMes]",
"[Calendario].[AñoMes].&amp;[" &amp; TEXT(AA$6,"yyyymm")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B76" s="8">
        <f>IFERROR(
GETPIVOTDATA(
"[Base].[Importe]",
TDinamica_R!$A$5,
"[Calendario].[AñoMes]",
"[Calendario].[AñoMes].&amp;[" &amp; TEXT(AB$6,"yyyymm")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C76" s="8">
        <f>IFERROR(
GETPIVOTDATA(
"[Base].[Importe]",
TDinamica_R!$A$5,
"[Calendario].[AñoMes]",
"[Calendario].[AñoMes].&amp;[" &amp; TEXT(AC$6,"yyyymm")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D76" s="8">
        <f>IFERROR(
GETPIVOTDATA(
"[Base].[Importe]",
TDinamica_R!$A$5,
"[Calendario].[AñoMes]",
"[Calendario].[AñoMes].&amp;[" &amp; TEXT(AD$6,"yyyymm")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E76" s="8">
        <f>IFERROR(
GETPIVOTDATA(
"[Base].[Importe]",
TDinamica_R!$A$5,
"[Calendario].[AñoMes]",
"[Calendario].[AñoMes].&amp;[" &amp; TEXT(AE$6,"yyyymm")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F76" s="8">
        <f>IFERROR(
GETPIVOTDATA(
"[Base].[Importe]",
TDinamica_R!$A$5,
"[Calendario].[AñoMes]",
"[Calendario].[AñoMes].&amp;[" &amp; TEXT(AF$6,"yyyymm")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G76" s="8">
        <f>IFERROR(
GETPIVOTDATA(
"[Base].[Importe]",
TDinamica_R!$A$5,
"[Calendario].[AñoMes]",
"[Calendario].[AñoMes].&amp;[" &amp; TEXT(AG$6,"yyyymm")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H76" s="8">
        <f>IFERROR(
GETPIVOTDATA(
"[Base].[Importe]",
TDinamica_R!$A$5,
"[Calendario].[AñoMes]",
"[Calendario].[AñoMes].&amp;[" &amp; TEXT(AH$6,"yyyymm")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I76" s="8">
        <f>IFERROR(
GETPIVOTDATA(
"[Base].[Importe]",
TDinamica_R!$A$5,
"[Calendario].[AñoMes]",
"[Calendario].[AñoMes].&amp;[" &amp; TEXT(AI$6,"yyyymm")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J76" s="8">
        <f>IFERROR(
GETPIVOTDATA(
"[Base].[Importe]",
TDinamica_R!$A$5,
"[Calendario].[AñoMes]",
"[Calendario].[AñoMes].&amp;[" &amp; TEXT(AJ$6,"yyyymm")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K76" s="8">
        <f>IFERROR(
GETPIVOTDATA(
"[Base].[Importe]",
TDinamica_R!$A$5,
"[Calendario].[AñoMes]",
"[Calendario].[AñoMes].&amp;[" &amp; TEXT(AK$6,"yyyymm")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L76" s="8">
        <f>IFERROR(
GETPIVOTDATA(
"[Base].[Importe]",
TDinamica_R!$A$5,
"[Calendario].[AñoMes]",
"[Calendario].[AñoMes].&amp;[" &amp; TEXT(AL$6,"yyyymm")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M76" s="8">
        <f>IFERROR(
GETPIVOTDATA(
"[Base].[Importe]",
TDinamica_R!$A$5,
"[Calendario].[AñoMes]",
"[Calendario].[AñoMes].&amp;[" &amp; TEXT(AM$6,"yyyymm")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N76" s="8">
        <f>IFERROR(
GETPIVOTDATA(
"[Base].[Importe]",
TDinamica_R!$A$5,
"[Calendario].[AñoMes]",
"[Calendario].[AñoMes].&amp;[" &amp; TEXT(AN$6,"yyyymm")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O76" s="8">
        <f>IFERROR(
GETPIVOTDATA(
"[Base].[Importe]",
TDinamica_R!$A$5,
"[Calendario].[AñoMes]",
"[Calendario].[AñoMes].&amp;[" &amp; TEXT(AO$6,"yyyymm")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P76" s="8">
        <f>IFERROR(
GETPIVOTDATA(
"[Base].[Importe]",
TDinamica_R!$A$5,
"[Calendario].[AñoMes]",
"[Calendario].[AñoMes].&amp;[" &amp; TEXT(AP$6,"yyyymm")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Q76" s="8">
        <f>IFERROR(
GETPIVOTDATA(
"[Base].[Importe]",
TDinamica_R!$A$5,
"[Calendario].[AñoMes]",
"[Calendario].[AñoMes].&amp;[" &amp; TEXT(AQ$6,"yyyymm")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R76" s="8">
        <f>IFERROR(
GETPIVOTDATA(
"[Base].[Importe]",
TDinamica_R!$A$5,
"[Calendario].[AñoMes]",
"[Calendario].[AñoMes].&amp;[" &amp; TEXT(AR$6,"yyyymm")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S76" s="8">
        <f>IFERROR(
GETPIVOTDATA(
"[Base].[Importe]",
TDinamica_R!$A$5,
"[Calendario].[AñoMes]",
"[Calendario].[AñoMes].&amp;[" &amp; TEXT(AS$6,"yyyymm")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T76" s="8">
        <f>IFERROR(
GETPIVOTDATA(
"[Base].[Importe]",
TDinamica_R!$A$5,
"[Calendario].[AñoMes]",
"[Calendario].[AñoMes].&amp;[" &amp; TEXT(AT$6,"yyyymm")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U76" s="8">
        <f>IFERROR(
GETPIVOTDATA(
"[Base].[Importe]",
TDinamica_R!$A$5,
"[Calendario].[AñoMes]",
"[Calendario].[AñoMes].&amp;[" &amp; TEXT(AU$6,"yyyymm")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V76" s="8">
        <f>IFERROR(
GETPIVOTDATA(
"[Base].[Importe]",
TDinamica_R!$A$5,
"[Calendario].[AñoMes]",
"[Calendario].[AñoMes].&amp;[" &amp; TEXT(AV$6,"yyyymm")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W76" s="8">
        <f>IFERROR(
GETPIVOTDATA(
"[Base].[Importe]",
TDinamica_R!$A$5,
"[Calendario].[AñoMes]",
"[Calendario].[AñoMes].&amp;[" &amp; TEXT(AW$6,"yyyymm")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X76" s="8">
        <f>IFERROR(
GETPIVOTDATA(
"[Base].[Importe]",
TDinamica_R!$A$5,
"[Calendario].[AñoMes]",
"[Calendario].[AñoMes].&amp;[" &amp; TEXT(AX$6,"yyyymm")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Y76" s="8">
        <f>IFERROR(
GETPIVOTDATA(
"[Base].[Importe]",
TDinamica_R!$A$5,
"[Calendario].[AñoMes]",
"[Calendario].[AñoMes].&amp;[" &amp; TEXT(AY$6,"yyyymm")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Z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TEXT(AZ$6,"yyyymm") &amp; "]"
),
0
)</f>
        <v>0</v>
      </c>
      <c r="BA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TEXT(BA$6,"yyyymm") &amp; "]"
),
0
)</f>
        <v>0</v>
      </c>
      <c r="BB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TEXT(BB$6,"yyyymm") &amp; "]"
),
0
)</f>
        <v>0</v>
      </c>
      <c r="BC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TEXT(BC$6,"yyyymm") &amp; "]"
),
0
)</f>
        <v>0</v>
      </c>
      <c r="BD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TEXT(BD$6,"yyyymm") &amp; "]"
),
0
)</f>
        <v>0</v>
      </c>
      <c r="BE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TEXT(BE$6,"yyyymm") &amp; "]"
),
0
)</f>
        <v>0</v>
      </c>
      <c r="BF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TEXT(BF$6,"yyyymm") &amp; "]"
),
0
)</f>
        <v>0</v>
      </c>
      <c r="BG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TEXT(BG$6,"yyyymm") &amp; "]"
),
0
)</f>
        <v>0</v>
      </c>
      <c r="BH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TEXT(BH$6,"yyyymm") &amp; "]"
),
0
)</f>
        <v>0</v>
      </c>
      <c r="BI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TEXT(BI$6,"yyyymm") &amp; "]"
),
0
)</f>
        <v>0</v>
      </c>
      <c r="BJ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TEXT(BJ$6,"yyyymm") &amp; "]"
),
0
)</f>
        <v>0</v>
      </c>
      <c r="BK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TEXT(BK$6,"yyyymm") &amp; "]"
),
0
)</f>
        <v>0</v>
      </c>
      <c r="BO76" s="24">
        <f t="shared" si="170"/>
        <v>0</v>
      </c>
      <c r="BP76" s="24">
        <f t="shared" si="170"/>
        <v>0</v>
      </c>
      <c r="BQ76" s="24">
        <f t="shared" si="170"/>
        <v>0</v>
      </c>
      <c r="BR76" s="24">
        <f t="shared" si="170"/>
        <v>0</v>
      </c>
      <c r="BS76" s="24">
        <f t="shared" si="170"/>
        <v>0</v>
      </c>
      <c r="BT76" s="24">
        <f t="shared" si="170"/>
        <v>0</v>
      </c>
    </row>
    <row r="77" spans="1:72" hidden="1" outlineLevel="1" x14ac:dyDescent="0.25">
      <c r="A77" s="11" t="s">
        <v>71</v>
      </c>
      <c r="C77" s="2"/>
      <c r="D77" s="8">
        <f>IFERROR(
GETPIVOTDATA(
"[Base].[Importe]",
TDinamica_R!$A$5,
"[Calendario].[AñoMes]",
"[Calendario].[AñoMes].&amp;[" &amp; TEXT(D$6,"yyyymm")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E77" s="8">
        <f>IFERROR(
GETPIVOTDATA(
"[Base].[Importe]",
TDinamica_R!$A$5,
"[Calendario].[AñoMes]",
"[Calendario].[AñoMes].&amp;[" &amp; TEXT(E$6,"yyyymm")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F77" s="8">
        <f>IFERROR(
GETPIVOTDATA(
"[Base].[Importe]",
TDinamica_R!$A$5,
"[Calendario].[AñoMes]",
"[Calendario].[AñoMes].&amp;[" &amp; TEXT(F$6,"yyyymm")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G77" s="8">
        <f>IFERROR(
GETPIVOTDATA(
"[Base].[Importe]",
TDinamica_R!$A$5,
"[Calendario].[AñoMes]",
"[Calendario].[AñoMes].&amp;[" &amp; TEXT(G$6,"yyyymm")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H77" s="8">
        <f>IFERROR(
GETPIVOTDATA(
"[Base].[Importe]",
TDinamica_R!$A$5,
"[Calendario].[AñoMes]",
"[Calendario].[AñoMes].&amp;[" &amp; TEXT(H$6,"yyyymm")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I77" s="8">
        <f>IFERROR(
GETPIVOTDATA(
"[Base].[Importe]",
TDinamica_R!$A$5,
"[Calendario].[AñoMes]",
"[Calendario].[AñoMes].&amp;[" &amp; TEXT(I$6,"yyyymm")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J77" s="8">
        <f>IFERROR(
GETPIVOTDATA(
"[Base].[Importe]",
TDinamica_R!$A$5,
"[Calendario].[AñoMes]",
"[Calendario].[AñoMes].&amp;[" &amp; TEXT(J$6,"yyyymm")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K77" s="8">
        <f>IFERROR(
GETPIVOTDATA(
"[Base].[Importe]",
TDinamica_R!$A$5,
"[Calendario].[AñoMes]",
"[Calendario].[AñoMes].&amp;[" &amp; TEXT(K$6,"yyyymm")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L77" s="8">
        <f>IFERROR(
GETPIVOTDATA(
"[Base].[Importe]",
TDinamica_R!$A$5,
"[Calendario].[AñoMes]",
"[Calendario].[AñoMes].&amp;[" &amp; TEXT(L$6,"yyyymm")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M77" s="8">
        <f>IFERROR(
GETPIVOTDATA(
"[Base].[Importe]",
TDinamica_R!$A$5,
"[Calendario].[AñoMes]",
"[Calendario].[AñoMes].&amp;[" &amp; TEXT(M$6,"yyyymm")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N77" s="8">
        <f>IFERROR(
GETPIVOTDATA(
"[Base].[Importe]",
TDinamica_R!$A$5,
"[Calendario].[AñoMes]",
"[Calendario].[AñoMes].&amp;[" &amp; TEXT(N$6,"yyyymm")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O77" s="8">
        <f>IFERROR(
GETPIVOTDATA(
"[Base].[Importe]",
TDinamica_R!$A$5,
"[Calendario].[AñoMes]",
"[Calendario].[AñoMes].&amp;[" &amp; TEXT(O$6,"yyyymm")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P77" s="8">
        <f>IFERROR(
GETPIVOTDATA(
"[Base].[Importe]",
TDinamica_R!$A$5,
"[Calendario].[AñoMes]",
"[Calendario].[AñoMes].&amp;[" &amp; TEXT(P$6,"yyyymm")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Q77" s="8">
        <f>IFERROR(
GETPIVOTDATA(
"[Base].[Importe]",
TDinamica_R!$A$5,
"[Calendario].[AñoMes]",
"[Calendario].[AñoMes].&amp;[" &amp; TEXT(Q$6,"yyyymm")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R77" s="8">
        <f>IFERROR(
GETPIVOTDATA(
"[Base].[Importe]",
TDinamica_R!$A$5,
"[Calendario].[AñoMes]",
"[Calendario].[AñoMes].&amp;[" &amp; TEXT(R$6,"yyyymm")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S77" s="8">
        <f>IFERROR(
GETPIVOTDATA(
"[Base].[Importe]",
TDinamica_R!$A$5,
"[Calendario].[AñoMes]",
"[Calendario].[AñoMes].&amp;[" &amp; TEXT(S$6,"yyyymm")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T77" s="8">
        <f>IFERROR(
GETPIVOTDATA(
"[Base].[Importe]",
TDinamica_R!$A$5,
"[Calendario].[AñoMes]",
"[Calendario].[AñoMes].&amp;[" &amp; TEXT(T$6,"yyyymm")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U77" s="8">
        <f>IFERROR(
GETPIVOTDATA(
"[Base].[Importe]",
TDinamica_R!$A$5,
"[Calendario].[AñoMes]",
"[Calendario].[AñoMes].&amp;[" &amp; TEXT(U$6,"yyyymm")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V77" s="8">
        <f>IFERROR(
GETPIVOTDATA(
"[Base].[Importe]",
TDinamica_R!$A$5,
"[Calendario].[AñoMes]",
"[Calendario].[AñoMes].&amp;[" &amp; TEXT(V$6,"yyyymm")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W77" s="8">
        <f>IFERROR(
GETPIVOTDATA(
"[Base].[Importe]",
TDinamica_R!$A$5,
"[Calendario].[AñoMes]",
"[Calendario].[AñoMes].&amp;[" &amp; TEXT(W$6,"yyyymm")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X77" s="8">
        <f>IFERROR(
GETPIVOTDATA(
"[Base].[Importe]",
TDinamica_R!$A$5,
"[Calendario].[AñoMes]",
"[Calendario].[AñoMes].&amp;[" &amp; TEXT(X$6,"yyyymm")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Y77" s="8">
        <f>IFERROR(
GETPIVOTDATA(
"[Base].[Importe]",
TDinamica_R!$A$5,
"[Calendario].[AñoMes]",
"[Calendario].[AñoMes].&amp;[" &amp; TEXT(Y$6,"yyyymm")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Z77" s="8">
        <f>IFERROR(
GETPIVOTDATA(
"[Base].[Importe]",
TDinamica_R!$A$5,
"[Calendario].[AñoMes]",
"[Calendario].[AñoMes].&amp;[" &amp; TEXT(Z$6,"yyyymm")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A77" s="8">
        <f>IFERROR(
GETPIVOTDATA(
"[Base].[Importe]",
TDinamica_R!$A$5,
"[Calendario].[AñoMes]",
"[Calendario].[AñoMes].&amp;[" &amp; TEXT(AA$6,"yyyymm")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B77" s="8">
        <f>IFERROR(
GETPIVOTDATA(
"[Base].[Importe]",
TDinamica_R!$A$5,
"[Calendario].[AñoMes]",
"[Calendario].[AñoMes].&amp;[" &amp; TEXT(AB$6,"yyyymm")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C77" s="8">
        <f>IFERROR(
GETPIVOTDATA(
"[Base].[Importe]",
TDinamica_R!$A$5,
"[Calendario].[AñoMes]",
"[Calendario].[AñoMes].&amp;[" &amp; TEXT(AC$6,"yyyymm")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D77" s="8">
        <f>IFERROR(
GETPIVOTDATA(
"[Base].[Importe]",
TDinamica_R!$A$5,
"[Calendario].[AñoMes]",
"[Calendario].[AñoMes].&amp;[" &amp; TEXT(AD$6,"yyyymm")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E77" s="8">
        <f>IFERROR(
GETPIVOTDATA(
"[Base].[Importe]",
TDinamica_R!$A$5,
"[Calendario].[AñoMes]",
"[Calendario].[AñoMes].&amp;[" &amp; TEXT(AE$6,"yyyymm")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F77" s="8">
        <f>IFERROR(
GETPIVOTDATA(
"[Base].[Importe]",
TDinamica_R!$A$5,
"[Calendario].[AñoMes]",
"[Calendario].[AñoMes].&amp;[" &amp; TEXT(AF$6,"yyyymm")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G77" s="8">
        <f>IFERROR(
GETPIVOTDATA(
"[Base].[Importe]",
TDinamica_R!$A$5,
"[Calendario].[AñoMes]",
"[Calendario].[AñoMes].&amp;[" &amp; TEXT(AG$6,"yyyymm")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H77" s="8">
        <f>IFERROR(
GETPIVOTDATA(
"[Base].[Importe]",
TDinamica_R!$A$5,
"[Calendario].[AñoMes]",
"[Calendario].[AñoMes].&amp;[" &amp; TEXT(AH$6,"yyyymm")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I77" s="8">
        <f>IFERROR(
GETPIVOTDATA(
"[Base].[Importe]",
TDinamica_R!$A$5,
"[Calendario].[AñoMes]",
"[Calendario].[AñoMes].&amp;[" &amp; TEXT(AI$6,"yyyymm")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J77" s="8">
        <f>IFERROR(
GETPIVOTDATA(
"[Base].[Importe]",
TDinamica_R!$A$5,
"[Calendario].[AñoMes]",
"[Calendario].[AñoMes].&amp;[" &amp; TEXT(AJ$6,"yyyymm")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K77" s="8">
        <f>IFERROR(
GETPIVOTDATA(
"[Base].[Importe]",
TDinamica_R!$A$5,
"[Calendario].[AñoMes]",
"[Calendario].[AñoMes].&amp;[" &amp; TEXT(AK$6,"yyyymm")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L77" s="8">
        <f>IFERROR(
GETPIVOTDATA(
"[Base].[Importe]",
TDinamica_R!$A$5,
"[Calendario].[AñoMes]",
"[Calendario].[AñoMes].&amp;[" &amp; TEXT(AL$6,"yyyymm")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M77" s="8">
        <f>IFERROR(
GETPIVOTDATA(
"[Base].[Importe]",
TDinamica_R!$A$5,
"[Calendario].[AñoMes]",
"[Calendario].[AñoMes].&amp;[" &amp; TEXT(AM$6,"yyyymm")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N77" s="8">
        <f>IFERROR(
GETPIVOTDATA(
"[Base].[Importe]",
TDinamica_R!$A$5,
"[Calendario].[AñoMes]",
"[Calendario].[AñoMes].&amp;[" &amp; TEXT(AN$6,"yyyymm")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O77" s="8">
        <f>IFERROR(
GETPIVOTDATA(
"[Base].[Importe]",
TDinamica_R!$A$5,
"[Calendario].[AñoMes]",
"[Calendario].[AñoMes].&amp;[" &amp; TEXT(AO$6,"yyyymm")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P77" s="8">
        <f>IFERROR(
GETPIVOTDATA(
"[Base].[Importe]",
TDinamica_R!$A$5,
"[Calendario].[AñoMes]",
"[Calendario].[AñoMes].&amp;[" &amp; TEXT(AP$6,"yyyymm")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Q77" s="8">
        <f>IFERROR(
GETPIVOTDATA(
"[Base].[Importe]",
TDinamica_R!$A$5,
"[Calendario].[AñoMes]",
"[Calendario].[AñoMes].&amp;[" &amp; TEXT(AQ$6,"yyyymm")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R77" s="8">
        <f>IFERROR(
GETPIVOTDATA(
"[Base].[Importe]",
TDinamica_R!$A$5,
"[Calendario].[AñoMes]",
"[Calendario].[AñoMes].&amp;[" &amp; TEXT(AR$6,"yyyymm")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S77" s="8">
        <f>IFERROR(
GETPIVOTDATA(
"[Base].[Importe]",
TDinamica_R!$A$5,
"[Calendario].[AñoMes]",
"[Calendario].[AñoMes].&amp;[" &amp; TEXT(AS$6,"yyyymm")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T77" s="8">
        <f>IFERROR(
GETPIVOTDATA(
"[Base].[Importe]",
TDinamica_R!$A$5,
"[Calendario].[AñoMes]",
"[Calendario].[AñoMes].&amp;[" &amp; TEXT(AT$6,"yyyymm")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U77" s="8">
        <f>IFERROR(
GETPIVOTDATA(
"[Base].[Importe]",
TDinamica_R!$A$5,
"[Calendario].[AñoMes]",
"[Calendario].[AñoMes].&amp;[" &amp; TEXT(AU$6,"yyyymm")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V77" s="8">
        <f>IFERROR(
GETPIVOTDATA(
"[Base].[Importe]",
TDinamica_R!$A$5,
"[Calendario].[AñoMes]",
"[Calendario].[AñoMes].&amp;[" &amp; TEXT(AV$6,"yyyymm")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W77" s="8">
        <f>IFERROR(
GETPIVOTDATA(
"[Base].[Importe]",
TDinamica_R!$A$5,
"[Calendario].[AñoMes]",
"[Calendario].[AñoMes].&amp;[" &amp; TEXT(AW$6,"yyyymm")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X77" s="8">
        <f>IFERROR(
GETPIVOTDATA(
"[Base].[Importe]",
TDinamica_R!$A$5,
"[Calendario].[AñoMes]",
"[Calendario].[AñoMes].&amp;[" &amp; TEXT(AX$6,"yyyymm")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Y77" s="8">
        <f>IFERROR(
GETPIVOTDATA(
"[Base].[Importe]",
TDinamica_R!$A$5,
"[Calendario].[AñoMes]",
"[Calendario].[AñoMes].&amp;[" &amp; TEXT(AY$6,"yyyymm")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Z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TEXT(AZ$6,"yyyymm") &amp; "]"
),
0
)</f>
        <v>0</v>
      </c>
      <c r="BA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TEXT(BA$6,"yyyymm") &amp; "]"
),
0
)</f>
        <v>0</v>
      </c>
      <c r="BB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TEXT(BB$6,"yyyymm") &amp; "]"
),
0
)</f>
        <v>0</v>
      </c>
      <c r="BC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TEXT(BC$6,"yyyymm") &amp; "]"
),
0
)</f>
        <v>0</v>
      </c>
      <c r="BD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TEXT(BD$6,"yyyymm") &amp; "]"
),
0
)</f>
        <v>0</v>
      </c>
      <c r="BE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TEXT(BE$6,"yyyymm") &amp; "]"
),
0
)</f>
        <v>0</v>
      </c>
      <c r="BF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TEXT(BF$6,"yyyymm") &amp; "]"
),
0
)</f>
        <v>0</v>
      </c>
      <c r="BG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TEXT(BG$6,"yyyymm") &amp; "]"
),
0
)</f>
        <v>0</v>
      </c>
      <c r="BH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TEXT(BH$6,"yyyymm") &amp; "]"
),
0
)</f>
        <v>0</v>
      </c>
      <c r="BI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TEXT(BI$6,"yyyymm") &amp; "]"
),
0
)</f>
        <v>0</v>
      </c>
      <c r="BJ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TEXT(BJ$6,"yyyymm") &amp; "]"
),
0
)</f>
        <v>0</v>
      </c>
      <c r="BK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TEXT(BK$6,"yyyymm") &amp; "]"
),
0
)</f>
        <v>0</v>
      </c>
      <c r="BO77" s="24">
        <f t="shared" si="170"/>
        <v>0</v>
      </c>
      <c r="BP77" s="24">
        <f t="shared" si="170"/>
        <v>0</v>
      </c>
      <c r="BQ77" s="24">
        <f t="shared" si="170"/>
        <v>0</v>
      </c>
      <c r="BR77" s="24">
        <f t="shared" si="170"/>
        <v>0</v>
      </c>
      <c r="BS77" s="24">
        <f t="shared" si="170"/>
        <v>0</v>
      </c>
      <c r="BT77" s="24">
        <f t="shared" si="170"/>
        <v>0</v>
      </c>
    </row>
    <row r="78" spans="1:72" hidden="1" outlineLevel="1" x14ac:dyDescent="0.25">
      <c r="A78" s="11" t="s">
        <v>71</v>
      </c>
      <c r="C78" s="2"/>
      <c r="D78" s="8">
        <f>IFERROR(
GETPIVOTDATA(
"[Base].[Importe]",
TDinamica_R!$A$5,
"[Calendario].[AñoMes]",
"[Calendario].[AñoMes].&amp;[" &amp; TEXT(D$6,"yyyymm")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E78" s="8">
        <f>IFERROR(
GETPIVOTDATA(
"[Base].[Importe]",
TDinamica_R!$A$5,
"[Calendario].[AñoMes]",
"[Calendario].[AñoMes].&amp;[" &amp; TEXT(E$6,"yyyymm")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F78" s="8">
        <f>IFERROR(
GETPIVOTDATA(
"[Base].[Importe]",
TDinamica_R!$A$5,
"[Calendario].[AñoMes]",
"[Calendario].[AñoMes].&amp;[" &amp; TEXT(F$6,"yyyymm")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G78" s="8">
        <f>IFERROR(
GETPIVOTDATA(
"[Base].[Importe]",
TDinamica_R!$A$5,
"[Calendario].[AñoMes]",
"[Calendario].[AñoMes].&amp;[" &amp; TEXT(G$6,"yyyymm")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H78" s="8">
        <f>IFERROR(
GETPIVOTDATA(
"[Base].[Importe]",
TDinamica_R!$A$5,
"[Calendario].[AñoMes]",
"[Calendario].[AñoMes].&amp;[" &amp; TEXT(H$6,"yyyymm")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I78" s="8">
        <f>IFERROR(
GETPIVOTDATA(
"[Base].[Importe]",
TDinamica_R!$A$5,
"[Calendario].[AñoMes]",
"[Calendario].[AñoMes].&amp;[" &amp; TEXT(I$6,"yyyymm")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J78" s="8">
        <f>IFERROR(
GETPIVOTDATA(
"[Base].[Importe]",
TDinamica_R!$A$5,
"[Calendario].[AñoMes]",
"[Calendario].[AñoMes].&amp;[" &amp; TEXT(J$6,"yyyymm")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K78" s="8">
        <f>IFERROR(
GETPIVOTDATA(
"[Base].[Importe]",
TDinamica_R!$A$5,
"[Calendario].[AñoMes]",
"[Calendario].[AñoMes].&amp;[" &amp; TEXT(K$6,"yyyymm")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L78" s="8">
        <f>IFERROR(
GETPIVOTDATA(
"[Base].[Importe]",
TDinamica_R!$A$5,
"[Calendario].[AñoMes]",
"[Calendario].[AñoMes].&amp;[" &amp; TEXT(L$6,"yyyymm")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M78" s="8">
        <f>IFERROR(
GETPIVOTDATA(
"[Base].[Importe]",
TDinamica_R!$A$5,
"[Calendario].[AñoMes]",
"[Calendario].[AñoMes].&amp;[" &amp; TEXT(M$6,"yyyymm")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N78" s="8">
        <f>IFERROR(
GETPIVOTDATA(
"[Base].[Importe]",
TDinamica_R!$A$5,
"[Calendario].[AñoMes]",
"[Calendario].[AñoMes].&amp;[" &amp; TEXT(N$6,"yyyymm")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O78" s="8">
        <f>IFERROR(
GETPIVOTDATA(
"[Base].[Importe]",
TDinamica_R!$A$5,
"[Calendario].[AñoMes]",
"[Calendario].[AñoMes].&amp;[" &amp; TEXT(O$6,"yyyymm")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P78" s="8">
        <f>IFERROR(
GETPIVOTDATA(
"[Base].[Importe]",
TDinamica_R!$A$5,
"[Calendario].[AñoMes]",
"[Calendario].[AñoMes].&amp;[" &amp; TEXT(P$6,"yyyymm")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Q78" s="8">
        <f>IFERROR(
GETPIVOTDATA(
"[Base].[Importe]",
TDinamica_R!$A$5,
"[Calendario].[AñoMes]",
"[Calendario].[AñoMes].&amp;[" &amp; TEXT(Q$6,"yyyymm")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R78" s="8">
        <f>IFERROR(
GETPIVOTDATA(
"[Base].[Importe]",
TDinamica_R!$A$5,
"[Calendario].[AñoMes]",
"[Calendario].[AñoMes].&amp;[" &amp; TEXT(R$6,"yyyymm")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S78" s="8">
        <f>IFERROR(
GETPIVOTDATA(
"[Base].[Importe]",
TDinamica_R!$A$5,
"[Calendario].[AñoMes]",
"[Calendario].[AñoMes].&amp;[" &amp; TEXT(S$6,"yyyymm")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T78" s="8">
        <f>IFERROR(
GETPIVOTDATA(
"[Base].[Importe]",
TDinamica_R!$A$5,
"[Calendario].[AñoMes]",
"[Calendario].[AñoMes].&amp;[" &amp; TEXT(T$6,"yyyymm")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U78" s="8">
        <f>IFERROR(
GETPIVOTDATA(
"[Base].[Importe]",
TDinamica_R!$A$5,
"[Calendario].[AñoMes]",
"[Calendario].[AñoMes].&amp;[" &amp; TEXT(U$6,"yyyymm")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V78" s="8">
        <f>IFERROR(
GETPIVOTDATA(
"[Base].[Importe]",
TDinamica_R!$A$5,
"[Calendario].[AñoMes]",
"[Calendario].[AñoMes].&amp;[" &amp; TEXT(V$6,"yyyymm")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W78" s="8">
        <f>IFERROR(
GETPIVOTDATA(
"[Base].[Importe]",
TDinamica_R!$A$5,
"[Calendario].[AñoMes]",
"[Calendario].[AñoMes].&amp;[" &amp; TEXT(W$6,"yyyymm")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X78" s="8">
        <f>IFERROR(
GETPIVOTDATA(
"[Base].[Importe]",
TDinamica_R!$A$5,
"[Calendario].[AñoMes]",
"[Calendario].[AñoMes].&amp;[" &amp; TEXT(X$6,"yyyymm")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Y78" s="8">
        <f>IFERROR(
GETPIVOTDATA(
"[Base].[Importe]",
TDinamica_R!$A$5,
"[Calendario].[AñoMes]",
"[Calendario].[AñoMes].&amp;[" &amp; TEXT(Y$6,"yyyymm")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Z78" s="8">
        <f>IFERROR(
GETPIVOTDATA(
"[Base].[Importe]",
TDinamica_R!$A$5,
"[Calendario].[AñoMes]",
"[Calendario].[AñoMes].&amp;[" &amp; TEXT(Z$6,"yyyymm")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A78" s="8">
        <f>IFERROR(
GETPIVOTDATA(
"[Base].[Importe]",
TDinamica_R!$A$5,
"[Calendario].[AñoMes]",
"[Calendario].[AñoMes].&amp;[" &amp; TEXT(AA$6,"yyyymm")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B78" s="8">
        <f>IFERROR(
GETPIVOTDATA(
"[Base].[Importe]",
TDinamica_R!$A$5,
"[Calendario].[AñoMes]",
"[Calendario].[AñoMes].&amp;[" &amp; TEXT(AB$6,"yyyymm")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C78" s="8">
        <f>IFERROR(
GETPIVOTDATA(
"[Base].[Importe]",
TDinamica_R!$A$5,
"[Calendario].[AñoMes]",
"[Calendario].[AñoMes].&amp;[" &amp; TEXT(AC$6,"yyyymm")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D78" s="8">
        <f>IFERROR(
GETPIVOTDATA(
"[Base].[Importe]",
TDinamica_R!$A$5,
"[Calendario].[AñoMes]",
"[Calendario].[AñoMes].&amp;[" &amp; TEXT(AD$6,"yyyymm")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E78" s="8">
        <f>IFERROR(
GETPIVOTDATA(
"[Base].[Importe]",
TDinamica_R!$A$5,
"[Calendario].[AñoMes]",
"[Calendario].[AñoMes].&amp;[" &amp; TEXT(AE$6,"yyyymm")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F78" s="8">
        <f>IFERROR(
GETPIVOTDATA(
"[Base].[Importe]",
TDinamica_R!$A$5,
"[Calendario].[AñoMes]",
"[Calendario].[AñoMes].&amp;[" &amp; TEXT(AF$6,"yyyymm")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G78" s="8">
        <f>IFERROR(
GETPIVOTDATA(
"[Base].[Importe]",
TDinamica_R!$A$5,
"[Calendario].[AñoMes]",
"[Calendario].[AñoMes].&amp;[" &amp; TEXT(AG$6,"yyyymm")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H78" s="8">
        <f>IFERROR(
GETPIVOTDATA(
"[Base].[Importe]",
TDinamica_R!$A$5,
"[Calendario].[AñoMes]",
"[Calendario].[AñoMes].&amp;[" &amp; TEXT(AH$6,"yyyymm")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I78" s="8">
        <f>IFERROR(
GETPIVOTDATA(
"[Base].[Importe]",
TDinamica_R!$A$5,
"[Calendario].[AñoMes]",
"[Calendario].[AñoMes].&amp;[" &amp; TEXT(AI$6,"yyyymm")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J78" s="8">
        <f>IFERROR(
GETPIVOTDATA(
"[Base].[Importe]",
TDinamica_R!$A$5,
"[Calendario].[AñoMes]",
"[Calendario].[AñoMes].&amp;[" &amp; TEXT(AJ$6,"yyyymm")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K78" s="8">
        <f>IFERROR(
GETPIVOTDATA(
"[Base].[Importe]",
TDinamica_R!$A$5,
"[Calendario].[AñoMes]",
"[Calendario].[AñoMes].&amp;[" &amp; TEXT(AK$6,"yyyymm")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L78" s="8">
        <f>IFERROR(
GETPIVOTDATA(
"[Base].[Importe]",
TDinamica_R!$A$5,
"[Calendario].[AñoMes]",
"[Calendario].[AñoMes].&amp;[" &amp; TEXT(AL$6,"yyyymm")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M78" s="8">
        <f>IFERROR(
GETPIVOTDATA(
"[Base].[Importe]",
TDinamica_R!$A$5,
"[Calendario].[AñoMes]",
"[Calendario].[AñoMes].&amp;[" &amp; TEXT(AM$6,"yyyymm")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N78" s="8">
        <f>IFERROR(
GETPIVOTDATA(
"[Base].[Importe]",
TDinamica_R!$A$5,
"[Calendario].[AñoMes]",
"[Calendario].[AñoMes].&amp;[" &amp; TEXT(AN$6,"yyyymm")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O78" s="8">
        <f>IFERROR(
GETPIVOTDATA(
"[Base].[Importe]",
TDinamica_R!$A$5,
"[Calendario].[AñoMes]",
"[Calendario].[AñoMes].&amp;[" &amp; TEXT(AO$6,"yyyymm")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P78" s="8">
        <f>IFERROR(
GETPIVOTDATA(
"[Base].[Importe]",
TDinamica_R!$A$5,
"[Calendario].[AñoMes]",
"[Calendario].[AñoMes].&amp;[" &amp; TEXT(AP$6,"yyyymm")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Q78" s="8">
        <f>IFERROR(
GETPIVOTDATA(
"[Base].[Importe]",
TDinamica_R!$A$5,
"[Calendario].[AñoMes]",
"[Calendario].[AñoMes].&amp;[" &amp; TEXT(AQ$6,"yyyymm")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R78" s="8">
        <f>IFERROR(
GETPIVOTDATA(
"[Base].[Importe]",
TDinamica_R!$A$5,
"[Calendario].[AñoMes]",
"[Calendario].[AñoMes].&amp;[" &amp; TEXT(AR$6,"yyyymm")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S78" s="8">
        <f>IFERROR(
GETPIVOTDATA(
"[Base].[Importe]",
TDinamica_R!$A$5,
"[Calendario].[AñoMes]",
"[Calendario].[AñoMes].&amp;[" &amp; TEXT(AS$6,"yyyymm")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T78" s="8">
        <f>IFERROR(
GETPIVOTDATA(
"[Base].[Importe]",
TDinamica_R!$A$5,
"[Calendario].[AñoMes]",
"[Calendario].[AñoMes].&amp;[" &amp; TEXT(AT$6,"yyyymm")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U78" s="8">
        <f>IFERROR(
GETPIVOTDATA(
"[Base].[Importe]",
TDinamica_R!$A$5,
"[Calendario].[AñoMes]",
"[Calendario].[AñoMes].&amp;[" &amp; TEXT(AU$6,"yyyymm")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V78" s="8">
        <f>IFERROR(
GETPIVOTDATA(
"[Base].[Importe]",
TDinamica_R!$A$5,
"[Calendario].[AñoMes]",
"[Calendario].[AñoMes].&amp;[" &amp; TEXT(AV$6,"yyyymm")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W78" s="8">
        <f>IFERROR(
GETPIVOTDATA(
"[Base].[Importe]",
TDinamica_R!$A$5,
"[Calendario].[AñoMes]",
"[Calendario].[AñoMes].&amp;[" &amp; TEXT(AW$6,"yyyymm")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X78" s="8">
        <f>IFERROR(
GETPIVOTDATA(
"[Base].[Importe]",
TDinamica_R!$A$5,
"[Calendario].[AñoMes]",
"[Calendario].[AñoMes].&amp;[" &amp; TEXT(AX$6,"yyyymm")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Y78" s="8">
        <f>IFERROR(
GETPIVOTDATA(
"[Base].[Importe]",
TDinamica_R!$A$5,
"[Calendario].[AñoMes]",
"[Calendario].[AñoMes].&amp;[" &amp; TEXT(AY$6,"yyyymm")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Z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TEXT(AZ$6,"yyyymm") &amp; "]"
),
0
)</f>
        <v>0</v>
      </c>
      <c r="BA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TEXT(BA$6,"yyyymm") &amp; "]"
),
0
)</f>
        <v>0</v>
      </c>
      <c r="BB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TEXT(BB$6,"yyyymm") &amp; "]"
),
0
)</f>
        <v>0</v>
      </c>
      <c r="BC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TEXT(BC$6,"yyyymm") &amp; "]"
),
0
)</f>
        <v>0</v>
      </c>
      <c r="BD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TEXT(BD$6,"yyyymm") &amp; "]"
),
0
)</f>
        <v>0</v>
      </c>
      <c r="BE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TEXT(BE$6,"yyyymm") &amp; "]"
),
0
)</f>
        <v>0</v>
      </c>
      <c r="BF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TEXT(BF$6,"yyyymm") &amp; "]"
),
0
)</f>
        <v>0</v>
      </c>
      <c r="BG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TEXT(BG$6,"yyyymm") &amp; "]"
),
0
)</f>
        <v>0</v>
      </c>
      <c r="BH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TEXT(BH$6,"yyyymm") &amp; "]"
),
0
)</f>
        <v>0</v>
      </c>
      <c r="BI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TEXT(BI$6,"yyyymm") &amp; "]"
),
0
)</f>
        <v>0</v>
      </c>
      <c r="BJ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TEXT(BJ$6,"yyyymm") &amp; "]"
),
0
)</f>
        <v>0</v>
      </c>
      <c r="BK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TEXT(BK$6,"yyyymm") &amp; "]"
),
0
)</f>
        <v>0</v>
      </c>
      <c r="BO78" s="24">
        <f t="shared" si="170"/>
        <v>0</v>
      </c>
      <c r="BP78" s="24">
        <f t="shared" si="170"/>
        <v>0</v>
      </c>
      <c r="BQ78" s="24">
        <f t="shared" si="170"/>
        <v>0</v>
      </c>
      <c r="BR78" s="24">
        <f t="shared" si="170"/>
        <v>0</v>
      </c>
      <c r="BS78" s="24">
        <f t="shared" si="170"/>
        <v>0</v>
      </c>
      <c r="BT78" s="24">
        <f t="shared" si="170"/>
        <v>0</v>
      </c>
    </row>
    <row r="79" spans="1:72" hidden="1" outlineLevel="1" x14ac:dyDescent="0.25">
      <c r="A79" s="11" t="s">
        <v>71</v>
      </c>
      <c r="C79" s="2"/>
      <c r="D79" s="8">
        <f>IFERROR(
GETPIVOTDATA(
"[Base].[Importe]",
TDinamica_R!$A$5,
"[Calendario].[AñoMes]",
"[Calendario].[AñoMes].&amp;[" &amp; TEXT(D$6,"yyyymm")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E79" s="8">
        <f>IFERROR(
GETPIVOTDATA(
"[Base].[Importe]",
TDinamica_R!$A$5,
"[Calendario].[AñoMes]",
"[Calendario].[AñoMes].&amp;[" &amp; TEXT(E$6,"yyyymm")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F79" s="8">
        <f>IFERROR(
GETPIVOTDATA(
"[Base].[Importe]",
TDinamica_R!$A$5,
"[Calendario].[AñoMes]",
"[Calendario].[AñoMes].&amp;[" &amp; TEXT(F$6,"yyyymm")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G79" s="8">
        <f>IFERROR(
GETPIVOTDATA(
"[Base].[Importe]",
TDinamica_R!$A$5,
"[Calendario].[AñoMes]",
"[Calendario].[AñoMes].&amp;[" &amp; TEXT(G$6,"yyyymm")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H79" s="8">
        <f>IFERROR(
GETPIVOTDATA(
"[Base].[Importe]",
TDinamica_R!$A$5,
"[Calendario].[AñoMes]",
"[Calendario].[AñoMes].&amp;[" &amp; TEXT(H$6,"yyyymm")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I79" s="8">
        <f>IFERROR(
GETPIVOTDATA(
"[Base].[Importe]",
TDinamica_R!$A$5,
"[Calendario].[AñoMes]",
"[Calendario].[AñoMes].&amp;[" &amp; TEXT(I$6,"yyyymm")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J79" s="8">
        <f>IFERROR(
GETPIVOTDATA(
"[Base].[Importe]",
TDinamica_R!$A$5,
"[Calendario].[AñoMes]",
"[Calendario].[AñoMes].&amp;[" &amp; TEXT(J$6,"yyyymm")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K79" s="8">
        <f>IFERROR(
GETPIVOTDATA(
"[Base].[Importe]",
TDinamica_R!$A$5,
"[Calendario].[AñoMes]",
"[Calendario].[AñoMes].&amp;[" &amp; TEXT(K$6,"yyyymm")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L79" s="8">
        <f>IFERROR(
GETPIVOTDATA(
"[Base].[Importe]",
TDinamica_R!$A$5,
"[Calendario].[AñoMes]",
"[Calendario].[AñoMes].&amp;[" &amp; TEXT(L$6,"yyyymm")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M79" s="8">
        <f>IFERROR(
GETPIVOTDATA(
"[Base].[Importe]",
TDinamica_R!$A$5,
"[Calendario].[AñoMes]",
"[Calendario].[AñoMes].&amp;[" &amp; TEXT(M$6,"yyyymm")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N79" s="8">
        <f>IFERROR(
GETPIVOTDATA(
"[Base].[Importe]",
TDinamica_R!$A$5,
"[Calendario].[AñoMes]",
"[Calendario].[AñoMes].&amp;[" &amp; TEXT(N$6,"yyyymm")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O79" s="8">
        <f>IFERROR(
GETPIVOTDATA(
"[Base].[Importe]",
TDinamica_R!$A$5,
"[Calendario].[AñoMes]",
"[Calendario].[AñoMes].&amp;[" &amp; TEXT(O$6,"yyyymm")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P79" s="8">
        <f>IFERROR(
GETPIVOTDATA(
"[Base].[Importe]",
TDinamica_R!$A$5,
"[Calendario].[AñoMes]",
"[Calendario].[AñoMes].&amp;[" &amp; TEXT(P$6,"yyyymm")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Q79" s="8">
        <f>IFERROR(
GETPIVOTDATA(
"[Base].[Importe]",
TDinamica_R!$A$5,
"[Calendario].[AñoMes]",
"[Calendario].[AñoMes].&amp;[" &amp; TEXT(Q$6,"yyyymm")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R79" s="8">
        <f>IFERROR(
GETPIVOTDATA(
"[Base].[Importe]",
TDinamica_R!$A$5,
"[Calendario].[AñoMes]",
"[Calendario].[AñoMes].&amp;[" &amp; TEXT(R$6,"yyyymm")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S79" s="8">
        <f>IFERROR(
GETPIVOTDATA(
"[Base].[Importe]",
TDinamica_R!$A$5,
"[Calendario].[AñoMes]",
"[Calendario].[AñoMes].&amp;[" &amp; TEXT(S$6,"yyyymm")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T79" s="8">
        <f>IFERROR(
GETPIVOTDATA(
"[Base].[Importe]",
TDinamica_R!$A$5,
"[Calendario].[AñoMes]",
"[Calendario].[AñoMes].&amp;[" &amp; TEXT(T$6,"yyyymm")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U79" s="8">
        <f>IFERROR(
GETPIVOTDATA(
"[Base].[Importe]",
TDinamica_R!$A$5,
"[Calendario].[AñoMes]",
"[Calendario].[AñoMes].&amp;[" &amp; TEXT(U$6,"yyyymm")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V79" s="8">
        <f>IFERROR(
GETPIVOTDATA(
"[Base].[Importe]",
TDinamica_R!$A$5,
"[Calendario].[AñoMes]",
"[Calendario].[AñoMes].&amp;[" &amp; TEXT(V$6,"yyyymm")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W79" s="8">
        <f>IFERROR(
GETPIVOTDATA(
"[Base].[Importe]",
TDinamica_R!$A$5,
"[Calendario].[AñoMes]",
"[Calendario].[AñoMes].&amp;[" &amp; TEXT(W$6,"yyyymm")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X79" s="8">
        <f>IFERROR(
GETPIVOTDATA(
"[Base].[Importe]",
TDinamica_R!$A$5,
"[Calendario].[AñoMes]",
"[Calendario].[AñoMes].&amp;[" &amp; TEXT(X$6,"yyyymm")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Y79" s="8">
        <f>IFERROR(
GETPIVOTDATA(
"[Base].[Importe]",
TDinamica_R!$A$5,
"[Calendario].[AñoMes]",
"[Calendario].[AñoMes].&amp;[" &amp; TEXT(Y$6,"yyyymm")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Z79" s="8">
        <f>IFERROR(
GETPIVOTDATA(
"[Base].[Importe]",
TDinamica_R!$A$5,
"[Calendario].[AñoMes]",
"[Calendario].[AñoMes].&amp;[" &amp; TEXT(Z$6,"yyyymm")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A79" s="8">
        <f>IFERROR(
GETPIVOTDATA(
"[Base].[Importe]",
TDinamica_R!$A$5,
"[Calendario].[AñoMes]",
"[Calendario].[AñoMes].&amp;[" &amp; TEXT(AA$6,"yyyymm")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B79" s="8">
        <f>IFERROR(
GETPIVOTDATA(
"[Base].[Importe]",
TDinamica_R!$A$5,
"[Calendario].[AñoMes]",
"[Calendario].[AñoMes].&amp;[" &amp; TEXT(AB$6,"yyyymm")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C79" s="8">
        <f>IFERROR(
GETPIVOTDATA(
"[Base].[Importe]",
TDinamica_R!$A$5,
"[Calendario].[AñoMes]",
"[Calendario].[AñoMes].&amp;[" &amp; TEXT(AC$6,"yyyymm")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D79" s="8">
        <f>IFERROR(
GETPIVOTDATA(
"[Base].[Importe]",
TDinamica_R!$A$5,
"[Calendario].[AñoMes]",
"[Calendario].[AñoMes].&amp;[" &amp; TEXT(AD$6,"yyyymm")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E79" s="8">
        <f>IFERROR(
GETPIVOTDATA(
"[Base].[Importe]",
TDinamica_R!$A$5,
"[Calendario].[AñoMes]",
"[Calendario].[AñoMes].&amp;[" &amp; TEXT(AE$6,"yyyymm")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F79" s="8">
        <f>IFERROR(
GETPIVOTDATA(
"[Base].[Importe]",
TDinamica_R!$A$5,
"[Calendario].[AñoMes]",
"[Calendario].[AñoMes].&amp;[" &amp; TEXT(AF$6,"yyyymm")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G79" s="8">
        <f>IFERROR(
GETPIVOTDATA(
"[Base].[Importe]",
TDinamica_R!$A$5,
"[Calendario].[AñoMes]",
"[Calendario].[AñoMes].&amp;[" &amp; TEXT(AG$6,"yyyymm")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H79" s="8">
        <f>IFERROR(
GETPIVOTDATA(
"[Base].[Importe]",
TDinamica_R!$A$5,
"[Calendario].[AñoMes]",
"[Calendario].[AñoMes].&amp;[" &amp; TEXT(AH$6,"yyyymm")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I79" s="8">
        <f>IFERROR(
GETPIVOTDATA(
"[Base].[Importe]",
TDinamica_R!$A$5,
"[Calendario].[AñoMes]",
"[Calendario].[AñoMes].&amp;[" &amp; TEXT(AI$6,"yyyymm")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J79" s="8">
        <f>IFERROR(
GETPIVOTDATA(
"[Base].[Importe]",
TDinamica_R!$A$5,
"[Calendario].[AñoMes]",
"[Calendario].[AñoMes].&amp;[" &amp; TEXT(AJ$6,"yyyymm")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K79" s="8">
        <f>IFERROR(
GETPIVOTDATA(
"[Base].[Importe]",
TDinamica_R!$A$5,
"[Calendario].[AñoMes]",
"[Calendario].[AñoMes].&amp;[" &amp; TEXT(AK$6,"yyyymm")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L79" s="8">
        <f>IFERROR(
GETPIVOTDATA(
"[Base].[Importe]",
TDinamica_R!$A$5,
"[Calendario].[AñoMes]",
"[Calendario].[AñoMes].&amp;[" &amp; TEXT(AL$6,"yyyymm")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M79" s="8">
        <f>IFERROR(
GETPIVOTDATA(
"[Base].[Importe]",
TDinamica_R!$A$5,
"[Calendario].[AñoMes]",
"[Calendario].[AñoMes].&amp;[" &amp; TEXT(AM$6,"yyyymm")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N79" s="8">
        <f>IFERROR(
GETPIVOTDATA(
"[Base].[Importe]",
TDinamica_R!$A$5,
"[Calendario].[AñoMes]",
"[Calendario].[AñoMes].&amp;[" &amp; TEXT(AN$6,"yyyymm")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O79" s="8">
        <f>IFERROR(
GETPIVOTDATA(
"[Base].[Importe]",
TDinamica_R!$A$5,
"[Calendario].[AñoMes]",
"[Calendario].[AñoMes].&amp;[" &amp; TEXT(AO$6,"yyyymm")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P79" s="8">
        <f>IFERROR(
GETPIVOTDATA(
"[Base].[Importe]",
TDinamica_R!$A$5,
"[Calendario].[AñoMes]",
"[Calendario].[AñoMes].&amp;[" &amp; TEXT(AP$6,"yyyymm")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Q79" s="8">
        <f>IFERROR(
GETPIVOTDATA(
"[Base].[Importe]",
TDinamica_R!$A$5,
"[Calendario].[AñoMes]",
"[Calendario].[AñoMes].&amp;[" &amp; TEXT(AQ$6,"yyyymm")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R79" s="8">
        <f>IFERROR(
GETPIVOTDATA(
"[Base].[Importe]",
TDinamica_R!$A$5,
"[Calendario].[AñoMes]",
"[Calendario].[AñoMes].&amp;[" &amp; TEXT(AR$6,"yyyymm")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S79" s="8">
        <f>IFERROR(
GETPIVOTDATA(
"[Base].[Importe]",
TDinamica_R!$A$5,
"[Calendario].[AñoMes]",
"[Calendario].[AñoMes].&amp;[" &amp; TEXT(AS$6,"yyyymm")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T79" s="8">
        <f>IFERROR(
GETPIVOTDATA(
"[Base].[Importe]",
TDinamica_R!$A$5,
"[Calendario].[AñoMes]",
"[Calendario].[AñoMes].&amp;[" &amp; TEXT(AT$6,"yyyymm")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U79" s="8">
        <f>IFERROR(
GETPIVOTDATA(
"[Base].[Importe]",
TDinamica_R!$A$5,
"[Calendario].[AñoMes]",
"[Calendario].[AñoMes].&amp;[" &amp; TEXT(AU$6,"yyyymm")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V79" s="8">
        <f>IFERROR(
GETPIVOTDATA(
"[Base].[Importe]",
TDinamica_R!$A$5,
"[Calendario].[AñoMes]",
"[Calendario].[AñoMes].&amp;[" &amp; TEXT(AV$6,"yyyymm")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W79" s="8">
        <f>IFERROR(
GETPIVOTDATA(
"[Base].[Importe]",
TDinamica_R!$A$5,
"[Calendario].[AñoMes]",
"[Calendario].[AñoMes].&amp;[" &amp; TEXT(AW$6,"yyyymm")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X79" s="8">
        <f>IFERROR(
GETPIVOTDATA(
"[Base].[Importe]",
TDinamica_R!$A$5,
"[Calendario].[AñoMes]",
"[Calendario].[AñoMes].&amp;[" &amp; TEXT(AX$6,"yyyymm")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Y79" s="8">
        <f>IFERROR(
GETPIVOTDATA(
"[Base].[Importe]",
TDinamica_R!$A$5,
"[Calendario].[AñoMes]",
"[Calendario].[AñoMes].&amp;[" &amp; TEXT(AY$6,"yyyymm")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Z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TEXT(AZ$6,"yyyymm") &amp; "]"
),
0
)</f>
        <v>0</v>
      </c>
      <c r="BA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TEXT(BA$6,"yyyymm") &amp; "]"
),
0
)</f>
        <v>0</v>
      </c>
      <c r="BB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TEXT(BB$6,"yyyymm") &amp; "]"
),
0
)</f>
        <v>0</v>
      </c>
      <c r="BC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TEXT(BC$6,"yyyymm") &amp; "]"
),
0
)</f>
        <v>0</v>
      </c>
      <c r="BD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TEXT(BD$6,"yyyymm") &amp; "]"
),
0
)</f>
        <v>0</v>
      </c>
      <c r="BE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TEXT(BE$6,"yyyymm") &amp; "]"
),
0
)</f>
        <v>0</v>
      </c>
      <c r="BF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TEXT(BF$6,"yyyymm") &amp; "]"
),
0
)</f>
        <v>0</v>
      </c>
      <c r="BG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TEXT(BG$6,"yyyymm") &amp; "]"
),
0
)</f>
        <v>0</v>
      </c>
      <c r="BH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TEXT(BH$6,"yyyymm") &amp; "]"
),
0
)</f>
        <v>0</v>
      </c>
      <c r="BI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TEXT(BI$6,"yyyymm") &amp; "]"
),
0
)</f>
        <v>0</v>
      </c>
      <c r="BJ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TEXT(BJ$6,"yyyymm") &amp; "]"
),
0
)</f>
        <v>0</v>
      </c>
      <c r="BK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TEXT(BK$6,"yyyymm") &amp; "]"
),
0
)</f>
        <v>0</v>
      </c>
      <c r="BO79" s="24">
        <f t="shared" si="170"/>
        <v>0</v>
      </c>
      <c r="BP79" s="24">
        <f t="shared" si="170"/>
        <v>0</v>
      </c>
      <c r="BQ79" s="24">
        <f t="shared" si="170"/>
        <v>0</v>
      </c>
      <c r="BR79" s="24">
        <f t="shared" si="170"/>
        <v>0</v>
      </c>
      <c r="BS79" s="24">
        <f t="shared" si="170"/>
        <v>0</v>
      </c>
      <c r="BT79" s="24">
        <f t="shared" si="170"/>
        <v>0</v>
      </c>
    </row>
    <row r="80" spans="1:72" hidden="1" outlineLevel="1" x14ac:dyDescent="0.25">
      <c r="A80" s="11" t="s">
        <v>71</v>
      </c>
      <c r="C80" s="2"/>
      <c r="D80" s="8">
        <f>IFERROR(
GETPIVOTDATA(
"[Base].[Importe]",
TDinamica_R!$A$5,
"[Calendario].[AñoMes]",
"[Calendario].[AñoMes].&amp;[" &amp; TEXT(D$6,"yyyymm")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E80" s="8">
        <f>IFERROR(
GETPIVOTDATA(
"[Base].[Importe]",
TDinamica_R!$A$5,
"[Calendario].[AñoMes]",
"[Calendario].[AñoMes].&amp;[" &amp; TEXT(E$6,"yyyymm")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F80" s="8">
        <f>IFERROR(
GETPIVOTDATA(
"[Base].[Importe]",
TDinamica_R!$A$5,
"[Calendario].[AñoMes]",
"[Calendario].[AñoMes].&amp;[" &amp; TEXT(F$6,"yyyymm")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G80" s="8">
        <f>IFERROR(
GETPIVOTDATA(
"[Base].[Importe]",
TDinamica_R!$A$5,
"[Calendario].[AñoMes]",
"[Calendario].[AñoMes].&amp;[" &amp; TEXT(G$6,"yyyymm")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H80" s="8">
        <f>IFERROR(
GETPIVOTDATA(
"[Base].[Importe]",
TDinamica_R!$A$5,
"[Calendario].[AñoMes]",
"[Calendario].[AñoMes].&amp;[" &amp; TEXT(H$6,"yyyymm")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I80" s="8">
        <f>IFERROR(
GETPIVOTDATA(
"[Base].[Importe]",
TDinamica_R!$A$5,
"[Calendario].[AñoMes]",
"[Calendario].[AñoMes].&amp;[" &amp; TEXT(I$6,"yyyymm")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J80" s="8">
        <f>IFERROR(
GETPIVOTDATA(
"[Base].[Importe]",
TDinamica_R!$A$5,
"[Calendario].[AñoMes]",
"[Calendario].[AñoMes].&amp;[" &amp; TEXT(J$6,"yyyymm")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K80" s="8">
        <f>IFERROR(
GETPIVOTDATA(
"[Base].[Importe]",
TDinamica_R!$A$5,
"[Calendario].[AñoMes]",
"[Calendario].[AñoMes].&amp;[" &amp; TEXT(K$6,"yyyymm")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L80" s="8">
        <f>IFERROR(
GETPIVOTDATA(
"[Base].[Importe]",
TDinamica_R!$A$5,
"[Calendario].[AñoMes]",
"[Calendario].[AñoMes].&amp;[" &amp; TEXT(L$6,"yyyymm")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M80" s="8">
        <f>IFERROR(
GETPIVOTDATA(
"[Base].[Importe]",
TDinamica_R!$A$5,
"[Calendario].[AñoMes]",
"[Calendario].[AñoMes].&amp;[" &amp; TEXT(M$6,"yyyymm")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N80" s="8">
        <f>IFERROR(
GETPIVOTDATA(
"[Base].[Importe]",
TDinamica_R!$A$5,
"[Calendario].[AñoMes]",
"[Calendario].[AñoMes].&amp;[" &amp; TEXT(N$6,"yyyymm")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O80" s="8">
        <f>IFERROR(
GETPIVOTDATA(
"[Base].[Importe]",
TDinamica_R!$A$5,
"[Calendario].[AñoMes]",
"[Calendario].[AñoMes].&amp;[" &amp; TEXT(O$6,"yyyymm")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P80" s="8">
        <f>IFERROR(
GETPIVOTDATA(
"[Base].[Importe]",
TDinamica_R!$A$5,
"[Calendario].[AñoMes]",
"[Calendario].[AñoMes].&amp;[" &amp; TEXT(P$6,"yyyymm")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Q80" s="8">
        <f>IFERROR(
GETPIVOTDATA(
"[Base].[Importe]",
TDinamica_R!$A$5,
"[Calendario].[AñoMes]",
"[Calendario].[AñoMes].&amp;[" &amp; TEXT(Q$6,"yyyymm")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R80" s="8">
        <f>IFERROR(
GETPIVOTDATA(
"[Base].[Importe]",
TDinamica_R!$A$5,
"[Calendario].[AñoMes]",
"[Calendario].[AñoMes].&amp;[" &amp; TEXT(R$6,"yyyymm")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S80" s="8">
        <f>IFERROR(
GETPIVOTDATA(
"[Base].[Importe]",
TDinamica_R!$A$5,
"[Calendario].[AñoMes]",
"[Calendario].[AñoMes].&amp;[" &amp; TEXT(S$6,"yyyymm")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T80" s="8">
        <f>IFERROR(
GETPIVOTDATA(
"[Base].[Importe]",
TDinamica_R!$A$5,
"[Calendario].[AñoMes]",
"[Calendario].[AñoMes].&amp;[" &amp; TEXT(T$6,"yyyymm")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U80" s="8">
        <f>IFERROR(
GETPIVOTDATA(
"[Base].[Importe]",
TDinamica_R!$A$5,
"[Calendario].[AñoMes]",
"[Calendario].[AñoMes].&amp;[" &amp; TEXT(U$6,"yyyymm")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V80" s="8">
        <f>IFERROR(
GETPIVOTDATA(
"[Base].[Importe]",
TDinamica_R!$A$5,
"[Calendario].[AñoMes]",
"[Calendario].[AñoMes].&amp;[" &amp; TEXT(V$6,"yyyymm")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W80" s="8">
        <f>IFERROR(
GETPIVOTDATA(
"[Base].[Importe]",
TDinamica_R!$A$5,
"[Calendario].[AñoMes]",
"[Calendario].[AñoMes].&amp;[" &amp; TEXT(W$6,"yyyymm")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X80" s="8">
        <f>IFERROR(
GETPIVOTDATA(
"[Base].[Importe]",
TDinamica_R!$A$5,
"[Calendario].[AñoMes]",
"[Calendario].[AñoMes].&amp;[" &amp; TEXT(X$6,"yyyymm")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Y80" s="8">
        <f>IFERROR(
GETPIVOTDATA(
"[Base].[Importe]",
TDinamica_R!$A$5,
"[Calendario].[AñoMes]",
"[Calendario].[AñoMes].&amp;[" &amp; TEXT(Y$6,"yyyymm")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Z80" s="8">
        <f>IFERROR(
GETPIVOTDATA(
"[Base].[Importe]",
TDinamica_R!$A$5,
"[Calendario].[AñoMes]",
"[Calendario].[AñoMes].&amp;[" &amp; TEXT(Z$6,"yyyymm")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A80" s="8">
        <f>IFERROR(
GETPIVOTDATA(
"[Base].[Importe]",
TDinamica_R!$A$5,
"[Calendario].[AñoMes]",
"[Calendario].[AñoMes].&amp;[" &amp; TEXT(AA$6,"yyyymm")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B80" s="8">
        <f>IFERROR(
GETPIVOTDATA(
"[Base].[Importe]",
TDinamica_R!$A$5,
"[Calendario].[AñoMes]",
"[Calendario].[AñoMes].&amp;[" &amp; TEXT(AB$6,"yyyymm")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C80" s="8">
        <f>IFERROR(
GETPIVOTDATA(
"[Base].[Importe]",
TDinamica_R!$A$5,
"[Calendario].[AñoMes]",
"[Calendario].[AñoMes].&amp;[" &amp; TEXT(AC$6,"yyyymm")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D80" s="8">
        <f>IFERROR(
GETPIVOTDATA(
"[Base].[Importe]",
TDinamica_R!$A$5,
"[Calendario].[AñoMes]",
"[Calendario].[AñoMes].&amp;[" &amp; TEXT(AD$6,"yyyymm")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E80" s="8">
        <f>IFERROR(
GETPIVOTDATA(
"[Base].[Importe]",
TDinamica_R!$A$5,
"[Calendario].[AñoMes]",
"[Calendario].[AñoMes].&amp;[" &amp; TEXT(AE$6,"yyyymm")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F80" s="8">
        <f>IFERROR(
GETPIVOTDATA(
"[Base].[Importe]",
TDinamica_R!$A$5,
"[Calendario].[AñoMes]",
"[Calendario].[AñoMes].&amp;[" &amp; TEXT(AF$6,"yyyymm")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G80" s="8">
        <f>IFERROR(
GETPIVOTDATA(
"[Base].[Importe]",
TDinamica_R!$A$5,
"[Calendario].[AñoMes]",
"[Calendario].[AñoMes].&amp;[" &amp; TEXT(AG$6,"yyyymm")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H80" s="8">
        <f>IFERROR(
GETPIVOTDATA(
"[Base].[Importe]",
TDinamica_R!$A$5,
"[Calendario].[AñoMes]",
"[Calendario].[AñoMes].&amp;[" &amp; TEXT(AH$6,"yyyymm")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I80" s="8">
        <f>IFERROR(
GETPIVOTDATA(
"[Base].[Importe]",
TDinamica_R!$A$5,
"[Calendario].[AñoMes]",
"[Calendario].[AñoMes].&amp;[" &amp; TEXT(AI$6,"yyyymm")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J80" s="8">
        <f>IFERROR(
GETPIVOTDATA(
"[Base].[Importe]",
TDinamica_R!$A$5,
"[Calendario].[AñoMes]",
"[Calendario].[AñoMes].&amp;[" &amp; TEXT(AJ$6,"yyyymm")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K80" s="8">
        <f>IFERROR(
GETPIVOTDATA(
"[Base].[Importe]",
TDinamica_R!$A$5,
"[Calendario].[AñoMes]",
"[Calendario].[AñoMes].&amp;[" &amp; TEXT(AK$6,"yyyymm")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L80" s="8">
        <f>IFERROR(
GETPIVOTDATA(
"[Base].[Importe]",
TDinamica_R!$A$5,
"[Calendario].[AñoMes]",
"[Calendario].[AñoMes].&amp;[" &amp; TEXT(AL$6,"yyyymm")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M80" s="8">
        <f>IFERROR(
GETPIVOTDATA(
"[Base].[Importe]",
TDinamica_R!$A$5,
"[Calendario].[AñoMes]",
"[Calendario].[AñoMes].&amp;[" &amp; TEXT(AM$6,"yyyymm")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N80" s="8">
        <f>IFERROR(
GETPIVOTDATA(
"[Base].[Importe]",
TDinamica_R!$A$5,
"[Calendario].[AñoMes]",
"[Calendario].[AñoMes].&amp;[" &amp; TEXT(AN$6,"yyyymm")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O80" s="8">
        <f>IFERROR(
GETPIVOTDATA(
"[Base].[Importe]",
TDinamica_R!$A$5,
"[Calendario].[AñoMes]",
"[Calendario].[AñoMes].&amp;[" &amp; TEXT(AO$6,"yyyymm")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P80" s="8">
        <f>IFERROR(
GETPIVOTDATA(
"[Base].[Importe]",
TDinamica_R!$A$5,
"[Calendario].[AñoMes]",
"[Calendario].[AñoMes].&amp;[" &amp; TEXT(AP$6,"yyyymm")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Q80" s="8">
        <f>IFERROR(
GETPIVOTDATA(
"[Base].[Importe]",
TDinamica_R!$A$5,
"[Calendario].[AñoMes]",
"[Calendario].[AñoMes].&amp;[" &amp; TEXT(AQ$6,"yyyymm")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R80" s="8">
        <f>IFERROR(
GETPIVOTDATA(
"[Base].[Importe]",
TDinamica_R!$A$5,
"[Calendario].[AñoMes]",
"[Calendario].[AñoMes].&amp;[" &amp; TEXT(AR$6,"yyyymm")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S80" s="8">
        <f>IFERROR(
GETPIVOTDATA(
"[Base].[Importe]",
TDinamica_R!$A$5,
"[Calendario].[AñoMes]",
"[Calendario].[AñoMes].&amp;[" &amp; TEXT(AS$6,"yyyymm")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T80" s="8">
        <f>IFERROR(
GETPIVOTDATA(
"[Base].[Importe]",
TDinamica_R!$A$5,
"[Calendario].[AñoMes]",
"[Calendario].[AñoMes].&amp;[" &amp; TEXT(AT$6,"yyyymm")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U80" s="8">
        <f>IFERROR(
GETPIVOTDATA(
"[Base].[Importe]",
TDinamica_R!$A$5,
"[Calendario].[AñoMes]",
"[Calendario].[AñoMes].&amp;[" &amp; TEXT(AU$6,"yyyymm")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V80" s="8">
        <f>IFERROR(
GETPIVOTDATA(
"[Base].[Importe]",
TDinamica_R!$A$5,
"[Calendario].[AñoMes]",
"[Calendario].[AñoMes].&amp;[" &amp; TEXT(AV$6,"yyyymm")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W80" s="8">
        <f>IFERROR(
GETPIVOTDATA(
"[Base].[Importe]",
TDinamica_R!$A$5,
"[Calendario].[AñoMes]",
"[Calendario].[AñoMes].&amp;[" &amp; TEXT(AW$6,"yyyymm")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X80" s="8">
        <f>IFERROR(
GETPIVOTDATA(
"[Base].[Importe]",
TDinamica_R!$A$5,
"[Calendario].[AñoMes]",
"[Calendario].[AñoMes].&amp;[" &amp; TEXT(AX$6,"yyyymm")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Y80" s="8">
        <f>IFERROR(
GETPIVOTDATA(
"[Base].[Importe]",
TDinamica_R!$A$5,
"[Calendario].[AñoMes]",
"[Calendario].[AñoMes].&amp;[" &amp; TEXT(AY$6,"yyyymm")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Z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TEXT(AZ$6,"yyyymm") &amp; "]"
),
0
)</f>
        <v>0</v>
      </c>
      <c r="BA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TEXT(BA$6,"yyyymm") &amp; "]"
),
0
)</f>
        <v>0</v>
      </c>
      <c r="BB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TEXT(BB$6,"yyyymm") &amp; "]"
),
0
)</f>
        <v>0</v>
      </c>
      <c r="BC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TEXT(BC$6,"yyyymm") &amp; "]"
),
0
)</f>
        <v>0</v>
      </c>
      <c r="BD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TEXT(BD$6,"yyyymm") &amp; "]"
),
0
)</f>
        <v>0</v>
      </c>
      <c r="BE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TEXT(BE$6,"yyyymm") &amp; "]"
),
0
)</f>
        <v>0</v>
      </c>
      <c r="BF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TEXT(BF$6,"yyyymm") &amp; "]"
),
0
)</f>
        <v>0</v>
      </c>
      <c r="BG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TEXT(BG$6,"yyyymm") &amp; "]"
),
0
)</f>
        <v>0</v>
      </c>
      <c r="BH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TEXT(BH$6,"yyyymm") &amp; "]"
),
0
)</f>
        <v>0</v>
      </c>
      <c r="BI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TEXT(BI$6,"yyyymm") &amp; "]"
),
0
)</f>
        <v>0</v>
      </c>
      <c r="BJ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TEXT(BJ$6,"yyyymm") &amp; "]"
),
0
)</f>
        <v>0</v>
      </c>
      <c r="BK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TEXT(BK$6,"yyyymm") &amp; "]"
),
0
)</f>
        <v>0</v>
      </c>
      <c r="BO80" s="24">
        <f t="shared" si="170"/>
        <v>0</v>
      </c>
      <c r="BP80" s="24">
        <f t="shared" si="170"/>
        <v>0</v>
      </c>
      <c r="BQ80" s="24">
        <f t="shared" si="170"/>
        <v>0</v>
      </c>
      <c r="BR80" s="24">
        <f t="shared" si="170"/>
        <v>0</v>
      </c>
      <c r="BS80" s="24">
        <f t="shared" si="170"/>
        <v>0</v>
      </c>
      <c r="BT80" s="24">
        <f t="shared" si="170"/>
        <v>0</v>
      </c>
    </row>
    <row r="81" spans="1:72" hidden="1" outlineLevel="1" x14ac:dyDescent="0.25">
      <c r="A81" s="11" t="s">
        <v>71</v>
      </c>
      <c r="C81" s="2"/>
      <c r="D81" s="8">
        <f>IFERROR(
GETPIVOTDATA(
"[Base].[Importe]",
TDinamica_R!$A$5,
"[Calendario].[AñoMes]",
"[Calendario].[AñoMes].&amp;[" &amp; TEXT(D$6,"yyyymm")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E81" s="8">
        <f>IFERROR(
GETPIVOTDATA(
"[Base].[Importe]",
TDinamica_R!$A$5,
"[Calendario].[AñoMes]",
"[Calendario].[AñoMes].&amp;[" &amp; TEXT(E$6,"yyyymm")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F81" s="8">
        <f>IFERROR(
GETPIVOTDATA(
"[Base].[Importe]",
TDinamica_R!$A$5,
"[Calendario].[AñoMes]",
"[Calendario].[AñoMes].&amp;[" &amp; TEXT(F$6,"yyyymm")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G81" s="8">
        <f>IFERROR(
GETPIVOTDATA(
"[Base].[Importe]",
TDinamica_R!$A$5,
"[Calendario].[AñoMes]",
"[Calendario].[AñoMes].&amp;[" &amp; TEXT(G$6,"yyyymm")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H81" s="8">
        <f>IFERROR(
GETPIVOTDATA(
"[Base].[Importe]",
TDinamica_R!$A$5,
"[Calendario].[AñoMes]",
"[Calendario].[AñoMes].&amp;[" &amp; TEXT(H$6,"yyyymm")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I81" s="8">
        <f>IFERROR(
GETPIVOTDATA(
"[Base].[Importe]",
TDinamica_R!$A$5,
"[Calendario].[AñoMes]",
"[Calendario].[AñoMes].&amp;[" &amp; TEXT(I$6,"yyyymm")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J81" s="8">
        <f>IFERROR(
GETPIVOTDATA(
"[Base].[Importe]",
TDinamica_R!$A$5,
"[Calendario].[AñoMes]",
"[Calendario].[AñoMes].&amp;[" &amp; TEXT(J$6,"yyyymm")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K81" s="8">
        <f>IFERROR(
GETPIVOTDATA(
"[Base].[Importe]",
TDinamica_R!$A$5,
"[Calendario].[AñoMes]",
"[Calendario].[AñoMes].&amp;[" &amp; TEXT(K$6,"yyyymm")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L81" s="8">
        <f>IFERROR(
GETPIVOTDATA(
"[Base].[Importe]",
TDinamica_R!$A$5,
"[Calendario].[AñoMes]",
"[Calendario].[AñoMes].&amp;[" &amp; TEXT(L$6,"yyyymm")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M81" s="8">
        <f>IFERROR(
GETPIVOTDATA(
"[Base].[Importe]",
TDinamica_R!$A$5,
"[Calendario].[AñoMes]",
"[Calendario].[AñoMes].&amp;[" &amp; TEXT(M$6,"yyyymm")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N81" s="8">
        <f>IFERROR(
GETPIVOTDATA(
"[Base].[Importe]",
TDinamica_R!$A$5,
"[Calendario].[AñoMes]",
"[Calendario].[AñoMes].&amp;[" &amp; TEXT(N$6,"yyyymm")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O81" s="8">
        <f>IFERROR(
GETPIVOTDATA(
"[Base].[Importe]",
TDinamica_R!$A$5,
"[Calendario].[AñoMes]",
"[Calendario].[AñoMes].&amp;[" &amp; TEXT(O$6,"yyyymm")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P81" s="8">
        <f>IFERROR(
GETPIVOTDATA(
"[Base].[Importe]",
TDinamica_R!$A$5,
"[Calendario].[AñoMes]",
"[Calendario].[AñoMes].&amp;[" &amp; TEXT(P$6,"yyyymm")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Q81" s="8">
        <f>IFERROR(
GETPIVOTDATA(
"[Base].[Importe]",
TDinamica_R!$A$5,
"[Calendario].[AñoMes]",
"[Calendario].[AñoMes].&amp;[" &amp; TEXT(Q$6,"yyyymm")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R81" s="8">
        <f>IFERROR(
GETPIVOTDATA(
"[Base].[Importe]",
TDinamica_R!$A$5,
"[Calendario].[AñoMes]",
"[Calendario].[AñoMes].&amp;[" &amp; TEXT(R$6,"yyyymm")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S81" s="8">
        <f>IFERROR(
GETPIVOTDATA(
"[Base].[Importe]",
TDinamica_R!$A$5,
"[Calendario].[AñoMes]",
"[Calendario].[AñoMes].&amp;[" &amp; TEXT(S$6,"yyyymm")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T81" s="8">
        <f>IFERROR(
GETPIVOTDATA(
"[Base].[Importe]",
TDinamica_R!$A$5,
"[Calendario].[AñoMes]",
"[Calendario].[AñoMes].&amp;[" &amp; TEXT(T$6,"yyyymm")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U81" s="8">
        <f>IFERROR(
GETPIVOTDATA(
"[Base].[Importe]",
TDinamica_R!$A$5,
"[Calendario].[AñoMes]",
"[Calendario].[AñoMes].&amp;[" &amp; TEXT(U$6,"yyyymm")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V81" s="8">
        <f>IFERROR(
GETPIVOTDATA(
"[Base].[Importe]",
TDinamica_R!$A$5,
"[Calendario].[AñoMes]",
"[Calendario].[AñoMes].&amp;[" &amp; TEXT(V$6,"yyyymm")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W81" s="8">
        <f>IFERROR(
GETPIVOTDATA(
"[Base].[Importe]",
TDinamica_R!$A$5,
"[Calendario].[AñoMes]",
"[Calendario].[AñoMes].&amp;[" &amp; TEXT(W$6,"yyyymm")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X81" s="8">
        <f>IFERROR(
GETPIVOTDATA(
"[Base].[Importe]",
TDinamica_R!$A$5,
"[Calendario].[AñoMes]",
"[Calendario].[AñoMes].&amp;[" &amp; TEXT(X$6,"yyyymm")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Y81" s="8">
        <f>IFERROR(
GETPIVOTDATA(
"[Base].[Importe]",
TDinamica_R!$A$5,
"[Calendario].[AñoMes]",
"[Calendario].[AñoMes].&amp;[" &amp; TEXT(Y$6,"yyyymm")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Z81" s="8">
        <f>IFERROR(
GETPIVOTDATA(
"[Base].[Importe]",
TDinamica_R!$A$5,
"[Calendario].[AñoMes]",
"[Calendario].[AñoMes].&amp;[" &amp; TEXT(Z$6,"yyyymm")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A81" s="8">
        <f>IFERROR(
GETPIVOTDATA(
"[Base].[Importe]",
TDinamica_R!$A$5,
"[Calendario].[AñoMes]",
"[Calendario].[AñoMes].&amp;[" &amp; TEXT(AA$6,"yyyymm")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B81" s="8">
        <f>IFERROR(
GETPIVOTDATA(
"[Base].[Importe]",
TDinamica_R!$A$5,
"[Calendario].[AñoMes]",
"[Calendario].[AñoMes].&amp;[" &amp; TEXT(AB$6,"yyyymm")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C81" s="8">
        <f>IFERROR(
GETPIVOTDATA(
"[Base].[Importe]",
TDinamica_R!$A$5,
"[Calendario].[AñoMes]",
"[Calendario].[AñoMes].&amp;[" &amp; TEXT(AC$6,"yyyymm")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D81" s="8">
        <f>IFERROR(
GETPIVOTDATA(
"[Base].[Importe]",
TDinamica_R!$A$5,
"[Calendario].[AñoMes]",
"[Calendario].[AñoMes].&amp;[" &amp; TEXT(AD$6,"yyyymm")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E81" s="8">
        <f>IFERROR(
GETPIVOTDATA(
"[Base].[Importe]",
TDinamica_R!$A$5,
"[Calendario].[AñoMes]",
"[Calendario].[AñoMes].&amp;[" &amp; TEXT(AE$6,"yyyymm")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F81" s="8">
        <f>IFERROR(
GETPIVOTDATA(
"[Base].[Importe]",
TDinamica_R!$A$5,
"[Calendario].[AñoMes]",
"[Calendario].[AñoMes].&amp;[" &amp; TEXT(AF$6,"yyyymm")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G81" s="8">
        <f>IFERROR(
GETPIVOTDATA(
"[Base].[Importe]",
TDinamica_R!$A$5,
"[Calendario].[AñoMes]",
"[Calendario].[AñoMes].&amp;[" &amp; TEXT(AG$6,"yyyymm")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H81" s="8">
        <f>IFERROR(
GETPIVOTDATA(
"[Base].[Importe]",
TDinamica_R!$A$5,
"[Calendario].[AñoMes]",
"[Calendario].[AñoMes].&amp;[" &amp; TEXT(AH$6,"yyyymm")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I81" s="8">
        <f>IFERROR(
GETPIVOTDATA(
"[Base].[Importe]",
TDinamica_R!$A$5,
"[Calendario].[AñoMes]",
"[Calendario].[AñoMes].&amp;[" &amp; TEXT(AI$6,"yyyymm")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J81" s="8">
        <f>IFERROR(
GETPIVOTDATA(
"[Base].[Importe]",
TDinamica_R!$A$5,
"[Calendario].[AñoMes]",
"[Calendario].[AñoMes].&amp;[" &amp; TEXT(AJ$6,"yyyymm")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K81" s="8">
        <f>IFERROR(
GETPIVOTDATA(
"[Base].[Importe]",
TDinamica_R!$A$5,
"[Calendario].[AñoMes]",
"[Calendario].[AñoMes].&amp;[" &amp; TEXT(AK$6,"yyyymm")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L81" s="8">
        <f>IFERROR(
GETPIVOTDATA(
"[Base].[Importe]",
TDinamica_R!$A$5,
"[Calendario].[AñoMes]",
"[Calendario].[AñoMes].&amp;[" &amp; TEXT(AL$6,"yyyymm")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M81" s="8">
        <f>IFERROR(
GETPIVOTDATA(
"[Base].[Importe]",
TDinamica_R!$A$5,
"[Calendario].[AñoMes]",
"[Calendario].[AñoMes].&amp;[" &amp; TEXT(AM$6,"yyyymm")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N81" s="8">
        <f>IFERROR(
GETPIVOTDATA(
"[Base].[Importe]",
TDinamica_R!$A$5,
"[Calendario].[AñoMes]",
"[Calendario].[AñoMes].&amp;[" &amp; TEXT(AN$6,"yyyymm")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O81" s="8">
        <f>IFERROR(
GETPIVOTDATA(
"[Base].[Importe]",
TDinamica_R!$A$5,
"[Calendario].[AñoMes]",
"[Calendario].[AñoMes].&amp;[" &amp; TEXT(AO$6,"yyyymm")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P81" s="8">
        <f>IFERROR(
GETPIVOTDATA(
"[Base].[Importe]",
TDinamica_R!$A$5,
"[Calendario].[AñoMes]",
"[Calendario].[AñoMes].&amp;[" &amp; TEXT(AP$6,"yyyymm")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Q81" s="8">
        <f>IFERROR(
GETPIVOTDATA(
"[Base].[Importe]",
TDinamica_R!$A$5,
"[Calendario].[AñoMes]",
"[Calendario].[AñoMes].&amp;[" &amp; TEXT(AQ$6,"yyyymm")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R81" s="8">
        <f>IFERROR(
GETPIVOTDATA(
"[Base].[Importe]",
TDinamica_R!$A$5,
"[Calendario].[AñoMes]",
"[Calendario].[AñoMes].&amp;[" &amp; TEXT(AR$6,"yyyymm")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S81" s="8">
        <f>IFERROR(
GETPIVOTDATA(
"[Base].[Importe]",
TDinamica_R!$A$5,
"[Calendario].[AñoMes]",
"[Calendario].[AñoMes].&amp;[" &amp; TEXT(AS$6,"yyyymm")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T81" s="8">
        <f>IFERROR(
GETPIVOTDATA(
"[Base].[Importe]",
TDinamica_R!$A$5,
"[Calendario].[AñoMes]",
"[Calendario].[AñoMes].&amp;[" &amp; TEXT(AT$6,"yyyymm")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U81" s="8">
        <f>IFERROR(
GETPIVOTDATA(
"[Base].[Importe]",
TDinamica_R!$A$5,
"[Calendario].[AñoMes]",
"[Calendario].[AñoMes].&amp;[" &amp; TEXT(AU$6,"yyyymm")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V81" s="8">
        <f>IFERROR(
GETPIVOTDATA(
"[Base].[Importe]",
TDinamica_R!$A$5,
"[Calendario].[AñoMes]",
"[Calendario].[AñoMes].&amp;[" &amp; TEXT(AV$6,"yyyymm")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W81" s="8">
        <f>IFERROR(
GETPIVOTDATA(
"[Base].[Importe]",
TDinamica_R!$A$5,
"[Calendario].[AñoMes]",
"[Calendario].[AñoMes].&amp;[" &amp; TEXT(AW$6,"yyyymm")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X81" s="8">
        <f>IFERROR(
GETPIVOTDATA(
"[Base].[Importe]",
TDinamica_R!$A$5,
"[Calendario].[AñoMes]",
"[Calendario].[AñoMes].&amp;[" &amp; TEXT(AX$6,"yyyymm")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Y81" s="8">
        <f>IFERROR(
GETPIVOTDATA(
"[Base].[Importe]",
TDinamica_R!$A$5,
"[Calendario].[AñoMes]",
"[Calendario].[AñoMes].&amp;[" &amp; TEXT(AY$6,"yyyymm")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Z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TEXT(AZ$6,"yyyymm") &amp; "]"
),
0
)</f>
        <v>0</v>
      </c>
      <c r="BA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TEXT(BA$6,"yyyymm") &amp; "]"
),
0
)</f>
        <v>0</v>
      </c>
      <c r="BB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TEXT(BB$6,"yyyymm") &amp; "]"
),
0
)</f>
        <v>0</v>
      </c>
      <c r="BC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TEXT(BC$6,"yyyymm") &amp; "]"
),
0
)</f>
        <v>0</v>
      </c>
      <c r="BD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TEXT(BD$6,"yyyymm") &amp; "]"
),
0
)</f>
        <v>0</v>
      </c>
      <c r="BE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TEXT(BE$6,"yyyymm") &amp; "]"
),
0
)</f>
        <v>0</v>
      </c>
      <c r="BF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TEXT(BF$6,"yyyymm") &amp; "]"
),
0
)</f>
        <v>0</v>
      </c>
      <c r="BG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TEXT(BG$6,"yyyymm") &amp; "]"
),
0
)</f>
        <v>0</v>
      </c>
      <c r="BH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TEXT(BH$6,"yyyymm") &amp; "]"
),
0
)</f>
        <v>0</v>
      </c>
      <c r="BI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TEXT(BI$6,"yyyymm") &amp; "]"
),
0
)</f>
        <v>0</v>
      </c>
      <c r="BJ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TEXT(BJ$6,"yyyymm") &amp; "]"
),
0
)</f>
        <v>0</v>
      </c>
      <c r="BK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TEXT(BK$6,"yyyymm") &amp; "]"
),
0
)</f>
        <v>0</v>
      </c>
      <c r="BO81" s="24">
        <f t="shared" si="170"/>
        <v>0</v>
      </c>
      <c r="BP81" s="24">
        <f t="shared" si="170"/>
        <v>0</v>
      </c>
      <c r="BQ81" s="24">
        <f t="shared" si="170"/>
        <v>0</v>
      </c>
      <c r="BR81" s="24">
        <f t="shared" si="170"/>
        <v>0</v>
      </c>
      <c r="BS81" s="24">
        <f t="shared" si="170"/>
        <v>0</v>
      </c>
      <c r="BT81" s="24">
        <f t="shared" si="170"/>
        <v>0</v>
      </c>
    </row>
    <row r="82" spans="1:72" hidden="1" outlineLevel="1" x14ac:dyDescent="0.25">
      <c r="A82" s="11" t="s">
        <v>71</v>
      </c>
      <c r="C82" s="2"/>
      <c r="D82" s="8">
        <f>IFERROR(
GETPIVOTDATA(
"[Base].[Importe]",
TDinamica_R!$A$5,
"[Calendario].[AñoMes]",
"[Calendario].[AñoMes].&amp;[" &amp; TEXT(D$6,"yyyymm")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E82" s="8">
        <f>IFERROR(
GETPIVOTDATA(
"[Base].[Importe]",
TDinamica_R!$A$5,
"[Calendario].[AñoMes]",
"[Calendario].[AñoMes].&amp;[" &amp; TEXT(E$6,"yyyymm")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F82" s="8">
        <f>IFERROR(
GETPIVOTDATA(
"[Base].[Importe]",
TDinamica_R!$A$5,
"[Calendario].[AñoMes]",
"[Calendario].[AñoMes].&amp;[" &amp; TEXT(F$6,"yyyymm")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G82" s="8">
        <f>IFERROR(
GETPIVOTDATA(
"[Base].[Importe]",
TDinamica_R!$A$5,
"[Calendario].[AñoMes]",
"[Calendario].[AñoMes].&amp;[" &amp; TEXT(G$6,"yyyymm")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H82" s="8">
        <f>IFERROR(
GETPIVOTDATA(
"[Base].[Importe]",
TDinamica_R!$A$5,
"[Calendario].[AñoMes]",
"[Calendario].[AñoMes].&amp;[" &amp; TEXT(H$6,"yyyymm")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I82" s="8">
        <f>IFERROR(
GETPIVOTDATA(
"[Base].[Importe]",
TDinamica_R!$A$5,
"[Calendario].[AñoMes]",
"[Calendario].[AñoMes].&amp;[" &amp; TEXT(I$6,"yyyymm")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J82" s="8">
        <f>IFERROR(
GETPIVOTDATA(
"[Base].[Importe]",
TDinamica_R!$A$5,
"[Calendario].[AñoMes]",
"[Calendario].[AñoMes].&amp;[" &amp; TEXT(J$6,"yyyymm")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K82" s="8">
        <f>IFERROR(
GETPIVOTDATA(
"[Base].[Importe]",
TDinamica_R!$A$5,
"[Calendario].[AñoMes]",
"[Calendario].[AñoMes].&amp;[" &amp; TEXT(K$6,"yyyymm")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L82" s="8">
        <f>IFERROR(
GETPIVOTDATA(
"[Base].[Importe]",
TDinamica_R!$A$5,
"[Calendario].[AñoMes]",
"[Calendario].[AñoMes].&amp;[" &amp; TEXT(L$6,"yyyymm")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M82" s="8">
        <f>IFERROR(
GETPIVOTDATA(
"[Base].[Importe]",
TDinamica_R!$A$5,
"[Calendario].[AñoMes]",
"[Calendario].[AñoMes].&amp;[" &amp; TEXT(M$6,"yyyymm")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N82" s="8">
        <f>IFERROR(
GETPIVOTDATA(
"[Base].[Importe]",
TDinamica_R!$A$5,
"[Calendario].[AñoMes]",
"[Calendario].[AñoMes].&amp;[" &amp; TEXT(N$6,"yyyymm")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O82" s="8">
        <f>IFERROR(
GETPIVOTDATA(
"[Base].[Importe]",
TDinamica_R!$A$5,
"[Calendario].[AñoMes]",
"[Calendario].[AñoMes].&amp;[" &amp; TEXT(O$6,"yyyymm")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P82" s="8">
        <f>IFERROR(
GETPIVOTDATA(
"[Base].[Importe]",
TDinamica_R!$A$5,
"[Calendario].[AñoMes]",
"[Calendario].[AñoMes].&amp;[" &amp; TEXT(P$6,"yyyymm")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Q82" s="8">
        <f>IFERROR(
GETPIVOTDATA(
"[Base].[Importe]",
TDinamica_R!$A$5,
"[Calendario].[AñoMes]",
"[Calendario].[AñoMes].&amp;[" &amp; TEXT(Q$6,"yyyymm")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R82" s="8">
        <f>IFERROR(
GETPIVOTDATA(
"[Base].[Importe]",
TDinamica_R!$A$5,
"[Calendario].[AñoMes]",
"[Calendario].[AñoMes].&amp;[" &amp; TEXT(R$6,"yyyymm")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S82" s="8">
        <f>IFERROR(
GETPIVOTDATA(
"[Base].[Importe]",
TDinamica_R!$A$5,
"[Calendario].[AñoMes]",
"[Calendario].[AñoMes].&amp;[" &amp; TEXT(S$6,"yyyymm")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T82" s="8">
        <f>IFERROR(
GETPIVOTDATA(
"[Base].[Importe]",
TDinamica_R!$A$5,
"[Calendario].[AñoMes]",
"[Calendario].[AñoMes].&amp;[" &amp; TEXT(T$6,"yyyymm")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U82" s="8">
        <f>IFERROR(
GETPIVOTDATA(
"[Base].[Importe]",
TDinamica_R!$A$5,
"[Calendario].[AñoMes]",
"[Calendario].[AñoMes].&amp;[" &amp; TEXT(U$6,"yyyymm")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V82" s="8">
        <f>IFERROR(
GETPIVOTDATA(
"[Base].[Importe]",
TDinamica_R!$A$5,
"[Calendario].[AñoMes]",
"[Calendario].[AñoMes].&amp;[" &amp; TEXT(V$6,"yyyymm")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W82" s="8">
        <f>IFERROR(
GETPIVOTDATA(
"[Base].[Importe]",
TDinamica_R!$A$5,
"[Calendario].[AñoMes]",
"[Calendario].[AñoMes].&amp;[" &amp; TEXT(W$6,"yyyymm")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X82" s="8">
        <f>IFERROR(
GETPIVOTDATA(
"[Base].[Importe]",
TDinamica_R!$A$5,
"[Calendario].[AñoMes]",
"[Calendario].[AñoMes].&amp;[" &amp; TEXT(X$6,"yyyymm")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Y82" s="8">
        <f>IFERROR(
GETPIVOTDATA(
"[Base].[Importe]",
TDinamica_R!$A$5,
"[Calendario].[AñoMes]",
"[Calendario].[AñoMes].&amp;[" &amp; TEXT(Y$6,"yyyymm")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Z82" s="8">
        <f>IFERROR(
GETPIVOTDATA(
"[Base].[Importe]",
TDinamica_R!$A$5,
"[Calendario].[AñoMes]",
"[Calendario].[AñoMes].&amp;[" &amp; TEXT(Z$6,"yyyymm")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A82" s="8">
        <f>IFERROR(
GETPIVOTDATA(
"[Base].[Importe]",
TDinamica_R!$A$5,
"[Calendario].[AñoMes]",
"[Calendario].[AñoMes].&amp;[" &amp; TEXT(AA$6,"yyyymm")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B82" s="8">
        <f>IFERROR(
GETPIVOTDATA(
"[Base].[Importe]",
TDinamica_R!$A$5,
"[Calendario].[AñoMes]",
"[Calendario].[AñoMes].&amp;[" &amp; TEXT(AB$6,"yyyymm")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C82" s="8">
        <f>IFERROR(
GETPIVOTDATA(
"[Base].[Importe]",
TDinamica_R!$A$5,
"[Calendario].[AñoMes]",
"[Calendario].[AñoMes].&amp;[" &amp; TEXT(AC$6,"yyyymm")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D82" s="8">
        <f>IFERROR(
GETPIVOTDATA(
"[Base].[Importe]",
TDinamica_R!$A$5,
"[Calendario].[AñoMes]",
"[Calendario].[AñoMes].&amp;[" &amp; TEXT(AD$6,"yyyymm")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E82" s="8">
        <f>IFERROR(
GETPIVOTDATA(
"[Base].[Importe]",
TDinamica_R!$A$5,
"[Calendario].[AñoMes]",
"[Calendario].[AñoMes].&amp;[" &amp; TEXT(AE$6,"yyyymm")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F82" s="8">
        <f>IFERROR(
GETPIVOTDATA(
"[Base].[Importe]",
TDinamica_R!$A$5,
"[Calendario].[AñoMes]",
"[Calendario].[AñoMes].&amp;[" &amp; TEXT(AF$6,"yyyymm")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G82" s="8">
        <f>IFERROR(
GETPIVOTDATA(
"[Base].[Importe]",
TDinamica_R!$A$5,
"[Calendario].[AñoMes]",
"[Calendario].[AñoMes].&amp;[" &amp; TEXT(AG$6,"yyyymm")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H82" s="8">
        <f>IFERROR(
GETPIVOTDATA(
"[Base].[Importe]",
TDinamica_R!$A$5,
"[Calendario].[AñoMes]",
"[Calendario].[AñoMes].&amp;[" &amp; TEXT(AH$6,"yyyymm")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I82" s="8">
        <f>IFERROR(
GETPIVOTDATA(
"[Base].[Importe]",
TDinamica_R!$A$5,
"[Calendario].[AñoMes]",
"[Calendario].[AñoMes].&amp;[" &amp; TEXT(AI$6,"yyyymm")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J82" s="8">
        <f>IFERROR(
GETPIVOTDATA(
"[Base].[Importe]",
TDinamica_R!$A$5,
"[Calendario].[AñoMes]",
"[Calendario].[AñoMes].&amp;[" &amp; TEXT(AJ$6,"yyyymm")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K82" s="8">
        <f>IFERROR(
GETPIVOTDATA(
"[Base].[Importe]",
TDinamica_R!$A$5,
"[Calendario].[AñoMes]",
"[Calendario].[AñoMes].&amp;[" &amp; TEXT(AK$6,"yyyymm")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L82" s="8">
        <f>IFERROR(
GETPIVOTDATA(
"[Base].[Importe]",
TDinamica_R!$A$5,
"[Calendario].[AñoMes]",
"[Calendario].[AñoMes].&amp;[" &amp; TEXT(AL$6,"yyyymm")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M82" s="8">
        <f>IFERROR(
GETPIVOTDATA(
"[Base].[Importe]",
TDinamica_R!$A$5,
"[Calendario].[AñoMes]",
"[Calendario].[AñoMes].&amp;[" &amp; TEXT(AM$6,"yyyymm")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N82" s="8">
        <f>IFERROR(
GETPIVOTDATA(
"[Base].[Importe]",
TDinamica_R!$A$5,
"[Calendario].[AñoMes]",
"[Calendario].[AñoMes].&amp;[" &amp; TEXT(AN$6,"yyyymm")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O82" s="8">
        <f>IFERROR(
GETPIVOTDATA(
"[Base].[Importe]",
TDinamica_R!$A$5,
"[Calendario].[AñoMes]",
"[Calendario].[AñoMes].&amp;[" &amp; TEXT(AO$6,"yyyymm")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P82" s="8">
        <f>IFERROR(
GETPIVOTDATA(
"[Base].[Importe]",
TDinamica_R!$A$5,
"[Calendario].[AñoMes]",
"[Calendario].[AñoMes].&amp;[" &amp; TEXT(AP$6,"yyyymm")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Q82" s="8">
        <f>IFERROR(
GETPIVOTDATA(
"[Base].[Importe]",
TDinamica_R!$A$5,
"[Calendario].[AñoMes]",
"[Calendario].[AñoMes].&amp;[" &amp; TEXT(AQ$6,"yyyymm")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R82" s="8">
        <f>IFERROR(
GETPIVOTDATA(
"[Base].[Importe]",
TDinamica_R!$A$5,
"[Calendario].[AñoMes]",
"[Calendario].[AñoMes].&amp;[" &amp; TEXT(AR$6,"yyyymm")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S82" s="8">
        <f>IFERROR(
GETPIVOTDATA(
"[Base].[Importe]",
TDinamica_R!$A$5,
"[Calendario].[AñoMes]",
"[Calendario].[AñoMes].&amp;[" &amp; TEXT(AS$6,"yyyymm")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T82" s="8">
        <f>IFERROR(
GETPIVOTDATA(
"[Base].[Importe]",
TDinamica_R!$A$5,
"[Calendario].[AñoMes]",
"[Calendario].[AñoMes].&amp;[" &amp; TEXT(AT$6,"yyyymm")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U82" s="8">
        <f>IFERROR(
GETPIVOTDATA(
"[Base].[Importe]",
TDinamica_R!$A$5,
"[Calendario].[AñoMes]",
"[Calendario].[AñoMes].&amp;[" &amp; TEXT(AU$6,"yyyymm")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V82" s="8">
        <f>IFERROR(
GETPIVOTDATA(
"[Base].[Importe]",
TDinamica_R!$A$5,
"[Calendario].[AñoMes]",
"[Calendario].[AñoMes].&amp;[" &amp; TEXT(AV$6,"yyyymm")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W82" s="8">
        <f>IFERROR(
GETPIVOTDATA(
"[Base].[Importe]",
TDinamica_R!$A$5,
"[Calendario].[AñoMes]",
"[Calendario].[AñoMes].&amp;[" &amp; TEXT(AW$6,"yyyymm")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X82" s="8">
        <f>IFERROR(
GETPIVOTDATA(
"[Base].[Importe]",
TDinamica_R!$A$5,
"[Calendario].[AñoMes]",
"[Calendario].[AñoMes].&amp;[" &amp; TEXT(AX$6,"yyyymm")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Y82" s="8">
        <f>IFERROR(
GETPIVOTDATA(
"[Base].[Importe]",
TDinamica_R!$A$5,
"[Calendario].[AñoMes]",
"[Calendario].[AñoMes].&amp;[" &amp; TEXT(AY$6,"yyyymm")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Z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TEXT(AZ$6,"yyyymm") &amp; "]"
),
0
)</f>
        <v>0</v>
      </c>
      <c r="BA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TEXT(BA$6,"yyyymm") &amp; "]"
),
0
)</f>
        <v>0</v>
      </c>
      <c r="BB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TEXT(BB$6,"yyyymm") &amp; "]"
),
0
)</f>
        <v>0</v>
      </c>
      <c r="BC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TEXT(BC$6,"yyyymm") &amp; "]"
),
0
)</f>
        <v>0</v>
      </c>
      <c r="BD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TEXT(BD$6,"yyyymm") &amp; "]"
),
0
)</f>
        <v>0</v>
      </c>
      <c r="BE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TEXT(BE$6,"yyyymm") &amp; "]"
),
0
)</f>
        <v>0</v>
      </c>
      <c r="BF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TEXT(BF$6,"yyyymm") &amp; "]"
),
0
)</f>
        <v>0</v>
      </c>
      <c r="BG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TEXT(BG$6,"yyyymm") &amp; "]"
),
0
)</f>
        <v>0</v>
      </c>
      <c r="BH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TEXT(BH$6,"yyyymm") &amp; "]"
),
0
)</f>
        <v>0</v>
      </c>
      <c r="BI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TEXT(BI$6,"yyyymm") &amp; "]"
),
0
)</f>
        <v>0</v>
      </c>
      <c r="BJ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TEXT(BJ$6,"yyyymm") &amp; "]"
),
0
)</f>
        <v>0</v>
      </c>
      <c r="BK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TEXT(BK$6,"yyyymm") &amp; "]"
),
0
)</f>
        <v>0</v>
      </c>
      <c r="BO82" s="24">
        <f t="shared" si="170"/>
        <v>0</v>
      </c>
      <c r="BP82" s="24">
        <f t="shared" si="170"/>
        <v>0</v>
      </c>
      <c r="BQ82" s="24">
        <f t="shared" si="170"/>
        <v>0</v>
      </c>
      <c r="BR82" s="24">
        <f t="shared" si="170"/>
        <v>0</v>
      </c>
      <c r="BS82" s="24">
        <f t="shared" si="170"/>
        <v>0</v>
      </c>
      <c r="BT82" s="24">
        <f t="shared" si="170"/>
        <v>0</v>
      </c>
    </row>
    <row r="83" spans="1:72" collapsed="1" x14ac:dyDescent="0.25">
      <c r="C83" s="3" t="s">
        <v>71</v>
      </c>
      <c r="D83" s="10">
        <f t="shared" ref="D83:AY83" si="171">SUM(D63:D82)</f>
        <v>91.229769071150002</v>
      </c>
      <c r="E83" s="10">
        <f t="shared" si="171"/>
        <v>84.758664070099982</v>
      </c>
      <c r="F83" s="10">
        <f t="shared" si="171"/>
        <v>69.854092168999998</v>
      </c>
      <c r="G83" s="10">
        <f t="shared" si="171"/>
        <v>105.4608664198</v>
      </c>
      <c r="H83" s="10">
        <f t="shared" si="171"/>
        <v>88.034845584599992</v>
      </c>
      <c r="I83" s="10">
        <f t="shared" si="171"/>
        <v>102.72696990992999</v>
      </c>
      <c r="J83" s="10">
        <f t="shared" si="171"/>
        <v>97.69439017389999</v>
      </c>
      <c r="K83" s="10">
        <f t="shared" si="171"/>
        <v>106.6471330777</v>
      </c>
      <c r="L83" s="10">
        <f t="shared" si="171"/>
        <v>110.11065628410002</v>
      </c>
      <c r="M83" s="10">
        <f t="shared" si="171"/>
        <v>98.377467514000003</v>
      </c>
      <c r="N83" s="10">
        <f t="shared" si="171"/>
        <v>101.60033350638999</v>
      </c>
      <c r="O83" s="10">
        <f t="shared" si="171"/>
        <v>90.06543452295</v>
      </c>
      <c r="P83" s="10">
        <f t="shared" si="171"/>
        <v>111.41636689399</v>
      </c>
      <c r="Q83" s="10">
        <f t="shared" si="171"/>
        <v>99.970946569200009</v>
      </c>
      <c r="R83" s="10">
        <f t="shared" si="171"/>
        <v>113.5604050881</v>
      </c>
      <c r="S83" s="10">
        <f t="shared" si="171"/>
        <v>87.950001763700001</v>
      </c>
      <c r="T83" s="10">
        <f t="shared" si="171"/>
        <v>93.004802057669991</v>
      </c>
      <c r="U83" s="10">
        <f t="shared" si="171"/>
        <v>94.652506777460005</v>
      </c>
      <c r="V83" s="10">
        <f t="shared" si="171"/>
        <v>84.528158811909989</v>
      </c>
      <c r="W83" s="10">
        <f t="shared" si="171"/>
        <v>91.717360536200005</v>
      </c>
      <c r="X83" s="10">
        <f t="shared" si="171"/>
        <v>211.12119241967</v>
      </c>
      <c r="Y83" s="10">
        <f t="shared" si="171"/>
        <v>-28.32437666845</v>
      </c>
      <c r="Z83" s="10">
        <f t="shared" si="171"/>
        <v>98.129491265300018</v>
      </c>
      <c r="AA83" s="10">
        <f t="shared" si="171"/>
        <v>83.199419238100006</v>
      </c>
      <c r="AB83" s="10">
        <f t="shared" si="171"/>
        <v>115.3858077365</v>
      </c>
      <c r="AC83" s="10">
        <f t="shared" si="171"/>
        <v>80.707813461659981</v>
      </c>
      <c r="AD83" s="10">
        <f t="shared" si="171"/>
        <v>48.434518490800002</v>
      </c>
      <c r="AE83" s="10">
        <f t="shared" si="171"/>
        <v>95.912893806100001</v>
      </c>
      <c r="AF83" s="10">
        <f t="shared" si="171"/>
        <v>94.072195958240002</v>
      </c>
      <c r="AG83" s="10">
        <f t="shared" si="171"/>
        <v>121.000310258</v>
      </c>
      <c r="AH83" s="10">
        <f t="shared" si="171"/>
        <v>102.51132851307001</v>
      </c>
      <c r="AI83" s="10">
        <f t="shared" si="171"/>
        <v>115.77977631500001</v>
      </c>
      <c r="AJ83" s="10">
        <f t="shared" si="171"/>
        <v>114.5381946432</v>
      </c>
      <c r="AK83" s="10">
        <f t="shared" si="171"/>
        <v>107.2417282684</v>
      </c>
      <c r="AL83" s="10">
        <f t="shared" si="171"/>
        <v>162.5764086049</v>
      </c>
      <c r="AM83" s="10">
        <f t="shared" si="171"/>
        <v>113.61833469605999</v>
      </c>
      <c r="AN83" s="10">
        <f t="shared" si="171"/>
        <v>135.77667740943284</v>
      </c>
      <c r="AO83" s="10">
        <f t="shared" si="171"/>
        <v>104.33575016342724</v>
      </c>
      <c r="AP83" s="10">
        <f t="shared" si="171"/>
        <v>111.52825646642063</v>
      </c>
      <c r="AQ83" s="10">
        <f t="shared" si="171"/>
        <v>156.82675336052191</v>
      </c>
      <c r="AR83" s="10">
        <f t="shared" si="171"/>
        <v>137.411655348436</v>
      </c>
      <c r="AS83" s="10">
        <f t="shared" si="171"/>
        <v>153.45862292745713</v>
      </c>
      <c r="AT83" s="10">
        <f t="shared" si="171"/>
        <v>0</v>
      </c>
      <c r="AU83" s="10">
        <f t="shared" si="171"/>
        <v>0</v>
      </c>
      <c r="AV83" s="10">
        <f t="shared" si="171"/>
        <v>0</v>
      </c>
      <c r="AW83" s="10">
        <f t="shared" si="171"/>
        <v>0</v>
      </c>
      <c r="AX83" s="10">
        <f t="shared" si="171"/>
        <v>0</v>
      </c>
      <c r="AY83" s="10">
        <f t="shared" si="171"/>
        <v>0</v>
      </c>
      <c r="AZ83" s="10">
        <f t="shared" ref="AZ83:BK83" si="172">SUM(AZ63:AZ82)</f>
        <v>120.61046932619051</v>
      </c>
      <c r="BA83" s="10">
        <f t="shared" si="172"/>
        <v>122.71691793543253</v>
      </c>
      <c r="BB83" s="10">
        <f t="shared" si="172"/>
        <v>125.37550081394126</v>
      </c>
      <c r="BC83" s="10">
        <f t="shared" si="172"/>
        <v>129.10305010739424</v>
      </c>
      <c r="BD83" s="10">
        <f t="shared" si="172"/>
        <v>133.48768439635197</v>
      </c>
      <c r="BE83" s="10">
        <f t="shared" si="172"/>
        <v>137.33160819251987</v>
      </c>
      <c r="BF83" s="10">
        <f t="shared" si="172"/>
        <v>139.68429262974271</v>
      </c>
      <c r="BG83" s="10">
        <f t="shared" si="172"/>
        <v>141.78982967463813</v>
      </c>
      <c r="BH83" s="10">
        <f t="shared" si="172"/>
        <v>144.82315317396257</v>
      </c>
      <c r="BI83" s="10">
        <f t="shared" si="172"/>
        <v>148.21439128055599</v>
      </c>
      <c r="BJ83" s="10">
        <f t="shared" si="172"/>
        <v>150.78696123103006</v>
      </c>
      <c r="BK83" s="10">
        <f t="shared" si="172"/>
        <v>152.20008257630104</v>
      </c>
      <c r="BO83" s="23">
        <f>SUM(BO63:BO82)</f>
        <v>351.6406840392807</v>
      </c>
      <c r="BP83" s="23">
        <f t="shared" ref="BP83:BT83" si="173">SUM(BP63:BP82)</f>
        <v>368.70288807556426</v>
      </c>
      <c r="BQ83" s="23">
        <f t="shared" si="173"/>
        <v>240.11242757286007</v>
      </c>
      <c r="BR83" s="23">
        <f t="shared" si="173"/>
        <v>244.52813968895998</v>
      </c>
      <c r="BS83" s="23">
        <f t="shared" si="173"/>
        <v>324.94771855129</v>
      </c>
      <c r="BT83" s="23">
        <f t="shared" si="173"/>
        <v>245.84252531024998</v>
      </c>
    </row>
    <row r="86" spans="1:72" hidden="1" outlineLevel="1" x14ac:dyDescent="0.25">
      <c r="A86" s="11" t="s">
        <v>76</v>
      </c>
      <c r="C86" s="2" t="s">
        <v>79</v>
      </c>
      <c r="D86" s="8">
        <f>IFERROR(
GETPIVOTDATA(
"[Base].[Importe]",
TDinamica_R!$A$5,
"[Calendario].[AñoMes]",
"[Calendario].[AñoMes].&amp;[" &amp; TEXT(D$6,"yyyymm") &amp; "]",
"[Base].[Metrica]",
"[Base].[Metrica].&amp;[" &amp; $A86 &amp; "]",
"[Base].[SEGMENTO_DESCRIP]",
"[Base].[SEGMENTO_DESCRIP].&amp;[" &amp; $C$6 &amp; "]",
"[Base].[SITUACION]",
"[Base].[SITUACION].&amp;[" &amp; $C86 &amp; "]"
),0)/1000</f>
        <v>-403.42121198909996</v>
      </c>
      <c r="E86" s="8">
        <f>IFERROR(
GETPIVOTDATA(
"[Base].[Importe]",
TDinamica_R!$A$5,
"[Calendario].[AñoMes]",
"[Calendario].[AñoMes].&amp;[" &amp; TEXT(E$6,"yyyymm") &amp; "]",
"[Base].[Metrica]",
"[Base].[Metrica].&amp;[" &amp; $A86 &amp; "]",
"[Base].[SEGMENTO_DESCRIP]",
"[Base].[SEGMENTO_DESCRIP].&amp;[" &amp; $C$6 &amp; "]",
"[Base].[SITUACION]",
"[Base].[SITUACION].&amp;[" &amp; $C86 &amp; "]"
),0)/1000</f>
        <v>-407.58537475860004</v>
      </c>
      <c r="F86" s="8">
        <f>IFERROR(
GETPIVOTDATA(
"[Base].[Importe]",
TDinamica_R!$A$5,
"[Calendario].[AñoMes]",
"[Calendario].[AñoMes].&amp;[" &amp; TEXT(F$6,"yyyymm") &amp; "]",
"[Base].[Metrica]",
"[Base].[Metrica].&amp;[" &amp; $A86 &amp; "]",
"[Base].[SEGMENTO_DESCRIP]",
"[Base].[SEGMENTO_DESCRIP].&amp;[" &amp; $C$6 &amp; "]",
"[Base].[SITUACION]",
"[Base].[SITUACION].&amp;[" &amp; $C86 &amp; "]"
),0)/1000</f>
        <v>-412.84897405610002</v>
      </c>
      <c r="G86" s="8">
        <f>IFERROR(
GETPIVOTDATA(
"[Base].[Importe]",
TDinamica_R!$A$5,
"[Calendario].[AñoMes]",
"[Calendario].[AñoMes].&amp;[" &amp; TEXT(G$6,"yyyymm") &amp; "]",
"[Base].[Metrica]",
"[Base].[Metrica].&amp;[" &amp; $A86 &amp; "]",
"[Base].[SEGMENTO_DESCRIP]",
"[Base].[SEGMENTO_DESCRIP].&amp;[" &amp; $C$6 &amp; "]",
"[Base].[SITUACION]",
"[Base].[SITUACION].&amp;[" &amp; $C86 &amp; "]"
),0)/1000</f>
        <v>-425.2408541986</v>
      </c>
      <c r="H86" s="8">
        <f>IFERROR(
GETPIVOTDATA(
"[Base].[Importe]",
TDinamica_R!$A$5,
"[Calendario].[AñoMes]",
"[Calendario].[AñoMes].&amp;[" &amp; TEXT(H$6,"yyyymm") &amp; "]",
"[Base].[Metrica]",
"[Base].[Metrica].&amp;[" &amp; $A86 &amp; "]",
"[Base].[SEGMENTO_DESCRIP]",
"[Base].[SEGMENTO_DESCRIP].&amp;[" &amp; $C$6 &amp; "]",
"[Base].[SITUACION]",
"[Base].[SITUACION].&amp;[" &amp; $C86 &amp; "]"
),0)/1000</f>
        <v>-423.61117391020002</v>
      </c>
      <c r="I86" s="8">
        <f>IFERROR(
GETPIVOTDATA(
"[Base].[Importe]",
TDinamica_R!$A$5,
"[Calendario].[AñoMes]",
"[Calendario].[AñoMes].&amp;[" &amp; TEXT(I$6,"yyyymm") &amp; "]",
"[Base].[Metrica]",
"[Base].[Metrica].&amp;[" &amp; $A86 &amp; "]",
"[Base].[SEGMENTO_DESCRIP]",
"[Base].[SEGMENTO_DESCRIP].&amp;[" &amp; $C$6 &amp; "]",
"[Base].[SITUACION]",
"[Base].[SITUACION].&amp;[" &amp; $C86 &amp; "]"
),0)/1000</f>
        <v>-458.70909903239999</v>
      </c>
      <c r="J86" s="8">
        <f>IFERROR(
GETPIVOTDATA(
"[Base].[Importe]",
TDinamica_R!$A$5,
"[Calendario].[AñoMes]",
"[Calendario].[AñoMes].&amp;[" &amp; TEXT(J$6,"yyyymm") &amp; "]",
"[Base].[Metrica]",
"[Base].[Metrica].&amp;[" &amp; $A86 &amp; "]",
"[Base].[SEGMENTO_DESCRIP]",
"[Base].[SEGMENTO_DESCRIP].&amp;[" &amp; $C$6 &amp; "]",
"[Base].[SITUACION]",
"[Base].[SITUACION].&amp;[" &amp; $C86 &amp; "]"
),0)/1000</f>
        <v>-408.47020419989997</v>
      </c>
      <c r="K86" s="8">
        <f>IFERROR(
GETPIVOTDATA(
"[Base].[Importe]",
TDinamica_R!$A$5,
"[Calendario].[AñoMes]",
"[Calendario].[AñoMes].&amp;[" &amp; TEXT(K$6,"yyyymm") &amp; "]",
"[Base].[Metrica]",
"[Base].[Metrica].&amp;[" &amp; $A86 &amp; "]",
"[Base].[SEGMENTO_DESCRIP]",
"[Base].[SEGMENTO_DESCRIP].&amp;[" &amp; $C$6 &amp; "]",
"[Base].[SITUACION]",
"[Base].[SITUACION].&amp;[" &amp; $C86 &amp; "]"
),0)/1000</f>
        <v>-437.98656218180002</v>
      </c>
      <c r="L86" s="8">
        <f>IFERROR(
GETPIVOTDATA(
"[Base].[Importe]",
TDinamica_R!$A$5,
"[Calendario].[AñoMes]",
"[Calendario].[AñoMes].&amp;[" &amp; TEXT(L$6,"yyyymm") &amp; "]",
"[Base].[Metrica]",
"[Base].[Metrica].&amp;[" &amp; $A86 &amp; "]",
"[Base].[SEGMENTO_DESCRIP]",
"[Base].[SEGMENTO_DESCRIP].&amp;[" &amp; $C$6 &amp; "]",
"[Base].[SITUACION]",
"[Base].[SITUACION].&amp;[" &amp; $C86 &amp; "]"
),0)/1000</f>
        <v>-447.18991071019997</v>
      </c>
      <c r="M86" s="8">
        <f>IFERROR(
GETPIVOTDATA(
"[Base].[Importe]",
TDinamica_R!$A$5,
"[Calendario].[AñoMes]",
"[Calendario].[AñoMes].&amp;[" &amp; TEXT(M$6,"yyyymm") &amp; "]",
"[Base].[Metrica]",
"[Base].[Metrica].&amp;[" &amp; $A86 &amp; "]",
"[Base].[SEGMENTO_DESCRIP]",
"[Base].[SEGMENTO_DESCRIP].&amp;[" &amp; $C$6 &amp; "]",
"[Base].[SITUACION]",
"[Base].[SITUACION].&amp;[" &amp; $C86 &amp; "]"
),0)/1000</f>
        <v>-397.79709082990001</v>
      </c>
      <c r="N86" s="8">
        <f>IFERROR(
GETPIVOTDATA(
"[Base].[Importe]",
TDinamica_R!$A$5,
"[Calendario].[AñoMes]",
"[Calendario].[AñoMes].&amp;[" &amp; TEXT(N$6,"yyyymm") &amp; "]",
"[Base].[Metrica]",
"[Base].[Metrica].&amp;[" &amp; $A86 &amp; "]",
"[Base].[SEGMENTO_DESCRIP]",
"[Base].[SEGMENTO_DESCRIP].&amp;[" &amp; $C$6 &amp; "]",
"[Base].[SITUACION]",
"[Base].[SITUACION].&amp;[" &amp; $C86 &amp; "]"
),0)/1000</f>
        <v>-406.2639312782</v>
      </c>
      <c r="O86" s="8">
        <f>IFERROR(
GETPIVOTDATA(
"[Base].[Importe]",
TDinamica_R!$A$5,
"[Calendario].[AñoMes]",
"[Calendario].[AñoMes].&amp;[" &amp; TEXT(O$6,"yyyymm") &amp; "]",
"[Base].[Metrica]",
"[Base].[Metrica].&amp;[" &amp; $A86 &amp; "]",
"[Base].[SEGMENTO_DESCRIP]",
"[Base].[SEGMENTO_DESCRIP].&amp;[" &amp; $C$6 &amp; "]",
"[Base].[SITUACION]",
"[Base].[SITUACION].&amp;[" &amp; $C86 &amp; "]"
),0)/1000</f>
        <v>-384.67166543679997</v>
      </c>
      <c r="P86" s="8">
        <f>IFERROR(
GETPIVOTDATA(
"[Base].[Importe]",
TDinamica_R!$A$5,
"[Calendario].[AñoMes]",
"[Calendario].[AñoMes].&amp;[" &amp; TEXT(P$6,"yyyymm") &amp; "]",
"[Base].[Metrica]",
"[Base].[Metrica].&amp;[" &amp; $A86 &amp; "]",
"[Base].[SEGMENTO_DESCRIP]",
"[Base].[SEGMENTO_DESCRIP].&amp;[" &amp; $C$6 &amp; "]",
"[Base].[SITUACION]",
"[Base].[SITUACION].&amp;[" &amp; $C86 &amp; "]"
),0)/1000</f>
        <v>-369.91817543129997</v>
      </c>
      <c r="Q86" s="8">
        <f>IFERROR(
GETPIVOTDATA(
"[Base].[Importe]",
TDinamica_R!$A$5,
"[Calendario].[AñoMes]",
"[Calendario].[AñoMes].&amp;[" &amp; TEXT(Q$6,"yyyymm") &amp; "]",
"[Base].[Metrica]",
"[Base].[Metrica].&amp;[" &amp; $A86 &amp; "]",
"[Base].[SEGMENTO_DESCRIP]",
"[Base].[SEGMENTO_DESCRIP].&amp;[" &amp; $C$6 &amp; "]",
"[Base].[SITUACION]",
"[Base].[SITUACION].&amp;[" &amp; $C86 &amp; "]"
),0)/1000</f>
        <v>-410.7184844601</v>
      </c>
      <c r="R86" s="8">
        <f>IFERROR(
GETPIVOTDATA(
"[Base].[Importe]",
TDinamica_R!$A$5,
"[Calendario].[AñoMes]",
"[Calendario].[AñoMes].&amp;[" &amp; TEXT(R$6,"yyyymm") &amp; "]",
"[Base].[Metrica]",
"[Base].[Metrica].&amp;[" &amp; $A86 &amp; "]",
"[Base].[SEGMENTO_DESCRIP]",
"[Base].[SEGMENTO_DESCRIP].&amp;[" &amp; $C$6 &amp; "]",
"[Base].[SITUACION]",
"[Base].[SITUACION].&amp;[" &amp; $C86 &amp; "]"
),0)/1000</f>
        <v>-372.1720573412</v>
      </c>
      <c r="S86" s="8">
        <f>IFERROR(
GETPIVOTDATA(
"[Base].[Importe]",
TDinamica_R!$A$5,
"[Calendario].[AñoMes]",
"[Calendario].[AñoMes].&amp;[" &amp; TEXT(S$6,"yyyymm") &amp; "]",
"[Base].[Metrica]",
"[Base].[Metrica].&amp;[" &amp; $A86 &amp; "]",
"[Base].[SEGMENTO_DESCRIP]",
"[Base].[SEGMENTO_DESCRIP].&amp;[" &amp; $C$6 &amp; "]",
"[Base].[SITUACION]",
"[Base].[SITUACION].&amp;[" &amp; $C86 &amp; "]"
),0)/1000</f>
        <v>-412.8995833459</v>
      </c>
      <c r="T86" s="8">
        <f>IFERROR(
GETPIVOTDATA(
"[Base].[Importe]",
TDinamica_R!$A$5,
"[Calendario].[AñoMes]",
"[Calendario].[AñoMes].&amp;[" &amp; TEXT(T$6,"yyyymm") &amp; "]",
"[Base].[Metrica]",
"[Base].[Metrica].&amp;[" &amp; $A86 &amp; "]",
"[Base].[SEGMENTO_DESCRIP]",
"[Base].[SEGMENTO_DESCRIP].&amp;[" &amp; $C$6 &amp; "]",
"[Base].[SITUACION]",
"[Base].[SITUACION].&amp;[" &amp; $C86 &amp; "]"
),0)/1000</f>
        <v>-376.26295660140005</v>
      </c>
      <c r="U86" s="8">
        <f>IFERROR(
GETPIVOTDATA(
"[Base].[Importe]",
TDinamica_R!$A$5,
"[Calendario].[AñoMes]",
"[Calendario].[AñoMes].&amp;[" &amp; TEXT(U$6,"yyyymm") &amp; "]",
"[Base].[Metrica]",
"[Base].[Metrica].&amp;[" &amp; $A86 &amp; "]",
"[Base].[SEGMENTO_DESCRIP]",
"[Base].[SEGMENTO_DESCRIP].&amp;[" &amp; $C$6 &amp; "]",
"[Base].[SITUACION]",
"[Base].[SITUACION].&amp;[" &amp; $C86 &amp; "]"
),0)/1000</f>
        <v>-371.53343699069995</v>
      </c>
      <c r="V86" s="8">
        <f>IFERROR(
GETPIVOTDATA(
"[Base].[Importe]",
TDinamica_R!$A$5,
"[Calendario].[AñoMes]",
"[Calendario].[AñoMes].&amp;[" &amp; TEXT(V$6,"yyyymm") &amp; "]",
"[Base].[Metrica]",
"[Base].[Metrica].&amp;[" &amp; $A86 &amp; "]",
"[Base].[SEGMENTO_DESCRIP]",
"[Base].[SEGMENTO_DESCRIP].&amp;[" &amp; $C$6 &amp; "]",
"[Base].[SITUACION]",
"[Base].[SITUACION].&amp;[" &amp; $C86 &amp; "]"
),0)/1000</f>
        <v>-502.21813567869992</v>
      </c>
      <c r="W86" s="8">
        <f>IFERROR(
GETPIVOTDATA(
"[Base].[Importe]",
TDinamica_R!$A$5,
"[Calendario].[AñoMes]",
"[Calendario].[AñoMes].&amp;[" &amp; TEXT(W$6,"yyyymm") &amp; "]",
"[Base].[Metrica]",
"[Base].[Metrica].&amp;[" &amp; $A86 &amp; "]",
"[Base].[SEGMENTO_DESCRIP]",
"[Base].[SEGMENTO_DESCRIP].&amp;[" &amp; $C$6 &amp; "]",
"[Base].[SITUACION]",
"[Base].[SITUACION].&amp;[" &amp; $C86 &amp; "]"
),0)/1000</f>
        <v>-479.48854798329995</v>
      </c>
      <c r="X86" s="8">
        <f>IFERROR(
GETPIVOTDATA(
"[Base].[Importe]",
TDinamica_R!$A$5,
"[Calendario].[AñoMes]",
"[Calendario].[AñoMes].&amp;[" &amp; TEXT(X$6,"yyyymm") &amp; "]",
"[Base].[Metrica]",
"[Base].[Metrica].&amp;[" &amp; $A86 &amp; "]",
"[Base].[SEGMENTO_DESCRIP]",
"[Base].[SEGMENTO_DESCRIP].&amp;[" &amp; $C$6 &amp; "]",
"[Base].[SITUACION]",
"[Base].[SITUACION].&amp;[" &amp; $C86 &amp; "]"
),0)/1000</f>
        <v>-509.26563627340005</v>
      </c>
      <c r="Y86" s="8">
        <f>IFERROR(
GETPIVOTDATA(
"[Base].[Importe]",
TDinamica_R!$A$5,
"[Calendario].[AñoMes]",
"[Calendario].[AñoMes].&amp;[" &amp; TEXT(Y$6,"yyyymm") &amp; "]",
"[Base].[Metrica]",
"[Base].[Metrica].&amp;[" &amp; $A86 &amp; "]",
"[Base].[SEGMENTO_DESCRIP]",
"[Base].[SEGMENTO_DESCRIP].&amp;[" &amp; $C$6 &amp; "]",
"[Base].[SITUACION]",
"[Base].[SITUACION].&amp;[" &amp; $C86 &amp; "]"
),0)/1000</f>
        <v>-452.34635592709998</v>
      </c>
      <c r="Z86" s="8">
        <f>IFERROR(
GETPIVOTDATA(
"[Base].[Importe]",
TDinamica_R!$A$5,
"[Calendario].[AñoMes]",
"[Calendario].[AñoMes].&amp;[" &amp; TEXT(Z$6,"yyyymm") &amp; "]",
"[Base].[Metrica]",
"[Base].[Metrica].&amp;[" &amp; $A86 &amp; "]",
"[Base].[SEGMENTO_DESCRIP]",
"[Base].[SEGMENTO_DESCRIP].&amp;[" &amp; $C$6 &amp; "]",
"[Base].[SITUACION]",
"[Base].[SITUACION].&amp;[" &amp; $C86 &amp; "]"
),0)/1000</f>
        <v>-421.0469277903</v>
      </c>
      <c r="AA86" s="8">
        <f>IFERROR(
GETPIVOTDATA(
"[Base].[Importe]",
TDinamica_R!$A$5,
"[Calendario].[AñoMes]",
"[Calendario].[AñoMes].&amp;[" &amp; TEXT(AA$6,"yyyymm") &amp; "]",
"[Base].[Metrica]",
"[Base].[Metrica].&amp;[" &amp; $A86 &amp; "]",
"[Base].[SEGMENTO_DESCRIP]",
"[Base].[SEGMENTO_DESCRIP].&amp;[" &amp; $C$6 &amp; "]",
"[Base].[SITUACION]",
"[Base].[SITUACION].&amp;[" &amp; $C86 &amp; "]"
),0)/1000</f>
        <v>-469.56419071139999</v>
      </c>
      <c r="AB86" s="8">
        <f>IFERROR(
GETPIVOTDATA(
"[Base].[Importe]",
TDinamica_R!$A$5,
"[Calendario].[AñoMes]",
"[Calendario].[AñoMes].&amp;[" &amp; TEXT(AB$6,"yyyymm") &amp; "]",
"[Base].[Metrica]",
"[Base].[Metrica].&amp;[" &amp; $A86 &amp; "]",
"[Base].[SEGMENTO_DESCRIP]",
"[Base].[SEGMENTO_DESCRIP].&amp;[" &amp; $C$6 &amp; "]",
"[Base].[SITUACION]",
"[Base].[SITUACION].&amp;[" &amp; $C86 &amp; "]"
),0)/1000</f>
        <v>-405.7889547323</v>
      </c>
      <c r="AC86" s="8">
        <f>IFERROR(
GETPIVOTDATA(
"[Base].[Importe]",
TDinamica_R!$A$5,
"[Calendario].[AñoMes]",
"[Calendario].[AñoMes].&amp;[" &amp; TEXT(AC$6,"yyyymm") &amp; "]",
"[Base].[Metrica]",
"[Base].[Metrica].&amp;[" &amp; $A86 &amp; "]",
"[Base].[SEGMENTO_DESCRIP]",
"[Base].[SEGMENTO_DESCRIP].&amp;[" &amp; $C$6 &amp; "]",
"[Base].[SITUACION]",
"[Base].[SITUACION].&amp;[" &amp; $C86 &amp; "]"
),0)/1000</f>
        <v>-398.99138064240003</v>
      </c>
      <c r="AD86" s="8">
        <f>IFERROR(
GETPIVOTDATA(
"[Base].[Importe]",
TDinamica_R!$A$5,
"[Calendario].[AñoMes]",
"[Calendario].[AñoMes].&amp;[" &amp; TEXT(AD$6,"yyyymm") &amp; "]",
"[Base].[Metrica]",
"[Base].[Metrica].&amp;[" &amp; $A86 &amp; "]",
"[Base].[SEGMENTO_DESCRIP]",
"[Base].[SEGMENTO_DESCRIP].&amp;[" &amp; $C$6 &amp; "]",
"[Base].[SITUACION]",
"[Base].[SITUACION].&amp;[" &amp; $C86 &amp; "]"
),0)/1000</f>
        <v>-498.58260442070002</v>
      </c>
      <c r="AE86" s="8">
        <f>IFERROR(
GETPIVOTDATA(
"[Base].[Importe]",
TDinamica_R!$A$5,
"[Calendario].[AñoMes]",
"[Calendario].[AñoMes].&amp;[" &amp; TEXT(AE$6,"yyyymm") &amp; "]",
"[Base].[Metrica]",
"[Base].[Metrica].&amp;[" &amp; $A86 &amp; "]",
"[Base].[SEGMENTO_DESCRIP]",
"[Base].[SEGMENTO_DESCRIP].&amp;[" &amp; $C$6 &amp; "]",
"[Base].[SITUACION]",
"[Base].[SITUACION].&amp;[" &amp; $C86 &amp; "]"
),0)/1000</f>
        <v>-510.75931007930001</v>
      </c>
      <c r="AF86" s="8">
        <f>IFERROR(
GETPIVOTDATA(
"[Base].[Importe]",
TDinamica_R!$A$5,
"[Calendario].[AñoMes]",
"[Calendario].[AñoMes].&amp;[" &amp; TEXT(AF$6,"yyyymm") &amp; "]",
"[Base].[Metrica]",
"[Base].[Metrica].&amp;[" &amp; $A86 &amp; "]",
"[Base].[SEGMENTO_DESCRIP]",
"[Base].[SEGMENTO_DESCRIP].&amp;[" &amp; $C$6 &amp; "]",
"[Base].[SITUACION]",
"[Base].[SITUACION].&amp;[" &amp; $C86 &amp; "]"
),0)/1000</f>
        <v>-513.34193422610008</v>
      </c>
      <c r="AG86" s="8">
        <f>IFERROR(
GETPIVOTDATA(
"[Base].[Importe]",
TDinamica_R!$A$5,
"[Calendario].[AñoMes]",
"[Calendario].[AñoMes].&amp;[" &amp; TEXT(AG$6,"yyyymm") &amp; "]",
"[Base].[Metrica]",
"[Base].[Metrica].&amp;[" &amp; $A86 &amp; "]",
"[Base].[SEGMENTO_DESCRIP]",
"[Base].[SEGMENTO_DESCRIP].&amp;[" &amp; $C$6 &amp; "]",
"[Base].[SITUACION]",
"[Base].[SITUACION].&amp;[" &amp; $C86 &amp; "]"
),0)/1000</f>
        <v>-518.85455168010003</v>
      </c>
      <c r="AH86" s="8">
        <f>IFERROR(
GETPIVOTDATA(
"[Base].[Importe]",
TDinamica_R!$A$5,
"[Calendario].[AñoMes]",
"[Calendario].[AñoMes].&amp;[" &amp; TEXT(AH$6,"yyyymm") &amp; "]",
"[Base].[Metrica]",
"[Base].[Metrica].&amp;[" &amp; $A86 &amp; "]",
"[Base].[SEGMENTO_DESCRIP]",
"[Base].[SEGMENTO_DESCRIP].&amp;[" &amp; $C$6 &amp; "]",
"[Base].[SITUACION]",
"[Base].[SITUACION].&amp;[" &amp; $C86 &amp; "]"
),0)/1000</f>
        <v>-553.74730710070003</v>
      </c>
      <c r="AI86" s="8">
        <f>IFERROR(
GETPIVOTDATA(
"[Base].[Importe]",
TDinamica_R!$A$5,
"[Calendario].[AñoMes]",
"[Calendario].[AñoMes].&amp;[" &amp; TEXT(AI$6,"yyyymm") &amp; "]",
"[Base].[Metrica]",
"[Base].[Metrica].&amp;[" &amp; $A86 &amp; "]",
"[Base].[SEGMENTO_DESCRIP]",
"[Base].[SEGMENTO_DESCRIP].&amp;[" &amp; $C$6 &amp; "]",
"[Base].[SITUACION]",
"[Base].[SITUACION].&amp;[" &amp; $C86 &amp; "]"
),0)/1000</f>
        <v>-587.52114487350002</v>
      </c>
      <c r="AJ86" s="8">
        <f>IFERROR(
GETPIVOTDATA(
"[Base].[Importe]",
TDinamica_R!$A$5,
"[Calendario].[AñoMes]",
"[Calendario].[AñoMes].&amp;[" &amp; TEXT(AJ$6,"yyyymm") &amp; "]",
"[Base].[Metrica]",
"[Base].[Metrica].&amp;[" &amp; $A86 &amp; "]",
"[Base].[SEGMENTO_DESCRIP]",
"[Base].[SEGMENTO_DESCRIP].&amp;[" &amp; $C$6 &amp; "]",
"[Base].[SITUACION]",
"[Base].[SITUACION].&amp;[" &amp; $C86 &amp; "]"
),0)/1000</f>
        <v>-489.26608060769996</v>
      </c>
      <c r="AK86" s="8">
        <f>IFERROR(
GETPIVOTDATA(
"[Base].[Importe]",
TDinamica_R!$A$5,
"[Calendario].[AñoMes]",
"[Calendario].[AñoMes].&amp;[" &amp; TEXT(AK$6,"yyyymm") &amp; "]",
"[Base].[Metrica]",
"[Base].[Metrica].&amp;[" &amp; $A86 &amp; "]",
"[Base].[SEGMENTO_DESCRIP]",
"[Base].[SEGMENTO_DESCRIP].&amp;[" &amp; $C$6 &amp; "]",
"[Base].[SITUACION]",
"[Base].[SITUACION].&amp;[" &amp; $C86 &amp; "]"
),0)/1000</f>
        <v>-491.90302018009999</v>
      </c>
      <c r="AL86" s="8">
        <f>IFERROR(
GETPIVOTDATA(
"[Base].[Importe]",
TDinamica_R!$A$5,
"[Calendario].[AñoMes]",
"[Calendario].[AñoMes].&amp;[" &amp; TEXT(AL$6,"yyyymm") &amp; "]",
"[Base].[Metrica]",
"[Base].[Metrica].&amp;[" &amp; $A86 &amp; "]",
"[Base].[SEGMENTO_DESCRIP]",
"[Base].[SEGMENTO_DESCRIP].&amp;[" &amp; $C$6 &amp; "]",
"[Base].[SITUACION]",
"[Base].[SITUACION].&amp;[" &amp; $C86 &amp; "]"
),0)/1000</f>
        <v>-481.70469720929998</v>
      </c>
      <c r="AM86" s="8">
        <f>IFERROR(
GETPIVOTDATA(
"[Base].[Importe]",
TDinamica_R!$A$5,
"[Calendario].[AñoMes]",
"[Calendario].[AñoMes].&amp;[" &amp; TEXT(AM$6,"yyyymm") &amp; "]",
"[Base].[Metrica]",
"[Base].[Metrica].&amp;[" &amp; $A86 &amp; "]",
"[Base].[SEGMENTO_DESCRIP]",
"[Base].[SEGMENTO_DESCRIP].&amp;[" &amp; $C$6 &amp; "]",
"[Base].[SITUACION]",
"[Base].[SITUACION].&amp;[" &amp; $C86 &amp; "]"
),0)/1000</f>
        <v>-739.49367345100006</v>
      </c>
      <c r="AN86" s="8">
        <f>IFERROR(
GETPIVOTDATA(
"[Base].[Importe]",
TDinamica_R!$A$5,
"[Calendario].[AñoMes]",
"[Calendario].[AñoMes].&amp;[" &amp; TEXT(AN$6,"yyyymm") &amp; "]",
"[Base].[Metrica]",
"[Base].[Metrica].&amp;[" &amp; $A86 &amp; "]",
"[Base].[SEGMENTO_DESCRIP]",
"[Base].[SEGMENTO_DESCRIP].&amp;[" &amp; $C$6 &amp; "]",
"[Base].[SITUACION]",
"[Base].[SITUACION].&amp;[" &amp; $C86 &amp; "]"
),0)/1000</f>
        <v>-569.8913892528999</v>
      </c>
      <c r="AO86" s="8">
        <f>IFERROR(
GETPIVOTDATA(
"[Base].[Importe]",
TDinamica_R!$A$5,
"[Calendario].[AñoMes]",
"[Calendario].[AñoMes].&amp;[" &amp; TEXT(AO$6,"yyyymm") &amp; "]",
"[Base].[Metrica]",
"[Base].[Metrica].&amp;[" &amp; $A86 &amp; "]",
"[Base].[SEGMENTO_DESCRIP]",
"[Base].[SEGMENTO_DESCRIP].&amp;[" &amp; $C$6 &amp; "]",
"[Base].[SITUACION]",
"[Base].[SITUACION].&amp;[" &amp; $C86 &amp; "]"
),0)/1000</f>
        <v>-598.09355247940005</v>
      </c>
      <c r="AP86" s="8">
        <f>IFERROR(
GETPIVOTDATA(
"[Base].[Importe]",
TDinamica_R!$A$5,
"[Calendario].[AñoMes]",
"[Calendario].[AñoMes].&amp;[" &amp; TEXT(AP$6,"yyyymm") &amp; "]",
"[Base].[Metrica]",
"[Base].[Metrica].&amp;[" &amp; $A86 &amp; "]",
"[Base].[SEGMENTO_DESCRIP]",
"[Base].[SEGMENTO_DESCRIP].&amp;[" &amp; $C$6 &amp; "]",
"[Base].[SITUACION]",
"[Base].[SITUACION].&amp;[" &amp; $C86 &amp; "]"
),0)/1000</f>
        <v>-660.4219256957</v>
      </c>
      <c r="AQ86" s="8">
        <f>IFERROR(
GETPIVOTDATA(
"[Base].[Importe]",
TDinamica_R!$A$5,
"[Calendario].[AñoMes]",
"[Calendario].[AñoMes].&amp;[" &amp; TEXT(AQ$6,"yyyymm") &amp; "]",
"[Base].[Metrica]",
"[Base].[Metrica].&amp;[" &amp; $A86 &amp; "]",
"[Base].[SEGMENTO_DESCRIP]",
"[Base].[SEGMENTO_DESCRIP].&amp;[" &amp; $C$6 &amp; "]",
"[Base].[SITUACION]",
"[Base].[SITUACION].&amp;[" &amp; $C86 &amp; "]"
),0)/1000</f>
        <v>-730.72436836480006</v>
      </c>
      <c r="AR86" s="8">
        <f>IFERROR(
GETPIVOTDATA(
"[Base].[Importe]",
TDinamica_R!$A$5,
"[Calendario].[AñoMes]",
"[Calendario].[AñoMes].&amp;[" &amp; TEXT(AR$6,"yyyymm") &amp; "]",
"[Base].[Metrica]",
"[Base].[Metrica].&amp;[" &amp; $A86 &amp; "]",
"[Base].[SEGMENTO_DESCRIP]",
"[Base].[SEGMENTO_DESCRIP].&amp;[" &amp; $C$6 &amp; "]",
"[Base].[SITUACION]",
"[Base].[SITUACION].&amp;[" &amp; $C86 &amp; "]"
),0)/1000</f>
        <v>-672.95749721719994</v>
      </c>
      <c r="AS86" s="8">
        <f>IFERROR(
GETPIVOTDATA(
"[Base].[Importe]",
TDinamica_R!$A$5,
"[Calendario].[AñoMes]",
"[Calendario].[AñoMes].&amp;[" &amp; TEXT(AS$6,"yyyymm") &amp; "]",
"[Base].[Metrica]",
"[Base].[Metrica].&amp;[" &amp; $A86 &amp; "]",
"[Base].[SEGMENTO_DESCRIP]",
"[Base].[SEGMENTO_DESCRIP].&amp;[" &amp; $C$6 &amp; "]",
"[Base].[SITUACION]",
"[Base].[SITUACION].&amp;[" &amp; $C86 &amp; "]"
),0)/1000</f>
        <v>-744.87779714150008</v>
      </c>
      <c r="AT86" s="8">
        <f>IFERROR(
GETPIVOTDATA(
"[Base].[Importe]",
TDinamica_R!$A$5,
"[Calendario].[AñoMes]",
"[Calendario].[AñoMes].&amp;[" &amp; TEXT(AT$6,"yyyymm")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U86" s="8">
        <f>IFERROR(
GETPIVOTDATA(
"[Base].[Importe]",
TDinamica_R!$A$5,
"[Calendario].[AñoMes]",
"[Calendario].[AñoMes].&amp;[" &amp; TEXT(AU$6,"yyyymm")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V86" s="8">
        <f>IFERROR(
GETPIVOTDATA(
"[Base].[Importe]",
TDinamica_R!$A$5,
"[Calendario].[AñoMes]",
"[Calendario].[AñoMes].&amp;[" &amp; TEXT(AV$6,"yyyymm")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W86" s="8">
        <f>IFERROR(
GETPIVOTDATA(
"[Base].[Importe]",
TDinamica_R!$A$5,
"[Calendario].[AñoMes]",
"[Calendario].[AñoMes].&amp;[" &amp; TEXT(AW$6,"yyyymm")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X86" s="8">
        <f>IFERROR(
GETPIVOTDATA(
"[Base].[Importe]",
TDinamica_R!$A$5,
"[Calendario].[AñoMes]",
"[Calendario].[AñoMes].&amp;[" &amp; TEXT(AX$6,"yyyymm")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Y86" s="8">
        <f>IFERROR(
GETPIVOTDATA(
"[Base].[Importe]",
TDinamica_R!$A$5,
"[Calendario].[AñoMes]",
"[Calendario].[AñoMes].&amp;[" &amp; TEXT(AY$6,"yyyymm")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Z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TEXT(AZ$6,"yyyymm") &amp; "]"
),
0
)</f>
        <v>-586.3015867826</v>
      </c>
      <c r="BA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TEXT(BA$6,"yyyymm") &amp; "]"
),
0
)</f>
        <v>-578.97285383100007</v>
      </c>
      <c r="BB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TEXT(BB$6,"yyyymm") &amp; "]"
),
0
)</f>
        <v>-601.26333091209995</v>
      </c>
      <c r="BC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TEXT(BC$6,"yyyymm") &amp; "]"
),
0
)</f>
        <v>-602.77774878850005</v>
      </c>
      <c r="BD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TEXT(BD$6,"yyyymm") &amp; "]"
),
0
)</f>
        <v>-622.31772603670004</v>
      </c>
      <c r="BE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TEXT(BE$6,"yyyymm") &amp; "]"
),
0
)</f>
        <v>-632.32249542520003</v>
      </c>
      <c r="BF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TEXT(BF$6,"yyyymm") &amp; "]"
),
0
)</f>
        <v>-613.84196077019999</v>
      </c>
      <c r="BG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TEXT(BG$6,"yyyymm") &amp; "]"
),
0
)</f>
        <v>-621.11277021349997</v>
      </c>
      <c r="BH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TEXT(BH$6,"yyyymm") &amp; "]"
),
0
)</f>
        <v>-619.26281086649999</v>
      </c>
      <c r="BI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TEXT(BI$6,"yyyymm") &amp; "]"
),
0
)</f>
        <v>-610.37315782399992</v>
      </c>
      <c r="BJ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TEXT(BJ$6,"yyyymm") &amp; "]"
),
0
)</f>
        <v>-613.36379664180004</v>
      </c>
      <c r="BK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TEXT(BK$6,"yyyymm") &amp; "]"
),
0
)</f>
        <v>-616.34256402710002</v>
      </c>
      <c r="BO86" s="24">
        <f t="shared" ref="BO86:BT88" si="174">SUMIFS($D86:$BM86,$D$6:$BM$6,"&gt;="&amp;BO$2,$D$6:$BM$6,"&lt;="&amp;BO$6,$D$5:$BM$5,BO$5)</f>
        <v>-1828.4068674279997</v>
      </c>
      <c r="BP86" s="24">
        <f t="shared" si="174"/>
        <v>-1766.5377715257</v>
      </c>
      <c r="BQ86" s="24">
        <f t="shared" si="174"/>
        <v>-1167.9849417322998</v>
      </c>
      <c r="BR86" s="24">
        <f t="shared" si="174"/>
        <v>-1303.3629397954001</v>
      </c>
      <c r="BS86" s="24">
        <f t="shared" si="174"/>
        <v>-1152.8087172326</v>
      </c>
      <c r="BT86" s="24">
        <f t="shared" si="174"/>
        <v>-1223.8555608038</v>
      </c>
    </row>
    <row r="87" spans="1:72" hidden="1" outlineLevel="1" x14ac:dyDescent="0.25">
      <c r="A87" s="11" t="s">
        <v>76</v>
      </c>
      <c r="C87" s="2" t="s">
        <v>78</v>
      </c>
      <c r="D87" s="8">
        <f>IFERROR(
GETPIVOTDATA(
"[Base].[Importe]",
TDinamica_R!$A$5,
"[Calendario].[AñoMes]",
"[Calendario].[AñoMes].&amp;[" &amp; TEXT(D$6,"yyyymm") &amp; "]",
"[Base].[Metrica]",
"[Base].[Metrica].&amp;[" &amp; $A87 &amp; "]",
"[Base].[SEGMENTO_DESCRIP]",
"[Base].[SEGMENTO_DESCRIP].&amp;[" &amp; $C$6 &amp; "]",
"[Base].[SITUACION]",
"[Base].[SITUACION].&amp;[" &amp; $C87 &amp; "]"
),0)/1000</f>
        <v>-116.21707919160001</v>
      </c>
      <c r="E87" s="8">
        <f>IFERROR(
GETPIVOTDATA(
"[Base].[Importe]",
TDinamica_R!$A$5,
"[Calendario].[AñoMes]",
"[Calendario].[AñoMes].&amp;[" &amp; TEXT(E$6,"yyyymm") &amp; "]",
"[Base].[Metrica]",
"[Base].[Metrica].&amp;[" &amp; $A87 &amp; "]",
"[Base].[SEGMENTO_DESCRIP]",
"[Base].[SEGMENTO_DESCRIP].&amp;[" &amp; $C$6 &amp; "]",
"[Base].[SITUACION]",
"[Base].[SITUACION].&amp;[" &amp; $C87 &amp; "]"
),0)/1000</f>
        <v>-117.12536495259999</v>
      </c>
      <c r="F87" s="8">
        <f>IFERROR(
GETPIVOTDATA(
"[Base].[Importe]",
TDinamica_R!$A$5,
"[Calendario].[AñoMes]",
"[Calendario].[AñoMes].&amp;[" &amp; TEXT(F$6,"yyyymm") &amp; "]",
"[Base].[Metrica]",
"[Base].[Metrica].&amp;[" &amp; $A87 &amp; "]",
"[Base].[SEGMENTO_DESCRIP]",
"[Base].[SEGMENTO_DESCRIP].&amp;[" &amp; $C$6 &amp; "]",
"[Base].[SITUACION]",
"[Base].[SITUACION].&amp;[" &amp; $C87 &amp; "]"
),0)/1000</f>
        <v>-137.33690590929999</v>
      </c>
      <c r="G87" s="8">
        <f>IFERROR(
GETPIVOTDATA(
"[Base].[Importe]",
TDinamica_R!$A$5,
"[Calendario].[AñoMes]",
"[Calendario].[AñoMes].&amp;[" &amp; TEXT(G$6,"yyyymm") &amp; "]",
"[Base].[Metrica]",
"[Base].[Metrica].&amp;[" &amp; $A87 &amp; "]",
"[Base].[SEGMENTO_DESCRIP]",
"[Base].[SEGMENTO_DESCRIP].&amp;[" &amp; $C$6 &amp; "]",
"[Base].[SITUACION]",
"[Base].[SITUACION].&amp;[" &amp; $C87 &amp; "]"
),0)/1000</f>
        <v>-129.3027899114</v>
      </c>
      <c r="H87" s="8">
        <f>IFERROR(
GETPIVOTDATA(
"[Base].[Importe]",
TDinamica_R!$A$5,
"[Calendario].[AñoMes]",
"[Calendario].[AñoMes].&amp;[" &amp; TEXT(H$6,"yyyymm") &amp; "]",
"[Base].[Metrica]",
"[Base].[Metrica].&amp;[" &amp; $A87 &amp; "]",
"[Base].[SEGMENTO_DESCRIP]",
"[Base].[SEGMENTO_DESCRIP].&amp;[" &amp; $C$6 &amp; "]",
"[Base].[SITUACION]",
"[Base].[SITUACION].&amp;[" &amp; $C87 &amp; "]"
),0)/1000</f>
        <v>-137.75721415799998</v>
      </c>
      <c r="I87" s="8">
        <f>IFERROR(
GETPIVOTDATA(
"[Base].[Importe]",
TDinamica_R!$A$5,
"[Calendario].[AñoMes]",
"[Calendario].[AñoMes].&amp;[" &amp; TEXT(I$6,"yyyymm") &amp; "]",
"[Base].[Metrica]",
"[Base].[Metrica].&amp;[" &amp; $A87 &amp; "]",
"[Base].[SEGMENTO_DESCRIP]",
"[Base].[SEGMENTO_DESCRIP].&amp;[" &amp; $C$6 &amp; "]",
"[Base].[SITUACION]",
"[Base].[SITUACION].&amp;[" &amp; $C87 &amp; "]"
),0)/1000</f>
        <v>-131.02558869409998</v>
      </c>
      <c r="J87" s="8">
        <f>IFERROR(
GETPIVOTDATA(
"[Base].[Importe]",
TDinamica_R!$A$5,
"[Calendario].[AñoMes]",
"[Calendario].[AñoMes].&amp;[" &amp; TEXT(J$6,"yyyymm") &amp; "]",
"[Base].[Metrica]",
"[Base].[Metrica].&amp;[" &amp; $A87 &amp; "]",
"[Base].[SEGMENTO_DESCRIP]",
"[Base].[SEGMENTO_DESCRIP].&amp;[" &amp; $C$6 &amp; "]",
"[Base].[SITUACION]",
"[Base].[SITUACION].&amp;[" &amp; $C87 &amp; "]"
),0)/1000</f>
        <v>-127.8034010874</v>
      </c>
      <c r="K87" s="8">
        <f>IFERROR(
GETPIVOTDATA(
"[Base].[Importe]",
TDinamica_R!$A$5,
"[Calendario].[AñoMes]",
"[Calendario].[AñoMes].&amp;[" &amp; TEXT(K$6,"yyyymm") &amp; "]",
"[Base].[Metrica]",
"[Base].[Metrica].&amp;[" &amp; $A87 &amp; "]",
"[Base].[SEGMENTO_DESCRIP]",
"[Base].[SEGMENTO_DESCRIP].&amp;[" &amp; $C$6 &amp; "]",
"[Base].[SITUACION]",
"[Base].[SITUACION].&amp;[" &amp; $C87 &amp; "]"
),0)/1000</f>
        <v>-130.45468334829999</v>
      </c>
      <c r="L87" s="8">
        <f>IFERROR(
GETPIVOTDATA(
"[Base].[Importe]",
TDinamica_R!$A$5,
"[Calendario].[AñoMes]",
"[Calendario].[AñoMes].&amp;[" &amp; TEXT(L$6,"yyyymm") &amp; "]",
"[Base].[Metrica]",
"[Base].[Metrica].&amp;[" &amp; $A87 &amp; "]",
"[Base].[SEGMENTO_DESCRIP]",
"[Base].[SEGMENTO_DESCRIP].&amp;[" &amp; $C$6 &amp; "]",
"[Base].[SITUACION]",
"[Base].[SITUACION].&amp;[" &amp; $C87 &amp; "]"
),0)/1000</f>
        <v>-127.3185747676</v>
      </c>
      <c r="M87" s="8">
        <f>IFERROR(
GETPIVOTDATA(
"[Base].[Importe]",
TDinamica_R!$A$5,
"[Calendario].[AñoMes]",
"[Calendario].[AñoMes].&amp;[" &amp; TEXT(M$6,"yyyymm") &amp; "]",
"[Base].[Metrica]",
"[Base].[Metrica].&amp;[" &amp; $A87 &amp; "]",
"[Base].[SEGMENTO_DESCRIP]",
"[Base].[SEGMENTO_DESCRIP].&amp;[" &amp; $C$6 &amp; "]",
"[Base].[SITUACION]",
"[Base].[SITUACION].&amp;[" &amp; $C87 &amp; "]"
),0)/1000</f>
        <v>-114.7099681875</v>
      </c>
      <c r="N87" s="8">
        <f>IFERROR(
GETPIVOTDATA(
"[Base].[Importe]",
TDinamica_R!$A$5,
"[Calendario].[AñoMes]",
"[Calendario].[AñoMes].&amp;[" &amp; TEXT(N$6,"yyyymm") &amp; "]",
"[Base].[Metrica]",
"[Base].[Metrica].&amp;[" &amp; $A87 &amp; "]",
"[Base].[SEGMENTO_DESCRIP]",
"[Base].[SEGMENTO_DESCRIP].&amp;[" &amp; $C$6 &amp; "]",
"[Base].[SITUACION]",
"[Base].[SITUACION].&amp;[" &amp; $C87 &amp; "]"
),0)/1000</f>
        <v>-114.51723721569999</v>
      </c>
      <c r="O87" s="8">
        <f>IFERROR(
GETPIVOTDATA(
"[Base].[Importe]",
TDinamica_R!$A$5,
"[Calendario].[AñoMes]",
"[Calendario].[AñoMes].&amp;[" &amp; TEXT(O$6,"yyyymm") &amp; "]",
"[Base].[Metrica]",
"[Base].[Metrica].&amp;[" &amp; $A87 &amp; "]",
"[Base].[SEGMENTO_DESCRIP]",
"[Base].[SEGMENTO_DESCRIP].&amp;[" &amp; $C$6 &amp; "]",
"[Base].[SITUACION]",
"[Base].[SITUACION].&amp;[" &amp; $C87 &amp; "]"
),0)/1000</f>
        <v>-109.96376064299999</v>
      </c>
      <c r="P87" s="8">
        <f>IFERROR(
GETPIVOTDATA(
"[Base].[Importe]",
TDinamica_R!$A$5,
"[Calendario].[AñoMes]",
"[Calendario].[AñoMes].&amp;[" &amp; TEXT(P$6,"yyyymm") &amp; "]",
"[Base].[Metrica]",
"[Base].[Metrica].&amp;[" &amp; $A87 &amp; "]",
"[Base].[SEGMENTO_DESCRIP]",
"[Base].[SEGMENTO_DESCRIP].&amp;[" &amp; $C$6 &amp; "]",
"[Base].[SITUACION]",
"[Base].[SITUACION].&amp;[" &amp; $C87 &amp; "]"
),0)/1000</f>
        <v>-123.29722133060001</v>
      </c>
      <c r="Q87" s="8">
        <f>IFERROR(
GETPIVOTDATA(
"[Base].[Importe]",
TDinamica_R!$A$5,
"[Calendario].[AñoMes]",
"[Calendario].[AñoMes].&amp;[" &amp; TEXT(Q$6,"yyyymm") &amp; "]",
"[Base].[Metrica]",
"[Base].[Metrica].&amp;[" &amp; $A87 &amp; "]",
"[Base].[SEGMENTO_DESCRIP]",
"[Base].[SEGMENTO_DESCRIP].&amp;[" &amp; $C$6 &amp; "]",
"[Base].[SITUACION]",
"[Base].[SITUACION].&amp;[" &amp; $C87 &amp; "]"
),0)/1000</f>
        <v>-126.1577472232</v>
      </c>
      <c r="R87" s="8">
        <f>IFERROR(
GETPIVOTDATA(
"[Base].[Importe]",
TDinamica_R!$A$5,
"[Calendario].[AñoMes]",
"[Calendario].[AñoMes].&amp;[" &amp; TEXT(R$6,"yyyymm") &amp; "]",
"[Base].[Metrica]",
"[Base].[Metrica].&amp;[" &amp; $A87 &amp; "]",
"[Base].[SEGMENTO_DESCRIP]",
"[Base].[SEGMENTO_DESCRIP].&amp;[" &amp; $C$6 &amp; "]",
"[Base].[SITUACION]",
"[Base].[SITUACION].&amp;[" &amp; $C87 &amp; "]"
),0)/1000</f>
        <v>-127.63049992959999</v>
      </c>
      <c r="S87" s="8">
        <f>IFERROR(
GETPIVOTDATA(
"[Base].[Importe]",
TDinamica_R!$A$5,
"[Calendario].[AñoMes]",
"[Calendario].[AñoMes].&amp;[" &amp; TEXT(S$6,"yyyymm") &amp; "]",
"[Base].[Metrica]",
"[Base].[Metrica].&amp;[" &amp; $A87 &amp; "]",
"[Base].[SEGMENTO_DESCRIP]",
"[Base].[SEGMENTO_DESCRIP].&amp;[" &amp; $C$6 &amp; "]",
"[Base].[SITUACION]",
"[Base].[SITUACION].&amp;[" &amp; $C87 &amp; "]"
),0)/1000</f>
        <v>-119.4143915465</v>
      </c>
      <c r="T87" s="8">
        <f>IFERROR(
GETPIVOTDATA(
"[Base].[Importe]",
TDinamica_R!$A$5,
"[Calendario].[AñoMes]",
"[Calendario].[AñoMes].&amp;[" &amp; TEXT(T$6,"yyyymm") &amp; "]",
"[Base].[Metrica]",
"[Base].[Metrica].&amp;[" &amp; $A87 &amp; "]",
"[Base].[SEGMENTO_DESCRIP]",
"[Base].[SEGMENTO_DESCRIP].&amp;[" &amp; $C$6 &amp; "]",
"[Base].[SITUACION]",
"[Base].[SITUACION].&amp;[" &amp; $C87 &amp; "]"
),0)/1000</f>
        <v>-116.9192139411</v>
      </c>
      <c r="U87" s="8">
        <f>IFERROR(
GETPIVOTDATA(
"[Base].[Importe]",
TDinamica_R!$A$5,
"[Calendario].[AñoMes]",
"[Calendario].[AñoMes].&amp;[" &amp; TEXT(U$6,"yyyymm") &amp; "]",
"[Base].[Metrica]",
"[Base].[Metrica].&amp;[" &amp; $A87 &amp; "]",
"[Base].[SEGMENTO_DESCRIP]",
"[Base].[SEGMENTO_DESCRIP].&amp;[" &amp; $C$6 &amp; "]",
"[Base].[SITUACION]",
"[Base].[SITUACION].&amp;[" &amp; $C87 &amp; "]"
),0)/1000</f>
        <v>-106.48183249329999</v>
      </c>
      <c r="V87" s="8">
        <f>IFERROR(
GETPIVOTDATA(
"[Base].[Importe]",
TDinamica_R!$A$5,
"[Calendario].[AñoMes]",
"[Calendario].[AñoMes].&amp;[" &amp; TEXT(V$6,"yyyymm") &amp; "]",
"[Base].[Metrica]",
"[Base].[Metrica].&amp;[" &amp; $A87 &amp; "]",
"[Base].[SEGMENTO_DESCRIP]",
"[Base].[SEGMENTO_DESCRIP].&amp;[" &amp; $C$6 &amp; "]",
"[Base].[SITUACION]",
"[Base].[SITUACION].&amp;[" &amp; $C87 &amp; "]"
),0)/1000</f>
        <v>-130.36990912140001</v>
      </c>
      <c r="W87" s="8">
        <f>IFERROR(
GETPIVOTDATA(
"[Base].[Importe]",
TDinamica_R!$A$5,
"[Calendario].[AñoMes]",
"[Calendario].[AñoMes].&amp;[" &amp; TEXT(W$6,"yyyymm") &amp; "]",
"[Base].[Metrica]",
"[Base].[Metrica].&amp;[" &amp; $A87 &amp; "]",
"[Base].[SEGMENTO_DESCRIP]",
"[Base].[SEGMENTO_DESCRIP].&amp;[" &amp; $C$6 &amp; "]",
"[Base].[SITUACION]",
"[Base].[SITUACION].&amp;[" &amp; $C87 &amp; "]"
),0)/1000</f>
        <v>-130.3547923676</v>
      </c>
      <c r="X87" s="8">
        <f>IFERROR(
GETPIVOTDATA(
"[Base].[Importe]",
TDinamica_R!$A$5,
"[Calendario].[AñoMes]",
"[Calendario].[AñoMes].&amp;[" &amp; TEXT(X$6,"yyyymm") &amp; "]",
"[Base].[Metrica]",
"[Base].[Metrica].&amp;[" &amp; $A87 &amp; "]",
"[Base].[SEGMENTO_DESCRIP]",
"[Base].[SEGMENTO_DESCRIP].&amp;[" &amp; $C$6 &amp; "]",
"[Base].[SITUACION]",
"[Base].[SITUACION].&amp;[" &amp; $C87 &amp; "]"
),0)/1000</f>
        <v>-132.26827382520003</v>
      </c>
      <c r="Y87" s="8">
        <f>IFERROR(
GETPIVOTDATA(
"[Base].[Importe]",
TDinamica_R!$A$5,
"[Calendario].[AñoMes]",
"[Calendario].[AñoMes].&amp;[" &amp; TEXT(Y$6,"yyyymm") &amp; "]",
"[Base].[Metrica]",
"[Base].[Metrica].&amp;[" &amp; $A87 &amp; "]",
"[Base].[SEGMENTO_DESCRIP]",
"[Base].[SEGMENTO_DESCRIP].&amp;[" &amp; $C$6 &amp; "]",
"[Base].[SITUACION]",
"[Base].[SITUACION].&amp;[" &amp; $C87 &amp; "]"
),0)/1000</f>
        <v>-141.36882905930003</v>
      </c>
      <c r="Z87" s="8">
        <f>IFERROR(
GETPIVOTDATA(
"[Base].[Importe]",
TDinamica_R!$A$5,
"[Calendario].[AñoMes]",
"[Calendario].[AñoMes].&amp;[" &amp; TEXT(Z$6,"yyyymm") &amp; "]",
"[Base].[Metrica]",
"[Base].[Metrica].&amp;[" &amp; $A87 &amp; "]",
"[Base].[SEGMENTO_DESCRIP]",
"[Base].[SEGMENTO_DESCRIP].&amp;[" &amp; $C$6 &amp; "]",
"[Base].[SITUACION]",
"[Base].[SITUACION].&amp;[" &amp; $C87 &amp; "]"
),0)/1000</f>
        <v>-147.93398050010001</v>
      </c>
      <c r="AA87" s="8">
        <f>IFERROR(
GETPIVOTDATA(
"[Base].[Importe]",
TDinamica_R!$A$5,
"[Calendario].[AñoMes]",
"[Calendario].[AñoMes].&amp;[" &amp; TEXT(AA$6,"yyyymm") &amp; "]",
"[Base].[Metrica]",
"[Base].[Metrica].&amp;[" &amp; $A87 &amp; "]",
"[Base].[SEGMENTO_DESCRIP]",
"[Base].[SEGMENTO_DESCRIP].&amp;[" &amp; $C$6 &amp; "]",
"[Base].[SITUACION]",
"[Base].[SITUACION].&amp;[" &amp; $C87 &amp; "]"
),0)/1000</f>
        <v>-135.39891358289998</v>
      </c>
      <c r="AB87" s="8">
        <f>IFERROR(
GETPIVOTDATA(
"[Base].[Importe]",
TDinamica_R!$A$5,
"[Calendario].[AñoMes]",
"[Calendario].[AñoMes].&amp;[" &amp; TEXT(AB$6,"yyyymm") &amp; "]",
"[Base].[Metrica]",
"[Base].[Metrica].&amp;[" &amp; $A87 &amp; "]",
"[Base].[SEGMENTO_DESCRIP]",
"[Base].[SEGMENTO_DESCRIP].&amp;[" &amp; $C$6 &amp; "]",
"[Base].[SITUACION]",
"[Base].[SITUACION].&amp;[" &amp; $C87 &amp; "]"
),0)/1000</f>
        <v>-145.2052959541</v>
      </c>
      <c r="AC87" s="8">
        <f>IFERROR(
GETPIVOTDATA(
"[Base].[Importe]",
TDinamica_R!$A$5,
"[Calendario].[AñoMes]",
"[Calendario].[AñoMes].&amp;[" &amp; TEXT(AC$6,"yyyymm") &amp; "]",
"[Base].[Metrica]",
"[Base].[Metrica].&amp;[" &amp; $A87 &amp; "]",
"[Base].[SEGMENTO_DESCRIP]",
"[Base].[SEGMENTO_DESCRIP].&amp;[" &amp; $C$6 &amp; "]",
"[Base].[SITUACION]",
"[Base].[SITUACION].&amp;[" &amp; $C87 &amp; "]"
),0)/1000</f>
        <v>-142.38266710670001</v>
      </c>
      <c r="AD87" s="8">
        <f>IFERROR(
GETPIVOTDATA(
"[Base].[Importe]",
TDinamica_R!$A$5,
"[Calendario].[AñoMes]",
"[Calendario].[AñoMes].&amp;[" &amp; TEXT(AD$6,"yyyymm") &amp; "]",
"[Base].[Metrica]",
"[Base].[Metrica].&amp;[" &amp; $A87 &amp; "]",
"[Base].[SEGMENTO_DESCRIP]",
"[Base].[SEGMENTO_DESCRIP].&amp;[" &amp; $C$6 &amp; "]",
"[Base].[SITUACION]",
"[Base].[SITUACION].&amp;[" &amp; $C87 &amp; "]"
),0)/1000</f>
        <v>-151.22751546130002</v>
      </c>
      <c r="AE87" s="8">
        <f>IFERROR(
GETPIVOTDATA(
"[Base].[Importe]",
TDinamica_R!$A$5,
"[Calendario].[AñoMes]",
"[Calendario].[AñoMes].&amp;[" &amp; TEXT(AE$6,"yyyymm") &amp; "]",
"[Base].[Metrica]",
"[Base].[Metrica].&amp;[" &amp; $A87 &amp; "]",
"[Base].[SEGMENTO_DESCRIP]",
"[Base].[SEGMENTO_DESCRIP].&amp;[" &amp; $C$6 &amp; "]",
"[Base].[SITUACION]",
"[Base].[SITUACION].&amp;[" &amp; $C87 &amp; "]"
),0)/1000</f>
        <v>-140.32926035120002</v>
      </c>
      <c r="AF87" s="8">
        <f>IFERROR(
GETPIVOTDATA(
"[Base].[Importe]",
TDinamica_R!$A$5,
"[Calendario].[AñoMes]",
"[Calendario].[AñoMes].&amp;[" &amp; TEXT(AF$6,"yyyymm") &amp; "]",
"[Base].[Metrica]",
"[Base].[Metrica].&amp;[" &amp; $A87 &amp; "]",
"[Base].[SEGMENTO_DESCRIP]",
"[Base].[SEGMENTO_DESCRIP].&amp;[" &amp; $C$6 &amp; "]",
"[Base].[SITUACION]",
"[Base].[SITUACION].&amp;[" &amp; $C87 &amp; "]"
),0)/1000</f>
        <v>-154.74887864839999</v>
      </c>
      <c r="AG87" s="8">
        <f>IFERROR(
GETPIVOTDATA(
"[Base].[Importe]",
TDinamica_R!$A$5,
"[Calendario].[AñoMes]",
"[Calendario].[AñoMes].&amp;[" &amp; TEXT(AG$6,"yyyymm") &amp; "]",
"[Base].[Metrica]",
"[Base].[Metrica].&amp;[" &amp; $A87 &amp; "]",
"[Base].[SEGMENTO_DESCRIP]",
"[Base].[SEGMENTO_DESCRIP].&amp;[" &amp; $C$6 &amp; "]",
"[Base].[SITUACION]",
"[Base].[SITUACION].&amp;[" &amp; $C87 &amp; "]"
),0)/1000</f>
        <v>-137.71561160260003</v>
      </c>
      <c r="AH87" s="8">
        <f>IFERROR(
GETPIVOTDATA(
"[Base].[Importe]",
TDinamica_R!$A$5,
"[Calendario].[AñoMes]",
"[Calendario].[AñoMes].&amp;[" &amp; TEXT(AH$6,"yyyymm") &amp; "]",
"[Base].[Metrica]",
"[Base].[Metrica].&amp;[" &amp; $A87 &amp; "]",
"[Base].[SEGMENTO_DESCRIP]",
"[Base].[SEGMENTO_DESCRIP].&amp;[" &amp; $C$6 &amp; "]",
"[Base].[SITUACION]",
"[Base].[SITUACION].&amp;[" &amp; $C87 &amp; "]"
),0)/1000</f>
        <v>-139.24784993560002</v>
      </c>
      <c r="AI87" s="8">
        <f>IFERROR(
GETPIVOTDATA(
"[Base].[Importe]",
TDinamica_R!$A$5,
"[Calendario].[AñoMes]",
"[Calendario].[AñoMes].&amp;[" &amp; TEXT(AI$6,"yyyymm") &amp; "]",
"[Base].[Metrica]",
"[Base].[Metrica].&amp;[" &amp; $A87 &amp; "]",
"[Base].[SEGMENTO_DESCRIP]",
"[Base].[SEGMENTO_DESCRIP].&amp;[" &amp; $C$6 &amp; "]",
"[Base].[SITUACION]",
"[Base].[SITUACION].&amp;[" &amp; $C87 &amp; "]"
),0)/1000</f>
        <v>-133.07119837349998</v>
      </c>
      <c r="AJ87" s="8">
        <f>IFERROR(
GETPIVOTDATA(
"[Base].[Importe]",
TDinamica_R!$A$5,
"[Calendario].[AñoMes]",
"[Calendario].[AñoMes].&amp;[" &amp; TEXT(AJ$6,"yyyymm") &amp; "]",
"[Base].[Metrica]",
"[Base].[Metrica].&amp;[" &amp; $A87 &amp; "]",
"[Base].[SEGMENTO_DESCRIP]",
"[Base].[SEGMENTO_DESCRIP].&amp;[" &amp; $C$6 &amp; "]",
"[Base].[SITUACION]",
"[Base].[SITUACION].&amp;[" &amp; $C87 &amp; "]"
),0)/1000</f>
        <v>-129.7949296539</v>
      </c>
      <c r="AK87" s="8">
        <f>IFERROR(
GETPIVOTDATA(
"[Base].[Importe]",
TDinamica_R!$A$5,
"[Calendario].[AñoMes]",
"[Calendario].[AñoMes].&amp;[" &amp; TEXT(AK$6,"yyyymm") &amp; "]",
"[Base].[Metrica]",
"[Base].[Metrica].&amp;[" &amp; $A87 &amp; "]",
"[Base].[SEGMENTO_DESCRIP]",
"[Base].[SEGMENTO_DESCRIP].&amp;[" &amp; $C$6 &amp; "]",
"[Base].[SITUACION]",
"[Base].[SITUACION].&amp;[" &amp; $C87 &amp; "]"
),0)/1000</f>
        <v>-146.19456129630001</v>
      </c>
      <c r="AL87" s="8">
        <f>IFERROR(
GETPIVOTDATA(
"[Base].[Importe]",
TDinamica_R!$A$5,
"[Calendario].[AñoMes]",
"[Calendario].[AñoMes].&amp;[" &amp; TEXT(AL$6,"yyyymm") &amp; "]",
"[Base].[Metrica]",
"[Base].[Metrica].&amp;[" &amp; $A87 &amp; "]",
"[Base].[SEGMENTO_DESCRIP]",
"[Base].[SEGMENTO_DESCRIP].&amp;[" &amp; $C$6 &amp; "]",
"[Base].[SITUACION]",
"[Base].[SITUACION].&amp;[" &amp; $C87 &amp; "]"
),0)/1000</f>
        <v>-123.306269333</v>
      </c>
      <c r="AM87" s="8">
        <f>IFERROR(
GETPIVOTDATA(
"[Base].[Importe]",
TDinamica_R!$A$5,
"[Calendario].[AñoMes]",
"[Calendario].[AñoMes].&amp;[" &amp; TEXT(AM$6,"yyyymm") &amp; "]",
"[Base].[Metrica]",
"[Base].[Metrica].&amp;[" &amp; $A87 &amp; "]",
"[Base].[SEGMENTO_DESCRIP]",
"[Base].[SEGMENTO_DESCRIP].&amp;[" &amp; $C$6 &amp; "]",
"[Base].[SITUACION]",
"[Base].[SITUACION].&amp;[" &amp; $C87 &amp; "]"
),0)/1000</f>
        <v>-118.8084587216</v>
      </c>
      <c r="AN87" s="8">
        <f>IFERROR(
GETPIVOTDATA(
"[Base].[Importe]",
TDinamica_R!$A$5,
"[Calendario].[AñoMes]",
"[Calendario].[AñoMes].&amp;[" &amp; TEXT(AN$6,"yyyymm") &amp; "]",
"[Base].[Metrica]",
"[Base].[Metrica].&amp;[" &amp; $A87 &amp; "]",
"[Base].[SEGMENTO_DESCRIP]",
"[Base].[SEGMENTO_DESCRIP].&amp;[" &amp; $C$6 &amp; "]",
"[Base].[SITUACION]",
"[Base].[SITUACION].&amp;[" &amp; $C87 &amp; "]"
),0)/1000</f>
        <v>-153.10923415900001</v>
      </c>
      <c r="AO87" s="8">
        <f>IFERROR(
GETPIVOTDATA(
"[Base].[Importe]",
TDinamica_R!$A$5,
"[Calendario].[AñoMes]",
"[Calendario].[AñoMes].&amp;[" &amp; TEXT(AO$6,"yyyymm") &amp; "]",
"[Base].[Metrica]",
"[Base].[Metrica].&amp;[" &amp; $A87 &amp; "]",
"[Base].[SEGMENTO_DESCRIP]",
"[Base].[SEGMENTO_DESCRIP].&amp;[" &amp; $C$6 &amp; "]",
"[Base].[SITUACION]",
"[Base].[SITUACION].&amp;[" &amp; $C87 &amp; "]"
),0)/1000</f>
        <v>-175.21785022500001</v>
      </c>
      <c r="AP87" s="8">
        <f>IFERROR(
GETPIVOTDATA(
"[Base].[Importe]",
TDinamica_R!$A$5,
"[Calendario].[AñoMes]",
"[Calendario].[AñoMes].&amp;[" &amp; TEXT(AP$6,"yyyymm") &amp; "]",
"[Base].[Metrica]",
"[Base].[Metrica].&amp;[" &amp; $A87 &amp; "]",
"[Base].[SEGMENTO_DESCRIP]",
"[Base].[SEGMENTO_DESCRIP].&amp;[" &amp; $C$6 &amp; "]",
"[Base].[SITUACION]",
"[Base].[SITUACION].&amp;[" &amp; $C87 &amp; "]"
),0)/1000</f>
        <v>-175.7611317441</v>
      </c>
      <c r="AQ87" s="8">
        <f>IFERROR(
GETPIVOTDATA(
"[Base].[Importe]",
TDinamica_R!$A$5,
"[Calendario].[AñoMes]",
"[Calendario].[AñoMes].&amp;[" &amp; TEXT(AQ$6,"yyyymm") &amp; "]",
"[Base].[Metrica]",
"[Base].[Metrica].&amp;[" &amp; $A87 &amp; "]",
"[Base].[SEGMENTO_DESCRIP]",
"[Base].[SEGMENTO_DESCRIP].&amp;[" &amp; $C$6 &amp; "]",
"[Base].[SITUACION]",
"[Base].[SITUACION].&amp;[" &amp; $C87 &amp; "]"
),0)/1000</f>
        <v>-200.47739596259999</v>
      </c>
      <c r="AR87" s="8">
        <f>IFERROR(
GETPIVOTDATA(
"[Base].[Importe]",
TDinamica_R!$A$5,
"[Calendario].[AñoMes]",
"[Calendario].[AñoMes].&amp;[" &amp; TEXT(AR$6,"yyyymm") &amp; "]",
"[Base].[Metrica]",
"[Base].[Metrica].&amp;[" &amp; $A87 &amp; "]",
"[Base].[SEGMENTO_DESCRIP]",
"[Base].[SEGMENTO_DESCRIP].&amp;[" &amp; $C$6 &amp; "]",
"[Base].[SITUACION]",
"[Base].[SITUACION].&amp;[" &amp; $C87 &amp; "]"
),0)/1000</f>
        <v>-190.47294350890002</v>
      </c>
      <c r="AS87" s="8">
        <f>IFERROR(
GETPIVOTDATA(
"[Base].[Importe]",
TDinamica_R!$A$5,
"[Calendario].[AñoMes]",
"[Calendario].[AñoMes].&amp;[" &amp; TEXT(AS$6,"yyyymm") &amp; "]",
"[Base].[Metrica]",
"[Base].[Metrica].&amp;[" &amp; $A87 &amp; "]",
"[Base].[SEGMENTO_DESCRIP]",
"[Base].[SEGMENTO_DESCRIP].&amp;[" &amp; $C$6 &amp; "]",
"[Base].[SITUACION]",
"[Base].[SITUACION].&amp;[" &amp; $C87 &amp; "]"
),0)/1000</f>
        <v>-177.2132930981</v>
      </c>
      <c r="AT87" s="8">
        <f>IFERROR(
GETPIVOTDATA(
"[Base].[Importe]",
TDinamica_R!$A$5,
"[Calendario].[AñoMes]",
"[Calendario].[AñoMes].&amp;[" &amp; TEXT(AT$6,"yyyymm")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U87" s="8">
        <f>IFERROR(
GETPIVOTDATA(
"[Base].[Importe]",
TDinamica_R!$A$5,
"[Calendario].[AñoMes]",
"[Calendario].[AñoMes].&amp;[" &amp; TEXT(AU$6,"yyyymm")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V87" s="8">
        <f>IFERROR(
GETPIVOTDATA(
"[Base].[Importe]",
TDinamica_R!$A$5,
"[Calendario].[AñoMes]",
"[Calendario].[AñoMes].&amp;[" &amp; TEXT(AV$6,"yyyymm")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W87" s="8">
        <f>IFERROR(
GETPIVOTDATA(
"[Base].[Importe]",
TDinamica_R!$A$5,
"[Calendario].[AñoMes]",
"[Calendario].[AñoMes].&amp;[" &amp; TEXT(AW$6,"yyyymm")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X87" s="8">
        <f>IFERROR(
GETPIVOTDATA(
"[Base].[Importe]",
TDinamica_R!$A$5,
"[Calendario].[AñoMes]",
"[Calendario].[AñoMes].&amp;[" &amp; TEXT(AX$6,"yyyymm")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Y87" s="8">
        <f>IFERROR(
GETPIVOTDATA(
"[Base].[Importe]",
TDinamica_R!$A$5,
"[Calendario].[AñoMes]",
"[Calendario].[AñoMes].&amp;[" &amp; TEXT(AY$6,"yyyymm")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Z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TEXT(AZ$6,"yyyymm") &amp; "]"
),
0
)</f>
        <v>-196.46185005039999</v>
      </c>
      <c r="BA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TEXT(BA$6,"yyyymm") &amp; "]"
),
0
)</f>
        <v>-196.4487502954</v>
      </c>
      <c r="BB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TEXT(BB$6,"yyyymm") &amp; "]"
),
0
)</f>
        <v>-214.54605481210001</v>
      </c>
      <c r="BC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TEXT(BC$6,"yyyymm") &amp; "]"
),
0
)</f>
        <v>-212.28014485610001</v>
      </c>
      <c r="BD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TEXT(BD$6,"yyyymm") &amp; "]"
),
0
)</f>
        <v>-215.80206809569998</v>
      </c>
      <c r="BE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TEXT(BE$6,"yyyymm") &amp; "]"
),
0
)</f>
        <v>-221.52227382589999</v>
      </c>
      <c r="BF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TEXT(BF$6,"yyyymm") &amp; "]"
),
0
)</f>
        <v>-209.8517951108</v>
      </c>
      <c r="BG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TEXT(BG$6,"yyyymm") &amp; "]"
),
0
)</f>
        <v>-213.88423067679997</v>
      </c>
      <c r="BH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TEXT(BH$6,"yyyymm") &amp; "]"
),
0
)</f>
        <v>-216.51739523659998</v>
      </c>
      <c r="BI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TEXT(BI$6,"yyyymm") &amp; "]"
),
0
)</f>
        <v>-216.71125287780001</v>
      </c>
      <c r="BJ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TEXT(BJ$6,"yyyymm") &amp; "]"
),
0
)</f>
        <v>-210.39305613079998</v>
      </c>
      <c r="BK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TEXT(BK$6,"yyyymm") &amp; "]"
),
0
)</f>
        <v>-203.88373163</v>
      </c>
      <c r="BO87" s="24">
        <f t="shared" si="174"/>
        <v>-504.08821612810004</v>
      </c>
      <c r="BP87" s="24">
        <f t="shared" si="174"/>
        <v>-607.45665515790006</v>
      </c>
      <c r="BQ87" s="24">
        <f t="shared" si="174"/>
        <v>-328.32708438400005</v>
      </c>
      <c r="BR87" s="24">
        <f t="shared" si="174"/>
        <v>-438.81547852210002</v>
      </c>
      <c r="BS87" s="24">
        <f t="shared" si="174"/>
        <v>-377.08546848340001</v>
      </c>
      <c r="BT87" s="24">
        <f t="shared" si="174"/>
        <v>-370.6793500535</v>
      </c>
    </row>
    <row r="88" spans="1:72" hidden="1" outlineLevel="1" x14ac:dyDescent="0.25">
      <c r="A88" s="11" t="s">
        <v>76</v>
      </c>
      <c r="C88" s="2" t="s">
        <v>80</v>
      </c>
      <c r="D88" s="8">
        <f>IFERROR(
GETPIVOTDATA(
"[Base].[Importe]",
TDinamica_R!$A$5,
"[Calendario].[AñoMes]",
"[Calendario].[AñoMes].&amp;[" &amp; TEXT(D$6,"yyyymm") &amp; "]",
"[Base].[Metrica]",
"[Base].[Metrica].&amp;[" &amp; $A88 &amp; "]",
"[Base].[SEGMENTO_DESCRIP]",
"[Base].[SEGMENTO_DESCRIP].&amp;[" &amp; $C$6 &amp; "]",
"[Base].[SITUACION]",
"[Base].[SITUACION].&amp;[" &amp; $C88 &amp; "]"
),0)/1000</f>
        <v>-433.46729245739999</v>
      </c>
      <c r="E88" s="8">
        <f>IFERROR(
GETPIVOTDATA(
"[Base].[Importe]",
TDinamica_R!$A$5,
"[Calendario].[AñoMes]",
"[Calendario].[AñoMes].&amp;[" &amp; TEXT(E$6,"yyyymm") &amp; "]",
"[Base].[Metrica]",
"[Base].[Metrica].&amp;[" &amp; $A88 &amp; "]",
"[Base].[SEGMENTO_DESCRIP]",
"[Base].[SEGMENTO_DESCRIP].&amp;[" &amp; $C$6 &amp; "]",
"[Base].[SITUACION]",
"[Base].[SITUACION].&amp;[" &amp; $C88 &amp; "]"
),0)/1000</f>
        <v>-506.70166742980001</v>
      </c>
      <c r="F88" s="8">
        <f>IFERROR(
GETPIVOTDATA(
"[Base].[Importe]",
TDinamica_R!$A$5,
"[Calendario].[AñoMes]",
"[Calendario].[AñoMes].&amp;[" &amp; TEXT(F$6,"yyyymm") &amp; "]",
"[Base].[Metrica]",
"[Base].[Metrica].&amp;[" &amp; $A88 &amp; "]",
"[Base].[SEGMENTO_DESCRIP]",
"[Base].[SEGMENTO_DESCRIP].&amp;[" &amp; $C$6 &amp; "]",
"[Base].[SITUACION]",
"[Base].[SITUACION].&amp;[" &amp; $C88 &amp; "]"
),0)/1000</f>
        <v>-463.50811363089997</v>
      </c>
      <c r="G88" s="8">
        <f>IFERROR(
GETPIVOTDATA(
"[Base].[Importe]",
TDinamica_R!$A$5,
"[Calendario].[AñoMes]",
"[Calendario].[AñoMes].&amp;[" &amp; TEXT(G$6,"yyyymm") &amp; "]",
"[Base].[Metrica]",
"[Base].[Metrica].&amp;[" &amp; $A88 &amp; "]",
"[Base].[SEGMENTO_DESCRIP]",
"[Base].[SEGMENTO_DESCRIP].&amp;[" &amp; $C$6 &amp; "]",
"[Base].[SITUACION]",
"[Base].[SITUACION].&amp;[" &amp; $C88 &amp; "]"
),0)/1000</f>
        <v>-487.60218706460006</v>
      </c>
      <c r="H88" s="8">
        <f>IFERROR(
GETPIVOTDATA(
"[Base].[Importe]",
TDinamica_R!$A$5,
"[Calendario].[AñoMes]",
"[Calendario].[AñoMes].&amp;[" &amp; TEXT(H$6,"yyyymm") &amp; "]",
"[Base].[Metrica]",
"[Base].[Metrica].&amp;[" &amp; $A88 &amp; "]",
"[Base].[SEGMENTO_DESCRIP]",
"[Base].[SEGMENTO_DESCRIP].&amp;[" &amp; $C$6 &amp; "]",
"[Base].[SITUACION]",
"[Base].[SITUACION].&amp;[" &amp; $C88 &amp; "]"
),0)/1000</f>
        <v>-462.35711886759998</v>
      </c>
      <c r="I88" s="8">
        <f>IFERROR(
GETPIVOTDATA(
"[Base].[Importe]",
TDinamica_R!$A$5,
"[Calendario].[AñoMes]",
"[Calendario].[AñoMes].&amp;[" &amp; TEXT(I$6,"yyyymm") &amp; "]",
"[Base].[Metrica]",
"[Base].[Metrica].&amp;[" &amp; $A88 &amp; "]",
"[Base].[SEGMENTO_DESCRIP]",
"[Base].[SEGMENTO_DESCRIP].&amp;[" &amp; $C$6 &amp; "]",
"[Base].[SITUACION]",
"[Base].[SITUACION].&amp;[" &amp; $C88 &amp; "]"
),0)/1000</f>
        <v>-428.58807003589999</v>
      </c>
      <c r="J88" s="8">
        <f>IFERROR(
GETPIVOTDATA(
"[Base].[Importe]",
TDinamica_R!$A$5,
"[Calendario].[AñoMes]",
"[Calendario].[AñoMes].&amp;[" &amp; TEXT(J$6,"yyyymm") &amp; "]",
"[Base].[Metrica]",
"[Base].[Metrica].&amp;[" &amp; $A88 &amp; "]",
"[Base].[SEGMENTO_DESCRIP]",
"[Base].[SEGMENTO_DESCRIP].&amp;[" &amp; $C$6 &amp; "]",
"[Base].[SITUACION]",
"[Base].[SITUACION].&amp;[" &amp; $C88 &amp; "]"
),0)/1000</f>
        <v>-532.91178803539992</v>
      </c>
      <c r="K88" s="8">
        <f>IFERROR(
GETPIVOTDATA(
"[Base].[Importe]",
TDinamica_R!$A$5,
"[Calendario].[AñoMes]",
"[Calendario].[AñoMes].&amp;[" &amp; TEXT(K$6,"yyyymm") &amp; "]",
"[Base].[Metrica]",
"[Base].[Metrica].&amp;[" &amp; $A88 &amp; "]",
"[Base].[SEGMENTO_DESCRIP]",
"[Base].[SEGMENTO_DESCRIP].&amp;[" &amp; $C$6 &amp; "]",
"[Base].[SITUACION]",
"[Base].[SITUACION].&amp;[" &amp; $C88 &amp; "]"
),0)/1000</f>
        <v>-434.99738606450006</v>
      </c>
      <c r="L88" s="8">
        <f>IFERROR(
GETPIVOTDATA(
"[Base].[Importe]",
TDinamica_R!$A$5,
"[Calendario].[AñoMes]",
"[Calendario].[AñoMes].&amp;[" &amp; TEXT(L$6,"yyyymm") &amp; "]",
"[Base].[Metrica]",
"[Base].[Metrica].&amp;[" &amp; $A88 &amp; "]",
"[Base].[SEGMENTO_DESCRIP]",
"[Base].[SEGMENTO_DESCRIP].&amp;[" &amp; $C$6 &amp; "]",
"[Base].[SITUACION]",
"[Base].[SITUACION].&amp;[" &amp; $C88 &amp; "]"
),0)/1000</f>
        <v>-489.8574332668</v>
      </c>
      <c r="M88" s="8">
        <f>IFERROR(
GETPIVOTDATA(
"[Base].[Importe]",
TDinamica_R!$A$5,
"[Calendario].[AñoMes]",
"[Calendario].[AñoMes].&amp;[" &amp; TEXT(M$6,"yyyymm") &amp; "]",
"[Base].[Metrica]",
"[Base].[Metrica].&amp;[" &amp; $A88 &amp; "]",
"[Base].[SEGMENTO_DESCRIP]",
"[Base].[SEGMENTO_DESCRIP].&amp;[" &amp; $C$6 &amp; "]",
"[Base].[SITUACION]",
"[Base].[SITUACION].&amp;[" &amp; $C88 &amp; "]"
),0)/1000</f>
        <v>-477.27306016160003</v>
      </c>
      <c r="N88" s="8">
        <f>IFERROR(
GETPIVOTDATA(
"[Base].[Importe]",
TDinamica_R!$A$5,
"[Calendario].[AñoMes]",
"[Calendario].[AñoMes].&amp;[" &amp; TEXT(N$6,"yyyymm") &amp; "]",
"[Base].[Metrica]",
"[Base].[Metrica].&amp;[" &amp; $A88 &amp; "]",
"[Base].[SEGMENTO_DESCRIP]",
"[Base].[SEGMENTO_DESCRIP].&amp;[" &amp; $C$6 &amp; "]",
"[Base].[SITUACION]",
"[Base].[SITUACION].&amp;[" &amp; $C88 &amp; "]"
),0)/1000</f>
        <v>-544.78006806740007</v>
      </c>
      <c r="O88" s="8">
        <f>IFERROR(
GETPIVOTDATA(
"[Base].[Importe]",
TDinamica_R!$A$5,
"[Calendario].[AñoMes]",
"[Calendario].[AñoMes].&amp;[" &amp; TEXT(O$6,"yyyymm") &amp; "]",
"[Base].[Metrica]",
"[Base].[Metrica].&amp;[" &amp; $A88 &amp; "]",
"[Base].[SEGMENTO_DESCRIP]",
"[Base].[SEGMENTO_DESCRIP].&amp;[" &amp; $C$6 &amp; "]",
"[Base].[SITUACION]",
"[Base].[SITUACION].&amp;[" &amp; $C88 &amp; "]"
),0)/1000</f>
        <v>-459.30100207389995</v>
      </c>
      <c r="P88" s="8">
        <f>IFERROR(
GETPIVOTDATA(
"[Base].[Importe]",
TDinamica_R!$A$5,
"[Calendario].[AñoMes]",
"[Calendario].[AñoMes].&amp;[" &amp; TEXT(P$6,"yyyymm") &amp; "]",
"[Base].[Metrica]",
"[Base].[Metrica].&amp;[" &amp; $A88 &amp; "]",
"[Base].[SEGMENTO_DESCRIP]",
"[Base].[SEGMENTO_DESCRIP].&amp;[" &amp; $C$6 &amp; "]",
"[Base].[SITUACION]",
"[Base].[SITUACION].&amp;[" &amp; $C88 &amp; "]"
),0)/1000</f>
        <v>-478.02206456939996</v>
      </c>
      <c r="Q88" s="8">
        <f>IFERROR(
GETPIVOTDATA(
"[Base].[Importe]",
TDinamica_R!$A$5,
"[Calendario].[AñoMes]",
"[Calendario].[AñoMes].&amp;[" &amp; TEXT(Q$6,"yyyymm") &amp; "]",
"[Base].[Metrica]",
"[Base].[Metrica].&amp;[" &amp; $A88 &amp; "]",
"[Base].[SEGMENTO_DESCRIP]",
"[Base].[SEGMENTO_DESCRIP].&amp;[" &amp; $C$6 &amp; "]",
"[Base].[SITUACION]",
"[Base].[SITUACION].&amp;[" &amp; $C88 &amp; "]"
),0)/1000</f>
        <v>-505.20549110790006</v>
      </c>
      <c r="R88" s="8">
        <f>IFERROR(
GETPIVOTDATA(
"[Base].[Importe]",
TDinamica_R!$A$5,
"[Calendario].[AñoMes]",
"[Calendario].[AñoMes].&amp;[" &amp; TEXT(R$6,"yyyymm") &amp; "]",
"[Base].[Metrica]",
"[Base].[Metrica].&amp;[" &amp; $A88 &amp; "]",
"[Base].[SEGMENTO_DESCRIP]",
"[Base].[SEGMENTO_DESCRIP].&amp;[" &amp; $C$6 &amp; "]",
"[Base].[SITUACION]",
"[Base].[SITUACION].&amp;[" &amp; $C88 &amp; "]"
),0)/1000</f>
        <v>-443.15357077380003</v>
      </c>
      <c r="S88" s="8">
        <f>IFERROR(
GETPIVOTDATA(
"[Base].[Importe]",
TDinamica_R!$A$5,
"[Calendario].[AñoMes]",
"[Calendario].[AñoMes].&amp;[" &amp; TEXT(S$6,"yyyymm") &amp; "]",
"[Base].[Metrica]",
"[Base].[Metrica].&amp;[" &amp; $A88 &amp; "]",
"[Base].[SEGMENTO_DESCRIP]",
"[Base].[SEGMENTO_DESCRIP].&amp;[" &amp; $C$6 &amp; "]",
"[Base].[SITUACION]",
"[Base].[SITUACION].&amp;[" &amp; $C88 &amp; "]"
),0)/1000</f>
        <v>-487.84786291729995</v>
      </c>
      <c r="T88" s="8">
        <f>IFERROR(
GETPIVOTDATA(
"[Base].[Importe]",
TDinamica_R!$A$5,
"[Calendario].[AñoMes]",
"[Calendario].[AñoMes].&amp;[" &amp; TEXT(T$6,"yyyymm") &amp; "]",
"[Base].[Metrica]",
"[Base].[Metrica].&amp;[" &amp; $A88 &amp; "]",
"[Base].[SEGMENTO_DESCRIP]",
"[Base].[SEGMENTO_DESCRIP].&amp;[" &amp; $C$6 &amp; "]",
"[Base].[SITUACION]",
"[Base].[SITUACION].&amp;[" &amp; $C88 &amp; "]"
),0)/1000</f>
        <v>-574.5348141421</v>
      </c>
      <c r="U88" s="8">
        <f>IFERROR(
GETPIVOTDATA(
"[Base].[Importe]",
TDinamica_R!$A$5,
"[Calendario].[AñoMes]",
"[Calendario].[AñoMes].&amp;[" &amp; TEXT(U$6,"yyyymm") &amp; "]",
"[Base].[Metrica]",
"[Base].[Metrica].&amp;[" &amp; $A88 &amp; "]",
"[Base].[SEGMENTO_DESCRIP]",
"[Base].[SEGMENTO_DESCRIP].&amp;[" &amp; $C$6 &amp; "]",
"[Base].[SITUACION]",
"[Base].[SITUACION].&amp;[" &amp; $C88 &amp; "]"
),0)/1000</f>
        <v>-803.96359469570007</v>
      </c>
      <c r="V88" s="8">
        <f>IFERROR(
GETPIVOTDATA(
"[Base].[Importe]",
TDinamica_R!$A$5,
"[Calendario].[AñoMes]",
"[Calendario].[AñoMes].&amp;[" &amp; TEXT(V$6,"yyyymm") &amp; "]",
"[Base].[Metrica]",
"[Base].[Metrica].&amp;[" &amp; $A88 &amp; "]",
"[Base].[SEGMENTO_DESCRIP]",
"[Base].[SEGMENTO_DESCRIP].&amp;[" &amp; $C$6 &amp; "]",
"[Base].[SITUACION]",
"[Base].[SITUACION].&amp;[" &amp; $C88 &amp; "]"
),0)/1000</f>
        <v>-679.10794942829989</v>
      </c>
      <c r="W88" s="8">
        <f>IFERROR(
GETPIVOTDATA(
"[Base].[Importe]",
TDinamica_R!$A$5,
"[Calendario].[AñoMes]",
"[Calendario].[AñoMes].&amp;[" &amp; TEXT(W$6,"yyyymm") &amp; "]",
"[Base].[Metrica]",
"[Base].[Metrica].&amp;[" &amp; $A88 &amp; "]",
"[Base].[SEGMENTO_DESCRIP]",
"[Base].[SEGMENTO_DESCRIP].&amp;[" &amp; $C$6 &amp; "]",
"[Base].[SITUACION]",
"[Base].[SITUACION].&amp;[" &amp; $C88 &amp; "]"
),0)/1000</f>
        <v>-582.10182155270002</v>
      </c>
      <c r="X88" s="8">
        <f>IFERROR(
GETPIVOTDATA(
"[Base].[Importe]",
TDinamica_R!$A$5,
"[Calendario].[AñoMes]",
"[Calendario].[AñoMes].&amp;[" &amp; TEXT(X$6,"yyyymm") &amp; "]",
"[Base].[Metrica]",
"[Base].[Metrica].&amp;[" &amp; $A88 &amp; "]",
"[Base].[SEGMENTO_DESCRIP]",
"[Base].[SEGMENTO_DESCRIP].&amp;[" &amp; $C$6 &amp; "]",
"[Base].[SITUACION]",
"[Base].[SITUACION].&amp;[" &amp; $C88 &amp; "]"
),0)/1000</f>
        <v>-528.2901792939</v>
      </c>
      <c r="Y88" s="8">
        <f>IFERROR(
GETPIVOTDATA(
"[Base].[Importe]",
TDinamica_R!$A$5,
"[Calendario].[AñoMes]",
"[Calendario].[AñoMes].&amp;[" &amp; TEXT(Y$6,"yyyymm") &amp; "]",
"[Base].[Metrica]",
"[Base].[Metrica].&amp;[" &amp; $A88 &amp; "]",
"[Base].[SEGMENTO_DESCRIP]",
"[Base].[SEGMENTO_DESCRIP].&amp;[" &amp; $C$6 &amp; "]",
"[Base].[SITUACION]",
"[Base].[SITUACION].&amp;[" &amp; $C88 &amp; "]"
),0)/1000</f>
        <v>-499.79073025000002</v>
      </c>
      <c r="Z88" s="8">
        <f>IFERROR(
GETPIVOTDATA(
"[Base].[Importe]",
TDinamica_R!$A$5,
"[Calendario].[AñoMes]",
"[Calendario].[AñoMes].&amp;[" &amp; TEXT(Z$6,"yyyymm") &amp; "]",
"[Base].[Metrica]",
"[Base].[Metrica].&amp;[" &amp; $A88 &amp; "]",
"[Base].[SEGMENTO_DESCRIP]",
"[Base].[SEGMENTO_DESCRIP].&amp;[" &amp; $C$6 &amp; "]",
"[Base].[SITUACION]",
"[Base].[SITUACION].&amp;[" &amp; $C88 &amp; "]"
),0)/1000</f>
        <v>-548.97646939380002</v>
      </c>
      <c r="AA88" s="8">
        <f>IFERROR(
GETPIVOTDATA(
"[Base].[Importe]",
TDinamica_R!$A$5,
"[Calendario].[AñoMes]",
"[Calendario].[AñoMes].&amp;[" &amp; TEXT(AA$6,"yyyymm") &amp; "]",
"[Base].[Metrica]",
"[Base].[Metrica].&amp;[" &amp; $A88 &amp; "]",
"[Base].[SEGMENTO_DESCRIP]",
"[Base].[SEGMENTO_DESCRIP].&amp;[" &amp; $C$6 &amp; "]",
"[Base].[SITUACION]",
"[Base].[SITUACION].&amp;[" &amp; $C88 &amp; "]"
),0)/1000</f>
        <v>-536.76044421750009</v>
      </c>
      <c r="AB88" s="8">
        <f>IFERROR(
GETPIVOTDATA(
"[Base].[Importe]",
TDinamica_R!$A$5,
"[Calendario].[AñoMes]",
"[Calendario].[AñoMes].&amp;[" &amp; TEXT(AB$6,"yyyymm") &amp; "]",
"[Base].[Metrica]",
"[Base].[Metrica].&amp;[" &amp; $A88 &amp; "]",
"[Base].[SEGMENTO_DESCRIP]",
"[Base].[SEGMENTO_DESCRIP].&amp;[" &amp; $C$6 &amp; "]",
"[Base].[SITUACION]",
"[Base].[SITUACION].&amp;[" &amp; $C88 &amp; "]"
),0)/1000</f>
        <v>-597.98500942729993</v>
      </c>
      <c r="AC88" s="8">
        <f>IFERROR(
GETPIVOTDATA(
"[Base].[Importe]",
TDinamica_R!$A$5,
"[Calendario].[AñoMes]",
"[Calendario].[AñoMes].&amp;[" &amp; TEXT(AC$6,"yyyymm") &amp; "]",
"[Base].[Metrica]",
"[Base].[Metrica].&amp;[" &amp; $A88 &amp; "]",
"[Base].[SEGMENTO_DESCRIP]",
"[Base].[SEGMENTO_DESCRIP].&amp;[" &amp; $C$6 &amp; "]",
"[Base].[SITUACION]",
"[Base].[SITUACION].&amp;[" &amp; $C88 &amp; "]"
),0)/1000</f>
        <v>-491.83029220989999</v>
      </c>
      <c r="AD88" s="8">
        <f>IFERROR(
GETPIVOTDATA(
"[Base].[Importe]",
TDinamica_R!$A$5,
"[Calendario].[AñoMes]",
"[Calendario].[AñoMes].&amp;[" &amp; TEXT(AD$6,"yyyymm") &amp; "]",
"[Base].[Metrica]",
"[Base].[Metrica].&amp;[" &amp; $A88 &amp; "]",
"[Base].[SEGMENTO_DESCRIP]",
"[Base].[SEGMENTO_DESCRIP].&amp;[" &amp; $C$6 &amp; "]",
"[Base].[SITUACION]",
"[Base].[SITUACION].&amp;[" &amp; $C88 &amp; "]"
),0)/1000</f>
        <v>-532.01105621670001</v>
      </c>
      <c r="AE88" s="8">
        <f>IFERROR(
GETPIVOTDATA(
"[Base].[Importe]",
TDinamica_R!$A$5,
"[Calendario].[AñoMes]",
"[Calendario].[AñoMes].&amp;[" &amp; TEXT(AE$6,"yyyymm") &amp; "]",
"[Base].[Metrica]",
"[Base].[Metrica].&amp;[" &amp; $A88 &amp; "]",
"[Base].[SEGMENTO_DESCRIP]",
"[Base].[SEGMENTO_DESCRIP].&amp;[" &amp; $C$6 &amp; "]",
"[Base].[SITUACION]",
"[Base].[SITUACION].&amp;[" &amp; $C88 &amp; "]"
),0)/1000</f>
        <v>-520.58939866840001</v>
      </c>
      <c r="AF88" s="8">
        <f>IFERROR(
GETPIVOTDATA(
"[Base].[Importe]",
TDinamica_R!$A$5,
"[Calendario].[AñoMes]",
"[Calendario].[AñoMes].&amp;[" &amp; TEXT(AF$6,"yyyymm") &amp; "]",
"[Base].[Metrica]",
"[Base].[Metrica].&amp;[" &amp; $A88 &amp; "]",
"[Base].[SEGMENTO_DESCRIP]",
"[Base].[SEGMENTO_DESCRIP].&amp;[" &amp; $C$6 &amp; "]",
"[Base].[SITUACION]",
"[Base].[SITUACION].&amp;[" &amp; $C88 &amp; "]"
),0)/1000</f>
        <v>-559.70498057110001</v>
      </c>
      <c r="AG88" s="8">
        <f>IFERROR(
GETPIVOTDATA(
"[Base].[Importe]",
TDinamica_R!$A$5,
"[Calendario].[AñoMes]",
"[Calendario].[AñoMes].&amp;[" &amp; TEXT(AG$6,"yyyymm") &amp; "]",
"[Base].[Metrica]",
"[Base].[Metrica].&amp;[" &amp; $A88 &amp; "]",
"[Base].[SEGMENTO_DESCRIP]",
"[Base].[SEGMENTO_DESCRIP].&amp;[" &amp; $C$6 &amp; "]",
"[Base].[SITUACION]",
"[Base].[SITUACION].&amp;[" &amp; $C88 &amp; "]"
),0)/1000</f>
        <v>-572.90552334459994</v>
      </c>
      <c r="AH88" s="8">
        <f>IFERROR(
GETPIVOTDATA(
"[Base].[Importe]",
TDinamica_R!$A$5,
"[Calendario].[AñoMes]",
"[Calendario].[AñoMes].&amp;[" &amp; TEXT(AH$6,"yyyymm") &amp; "]",
"[Base].[Metrica]",
"[Base].[Metrica].&amp;[" &amp; $A88 &amp; "]",
"[Base].[SEGMENTO_DESCRIP]",
"[Base].[SEGMENTO_DESCRIP].&amp;[" &amp; $C$6 &amp; "]",
"[Base].[SITUACION]",
"[Base].[SITUACION].&amp;[" &amp; $C88 &amp; "]"
),0)/1000</f>
        <v>-544.48004261610004</v>
      </c>
      <c r="AI88" s="8">
        <f>IFERROR(
GETPIVOTDATA(
"[Base].[Importe]",
TDinamica_R!$A$5,
"[Calendario].[AñoMes]",
"[Calendario].[AñoMes].&amp;[" &amp; TEXT(AI$6,"yyyymm") &amp; "]",
"[Base].[Metrica]",
"[Base].[Metrica].&amp;[" &amp; $A88 &amp; "]",
"[Base].[SEGMENTO_DESCRIP]",
"[Base].[SEGMENTO_DESCRIP].&amp;[" &amp; $C$6 &amp; "]",
"[Base].[SITUACION]",
"[Base].[SITUACION].&amp;[" &amp; $C88 &amp; "]"
),0)/1000</f>
        <v>-539.73981783689999</v>
      </c>
      <c r="AJ88" s="8">
        <f>IFERROR(
GETPIVOTDATA(
"[Base].[Importe]",
TDinamica_R!$A$5,
"[Calendario].[AñoMes]",
"[Calendario].[AñoMes].&amp;[" &amp; TEXT(AJ$6,"yyyymm") &amp; "]",
"[Base].[Metrica]",
"[Base].[Metrica].&amp;[" &amp; $A88 &amp; "]",
"[Base].[SEGMENTO_DESCRIP]",
"[Base].[SEGMENTO_DESCRIP].&amp;[" &amp; $C$6 &amp; "]",
"[Base].[SITUACION]",
"[Base].[SITUACION].&amp;[" &amp; $C88 &amp; "]"
),0)/1000</f>
        <v>-573.64428232509999</v>
      </c>
      <c r="AK88" s="8">
        <f>IFERROR(
GETPIVOTDATA(
"[Base].[Importe]",
TDinamica_R!$A$5,
"[Calendario].[AñoMes]",
"[Calendario].[AñoMes].&amp;[" &amp; TEXT(AK$6,"yyyymm") &amp; "]",
"[Base].[Metrica]",
"[Base].[Metrica].&amp;[" &amp; $A88 &amp; "]",
"[Base].[SEGMENTO_DESCRIP]",
"[Base].[SEGMENTO_DESCRIP].&amp;[" &amp; $C$6 &amp; "]",
"[Base].[SITUACION]",
"[Base].[SITUACION].&amp;[" &amp; $C88 &amp; "]"
),0)/1000</f>
        <v>-502.37200035430004</v>
      </c>
      <c r="AL88" s="8">
        <f>IFERROR(
GETPIVOTDATA(
"[Base].[Importe]",
TDinamica_R!$A$5,
"[Calendario].[AñoMes]",
"[Calendario].[AñoMes].&amp;[" &amp; TEXT(AL$6,"yyyymm") &amp; "]",
"[Base].[Metrica]",
"[Base].[Metrica].&amp;[" &amp; $A88 &amp; "]",
"[Base].[SEGMENTO_DESCRIP]",
"[Base].[SEGMENTO_DESCRIP].&amp;[" &amp; $C$6 &amp; "]",
"[Base].[SITUACION]",
"[Base].[SITUACION].&amp;[" &amp; $C88 &amp; "]"
),0)/1000</f>
        <v>-621.75455189889999</v>
      </c>
      <c r="AM88" s="8">
        <f>IFERROR(
GETPIVOTDATA(
"[Base].[Importe]",
TDinamica_R!$A$5,
"[Calendario].[AñoMes]",
"[Calendario].[AñoMes].&amp;[" &amp; TEXT(AM$6,"yyyymm") &amp; "]",
"[Base].[Metrica]",
"[Base].[Metrica].&amp;[" &amp; $A88 &amp; "]",
"[Base].[SEGMENTO_DESCRIP]",
"[Base].[SEGMENTO_DESCRIP].&amp;[" &amp; $C$6 &amp; "]",
"[Base].[SITUACION]",
"[Base].[SITUACION].&amp;[" &amp; $C88 &amp; "]"
),0)/1000</f>
        <v>-584.86585897780003</v>
      </c>
      <c r="AN88" s="8">
        <f>IFERROR(
GETPIVOTDATA(
"[Base].[Importe]",
TDinamica_R!$A$5,
"[Calendario].[AñoMes]",
"[Calendario].[AñoMes].&amp;[" &amp; TEXT(AN$6,"yyyymm") &amp; "]",
"[Base].[Metrica]",
"[Base].[Metrica].&amp;[" &amp; $A88 &amp; "]",
"[Base].[SEGMENTO_DESCRIP]",
"[Base].[SEGMENTO_DESCRIP].&amp;[" &amp; $C$6 &amp; "]",
"[Base].[SITUACION]",
"[Base].[SITUACION].&amp;[" &amp; $C88 &amp; "]"
),0)/1000</f>
        <v>-698.21772267340009</v>
      </c>
      <c r="AO88" s="8">
        <f>IFERROR(
GETPIVOTDATA(
"[Base].[Importe]",
TDinamica_R!$A$5,
"[Calendario].[AñoMes]",
"[Calendario].[AñoMes].&amp;[" &amp; TEXT(AO$6,"yyyymm") &amp; "]",
"[Base].[Metrica]",
"[Base].[Metrica].&amp;[" &amp; $A88 &amp; "]",
"[Base].[SEGMENTO_DESCRIP]",
"[Base].[SEGMENTO_DESCRIP].&amp;[" &amp; $C$6 &amp; "]",
"[Base].[SITUACION]",
"[Base].[SITUACION].&amp;[" &amp; $C88 &amp; "]"
),0)/1000</f>
        <v>-654.07613289710002</v>
      </c>
      <c r="AP88" s="8">
        <f>IFERROR(
GETPIVOTDATA(
"[Base].[Importe]",
TDinamica_R!$A$5,
"[Calendario].[AñoMes]",
"[Calendario].[AñoMes].&amp;[" &amp; TEXT(AP$6,"yyyymm") &amp; "]",
"[Base].[Metrica]",
"[Base].[Metrica].&amp;[" &amp; $A88 &amp; "]",
"[Base].[SEGMENTO_DESCRIP]",
"[Base].[SEGMENTO_DESCRIP].&amp;[" &amp; $C$6 &amp; "]",
"[Base].[SITUACION]",
"[Base].[SITUACION].&amp;[" &amp; $C88 &amp; "]"
),0)/1000</f>
        <v>-674.20157817280005</v>
      </c>
      <c r="AQ88" s="8">
        <f>IFERROR(
GETPIVOTDATA(
"[Base].[Importe]",
TDinamica_R!$A$5,
"[Calendario].[AñoMes]",
"[Calendario].[AñoMes].&amp;[" &amp; TEXT(AQ$6,"yyyymm") &amp; "]",
"[Base].[Metrica]",
"[Base].[Metrica].&amp;[" &amp; $A88 &amp; "]",
"[Base].[SEGMENTO_DESCRIP]",
"[Base].[SEGMENTO_DESCRIP].&amp;[" &amp; $C$6 &amp; "]",
"[Base].[SITUACION]",
"[Base].[SITUACION].&amp;[" &amp; $C88 &amp; "]"
),0)/1000</f>
        <v>-724.15329262210003</v>
      </c>
      <c r="AR88" s="8">
        <f>IFERROR(
GETPIVOTDATA(
"[Base].[Importe]",
TDinamica_R!$A$5,
"[Calendario].[AñoMes]",
"[Calendario].[AñoMes].&amp;[" &amp; TEXT(AR$6,"yyyymm") &amp; "]",
"[Base].[Metrica]",
"[Base].[Metrica].&amp;[" &amp; $A88 &amp; "]",
"[Base].[SEGMENTO_DESCRIP]",
"[Base].[SEGMENTO_DESCRIP].&amp;[" &amp; $C$6 &amp; "]",
"[Base].[SITUACION]",
"[Base].[SITUACION].&amp;[" &amp; $C88 &amp; "]"
),0)/1000</f>
        <v>-605.32697632079987</v>
      </c>
      <c r="AS88" s="8">
        <f>IFERROR(
GETPIVOTDATA(
"[Base].[Importe]",
TDinamica_R!$A$5,
"[Calendario].[AñoMes]",
"[Calendario].[AñoMes].&amp;[" &amp; TEXT(AS$6,"yyyymm") &amp; "]",
"[Base].[Metrica]",
"[Base].[Metrica].&amp;[" &amp; $A88 &amp; "]",
"[Base].[SEGMENTO_DESCRIP]",
"[Base].[SEGMENTO_DESCRIP].&amp;[" &amp; $C$6 &amp; "]",
"[Base].[SITUACION]",
"[Base].[SITUACION].&amp;[" &amp; $C88 &amp; "]"
),0)/1000</f>
        <v>-712.2789770649</v>
      </c>
      <c r="AT88" s="8">
        <f>IFERROR(
GETPIVOTDATA(
"[Base].[Importe]",
TDinamica_R!$A$5,
"[Calendario].[AñoMes]",
"[Calendario].[AñoMes].&amp;[" &amp; TEXT(AT$6,"yyyymm")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U88" s="8">
        <f>IFERROR(
GETPIVOTDATA(
"[Base].[Importe]",
TDinamica_R!$A$5,
"[Calendario].[AñoMes]",
"[Calendario].[AñoMes].&amp;[" &amp; TEXT(AU$6,"yyyymm")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V88" s="8">
        <f>IFERROR(
GETPIVOTDATA(
"[Base].[Importe]",
TDinamica_R!$A$5,
"[Calendario].[AñoMes]",
"[Calendario].[AñoMes].&amp;[" &amp; TEXT(AV$6,"yyyymm")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W88" s="8">
        <f>IFERROR(
GETPIVOTDATA(
"[Base].[Importe]",
TDinamica_R!$A$5,
"[Calendario].[AñoMes]",
"[Calendario].[AñoMes].&amp;[" &amp; TEXT(AW$6,"yyyymm")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X88" s="8">
        <f>IFERROR(
GETPIVOTDATA(
"[Base].[Importe]",
TDinamica_R!$A$5,
"[Calendario].[AñoMes]",
"[Calendario].[AñoMes].&amp;[" &amp; TEXT(AX$6,"yyyymm")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Y88" s="8">
        <f>IFERROR(
GETPIVOTDATA(
"[Base].[Importe]",
TDinamica_R!$A$5,
"[Calendario].[AñoMes]",
"[Calendario].[AñoMes].&amp;[" &amp; TEXT(AY$6,"yyyymm")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Z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TEXT(AZ$6,"yyyymm") &amp; "]"
),
0
)</f>
        <v>-657.77214650190001</v>
      </c>
      <c r="BA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TEXT(BA$6,"yyyymm") &amp; "]"
),
0
)</f>
        <v>-658.66159174929999</v>
      </c>
      <c r="BB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TEXT(BB$6,"yyyymm") &amp; "]"
),
0
)</f>
        <v>-671.97699051070003</v>
      </c>
      <c r="BC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TEXT(BC$6,"yyyymm") &amp; "]"
),
0
)</f>
        <v>-657.39802369979998</v>
      </c>
      <c r="BD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TEXT(BD$6,"yyyymm") &amp; "]"
),
0
)</f>
        <v>-684.86837843849992</v>
      </c>
      <c r="BE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TEXT(BE$6,"yyyymm") &amp; "]"
),
0
)</f>
        <v>-695.29835727850002</v>
      </c>
      <c r="BF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TEXT(BF$6,"yyyymm") &amp; "]"
),
0
)</f>
        <v>-683.23588698460003</v>
      </c>
      <c r="BG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TEXT(BG$6,"yyyymm") &amp; "]"
),
0
)</f>
        <v>-678.35198077470011</v>
      </c>
      <c r="BH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TEXT(BH$6,"yyyymm") &amp; "]"
),
0
)</f>
        <v>-719.0108573762999</v>
      </c>
      <c r="BI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TEXT(BI$6,"yyyymm") &amp; "]"
),
0
)</f>
        <v>-710.29825083460003</v>
      </c>
      <c r="BJ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TEXT(BJ$6,"yyyymm") &amp; "]"
),
0
)</f>
        <v>-702.60077238169993</v>
      </c>
      <c r="BK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TEXT(BK$6,"yyyymm") &amp; "]"
),
0
)</f>
        <v>-717.12032945450005</v>
      </c>
      <c r="BO88" s="24">
        <f t="shared" si="174"/>
        <v>-2026.4954337433001</v>
      </c>
      <c r="BP88" s="24">
        <f t="shared" si="174"/>
        <v>-1988.4107287618999</v>
      </c>
      <c r="BQ88" s="24">
        <f t="shared" si="174"/>
        <v>-1352.2938555705</v>
      </c>
      <c r="BR88" s="24">
        <f t="shared" si="174"/>
        <v>-1621.8263578538999</v>
      </c>
      <c r="BS88" s="24">
        <f t="shared" si="174"/>
        <v>-1426.3811264511</v>
      </c>
      <c r="BT88" s="24">
        <f t="shared" si="174"/>
        <v>-1403.6770735180999</v>
      </c>
    </row>
    <row r="89" spans="1:72" collapsed="1" x14ac:dyDescent="0.25">
      <c r="C89" s="3" t="s">
        <v>76</v>
      </c>
      <c r="D89" s="10">
        <f>SUM(D86:D88)</f>
        <v>-953.10558363809992</v>
      </c>
      <c r="E89" s="10">
        <f t="shared" ref="E89:AY89" si="175">SUM(E86:E88)</f>
        <v>-1031.4124071410001</v>
      </c>
      <c r="F89" s="10">
        <f t="shared" si="175"/>
        <v>-1013.6939935962999</v>
      </c>
      <c r="G89" s="10">
        <f t="shared" si="175"/>
        <v>-1042.1458311746001</v>
      </c>
      <c r="H89" s="10">
        <f t="shared" si="175"/>
        <v>-1023.7255069358</v>
      </c>
      <c r="I89" s="10">
        <f t="shared" si="175"/>
        <v>-1018.3227577624</v>
      </c>
      <c r="J89" s="10">
        <f t="shared" si="175"/>
        <v>-1069.1853933226998</v>
      </c>
      <c r="K89" s="10">
        <f t="shared" si="175"/>
        <v>-1003.4386315946001</v>
      </c>
      <c r="L89" s="10">
        <f t="shared" si="175"/>
        <v>-1064.3659187445999</v>
      </c>
      <c r="M89" s="10">
        <f t="shared" si="175"/>
        <v>-989.78011917900005</v>
      </c>
      <c r="N89" s="10">
        <f t="shared" si="175"/>
        <v>-1065.5612365613001</v>
      </c>
      <c r="O89" s="10">
        <f t="shared" si="175"/>
        <v>-953.93642815369992</v>
      </c>
      <c r="P89" s="10">
        <f t="shared" si="175"/>
        <v>-971.23746133129998</v>
      </c>
      <c r="Q89" s="10">
        <f t="shared" si="175"/>
        <v>-1042.0817227912</v>
      </c>
      <c r="R89" s="10">
        <f t="shared" si="175"/>
        <v>-942.95612804460006</v>
      </c>
      <c r="S89" s="10">
        <f t="shared" si="175"/>
        <v>-1020.1618378096999</v>
      </c>
      <c r="T89" s="10">
        <f t="shared" si="175"/>
        <v>-1067.7169846846</v>
      </c>
      <c r="U89" s="10">
        <f t="shared" si="175"/>
        <v>-1281.9788641796999</v>
      </c>
      <c r="V89" s="10">
        <f t="shared" si="175"/>
        <v>-1311.6959942283997</v>
      </c>
      <c r="W89" s="10">
        <f t="shared" si="175"/>
        <v>-1191.9451619035999</v>
      </c>
      <c r="X89" s="10">
        <f t="shared" si="175"/>
        <v>-1169.8240893924999</v>
      </c>
      <c r="Y89" s="10">
        <f t="shared" si="175"/>
        <v>-1093.5059152364001</v>
      </c>
      <c r="Z89" s="10">
        <f t="shared" si="175"/>
        <v>-1117.9573776842001</v>
      </c>
      <c r="AA89" s="10">
        <f t="shared" si="175"/>
        <v>-1141.7235485117999</v>
      </c>
      <c r="AB89" s="10">
        <f t="shared" si="175"/>
        <v>-1148.9792601136999</v>
      </c>
      <c r="AC89" s="10">
        <f t="shared" si="175"/>
        <v>-1033.2043399590002</v>
      </c>
      <c r="AD89" s="10">
        <f t="shared" si="175"/>
        <v>-1181.8211760987001</v>
      </c>
      <c r="AE89" s="10">
        <f t="shared" si="175"/>
        <v>-1171.6779690989001</v>
      </c>
      <c r="AF89" s="10">
        <f t="shared" si="175"/>
        <v>-1227.7957934456001</v>
      </c>
      <c r="AG89" s="10">
        <f t="shared" si="175"/>
        <v>-1229.4756866273001</v>
      </c>
      <c r="AH89" s="10">
        <f t="shared" si="175"/>
        <v>-1237.4751996524001</v>
      </c>
      <c r="AI89" s="10">
        <f t="shared" si="175"/>
        <v>-1260.3321610839</v>
      </c>
      <c r="AJ89" s="10">
        <f t="shared" si="175"/>
        <v>-1192.7052925866999</v>
      </c>
      <c r="AK89" s="10">
        <f t="shared" si="175"/>
        <v>-1140.4695818307</v>
      </c>
      <c r="AL89" s="10">
        <f t="shared" si="175"/>
        <v>-1226.7655184412001</v>
      </c>
      <c r="AM89" s="10">
        <f t="shared" si="175"/>
        <v>-1443.1679911504002</v>
      </c>
      <c r="AN89" s="10">
        <f t="shared" si="175"/>
        <v>-1421.2183460853</v>
      </c>
      <c r="AO89" s="10">
        <f t="shared" si="175"/>
        <v>-1427.3875356015001</v>
      </c>
      <c r="AP89" s="10">
        <f t="shared" si="175"/>
        <v>-1510.3846356126001</v>
      </c>
      <c r="AQ89" s="10">
        <f t="shared" si="175"/>
        <v>-1655.3550569495001</v>
      </c>
      <c r="AR89" s="10">
        <f t="shared" si="175"/>
        <v>-1468.7574170468997</v>
      </c>
      <c r="AS89" s="10">
        <f t="shared" si="175"/>
        <v>-1634.3700673045</v>
      </c>
      <c r="AT89" s="10">
        <f t="shared" si="175"/>
        <v>0</v>
      </c>
      <c r="AU89" s="10">
        <f t="shared" si="175"/>
        <v>0</v>
      </c>
      <c r="AV89" s="10">
        <f t="shared" si="175"/>
        <v>0</v>
      </c>
      <c r="AW89" s="10">
        <f t="shared" si="175"/>
        <v>0</v>
      </c>
      <c r="AX89" s="10">
        <f t="shared" si="175"/>
        <v>0</v>
      </c>
      <c r="AY89" s="10">
        <f t="shared" si="175"/>
        <v>0</v>
      </c>
      <c r="AZ89" s="10">
        <f t="shared" ref="AZ89:BK89" si="176">SUM(AZ86:AZ88)</f>
        <v>-1440.5355833348999</v>
      </c>
      <c r="BA89" s="10">
        <f t="shared" si="176"/>
        <v>-1434.0831958757001</v>
      </c>
      <c r="BB89" s="10">
        <f t="shared" si="176"/>
        <v>-1487.7863762349</v>
      </c>
      <c r="BC89" s="10">
        <f t="shared" si="176"/>
        <v>-1472.4559173443999</v>
      </c>
      <c r="BD89" s="10">
        <f t="shared" si="176"/>
        <v>-1522.9881725708999</v>
      </c>
      <c r="BE89" s="10">
        <f t="shared" si="176"/>
        <v>-1549.1431265296001</v>
      </c>
      <c r="BF89" s="10">
        <f t="shared" si="176"/>
        <v>-1506.9296428656</v>
      </c>
      <c r="BG89" s="10">
        <f t="shared" si="176"/>
        <v>-1513.3489816649999</v>
      </c>
      <c r="BH89" s="10">
        <f t="shared" si="176"/>
        <v>-1554.7910634793998</v>
      </c>
      <c r="BI89" s="10">
        <f t="shared" si="176"/>
        <v>-1537.3826615364001</v>
      </c>
      <c r="BJ89" s="10">
        <f t="shared" si="176"/>
        <v>-1526.3576251543</v>
      </c>
      <c r="BK89" s="10">
        <f t="shared" si="176"/>
        <v>-1537.3466251116001</v>
      </c>
      <c r="BO89" s="23">
        <f t="shared" ref="BO89:BT89" si="177">SUM(BO86:BO88)</f>
        <v>-4358.9905172994004</v>
      </c>
      <c r="BP89" s="23">
        <f t="shared" si="177"/>
        <v>-4362.4051554455</v>
      </c>
      <c r="BQ89" s="23">
        <f t="shared" si="177"/>
        <v>-2848.6058816867999</v>
      </c>
      <c r="BR89" s="23">
        <f t="shared" si="177"/>
        <v>-3364.0047761714</v>
      </c>
      <c r="BS89" s="23">
        <f t="shared" si="177"/>
        <v>-2956.2753121671003</v>
      </c>
      <c r="BT89" s="23">
        <f t="shared" si="177"/>
        <v>-2998.2119843753999</v>
      </c>
    </row>
    <row r="91" spans="1:72" hidden="1" outlineLevel="1" x14ac:dyDescent="0.25">
      <c r="A91" s="11" t="s">
        <v>81</v>
      </c>
      <c r="C91" s="2" t="s">
        <v>85</v>
      </c>
      <c r="D91" s="8">
        <f>IFERROR(
GETPIVOTDATA(
"[Base].[Importe]",
TDinamica_R!$A$5,
"[Calendario].[AñoMes]",
"[Calendario].[AñoMes].&amp;[" &amp; TEXT(D$6,"yyyymm")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E91" s="8">
        <f>IFERROR(
GETPIVOTDATA(
"[Base].[Importe]",
TDinamica_R!$A$5,
"[Calendario].[AñoMes]",
"[Calendario].[AñoMes].&amp;[" &amp; TEXT(E$6,"yyyymm")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F91" s="8">
        <f>IFERROR(
GETPIVOTDATA(
"[Base].[Importe]",
TDinamica_R!$A$5,
"[Calendario].[AñoMes]",
"[Calendario].[AñoMes].&amp;[" &amp; TEXT(F$6,"yyyymm")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G91" s="8">
        <f>IFERROR(
GETPIVOTDATA(
"[Base].[Importe]",
TDinamica_R!$A$5,
"[Calendario].[AñoMes]",
"[Calendario].[AñoMes].&amp;[" &amp; TEXT(G$6,"yyyymm")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H91" s="8">
        <f>IFERROR(
GETPIVOTDATA(
"[Base].[Importe]",
TDinamica_R!$A$5,
"[Calendario].[AñoMes]",
"[Calendario].[AñoMes].&amp;[" &amp; TEXT(H$6,"yyyymm")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I91" s="8">
        <f>IFERROR(
GETPIVOTDATA(
"[Base].[Importe]",
TDinamica_R!$A$5,
"[Calendario].[AñoMes]",
"[Calendario].[AñoMes].&amp;[" &amp; TEXT(I$6,"yyyymm")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J91" s="8">
        <f>IFERROR(
GETPIVOTDATA(
"[Base].[Importe]",
TDinamica_R!$A$5,
"[Calendario].[AñoMes]",
"[Calendario].[AñoMes].&amp;[" &amp; TEXT(J$6,"yyyymm")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K91" s="8">
        <f>IFERROR(
GETPIVOTDATA(
"[Base].[Importe]",
TDinamica_R!$A$5,
"[Calendario].[AñoMes]",
"[Calendario].[AñoMes].&amp;[" &amp; TEXT(K$6,"yyyymm")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L91" s="8">
        <f>IFERROR(
GETPIVOTDATA(
"[Base].[Importe]",
TDinamica_R!$A$5,
"[Calendario].[AñoMes]",
"[Calendario].[AñoMes].&amp;[" &amp; TEXT(L$6,"yyyymm")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M91" s="8">
        <f>IFERROR(
GETPIVOTDATA(
"[Base].[Importe]",
TDinamica_R!$A$5,
"[Calendario].[AñoMes]",
"[Calendario].[AñoMes].&amp;[" &amp; TEXT(M$6,"yyyymm")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N91" s="8">
        <f>IFERROR(
GETPIVOTDATA(
"[Base].[Importe]",
TDinamica_R!$A$5,
"[Calendario].[AñoMes]",
"[Calendario].[AñoMes].&amp;[" &amp; TEXT(N$6,"yyyymm")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O91" s="8">
        <f>IFERROR(
GETPIVOTDATA(
"[Base].[Importe]",
TDinamica_R!$A$5,
"[Calendario].[AñoMes]",
"[Calendario].[AñoMes].&amp;[" &amp; TEXT(O$6,"yyyymm")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P91" s="8">
        <f>IFERROR(
GETPIVOTDATA(
"[Base].[Importe]",
TDinamica_R!$A$5,
"[Calendario].[AñoMes]",
"[Calendario].[AñoMes].&amp;[" &amp; TEXT(P$6,"yyyymm")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Q91" s="8">
        <f>IFERROR(
GETPIVOTDATA(
"[Base].[Importe]",
TDinamica_R!$A$5,
"[Calendario].[AñoMes]",
"[Calendario].[AñoMes].&amp;[" &amp; TEXT(Q$6,"yyyymm")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R91" s="8">
        <f>IFERROR(
GETPIVOTDATA(
"[Base].[Importe]",
TDinamica_R!$A$5,
"[Calendario].[AñoMes]",
"[Calendario].[AñoMes].&amp;[" &amp; TEXT(R$6,"yyyymm")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S91" s="8">
        <f>IFERROR(
GETPIVOTDATA(
"[Base].[Importe]",
TDinamica_R!$A$5,
"[Calendario].[AñoMes]",
"[Calendario].[AñoMes].&amp;[" &amp; TEXT(S$6,"yyyymm")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T91" s="8">
        <f>IFERROR(
GETPIVOTDATA(
"[Base].[Importe]",
TDinamica_R!$A$5,
"[Calendario].[AñoMes]",
"[Calendario].[AñoMes].&amp;[" &amp; TEXT(T$6,"yyyymm")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U91" s="8">
        <f>IFERROR(
GETPIVOTDATA(
"[Base].[Importe]",
TDinamica_R!$A$5,
"[Calendario].[AñoMes]",
"[Calendario].[AñoMes].&amp;[" &amp; TEXT(U$6,"yyyymm")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V91" s="8">
        <f>IFERROR(
GETPIVOTDATA(
"[Base].[Importe]",
TDinamica_R!$A$5,
"[Calendario].[AñoMes]",
"[Calendario].[AñoMes].&amp;[" &amp; TEXT(V$6,"yyyymm")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W91" s="8">
        <f>IFERROR(
GETPIVOTDATA(
"[Base].[Importe]",
TDinamica_R!$A$5,
"[Calendario].[AñoMes]",
"[Calendario].[AñoMes].&amp;[" &amp; TEXT(W$6,"yyyymm")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X91" s="8">
        <f>IFERROR(
GETPIVOTDATA(
"[Base].[Importe]",
TDinamica_R!$A$5,
"[Calendario].[AñoMes]",
"[Calendario].[AñoMes].&amp;[" &amp; TEXT(X$6,"yyyymm")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Y91" s="8">
        <f>IFERROR(
GETPIVOTDATA(
"[Base].[Importe]",
TDinamica_R!$A$5,
"[Calendario].[AñoMes]",
"[Calendario].[AñoMes].&amp;[" &amp; TEXT(Y$6,"yyyymm")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Z91" s="8">
        <f>IFERROR(
GETPIVOTDATA(
"[Base].[Importe]",
TDinamica_R!$A$5,
"[Calendario].[AñoMes]",
"[Calendario].[AñoMes].&amp;[" &amp; TEXT(Z$6,"yyyymm")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A91" s="8">
        <f>IFERROR(
GETPIVOTDATA(
"[Base].[Importe]",
TDinamica_R!$A$5,
"[Calendario].[AñoMes]",
"[Calendario].[AñoMes].&amp;[" &amp; TEXT(AA$6,"yyyymm")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B91" s="8">
        <f>IFERROR(
GETPIVOTDATA(
"[Base].[Importe]",
TDinamica_R!$A$5,
"[Calendario].[AñoMes]",
"[Calendario].[AñoMes].&amp;[" &amp; TEXT(AB$6,"yyyymm")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C91" s="8">
        <f>IFERROR(
GETPIVOTDATA(
"[Base].[Importe]",
TDinamica_R!$A$5,
"[Calendario].[AñoMes]",
"[Calendario].[AñoMes].&amp;[" &amp; TEXT(AC$6,"yyyymm")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D91" s="8">
        <f>IFERROR(
GETPIVOTDATA(
"[Base].[Importe]",
TDinamica_R!$A$5,
"[Calendario].[AñoMes]",
"[Calendario].[AñoMes].&amp;[" &amp; TEXT(AD$6,"yyyymm")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E91" s="8">
        <f>IFERROR(
GETPIVOTDATA(
"[Base].[Importe]",
TDinamica_R!$A$5,
"[Calendario].[AñoMes]",
"[Calendario].[AñoMes].&amp;[" &amp; TEXT(AE$6,"yyyymm")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F91" s="8">
        <f>IFERROR(
GETPIVOTDATA(
"[Base].[Importe]",
TDinamica_R!$A$5,
"[Calendario].[AñoMes]",
"[Calendario].[AñoMes].&amp;[" &amp; TEXT(AF$6,"yyyymm")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G91" s="8">
        <f>IFERROR(
GETPIVOTDATA(
"[Base].[Importe]",
TDinamica_R!$A$5,
"[Calendario].[AñoMes]",
"[Calendario].[AñoMes].&amp;[" &amp; TEXT(AG$6,"yyyymm")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H91" s="8">
        <f>IFERROR(
GETPIVOTDATA(
"[Base].[Importe]",
TDinamica_R!$A$5,
"[Calendario].[AñoMes]",
"[Calendario].[AñoMes].&amp;[" &amp; TEXT(AH$6,"yyyymm")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I91" s="8">
        <f>IFERROR(
GETPIVOTDATA(
"[Base].[Importe]",
TDinamica_R!$A$5,
"[Calendario].[AñoMes]",
"[Calendario].[AñoMes].&amp;[" &amp; TEXT(AI$6,"yyyymm")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J91" s="8">
        <f>IFERROR(
GETPIVOTDATA(
"[Base].[Importe]",
TDinamica_R!$A$5,
"[Calendario].[AñoMes]",
"[Calendario].[AñoMes].&amp;[" &amp; TEXT(AJ$6,"yyyymm")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K91" s="8">
        <f>IFERROR(
GETPIVOTDATA(
"[Base].[Importe]",
TDinamica_R!$A$5,
"[Calendario].[AñoMes]",
"[Calendario].[AñoMes].&amp;[" &amp; TEXT(AK$6,"yyyymm")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L91" s="8">
        <f>IFERROR(
GETPIVOTDATA(
"[Base].[Importe]",
TDinamica_R!$A$5,
"[Calendario].[AñoMes]",
"[Calendario].[AñoMes].&amp;[" &amp; TEXT(AL$6,"yyyymm")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M91" s="8">
        <f>IFERROR(
GETPIVOTDATA(
"[Base].[Importe]",
TDinamica_R!$A$5,
"[Calendario].[AñoMes]",
"[Calendario].[AñoMes].&amp;[" &amp; TEXT(AM$6,"yyyymm")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N91" s="8">
        <f>IFERROR(
GETPIVOTDATA(
"[Base].[Importe]",
TDinamica_R!$A$5,
"[Calendario].[AñoMes]",
"[Calendario].[AñoMes].&amp;[" &amp; TEXT(AN$6,"yyyymm")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O91" s="8">
        <f>IFERROR(
GETPIVOTDATA(
"[Base].[Importe]",
TDinamica_R!$A$5,
"[Calendario].[AñoMes]",
"[Calendario].[AñoMes].&amp;[" &amp; TEXT(AO$6,"yyyymm")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P91" s="8">
        <f>IFERROR(
GETPIVOTDATA(
"[Base].[Importe]",
TDinamica_R!$A$5,
"[Calendario].[AñoMes]",
"[Calendario].[AñoMes].&amp;[" &amp; TEXT(AP$6,"yyyymm")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Q91" s="8">
        <f>IFERROR(
GETPIVOTDATA(
"[Base].[Importe]",
TDinamica_R!$A$5,
"[Calendario].[AñoMes]",
"[Calendario].[AñoMes].&amp;[" &amp; TEXT(AQ$6,"yyyymm")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R91" s="8">
        <f>IFERROR(
GETPIVOTDATA(
"[Base].[Importe]",
TDinamica_R!$A$5,
"[Calendario].[AñoMes]",
"[Calendario].[AñoMes].&amp;[" &amp; TEXT(AR$6,"yyyymm")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S91" s="8">
        <f>IFERROR(
GETPIVOTDATA(
"[Base].[Importe]",
TDinamica_R!$A$5,
"[Calendario].[AñoMes]",
"[Calendario].[AñoMes].&amp;[" &amp; TEXT(AS$6,"yyyymm")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T91" s="8">
        <f>IFERROR(
GETPIVOTDATA(
"[Base].[Importe]",
TDinamica_R!$A$5,
"[Calendario].[AñoMes]",
"[Calendario].[AñoMes].&amp;[" &amp; TEXT(AT$6,"yyyymm")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U91" s="8">
        <f>IFERROR(
GETPIVOTDATA(
"[Base].[Importe]",
TDinamica_R!$A$5,
"[Calendario].[AñoMes]",
"[Calendario].[AñoMes].&amp;[" &amp; TEXT(AU$6,"yyyymm")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V91" s="8">
        <f>IFERROR(
GETPIVOTDATA(
"[Base].[Importe]",
TDinamica_R!$A$5,
"[Calendario].[AñoMes]",
"[Calendario].[AñoMes].&amp;[" &amp; TEXT(AV$6,"yyyymm")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W91" s="8">
        <f>IFERROR(
GETPIVOTDATA(
"[Base].[Importe]",
TDinamica_R!$A$5,
"[Calendario].[AñoMes]",
"[Calendario].[AñoMes].&amp;[" &amp; TEXT(AW$6,"yyyymm")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X91" s="8">
        <f>IFERROR(
GETPIVOTDATA(
"[Base].[Importe]",
TDinamica_R!$A$5,
"[Calendario].[AñoMes]",
"[Calendario].[AñoMes].&amp;[" &amp; TEXT(AX$6,"yyyymm")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Y91" s="8">
        <f>IFERROR(
GETPIVOTDATA(
"[Base].[Importe]",
TDinamica_R!$A$5,
"[Calendario].[AñoMes]",
"[Calendario].[AñoMes].&amp;[" &amp; TEXT(AY$6,"yyyymm")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Z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TEXT(AZ$6,"yyyymm") &amp; "]"
),
0
)</f>
        <v>0</v>
      </c>
      <c r="BA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TEXT(BA$6,"yyyymm") &amp; "]"
),
0
)</f>
        <v>0</v>
      </c>
      <c r="BB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TEXT(BB$6,"yyyymm") &amp; "]"
),
0
)</f>
        <v>0</v>
      </c>
      <c r="BC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TEXT(BC$6,"yyyymm") &amp; "]"
),
0
)</f>
        <v>0</v>
      </c>
      <c r="BD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TEXT(BD$6,"yyyymm") &amp; "]"
),
0
)</f>
        <v>0</v>
      </c>
      <c r="BE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TEXT(BE$6,"yyyymm") &amp; "]"
),
0
)</f>
        <v>0</v>
      </c>
      <c r="BF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TEXT(BF$6,"yyyymm") &amp; "]"
),
0
)</f>
        <v>0</v>
      </c>
      <c r="BG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TEXT(BG$6,"yyyymm") &amp; "]"
),
0
)</f>
        <v>0</v>
      </c>
      <c r="BH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TEXT(BH$6,"yyyymm") &amp; "]"
),
0
)</f>
        <v>0</v>
      </c>
      <c r="BI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TEXT(BI$6,"yyyymm") &amp; "]"
),
0
)</f>
        <v>0</v>
      </c>
      <c r="BJ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TEXT(BJ$6,"yyyymm") &amp; "]"
),
0
)</f>
        <v>0</v>
      </c>
      <c r="BK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TEXT(BK$6,"yyyymm") &amp; "]"
),
0
)</f>
        <v>0</v>
      </c>
      <c r="BO91" s="24">
        <f t="shared" ref="BO91:BT92" si="178">SUMIFS($D91:$BM91,$D$6:$BM$6,"&gt;="&amp;BO$2,$D$6:$BM$6,"&lt;="&amp;BO$6,$D$5:$BM$5,BO$5)</f>
        <v>0</v>
      </c>
      <c r="BP91" s="24">
        <f t="shared" si="178"/>
        <v>0</v>
      </c>
      <c r="BQ91" s="24">
        <f t="shared" si="178"/>
        <v>0</v>
      </c>
      <c r="BR91" s="24">
        <f t="shared" si="178"/>
        <v>0</v>
      </c>
      <c r="BS91" s="24">
        <f t="shared" si="178"/>
        <v>0</v>
      </c>
      <c r="BT91" s="24">
        <f t="shared" si="178"/>
        <v>0</v>
      </c>
    </row>
    <row r="92" spans="1:72" hidden="1" outlineLevel="1" x14ac:dyDescent="0.25">
      <c r="A92" s="11" t="s">
        <v>81</v>
      </c>
      <c r="C92" s="2" t="s">
        <v>48</v>
      </c>
      <c r="D92" s="8">
        <f>IFERROR(
GETPIVOTDATA(
"[Base].[Importe]",
TDinamica_R!$A$5,
"[Calendario].[AñoMes]",
"[Calendario].[AñoMes].&amp;[" &amp; TEXT(D$6,"yyyymm") &amp; "]",
"[Base].[Metrica]",
"[Base].[Metrica].&amp;[" &amp; $A92 &amp; "]",
"[Base].[SEGMENTO_DESCRIP]",
"[Base].[SEGMENTO_DESCRIP].&amp;[" &amp; $C$6 &amp; "]",
"[Base].[SITUACION]",
"[Base].[SITUACION].&amp;[" &amp; $C92 &amp; "]"
),0)/1000</f>
        <v>-43.566893137714594</v>
      </c>
      <c r="E92" s="8">
        <f>IFERROR(
GETPIVOTDATA(
"[Base].[Importe]",
TDinamica_R!$A$5,
"[Calendario].[AñoMes]",
"[Calendario].[AñoMes].&amp;[" &amp; TEXT(E$6,"yyyymm") &amp; "]",
"[Base].[Metrica]",
"[Base].[Metrica].&amp;[" &amp; $A92 &amp; "]",
"[Base].[SEGMENTO_DESCRIP]",
"[Base].[SEGMENTO_DESCRIP].&amp;[" &amp; $C$6 &amp; "]",
"[Base].[SITUACION]",
"[Base].[SITUACION].&amp;[" &amp; $C92 &amp; "]"
),0)/1000</f>
        <v>-35.156240508519488</v>
      </c>
      <c r="F92" s="8">
        <f>IFERROR(
GETPIVOTDATA(
"[Base].[Importe]",
TDinamica_R!$A$5,
"[Calendario].[AñoMes]",
"[Calendario].[AñoMes].&amp;[" &amp; TEXT(F$6,"yyyymm") &amp; "]",
"[Base].[Metrica]",
"[Base].[Metrica].&amp;[" &amp; $A92 &amp; "]",
"[Base].[SEGMENTO_DESCRIP]",
"[Base].[SEGMENTO_DESCRIP].&amp;[" &amp; $C$6 &amp; "]",
"[Base].[SITUACION]",
"[Base].[SITUACION].&amp;[" &amp; $C92 &amp; "]"
),0)/1000</f>
        <v>-12.150751513306393</v>
      </c>
      <c r="G92" s="8">
        <f>IFERROR(
GETPIVOTDATA(
"[Base].[Importe]",
TDinamica_R!$A$5,
"[Calendario].[AñoMes]",
"[Calendario].[AñoMes].&amp;[" &amp; TEXT(G$6,"yyyymm") &amp; "]",
"[Base].[Metrica]",
"[Base].[Metrica].&amp;[" &amp; $A92 &amp; "]",
"[Base].[SEGMENTO_DESCRIP]",
"[Base].[SEGMENTO_DESCRIP].&amp;[" &amp; $C$6 &amp; "]",
"[Base].[SITUACION]",
"[Base].[SITUACION].&amp;[" &amp; $C92 &amp; "]"
),0)/1000</f>
        <v>-31.678609377220628</v>
      </c>
      <c r="H92" s="8">
        <f>IFERROR(
GETPIVOTDATA(
"[Base].[Importe]",
TDinamica_R!$A$5,
"[Calendario].[AñoMes]",
"[Calendario].[AñoMes].&amp;[" &amp; TEXT(H$6,"yyyymm") &amp; "]",
"[Base].[Metrica]",
"[Base].[Metrica].&amp;[" &amp; $A92 &amp; "]",
"[Base].[SEGMENTO_DESCRIP]",
"[Base].[SEGMENTO_DESCRIP].&amp;[" &amp; $C$6 &amp; "]",
"[Base].[SITUACION]",
"[Base].[SITUACION].&amp;[" &amp; $C92 &amp; "]"
),0)/1000</f>
        <v>-23.371032725831217</v>
      </c>
      <c r="I92" s="8">
        <f>IFERROR(
GETPIVOTDATA(
"[Base].[Importe]",
TDinamica_R!$A$5,
"[Calendario].[AñoMes]",
"[Calendario].[AñoMes].&amp;[" &amp; TEXT(I$6,"yyyymm") &amp; "]",
"[Base].[Metrica]",
"[Base].[Metrica].&amp;[" &amp; $A92 &amp; "]",
"[Base].[SEGMENTO_DESCRIP]",
"[Base].[SEGMENTO_DESCRIP].&amp;[" &amp; $C$6 &amp; "]",
"[Base].[SITUACION]",
"[Base].[SITUACION].&amp;[" &amp; $C92 &amp; "]"
),0)/1000</f>
        <v>-63.037003224511864</v>
      </c>
      <c r="J92" s="8">
        <f>IFERROR(
GETPIVOTDATA(
"[Base].[Importe]",
TDinamica_R!$A$5,
"[Calendario].[AñoMes]",
"[Calendario].[AñoMes].&amp;[" &amp; TEXT(J$6,"yyyymm") &amp; "]",
"[Base].[Metrica]",
"[Base].[Metrica].&amp;[" &amp; $A92 &amp; "]",
"[Base].[SEGMENTO_DESCRIP]",
"[Base].[SEGMENTO_DESCRIP].&amp;[" &amp; $C$6 &amp; "]",
"[Base].[SITUACION]",
"[Base].[SITUACION].&amp;[" &amp; $C92 &amp; "]"
),0)/1000</f>
        <v>-47.687120605587282</v>
      </c>
      <c r="K92" s="8">
        <f>IFERROR(
GETPIVOTDATA(
"[Base].[Importe]",
TDinamica_R!$A$5,
"[Calendario].[AñoMes]",
"[Calendario].[AñoMes].&amp;[" &amp; TEXT(K$6,"yyyymm") &amp; "]",
"[Base].[Metrica]",
"[Base].[Metrica].&amp;[" &amp; $A92 &amp; "]",
"[Base].[SEGMENTO_DESCRIP]",
"[Base].[SEGMENTO_DESCRIP].&amp;[" &amp; $C$6 &amp; "]",
"[Base].[SITUACION]",
"[Base].[SITUACION].&amp;[" &amp; $C92 &amp; "]"
),0)/1000</f>
        <v>-147.26717773090641</v>
      </c>
      <c r="L92" s="8">
        <f>IFERROR(
GETPIVOTDATA(
"[Base].[Importe]",
TDinamica_R!$A$5,
"[Calendario].[AñoMes]",
"[Calendario].[AñoMes].&amp;[" &amp; TEXT(L$6,"yyyymm") &amp; "]",
"[Base].[Metrica]",
"[Base].[Metrica].&amp;[" &amp; $A92 &amp; "]",
"[Base].[SEGMENTO_DESCRIP]",
"[Base].[SEGMENTO_DESCRIP].&amp;[" &amp; $C$6 &amp; "]",
"[Base].[SITUACION]",
"[Base].[SITUACION].&amp;[" &amp; $C92 &amp; "]"
),0)/1000</f>
        <v>-13.346560683485498</v>
      </c>
      <c r="M92" s="8">
        <f>IFERROR(
GETPIVOTDATA(
"[Base].[Importe]",
TDinamica_R!$A$5,
"[Calendario].[AñoMes]",
"[Calendario].[AñoMes].&amp;[" &amp; TEXT(M$6,"yyyymm") &amp; "]",
"[Base].[Metrica]",
"[Base].[Metrica].&amp;[" &amp; $A92 &amp; "]",
"[Base].[SEGMENTO_DESCRIP]",
"[Base].[SEGMENTO_DESCRIP].&amp;[" &amp; $C$6 &amp; "]",
"[Base].[SITUACION]",
"[Base].[SITUACION].&amp;[" &amp; $C92 &amp; "]"
),0)/1000</f>
        <v>-96.023912059411742</v>
      </c>
      <c r="N92" s="8">
        <f>IFERROR(
GETPIVOTDATA(
"[Base].[Importe]",
TDinamica_R!$A$5,
"[Calendario].[AñoMes]",
"[Calendario].[AñoMes].&amp;[" &amp; TEXT(N$6,"yyyymm") &amp; "]",
"[Base].[Metrica]",
"[Base].[Metrica].&amp;[" &amp; $A92 &amp; "]",
"[Base].[SEGMENTO_DESCRIP]",
"[Base].[SEGMENTO_DESCRIP].&amp;[" &amp; $C$6 &amp; "]",
"[Base].[SITUACION]",
"[Base].[SITUACION].&amp;[" &amp; $C92 &amp; "]"
),0)/1000</f>
        <v>-51.466237490845003</v>
      </c>
      <c r="O92" s="8">
        <f>IFERROR(
GETPIVOTDATA(
"[Base].[Importe]",
TDinamica_R!$A$5,
"[Calendario].[AñoMes]",
"[Calendario].[AñoMes].&amp;[" &amp; TEXT(O$6,"yyyymm") &amp; "]",
"[Base].[Metrica]",
"[Base].[Metrica].&amp;[" &amp; $A92 &amp; "]",
"[Base].[SEGMENTO_DESCRIP]",
"[Base].[SEGMENTO_DESCRIP].&amp;[" &amp; $C$6 &amp; "]",
"[Base].[SITUACION]",
"[Base].[SITUACION].&amp;[" &amp; $C92 &amp; "]"
),0)/1000</f>
        <v>-37.059055719505444</v>
      </c>
      <c r="P92" s="8">
        <f>IFERROR(
GETPIVOTDATA(
"[Base].[Importe]",
TDinamica_R!$A$5,
"[Calendario].[AñoMes]",
"[Calendario].[AñoMes].&amp;[" &amp; TEXT(P$6,"yyyymm") &amp; "]",
"[Base].[Metrica]",
"[Base].[Metrica].&amp;[" &amp; $A92 &amp; "]",
"[Base].[SEGMENTO_DESCRIP]",
"[Base].[SEGMENTO_DESCRIP].&amp;[" &amp; $C$6 &amp; "]",
"[Base].[SITUACION]",
"[Base].[SITUACION].&amp;[" &amp; $C92 &amp; "]"
),0)/1000</f>
        <v>-55.724568615187529</v>
      </c>
      <c r="Q92" s="8">
        <f>IFERROR(
GETPIVOTDATA(
"[Base].[Importe]",
TDinamica_R!$A$5,
"[Calendario].[AñoMes]",
"[Calendario].[AñoMes].&amp;[" &amp; TEXT(Q$6,"yyyymm") &amp; "]",
"[Base].[Metrica]",
"[Base].[Metrica].&amp;[" &amp; $A92 &amp; "]",
"[Base].[SEGMENTO_DESCRIP]",
"[Base].[SEGMENTO_DESCRIP].&amp;[" &amp; $C$6 &amp; "]",
"[Base].[SITUACION]",
"[Base].[SITUACION].&amp;[" &amp; $C92 &amp; "]"
),0)/1000</f>
        <v>-44.562079798798372</v>
      </c>
      <c r="R92" s="8">
        <f>IFERROR(
GETPIVOTDATA(
"[Base].[Importe]",
TDinamica_R!$A$5,
"[Calendario].[AñoMes]",
"[Calendario].[AñoMes].&amp;[" &amp; TEXT(R$6,"yyyymm") &amp; "]",
"[Base].[Metrica]",
"[Base].[Metrica].&amp;[" &amp; $A92 &amp; "]",
"[Base].[SEGMENTO_DESCRIP]",
"[Base].[SEGMENTO_DESCRIP].&amp;[" &amp; $C$6 &amp; "]",
"[Base].[SITUACION]",
"[Base].[SITUACION].&amp;[" &amp; $C92 &amp; "]"
),0)/1000</f>
        <v>-27.84411260436805</v>
      </c>
      <c r="S92" s="8">
        <f>IFERROR(
GETPIVOTDATA(
"[Base].[Importe]",
TDinamica_R!$A$5,
"[Calendario].[AñoMes]",
"[Calendario].[AñoMes].&amp;[" &amp; TEXT(S$6,"yyyymm") &amp; "]",
"[Base].[Metrica]",
"[Base].[Metrica].&amp;[" &amp; $A92 &amp; "]",
"[Base].[SEGMENTO_DESCRIP]",
"[Base].[SEGMENTO_DESCRIP].&amp;[" &amp; $C$6 &amp; "]",
"[Base].[SITUACION]",
"[Base].[SITUACION].&amp;[" &amp; $C92 &amp; "]"
),0)/1000</f>
        <v>-76.743872589353685</v>
      </c>
      <c r="T92" s="8">
        <f>IFERROR(
GETPIVOTDATA(
"[Base].[Importe]",
TDinamica_R!$A$5,
"[Calendario].[AñoMes]",
"[Calendario].[AñoMes].&amp;[" &amp; TEXT(T$6,"yyyymm") &amp; "]",
"[Base].[Metrica]",
"[Base].[Metrica].&amp;[" &amp; $A92 &amp; "]",
"[Base].[SEGMENTO_DESCRIP]",
"[Base].[SEGMENTO_DESCRIP].&amp;[" &amp; $C$6 &amp; "]",
"[Base].[SITUACION]",
"[Base].[SITUACION].&amp;[" &amp; $C92 &amp; "]"
),0)/1000</f>
        <v>-112.1695313420437</v>
      </c>
      <c r="U92" s="8">
        <f>IFERROR(
GETPIVOTDATA(
"[Base].[Importe]",
TDinamica_R!$A$5,
"[Calendario].[AñoMes]",
"[Calendario].[AñoMes].&amp;[" &amp; TEXT(U$6,"yyyymm") &amp; "]",
"[Base].[Metrica]",
"[Base].[Metrica].&amp;[" &amp; $A92 &amp; "]",
"[Base].[SEGMENTO_DESCRIP]",
"[Base].[SEGMENTO_DESCRIP].&amp;[" &amp; $C$6 &amp; "]",
"[Base].[SITUACION]",
"[Base].[SITUACION].&amp;[" &amp; $C92 &amp; "]"
),0)/1000</f>
        <v>-115.10226900874159</v>
      </c>
      <c r="V92" s="8">
        <f>IFERROR(
GETPIVOTDATA(
"[Base].[Importe]",
TDinamica_R!$A$5,
"[Calendario].[AñoMes]",
"[Calendario].[AñoMes].&amp;[" &amp; TEXT(V$6,"yyyymm") &amp; "]",
"[Base].[Metrica]",
"[Base].[Metrica].&amp;[" &amp; $A92 &amp; "]",
"[Base].[SEGMENTO_DESCRIP]",
"[Base].[SEGMENTO_DESCRIP].&amp;[" &amp; $C$6 &amp; "]",
"[Base].[SITUACION]",
"[Base].[SITUACION].&amp;[" &amp; $C92 &amp; "]"
),0)/1000</f>
        <v>-74.249308243050379</v>
      </c>
      <c r="W92" s="8">
        <f>IFERROR(
GETPIVOTDATA(
"[Base].[Importe]",
TDinamica_R!$A$5,
"[Calendario].[AñoMes]",
"[Calendario].[AñoMes].&amp;[" &amp; TEXT(W$6,"yyyymm") &amp; "]",
"[Base].[Metrica]",
"[Base].[Metrica].&amp;[" &amp; $A92 &amp; "]",
"[Base].[SEGMENTO_DESCRIP]",
"[Base].[SEGMENTO_DESCRIP].&amp;[" &amp; $C$6 &amp; "]",
"[Base].[SITUACION]",
"[Base].[SITUACION].&amp;[" &amp; $C92 &amp; "]"
),0)/1000</f>
        <v>-70.132189086456549</v>
      </c>
      <c r="X92" s="8">
        <f>IFERROR(
GETPIVOTDATA(
"[Base].[Importe]",
TDinamica_R!$A$5,
"[Calendario].[AñoMes]",
"[Calendario].[AñoMes].&amp;[" &amp; TEXT(X$6,"yyyymm") &amp; "]",
"[Base].[Metrica]",
"[Base].[Metrica].&amp;[" &amp; $A92 &amp; "]",
"[Base].[SEGMENTO_DESCRIP]",
"[Base].[SEGMENTO_DESCRIP].&amp;[" &amp; $C$6 &amp; "]",
"[Base].[SITUACION]",
"[Base].[SITUACION].&amp;[" &amp; $C92 &amp; "]"
),0)/1000</f>
        <v>-136.40213809820989</v>
      </c>
      <c r="Y92" s="8">
        <f>IFERROR(
GETPIVOTDATA(
"[Base].[Importe]",
TDinamica_R!$A$5,
"[Calendario].[AñoMes]",
"[Calendario].[AñoMes].&amp;[" &amp; TEXT(Y$6,"yyyymm") &amp; "]",
"[Base].[Metrica]",
"[Base].[Metrica].&amp;[" &amp; $A92 &amp; "]",
"[Base].[SEGMENTO_DESCRIP]",
"[Base].[SEGMENTO_DESCRIP].&amp;[" &amp; $C$6 &amp; "]",
"[Base].[SITUACION]",
"[Base].[SITUACION].&amp;[" &amp; $C92 &amp; "]"
),0)/1000</f>
        <v>-52.343772610722716</v>
      </c>
      <c r="Z92" s="8">
        <f>IFERROR(
GETPIVOTDATA(
"[Base].[Importe]",
TDinamica_R!$A$5,
"[Calendario].[AñoMes]",
"[Calendario].[AñoMes].&amp;[" &amp; TEXT(Z$6,"yyyymm") &amp; "]",
"[Base].[Metrica]",
"[Base].[Metrica].&amp;[" &amp; $A92 &amp; "]",
"[Base].[SEGMENTO_DESCRIP]",
"[Base].[SEGMENTO_DESCRIP].&amp;[" &amp; $C$6 &amp; "]",
"[Base].[SITUACION]",
"[Base].[SITUACION].&amp;[" &amp; $C92 &amp; "]"
),0)/1000</f>
        <v>-50.231218827709242</v>
      </c>
      <c r="AA92" s="8">
        <f>IFERROR(
GETPIVOTDATA(
"[Base].[Importe]",
TDinamica_R!$A$5,
"[Calendario].[AñoMes]",
"[Calendario].[AñoMes].&amp;[" &amp; TEXT(AA$6,"yyyymm") &amp; "]",
"[Base].[Metrica]",
"[Base].[Metrica].&amp;[" &amp; $A92 &amp; "]",
"[Base].[SEGMENTO_DESCRIP]",
"[Base].[SEGMENTO_DESCRIP].&amp;[" &amp; $C$6 &amp; "]",
"[Base].[SITUACION]",
"[Base].[SITUACION].&amp;[" &amp; $C92 &amp; "]"
),0)/1000</f>
        <v>-75.418208749585617</v>
      </c>
      <c r="AB92" s="8">
        <f>IFERROR(
GETPIVOTDATA(
"[Base].[Importe]",
TDinamica_R!$A$5,
"[Calendario].[AñoMes]",
"[Calendario].[AñoMes].&amp;[" &amp; TEXT(AB$6,"yyyymm") &amp; "]",
"[Base].[Metrica]",
"[Base].[Metrica].&amp;[" &amp; $A92 &amp; "]",
"[Base].[SEGMENTO_DESCRIP]",
"[Base].[SEGMENTO_DESCRIP].&amp;[" &amp; $C$6 &amp; "]",
"[Base].[SITUACION]",
"[Base].[SITUACION].&amp;[" &amp; $C92 &amp; "]"
),0)/1000</f>
        <v>-28.947992161676556</v>
      </c>
      <c r="AC92" s="8">
        <f>IFERROR(
GETPIVOTDATA(
"[Base].[Importe]",
TDinamica_R!$A$5,
"[Calendario].[AñoMes]",
"[Calendario].[AñoMes].&amp;[" &amp; TEXT(AC$6,"yyyymm") &amp; "]",
"[Base].[Metrica]",
"[Base].[Metrica].&amp;[" &amp; $A92 &amp; "]",
"[Base].[SEGMENTO_DESCRIP]",
"[Base].[SEGMENTO_DESCRIP].&amp;[" &amp; $C$6 &amp; "]",
"[Base].[SITUACION]",
"[Base].[SITUACION].&amp;[" &amp; $C92 &amp; "]"
),0)/1000</f>
        <v>-26.351309858946152</v>
      </c>
      <c r="AD92" s="8">
        <f>IFERROR(
GETPIVOTDATA(
"[Base].[Importe]",
TDinamica_R!$A$5,
"[Calendario].[AñoMes]",
"[Calendario].[AñoMes].&amp;[" &amp; TEXT(AD$6,"yyyymm") &amp; "]",
"[Base].[Metrica]",
"[Base].[Metrica].&amp;[" &amp; $A92 &amp; "]",
"[Base].[SEGMENTO_DESCRIP]",
"[Base].[SEGMENTO_DESCRIP].&amp;[" &amp; $C$6 &amp; "]",
"[Base].[SITUACION]",
"[Base].[SITUACION].&amp;[" &amp; $C92 &amp; "]"
),0)/1000</f>
        <v>-24.959448214678584</v>
      </c>
      <c r="AE92" s="8">
        <f>IFERROR(
GETPIVOTDATA(
"[Base].[Importe]",
TDinamica_R!$A$5,
"[Calendario].[AñoMes]",
"[Calendario].[AñoMes].&amp;[" &amp; TEXT(AE$6,"yyyymm") &amp; "]",
"[Base].[Metrica]",
"[Base].[Metrica].&amp;[" &amp; $A92 &amp; "]",
"[Base].[SEGMENTO_DESCRIP]",
"[Base].[SEGMENTO_DESCRIP].&amp;[" &amp; $C$6 &amp; "]",
"[Base].[SITUACION]",
"[Base].[SITUACION].&amp;[" &amp; $C92 &amp; "]"
),0)/1000</f>
        <v>-196.5063095270061</v>
      </c>
      <c r="AF92" s="8">
        <f>IFERROR(
GETPIVOTDATA(
"[Base].[Importe]",
TDinamica_R!$A$5,
"[Calendario].[AñoMes]",
"[Calendario].[AñoMes].&amp;[" &amp; TEXT(AF$6,"yyyymm") &amp; "]",
"[Base].[Metrica]",
"[Base].[Metrica].&amp;[" &amp; $A92 &amp; "]",
"[Base].[SEGMENTO_DESCRIP]",
"[Base].[SEGMENTO_DESCRIP].&amp;[" &amp; $C$6 &amp; "]",
"[Base].[SITUACION]",
"[Base].[SITUACION].&amp;[" &amp; $C92 &amp; "]"
),0)/1000</f>
        <v>-122.67075574944961</v>
      </c>
      <c r="AG92" s="8">
        <f>IFERROR(
GETPIVOTDATA(
"[Base].[Importe]",
TDinamica_R!$A$5,
"[Calendario].[AñoMes]",
"[Calendario].[AñoMes].&amp;[" &amp; TEXT(AG$6,"yyyymm") &amp; "]",
"[Base].[Metrica]",
"[Base].[Metrica].&amp;[" &amp; $A92 &amp; "]",
"[Base].[SEGMENTO_DESCRIP]",
"[Base].[SEGMENTO_DESCRIP].&amp;[" &amp; $C$6 &amp; "]",
"[Base].[SITUACION]",
"[Base].[SITUACION].&amp;[" &amp; $C92 &amp; "]"
),0)/1000</f>
        <v>8.2297711251309682</v>
      </c>
      <c r="AH92" s="8">
        <f>IFERROR(
GETPIVOTDATA(
"[Base].[Importe]",
TDinamica_R!$A$5,
"[Calendario].[AñoMes]",
"[Calendario].[AñoMes].&amp;[" &amp; TEXT(AH$6,"yyyymm") &amp; "]",
"[Base].[Metrica]",
"[Base].[Metrica].&amp;[" &amp; $A92 &amp; "]",
"[Base].[SEGMENTO_DESCRIP]",
"[Base].[SEGMENTO_DESCRIP].&amp;[" &amp; $C$6 &amp; "]",
"[Base].[SITUACION]",
"[Base].[SITUACION].&amp;[" &amp; $C92 &amp; "]"
),0)/1000</f>
        <v>-59.599212702539447</v>
      </c>
      <c r="AI92" s="8">
        <f>IFERROR(
GETPIVOTDATA(
"[Base].[Importe]",
TDinamica_R!$A$5,
"[Calendario].[AñoMes]",
"[Calendario].[AñoMes].&amp;[" &amp; TEXT(AI$6,"yyyymm") &amp; "]",
"[Base].[Metrica]",
"[Base].[Metrica].&amp;[" &amp; $A92 &amp; "]",
"[Base].[SEGMENTO_DESCRIP]",
"[Base].[SEGMENTO_DESCRIP].&amp;[" &amp; $C$6 &amp; "]",
"[Base].[SITUACION]",
"[Base].[SITUACION].&amp;[" &amp; $C92 &amp; "]"
),0)/1000</f>
        <v>-19.896936791914143</v>
      </c>
      <c r="AJ92" s="8">
        <f>IFERROR(
GETPIVOTDATA(
"[Base].[Importe]",
TDinamica_R!$A$5,
"[Calendario].[AñoMes]",
"[Calendario].[AñoMes].&amp;[" &amp; TEXT(AJ$6,"yyyymm") &amp; "]",
"[Base].[Metrica]",
"[Base].[Metrica].&amp;[" &amp; $A92 &amp; "]",
"[Base].[SEGMENTO_DESCRIP]",
"[Base].[SEGMENTO_DESCRIP].&amp;[" &amp; $C$6 &amp; "]",
"[Base].[SITUACION]",
"[Base].[SITUACION].&amp;[" &amp; $C92 &amp; "]"
),0)/1000</f>
        <v>-82.371379089768254</v>
      </c>
      <c r="AK92" s="8">
        <f>IFERROR(
GETPIVOTDATA(
"[Base].[Importe]",
TDinamica_R!$A$5,
"[Calendario].[AñoMes]",
"[Calendario].[AñoMes].&amp;[" &amp; TEXT(AK$6,"yyyymm") &amp; "]",
"[Base].[Metrica]",
"[Base].[Metrica].&amp;[" &amp; $A92 &amp; "]",
"[Base].[SEGMENTO_DESCRIP]",
"[Base].[SEGMENTO_DESCRIP].&amp;[" &amp; $C$6 &amp; "]",
"[Base].[SITUACION]",
"[Base].[SITUACION].&amp;[" &amp; $C92 &amp; "]"
),0)/1000</f>
        <v>-31.924079771792172</v>
      </c>
      <c r="AL92" s="8">
        <f>IFERROR(
GETPIVOTDATA(
"[Base].[Importe]",
TDinamica_R!$A$5,
"[Calendario].[AñoMes]",
"[Calendario].[AñoMes].&amp;[" &amp; TEXT(AL$6,"yyyymm") &amp; "]",
"[Base].[Metrica]",
"[Base].[Metrica].&amp;[" &amp; $A92 &amp; "]",
"[Base].[SEGMENTO_DESCRIP]",
"[Base].[SEGMENTO_DESCRIP].&amp;[" &amp; $C$6 &amp; "]",
"[Base].[SITUACION]",
"[Base].[SITUACION].&amp;[" &amp; $C92 &amp; "]"
),0)/1000</f>
        <v>-17.257190318156759</v>
      </c>
      <c r="AM92" s="8">
        <f>IFERROR(
GETPIVOTDATA(
"[Base].[Importe]",
TDinamica_R!$A$5,
"[Calendario].[AñoMes]",
"[Calendario].[AñoMes].&amp;[" &amp; TEXT(AM$6,"yyyymm") &amp; "]",
"[Base].[Metrica]",
"[Base].[Metrica].&amp;[" &amp; $A92 &amp; "]",
"[Base].[SEGMENTO_DESCRIP]",
"[Base].[SEGMENTO_DESCRIP].&amp;[" &amp; $C$6 &amp; "]",
"[Base].[SITUACION]",
"[Base].[SITUACION].&amp;[" &amp; $C92 &amp; "]"
),0)/1000</f>
        <v>-115.47675421469499</v>
      </c>
      <c r="AN92" s="8">
        <f>IFERROR(
GETPIVOTDATA(
"[Base].[Importe]",
TDinamica_R!$A$5,
"[Calendario].[AñoMes]",
"[Calendario].[AñoMes].&amp;[" &amp; TEXT(AN$6,"yyyymm") &amp; "]",
"[Base].[Metrica]",
"[Base].[Metrica].&amp;[" &amp; $A92 &amp; "]",
"[Base].[SEGMENTO_DESCRIP]",
"[Base].[SEGMENTO_DESCRIP].&amp;[" &amp; $C$6 &amp; "]",
"[Base].[SITUACION]",
"[Base].[SITUACION].&amp;[" &amp; $C92 &amp; "]"
),0)/1000</f>
        <v>-14.493278580796652</v>
      </c>
      <c r="AO92" s="8">
        <f>IFERROR(
GETPIVOTDATA(
"[Base].[Importe]",
TDinamica_R!$A$5,
"[Calendario].[AñoMes]",
"[Calendario].[AñoMes].&amp;[" &amp; TEXT(AO$6,"yyyymm") &amp; "]",
"[Base].[Metrica]",
"[Base].[Metrica].&amp;[" &amp; $A92 &amp; "]",
"[Base].[SEGMENTO_DESCRIP]",
"[Base].[SEGMENTO_DESCRIP].&amp;[" &amp; $C$6 &amp; "]",
"[Base].[SITUACION]",
"[Base].[SITUACION].&amp;[" &amp; $C92 &amp; "]"
),0)/1000</f>
        <v>-7.6644004030486297</v>
      </c>
      <c r="AP92" s="8">
        <f>IFERROR(
GETPIVOTDATA(
"[Base].[Importe]",
TDinamica_R!$A$5,
"[Calendario].[AñoMes]",
"[Calendario].[AñoMes].&amp;[" &amp; TEXT(AP$6,"yyyymm") &amp; "]",
"[Base].[Metrica]",
"[Base].[Metrica].&amp;[" &amp; $A92 &amp; "]",
"[Base].[SEGMENTO_DESCRIP]",
"[Base].[SEGMENTO_DESCRIP].&amp;[" &amp; $C$6 &amp; "]",
"[Base].[SITUACION]",
"[Base].[SITUACION].&amp;[" &amp; $C92 &amp; "]"
),0)/1000</f>
        <v>-62.297111237223987</v>
      </c>
      <c r="AQ92" s="8">
        <f>IFERROR(
GETPIVOTDATA(
"[Base].[Importe]",
TDinamica_R!$A$5,
"[Calendario].[AñoMes]",
"[Calendario].[AñoMes].&amp;[" &amp; TEXT(AQ$6,"yyyymm") &amp; "]",
"[Base].[Metrica]",
"[Base].[Metrica].&amp;[" &amp; $A92 &amp; "]",
"[Base].[SEGMENTO_DESCRIP]",
"[Base].[SEGMENTO_DESCRIP].&amp;[" &amp; $C$6 &amp; "]",
"[Base].[SITUACION]",
"[Base].[SITUACION].&amp;[" &amp; $C92 &amp; "]"
),0)/1000</f>
        <v>-11.923357052673378</v>
      </c>
      <c r="AR92" s="8">
        <f>IFERROR(
GETPIVOTDATA(
"[Base].[Importe]",
TDinamica_R!$A$5,
"[Calendario].[AñoMes]",
"[Calendario].[AñoMes].&amp;[" &amp; TEXT(AR$6,"yyyymm") &amp; "]",
"[Base].[Metrica]",
"[Base].[Metrica].&amp;[" &amp; $A92 &amp; "]",
"[Base].[SEGMENTO_DESCRIP]",
"[Base].[SEGMENTO_DESCRIP].&amp;[" &amp; $C$6 &amp; "]",
"[Base].[SITUACION]",
"[Base].[SITUACION].&amp;[" &amp; $C92 &amp; "]"
),0)/1000</f>
        <v>-13.984762058030093</v>
      </c>
      <c r="AS92" s="8">
        <f>IFERROR(
GETPIVOTDATA(
"[Base].[Importe]",
TDinamica_R!$A$5,
"[Calendario].[AñoMes]",
"[Calendario].[AñoMes].&amp;[" &amp; TEXT(AS$6,"yyyymm") &amp; "]",
"[Base].[Metrica]",
"[Base].[Metrica].&amp;[" &amp; $A92 &amp; "]",
"[Base].[SEGMENTO_DESCRIP]",
"[Base].[SEGMENTO_DESCRIP].&amp;[" &amp; $C$6 &amp; "]",
"[Base].[SITUACION]",
"[Base].[SITUACION].&amp;[" &amp; $C92 &amp; "]"
),0)/1000</f>
        <v>-56.484950636549499</v>
      </c>
      <c r="AT92" s="8">
        <f>IFERROR(
GETPIVOTDATA(
"[Base].[Importe]",
TDinamica_R!$A$5,
"[Calendario].[AñoMes]",
"[Calendario].[AñoMes].&amp;[" &amp; TEXT(AT$6,"yyyymm")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U92" s="8">
        <f>IFERROR(
GETPIVOTDATA(
"[Base].[Importe]",
TDinamica_R!$A$5,
"[Calendario].[AñoMes]",
"[Calendario].[AñoMes].&amp;[" &amp; TEXT(AU$6,"yyyymm")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V92" s="8">
        <f>IFERROR(
GETPIVOTDATA(
"[Base].[Importe]",
TDinamica_R!$A$5,
"[Calendario].[AñoMes]",
"[Calendario].[AñoMes].&amp;[" &amp; TEXT(AV$6,"yyyymm")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W92" s="8">
        <f>IFERROR(
GETPIVOTDATA(
"[Base].[Importe]",
TDinamica_R!$A$5,
"[Calendario].[AñoMes]",
"[Calendario].[AñoMes].&amp;[" &amp; TEXT(AW$6,"yyyymm")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X92" s="8">
        <f>IFERROR(
GETPIVOTDATA(
"[Base].[Importe]",
TDinamica_R!$A$5,
"[Calendario].[AñoMes]",
"[Calendario].[AñoMes].&amp;[" &amp; TEXT(AX$6,"yyyymm")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Y92" s="8">
        <f>IFERROR(
GETPIVOTDATA(
"[Base].[Importe]",
TDinamica_R!$A$5,
"[Calendario].[AñoMes]",
"[Calendario].[AñoMes].&amp;[" &amp; TEXT(AY$6,"yyyymm")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Z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TEXT(AZ$6,"yyyymm") &amp; "]"
),
0
)</f>
        <v>-18.67412027813846</v>
      </c>
      <c r="BA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TEXT(BA$6,"yyyymm") &amp; "]"
),
0
)</f>
        <v>-16.227019883992714</v>
      </c>
      <c r="BB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TEXT(BB$6,"yyyymm") &amp; "]"
),
0
)</f>
        <v>-13.909215661378507</v>
      </c>
      <c r="BC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TEXT(BC$6,"yyyymm") &amp; "]"
),
0
)</f>
        <v>-11.780644258985017</v>
      </c>
      <c r="BD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TEXT(BD$6,"yyyymm") &amp; "]"
),
0
)</f>
        <v>-12.270536330138885</v>
      </c>
      <c r="BE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TEXT(BE$6,"yyyymm") &amp; "]"
),
0
)</f>
        <v>-13.348848193651815</v>
      </c>
      <c r="BF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TEXT(BF$6,"yyyymm") &amp; "]"
),
0
)</f>
        <v>-13.652929023837611</v>
      </c>
      <c r="BG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TEXT(BG$6,"yyyymm") &amp; "]"
),
0
)</f>
        <v>-15.389786612332275</v>
      </c>
      <c r="BH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TEXT(BH$6,"yyyymm") &amp; "]"
),
0
)</f>
        <v>-17.496964017361876</v>
      </c>
      <c r="BI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TEXT(BI$6,"yyyymm") &amp; "]"
),
0
)</f>
        <v>-17.002004328912879</v>
      </c>
      <c r="BJ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TEXT(BJ$6,"yyyymm") &amp; "]"
),
0
)</f>
        <v>-17.002004328912879</v>
      </c>
      <c r="BK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TEXT(BK$6,"yyyymm") &amp; "]"
),
0
)</f>
        <v>-17.660821430607164</v>
      </c>
      <c r="BO92" s="24">
        <f t="shared" si="178"/>
        <v>-84.45479022106926</v>
      </c>
      <c r="BP92" s="24">
        <f t="shared" si="178"/>
        <v>-48.810355823509681</v>
      </c>
      <c r="BQ92" s="24">
        <f t="shared" si="178"/>
        <v>-22.15767898384528</v>
      </c>
      <c r="BR92" s="24">
        <f t="shared" si="178"/>
        <v>-80.258750235301292</v>
      </c>
      <c r="BS92" s="24">
        <f t="shared" si="178"/>
        <v>-128.13076101835395</v>
      </c>
      <c r="BT92" s="24">
        <f t="shared" si="178"/>
        <v>-90.873885159540478</v>
      </c>
    </row>
    <row r="93" spans="1:72" collapsed="1" x14ac:dyDescent="0.25">
      <c r="C93" s="3" t="s">
        <v>81</v>
      </c>
      <c r="D93" s="10">
        <f>SUM(D91:D92)</f>
        <v>-43.566893137714594</v>
      </c>
      <c r="E93" s="10">
        <f t="shared" ref="E93:AY93" si="179">SUM(E91:E92)</f>
        <v>-35.156240508519488</v>
      </c>
      <c r="F93" s="10">
        <f t="shared" si="179"/>
        <v>-12.150751513306393</v>
      </c>
      <c r="G93" s="10">
        <f t="shared" si="179"/>
        <v>-31.678609377220628</v>
      </c>
      <c r="H93" s="10">
        <f t="shared" si="179"/>
        <v>-23.371032725831217</v>
      </c>
      <c r="I93" s="10">
        <f t="shared" si="179"/>
        <v>-63.037003224511864</v>
      </c>
      <c r="J93" s="10">
        <f t="shared" si="179"/>
        <v>-47.687120605587282</v>
      </c>
      <c r="K93" s="10">
        <f t="shared" si="179"/>
        <v>-147.26717773090641</v>
      </c>
      <c r="L93" s="10">
        <f t="shared" si="179"/>
        <v>-13.346560683485498</v>
      </c>
      <c r="M93" s="10">
        <f t="shared" si="179"/>
        <v>-96.023912059411742</v>
      </c>
      <c r="N93" s="10">
        <f t="shared" si="179"/>
        <v>-51.466237490845003</v>
      </c>
      <c r="O93" s="10">
        <f t="shared" si="179"/>
        <v>-37.059055719505444</v>
      </c>
      <c r="P93" s="10">
        <f t="shared" si="179"/>
        <v>-55.724568615187529</v>
      </c>
      <c r="Q93" s="10">
        <f t="shared" si="179"/>
        <v>-44.562079798798372</v>
      </c>
      <c r="R93" s="10">
        <f t="shared" si="179"/>
        <v>-27.84411260436805</v>
      </c>
      <c r="S93" s="10">
        <f t="shared" si="179"/>
        <v>-76.743872589353685</v>
      </c>
      <c r="T93" s="10">
        <f t="shared" si="179"/>
        <v>-112.1695313420437</v>
      </c>
      <c r="U93" s="10">
        <f t="shared" si="179"/>
        <v>-115.10226900874159</v>
      </c>
      <c r="V93" s="10">
        <f t="shared" si="179"/>
        <v>-74.249308243050379</v>
      </c>
      <c r="W93" s="10">
        <f t="shared" si="179"/>
        <v>-70.132189086456549</v>
      </c>
      <c r="X93" s="10">
        <f t="shared" si="179"/>
        <v>-136.40213809820989</v>
      </c>
      <c r="Y93" s="10">
        <f t="shared" si="179"/>
        <v>-52.343772610722716</v>
      </c>
      <c r="Z93" s="10">
        <f t="shared" si="179"/>
        <v>-50.231218827709242</v>
      </c>
      <c r="AA93" s="10">
        <f t="shared" si="179"/>
        <v>-75.418208749585617</v>
      </c>
      <c r="AB93" s="10">
        <f t="shared" si="179"/>
        <v>-28.947992161676556</v>
      </c>
      <c r="AC93" s="10">
        <f t="shared" si="179"/>
        <v>-26.351309858946152</v>
      </c>
      <c r="AD93" s="10">
        <f t="shared" si="179"/>
        <v>-24.959448214678584</v>
      </c>
      <c r="AE93" s="10">
        <f t="shared" si="179"/>
        <v>-196.5063095270061</v>
      </c>
      <c r="AF93" s="10">
        <f t="shared" si="179"/>
        <v>-122.67075574944961</v>
      </c>
      <c r="AG93" s="10">
        <f t="shared" si="179"/>
        <v>8.2297711251309682</v>
      </c>
      <c r="AH93" s="10">
        <f t="shared" si="179"/>
        <v>-59.599212702539447</v>
      </c>
      <c r="AI93" s="10">
        <f t="shared" si="179"/>
        <v>-19.896936791914143</v>
      </c>
      <c r="AJ93" s="10">
        <f t="shared" si="179"/>
        <v>-82.371379089768254</v>
      </c>
      <c r="AK93" s="10">
        <f t="shared" si="179"/>
        <v>-31.924079771792172</v>
      </c>
      <c r="AL93" s="10">
        <f t="shared" si="179"/>
        <v>-17.257190318156759</v>
      </c>
      <c r="AM93" s="10">
        <f t="shared" si="179"/>
        <v>-115.47675421469499</v>
      </c>
      <c r="AN93" s="10">
        <f t="shared" si="179"/>
        <v>-14.493278580796652</v>
      </c>
      <c r="AO93" s="10">
        <f t="shared" si="179"/>
        <v>-7.6644004030486297</v>
      </c>
      <c r="AP93" s="10">
        <f t="shared" si="179"/>
        <v>-62.297111237223987</v>
      </c>
      <c r="AQ93" s="10">
        <f t="shared" si="179"/>
        <v>-11.923357052673378</v>
      </c>
      <c r="AR93" s="10">
        <f t="shared" si="179"/>
        <v>-13.984762058030093</v>
      </c>
      <c r="AS93" s="10">
        <f t="shared" si="179"/>
        <v>-56.484950636549499</v>
      </c>
      <c r="AT93" s="10">
        <f t="shared" si="179"/>
        <v>0</v>
      </c>
      <c r="AU93" s="10">
        <f t="shared" si="179"/>
        <v>0</v>
      </c>
      <c r="AV93" s="10">
        <f t="shared" si="179"/>
        <v>0</v>
      </c>
      <c r="AW93" s="10">
        <f t="shared" si="179"/>
        <v>0</v>
      </c>
      <c r="AX93" s="10">
        <f t="shared" si="179"/>
        <v>0</v>
      </c>
      <c r="AY93" s="10">
        <f t="shared" si="179"/>
        <v>0</v>
      </c>
      <c r="AZ93" s="10">
        <f t="shared" ref="AZ93:BK93" si="180">SUM(AZ91:AZ92)</f>
        <v>-18.67412027813846</v>
      </c>
      <c r="BA93" s="10">
        <f t="shared" si="180"/>
        <v>-16.227019883992714</v>
      </c>
      <c r="BB93" s="10">
        <f t="shared" si="180"/>
        <v>-13.909215661378507</v>
      </c>
      <c r="BC93" s="10">
        <f t="shared" si="180"/>
        <v>-11.780644258985017</v>
      </c>
      <c r="BD93" s="10">
        <f t="shared" si="180"/>
        <v>-12.270536330138885</v>
      </c>
      <c r="BE93" s="10">
        <f t="shared" si="180"/>
        <v>-13.348848193651815</v>
      </c>
      <c r="BF93" s="10">
        <f t="shared" si="180"/>
        <v>-13.652929023837611</v>
      </c>
      <c r="BG93" s="10">
        <f t="shared" si="180"/>
        <v>-15.389786612332275</v>
      </c>
      <c r="BH93" s="10">
        <f t="shared" si="180"/>
        <v>-17.496964017361876</v>
      </c>
      <c r="BI93" s="10">
        <f t="shared" si="180"/>
        <v>-17.002004328912879</v>
      </c>
      <c r="BJ93" s="10">
        <f t="shared" si="180"/>
        <v>-17.002004328912879</v>
      </c>
      <c r="BK93" s="10">
        <f t="shared" si="180"/>
        <v>-17.660821430607164</v>
      </c>
      <c r="BO93" s="23">
        <f t="shared" ref="BO93:BT93" si="181">SUM(BO91:BO92)</f>
        <v>-84.45479022106926</v>
      </c>
      <c r="BP93" s="23">
        <f t="shared" si="181"/>
        <v>-48.810355823509681</v>
      </c>
      <c r="BQ93" s="23">
        <f t="shared" si="181"/>
        <v>-22.15767898384528</v>
      </c>
      <c r="BR93" s="23">
        <f t="shared" si="181"/>
        <v>-80.258750235301292</v>
      </c>
      <c r="BS93" s="23">
        <f t="shared" si="181"/>
        <v>-128.13076101835395</v>
      </c>
      <c r="BT93" s="23">
        <f t="shared" si="181"/>
        <v>-90.873885159540478</v>
      </c>
    </row>
    <row r="95" spans="1:72" hidden="1" outlineLevel="1" x14ac:dyDescent="0.25">
      <c r="A95" s="11" t="s">
        <v>82</v>
      </c>
      <c r="C95" s="2" t="s">
        <v>83</v>
      </c>
      <c r="D95" s="8">
        <f>IFERROR(
GETPIVOTDATA(
"[Base].[Importe]",
TDinamica_R!$A$5,
"[Calendario].[AñoMes]",
"[Calendario].[AñoMes].&amp;[" &amp; TEXT(D$6,"yyyymm")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E95" s="8">
        <f>IFERROR(
GETPIVOTDATA(
"[Base].[Importe]",
TDinamica_R!$A$5,
"[Calendario].[AñoMes]",
"[Calendario].[AñoMes].&amp;[" &amp; TEXT(E$6,"yyyymm")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F95" s="8">
        <f>IFERROR(
GETPIVOTDATA(
"[Base].[Importe]",
TDinamica_R!$A$5,
"[Calendario].[AñoMes]",
"[Calendario].[AñoMes].&amp;[" &amp; TEXT(F$6,"yyyymm")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G95" s="8">
        <f>IFERROR(
GETPIVOTDATA(
"[Base].[Importe]",
TDinamica_R!$A$5,
"[Calendario].[AñoMes]",
"[Calendario].[AñoMes].&amp;[" &amp; TEXT(G$6,"yyyymm")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H95" s="8">
        <f>IFERROR(
GETPIVOTDATA(
"[Base].[Importe]",
TDinamica_R!$A$5,
"[Calendario].[AñoMes]",
"[Calendario].[AñoMes].&amp;[" &amp; TEXT(H$6,"yyyymm")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I95" s="8">
        <f>IFERROR(
GETPIVOTDATA(
"[Base].[Importe]",
TDinamica_R!$A$5,
"[Calendario].[AñoMes]",
"[Calendario].[AñoMes].&amp;[" &amp; TEXT(I$6,"yyyymm")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J95" s="8">
        <f>IFERROR(
GETPIVOTDATA(
"[Base].[Importe]",
TDinamica_R!$A$5,
"[Calendario].[AñoMes]",
"[Calendario].[AñoMes].&amp;[" &amp; TEXT(J$6,"yyyymm")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K95" s="8">
        <f>IFERROR(
GETPIVOTDATA(
"[Base].[Importe]",
TDinamica_R!$A$5,
"[Calendario].[AñoMes]",
"[Calendario].[AñoMes].&amp;[" &amp; TEXT(K$6,"yyyymm") &amp; "]",
"[Base].[Metrica]",
"[Base].[Metrica].&amp;[" &amp; $A95 &amp; "]",
"[Base].[SEGMENTO_DESCRIP]",
"[Base].[SEGMENTO_DESCRIP].&amp;[" &amp; $C$6 &amp; "]",
"[Base].[SITUACION]",
"[Base].[SITUACION].&amp;[" &amp; $C95 &amp; "]"
),0)/1000</f>
        <v>577.52448582473085</v>
      </c>
      <c r="L95" s="8">
        <f>IFERROR(
GETPIVOTDATA(
"[Base].[Importe]",
TDinamica_R!$A$5,
"[Calendario].[AñoMes]",
"[Calendario].[AñoMes].&amp;[" &amp; TEXT(L$6,"yyyymm")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M95" s="8">
        <f>IFERROR(
GETPIVOTDATA(
"[Base].[Importe]",
TDinamica_R!$A$5,
"[Calendario].[AñoMes]",
"[Calendario].[AñoMes].&amp;[" &amp; TEXT(M$6,"yyyymm") &amp; "]",
"[Base].[Metrica]",
"[Base].[Metrica].&amp;[" &amp; $A95 &amp; "]",
"[Base].[SEGMENTO_DESCRIP]",
"[Base].[SEGMENTO_DESCRIP].&amp;[" &amp; $C$6 &amp; "]",
"[Base].[SITUACION]",
"[Base].[SITUACION].&amp;[" &amp; $C95 &amp; "]"
),0)/1000</f>
        <v>295.88283408046925</v>
      </c>
      <c r="N95" s="8">
        <f>IFERROR(
GETPIVOTDATA(
"[Base].[Importe]",
TDinamica_R!$A$5,
"[Calendario].[AñoMes]",
"[Calendario].[AñoMes].&amp;[" &amp; TEXT(N$6,"yyyymm")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O95" s="8">
        <f>IFERROR(
GETPIVOTDATA(
"[Base].[Importe]",
TDinamica_R!$A$5,
"[Calendario].[AñoMes]",
"[Calendario].[AñoMes].&amp;[" &amp; TEXT(O$6,"yyyymm")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P95" s="8">
        <f>IFERROR(
GETPIVOTDATA(
"[Base].[Importe]",
TDinamica_R!$A$5,
"[Calendario].[AñoMes]",
"[Calendario].[AñoMes].&amp;[" &amp; TEXT(P$6,"yyyymm")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Q95" s="8">
        <f>IFERROR(
GETPIVOTDATA(
"[Base].[Importe]",
TDinamica_R!$A$5,
"[Calendario].[AñoMes]",
"[Calendario].[AñoMes].&amp;[" &amp; TEXT(Q$6,"yyyymm")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R95" s="8">
        <f>IFERROR(
GETPIVOTDATA(
"[Base].[Importe]",
TDinamica_R!$A$5,
"[Calendario].[AñoMes]",
"[Calendario].[AñoMes].&amp;[" &amp; TEXT(R$6,"yyyymm")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S95" s="8">
        <f>IFERROR(
GETPIVOTDATA(
"[Base].[Importe]",
TDinamica_R!$A$5,
"[Calendario].[AñoMes]",
"[Calendario].[AñoMes].&amp;[" &amp; TEXT(S$6,"yyyymm")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T95" s="8">
        <f>IFERROR(
GETPIVOTDATA(
"[Base].[Importe]",
TDinamica_R!$A$5,
"[Calendario].[AñoMes]",
"[Calendario].[AñoMes].&amp;[" &amp; TEXT(T$6,"yyyymm")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U95" s="8">
        <f>IFERROR(
GETPIVOTDATA(
"[Base].[Importe]",
TDinamica_R!$A$5,
"[Calendario].[AñoMes]",
"[Calendario].[AñoMes].&amp;[" &amp; TEXT(U$6,"yyyymm")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V95" s="8">
        <f>IFERROR(
GETPIVOTDATA(
"[Base].[Importe]",
TDinamica_R!$A$5,
"[Calendario].[AñoMes]",
"[Calendario].[AñoMes].&amp;[" &amp; TEXT(V$6,"yyyymm")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W95" s="8">
        <f>IFERROR(
GETPIVOTDATA(
"[Base].[Importe]",
TDinamica_R!$A$5,
"[Calendario].[AñoMes]",
"[Calendario].[AñoMes].&amp;[" &amp; TEXT(W$6,"yyyymm")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X95" s="8">
        <f>IFERROR(
GETPIVOTDATA(
"[Base].[Importe]",
TDinamica_R!$A$5,
"[Calendario].[AñoMes]",
"[Calendario].[AñoMes].&amp;[" &amp; TEXT(X$6,"yyyymm")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Y95" s="8">
        <f>IFERROR(
GETPIVOTDATA(
"[Base].[Importe]",
TDinamica_R!$A$5,
"[Calendario].[AñoMes]",
"[Calendario].[AñoMes].&amp;[" &amp; TEXT(Y$6,"yyyymm") &amp; "]",
"[Base].[Metrica]",
"[Base].[Metrica].&amp;[" &amp; $A95 &amp; "]",
"[Base].[SEGMENTO_DESCRIP]",
"[Base].[SEGMENTO_DESCRIP].&amp;[" &amp; $C$6 &amp; "]",
"[Base].[SITUACION]",
"[Base].[SITUACION].&amp;[" &amp; $C95 &amp; "]"
),0)/1000</f>
        <v>115.3366484</v>
      </c>
      <c r="Z95" s="8">
        <f>IFERROR(
GETPIVOTDATA(
"[Base].[Importe]",
TDinamica_R!$A$5,
"[Calendario].[AñoMes]",
"[Calendario].[AñoMes].&amp;[" &amp; TEXT(Z$6,"yyyymm") &amp; "]",
"[Base].[Metrica]",
"[Base].[Metrica].&amp;[" &amp; $A95 &amp; "]",
"[Base].[SEGMENTO_DESCRIP]",
"[Base].[SEGMENTO_DESCRIP].&amp;[" &amp; $C$6 &amp; "]",
"[Base].[SITUACION]",
"[Base].[SITUACION].&amp;[" &amp; $C95 &amp; "]"
),0)/1000</f>
        <v>1.7447407891549997</v>
      </c>
      <c r="AA95" s="8">
        <f>IFERROR(
GETPIVOTDATA(
"[Base].[Importe]",
TDinamica_R!$A$5,
"[Calendario].[AñoMes]",
"[Calendario].[AñoMes].&amp;[" &amp; TEXT(AA$6,"yyyymm") &amp; "]",
"[Base].[Metrica]",
"[Base].[Metrica].&amp;[" &amp; $A95 &amp; "]",
"[Base].[SEGMENTO_DESCRIP]",
"[Base].[SEGMENTO_DESCRIP].&amp;[" &amp; $C$6 &amp; "]",
"[Base].[SITUACION]",
"[Base].[SITUACION].&amp;[" &amp; $C95 &amp; "]"
),0)/1000</f>
        <v>-0.237208769204</v>
      </c>
      <c r="AB95" s="8">
        <f>IFERROR(
GETPIVOTDATA(
"[Base].[Importe]",
TDinamica_R!$A$5,
"[Calendario].[AñoMes]",
"[Calendario].[AñoMes].&amp;[" &amp; TEXT(AB$6,"yyyymm")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C95" s="8">
        <f>IFERROR(
GETPIVOTDATA(
"[Base].[Importe]",
TDinamica_R!$A$5,
"[Calendario].[AñoMes]",
"[Calendario].[AñoMes].&amp;[" &amp; TEXT(AC$6,"yyyymm")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D95" s="8">
        <f>IFERROR(
GETPIVOTDATA(
"[Base].[Importe]",
TDinamica_R!$A$5,
"[Calendario].[AñoMes]",
"[Calendario].[AñoMes].&amp;[" &amp; TEXT(AD$6,"yyyymm") &amp; "]",
"[Base].[Metrica]",
"[Base].[Metrica].&amp;[" &amp; $A95 &amp; "]",
"[Base].[SEGMENTO_DESCRIP]",
"[Base].[SEGMENTO_DESCRIP].&amp;[" &amp; $C$6 &amp; "]",
"[Base].[SITUACION]",
"[Base].[SITUACION].&amp;[" &amp; $C95 &amp; "]"
),0)/1000</f>
        <v>757.78972916344992</v>
      </c>
      <c r="AE95" s="8">
        <f>IFERROR(
GETPIVOTDATA(
"[Base].[Importe]",
TDinamica_R!$A$5,
"[Calendario].[AñoMes]",
"[Calendario].[AñoMes].&amp;[" &amp; TEXT(AE$6,"yyyymm") &amp; "]",
"[Base].[Metrica]",
"[Base].[Metrica].&amp;[" &amp; $A95 &amp; "]",
"[Base].[SEGMENTO_DESCRIP]",
"[Base].[SEGMENTO_DESCRIP].&amp;[" &amp; $C$6 &amp; "]",
"[Base].[SITUACION]",
"[Base].[SITUACION].&amp;[" &amp; $C95 &amp; "]"
),0)/1000</f>
        <v>-5.7724969656200003</v>
      </c>
      <c r="AF95" s="8">
        <f>IFERROR(
GETPIVOTDATA(
"[Base].[Importe]",
TDinamica_R!$A$5,
"[Calendario].[AñoMes]",
"[Calendario].[AñoMes].&amp;[" &amp; TEXT(AF$6,"yyyymm")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G95" s="8">
        <f>IFERROR(
GETPIVOTDATA(
"[Base].[Importe]",
TDinamica_R!$A$5,
"[Calendario].[AñoMes]",
"[Calendario].[AñoMes].&amp;[" &amp; TEXT(AG$6,"yyyymm") &amp; "]",
"[Base].[Metrica]",
"[Base].[Metrica].&amp;[" &amp; $A95 &amp; "]",
"[Base].[SEGMENTO_DESCRIP]",
"[Base].[SEGMENTO_DESCRIP].&amp;[" &amp; $C$6 &amp; "]",
"[Base].[SITUACION]",
"[Base].[SITUACION].&amp;[" &amp; $C95 &amp; "]"
),0)/1000</f>
        <v>1016.5844768625</v>
      </c>
      <c r="AH95" s="8">
        <f>IFERROR(
GETPIVOTDATA(
"[Base].[Importe]",
TDinamica_R!$A$5,
"[Calendario].[AñoMes]",
"[Calendario].[AñoMes].&amp;[" &amp; TEXT(AH$6,"yyyymm")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I95" s="8">
        <f>IFERROR(
GETPIVOTDATA(
"[Base].[Importe]",
TDinamica_R!$A$5,
"[Calendario].[AñoMes]",
"[Calendario].[AñoMes].&amp;[" &amp; TEXT(AI$6,"yyyymm")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J95" s="8">
        <f>IFERROR(
GETPIVOTDATA(
"[Base].[Importe]",
TDinamica_R!$A$5,
"[Calendario].[AñoMes]",
"[Calendario].[AñoMes].&amp;[" &amp; TEXT(AJ$6,"yyyymm") &amp; "]",
"[Base].[Metrica]",
"[Base].[Metrica].&amp;[" &amp; $A95 &amp; "]",
"[Base].[SEGMENTO_DESCRIP]",
"[Base].[SEGMENTO_DESCRIP].&amp;[" &amp; $C$6 &amp; "]",
"[Base].[SITUACION]",
"[Base].[SITUACION].&amp;[" &amp; $C95 &amp; "]"
),0)/1000</f>
        <v>979.8746588050501</v>
      </c>
      <c r="AK95" s="8">
        <f>IFERROR(
GETPIVOTDATA(
"[Base].[Importe]",
TDinamica_R!$A$5,
"[Calendario].[AñoMes]",
"[Calendario].[AñoMes].&amp;[" &amp; TEXT(AK$6,"yyyymm") &amp; "]",
"[Base].[Metrica]",
"[Base].[Metrica].&amp;[" &amp; $A95 &amp; "]",
"[Base].[SEGMENTO_DESCRIP]",
"[Base].[SEGMENTO_DESCRIP].&amp;[" &amp; $C$6 &amp; "]",
"[Base].[SITUACION]",
"[Base].[SITUACION].&amp;[" &amp; $C95 &amp; "]"
),0)/1000</f>
        <v>-9.4678786020000003E-2</v>
      </c>
      <c r="AL95" s="8">
        <f>IFERROR(
GETPIVOTDATA(
"[Base].[Importe]",
TDinamica_R!$A$5,
"[Calendario].[AñoMes]",
"[Calendario].[AñoMes].&amp;[" &amp; TEXT(AL$6,"yyyymm") &amp; "]",
"[Base].[Metrica]",
"[Base].[Metrica].&amp;[" &amp; $A95 &amp; "]",
"[Base].[SEGMENTO_DESCRIP]",
"[Base].[SEGMENTO_DESCRIP].&amp;[" &amp; $C$6 &amp; "]",
"[Base].[SITUACION]",
"[Base].[SITUACION].&amp;[" &amp; $C95 &amp; "]"
),0)/1000</f>
        <v>1099.296012537126</v>
      </c>
      <c r="AM95" s="8">
        <f>IFERROR(
GETPIVOTDATA(
"[Base].[Importe]",
TDinamica_R!$A$5,
"[Calendario].[AñoMes]",
"[Calendario].[AñoMes].&amp;[" &amp; TEXT(AM$6,"yyyymm") &amp; "]",
"[Base].[Metrica]",
"[Base].[Metrica].&amp;[" &amp; $A95 &amp; "]",
"[Base].[SEGMENTO_DESCRIP]",
"[Base].[SEGMENTO_DESCRIP].&amp;[" &amp; $C$6 &amp; "]",
"[Base].[SITUACION]",
"[Base].[SITUACION].&amp;[" &amp; $C95 &amp; "]"
),0)/1000</f>
        <v>-0.35612291191399997</v>
      </c>
      <c r="AN95" s="8">
        <f>IFERROR(
GETPIVOTDATA(
"[Base].[Importe]",
TDinamica_R!$A$5,
"[Calendario].[AñoMes]",
"[Calendario].[AñoMes].&amp;[" &amp; TEXT(AN$6,"yyyymm")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O95" s="8">
        <f>IFERROR(
GETPIVOTDATA(
"[Base].[Importe]",
TDinamica_R!$A$5,
"[Calendario].[AñoMes]",
"[Calendario].[AñoMes].&amp;[" &amp; TEXT(AO$6,"yyyymm")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P95" s="8">
        <f>IFERROR(
GETPIVOTDATA(
"[Base].[Importe]",
TDinamica_R!$A$5,
"[Calendario].[AñoMes]",
"[Calendario].[AñoMes].&amp;[" &amp; TEXT(AP$6,"yyyymm")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Q95" s="8">
        <f>IFERROR(
GETPIVOTDATA(
"[Base].[Importe]",
TDinamica_R!$A$5,
"[Calendario].[AñoMes]",
"[Calendario].[AñoMes].&amp;[" &amp; TEXT(AQ$6,"yyyymm")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R95" s="8">
        <f>IFERROR(
GETPIVOTDATA(
"[Base].[Importe]",
TDinamica_R!$A$5,
"[Calendario].[AñoMes]",
"[Calendario].[AñoMes].&amp;[" &amp; TEXT(AR$6,"yyyymm")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S95" s="8">
        <f>IFERROR(
GETPIVOTDATA(
"[Base].[Importe]",
TDinamica_R!$A$5,
"[Calendario].[AñoMes]",
"[Calendario].[AñoMes].&amp;[" &amp; TEXT(AS$6,"yyyymm") &amp; "]",
"[Base].[Metrica]",
"[Base].[Metrica].&amp;[" &amp; $A95 &amp; "]",
"[Base].[SEGMENTO_DESCRIP]",
"[Base].[SEGMENTO_DESCRIP].&amp;[" &amp; $C$6 &amp; "]",
"[Base].[SITUACION]",
"[Base].[SITUACION].&amp;[" &amp; $C95 &amp; "]"
),0)/1000</f>
        <v>952.02327839172483</v>
      </c>
      <c r="AT95" s="8">
        <f>IFERROR(
GETPIVOTDATA(
"[Base].[Importe]",
TDinamica_R!$A$5,
"[Calendario].[AñoMes]",
"[Calendario].[AñoMes].&amp;[" &amp; TEXT(AT$6,"yyyymm")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U95" s="8">
        <f>IFERROR(
GETPIVOTDATA(
"[Base].[Importe]",
TDinamica_R!$A$5,
"[Calendario].[AñoMes]",
"[Calendario].[AñoMes].&amp;[" &amp; TEXT(AU$6,"yyyymm")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V95" s="8">
        <f>IFERROR(
GETPIVOTDATA(
"[Base].[Importe]",
TDinamica_R!$A$5,
"[Calendario].[AñoMes]",
"[Calendario].[AñoMes].&amp;[" &amp; TEXT(AV$6,"yyyymm")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W95" s="8">
        <f>IFERROR(
GETPIVOTDATA(
"[Base].[Importe]",
TDinamica_R!$A$5,
"[Calendario].[AñoMes]",
"[Calendario].[AñoMes].&amp;[" &amp; TEXT(AW$6,"yyyymm")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X95" s="8">
        <f>IFERROR(
GETPIVOTDATA(
"[Base].[Importe]",
TDinamica_R!$A$5,
"[Calendario].[AñoMes]",
"[Calendario].[AñoMes].&amp;[" &amp; TEXT(AX$6,"yyyymm")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Y95" s="8">
        <f>IFERROR(
GETPIVOTDATA(
"[Base].[Importe]",
TDinamica_R!$A$5,
"[Calendario].[AñoMes]",
"[Calendario].[AñoMes].&amp;[" &amp; TEXT(AY$6,"yyyymm")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Z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TEXT(AZ$6,"yyyymm") &amp; "]"
),
0
)</f>
        <v>0</v>
      </c>
      <c r="BA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TEXT(BA$6,"yyyymm") &amp; "]"
),
0
)</f>
        <v>0</v>
      </c>
      <c r="BB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TEXT(BB$6,"yyyymm") &amp; "]"
),
0
)</f>
        <v>0</v>
      </c>
      <c r="BC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TEXT(BC$6,"yyyymm") &amp; "]"
),
0
)</f>
        <v>0</v>
      </c>
      <c r="BD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TEXT(BD$6,"yyyymm") &amp; "]"
),
0
)</f>
        <v>0</v>
      </c>
      <c r="BE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TEXT(BE$6,"yyyymm") &amp; "]"
),
0
)</f>
        <v>111.82369677202051</v>
      </c>
      <c r="BF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TEXT(BF$6,"yyyymm") &amp; "]"
),
0
)</f>
        <v>0</v>
      </c>
      <c r="BG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TEXT(BG$6,"yyyymm") &amp; "]"
),
0
)</f>
        <v>0</v>
      </c>
      <c r="BH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TEXT(BH$6,"yyyymm") &amp; "]"
),
0
)</f>
        <v>308.94131002377958</v>
      </c>
      <c r="BI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TEXT(BI$6,"yyyymm") &amp; "]"
),
0
)</f>
        <v>0</v>
      </c>
      <c r="BJ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TEXT(BJ$6,"yyyymm") &amp; "]"
),
0
)</f>
        <v>0</v>
      </c>
      <c r="BK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TEXT(BK$6,"yyyymm") &amp; "]"
),
0
)</f>
        <v>0</v>
      </c>
      <c r="BO95" s="24">
        <f t="shared" ref="BO95:BT95" si="182">SUMIFS($D95:$BM95,$D$6:$BM$6,"&gt;="&amp;BO$2,$D$6:$BM$6,"&lt;="&amp;BO$6,$D$5:$BM$5,BO$5)</f>
        <v>0</v>
      </c>
      <c r="BP95" s="24">
        <f t="shared" si="182"/>
        <v>0</v>
      </c>
      <c r="BQ95" s="24">
        <f t="shared" si="182"/>
        <v>0</v>
      </c>
      <c r="BR95" s="24">
        <f t="shared" si="182"/>
        <v>757.78972916344992</v>
      </c>
      <c r="BS95" s="24">
        <f t="shared" si="182"/>
        <v>0</v>
      </c>
      <c r="BT95" s="24">
        <f t="shared" si="182"/>
        <v>0</v>
      </c>
    </row>
    <row r="96" spans="1:72" collapsed="1" x14ac:dyDescent="0.25">
      <c r="C96" s="3" t="s">
        <v>82</v>
      </c>
      <c r="D96" s="10">
        <f>SUM(D95:D95)</f>
        <v>0</v>
      </c>
      <c r="E96" s="10">
        <f t="shared" ref="E96" si="183">SUM(E95:E95)</f>
        <v>0</v>
      </c>
      <c r="F96" s="10">
        <f t="shared" ref="F96" si="184">SUM(F95:F95)</f>
        <v>0</v>
      </c>
      <c r="G96" s="10">
        <f t="shared" ref="G96" si="185">SUM(G95:G95)</f>
        <v>0</v>
      </c>
      <c r="H96" s="10">
        <f t="shared" ref="H96" si="186">SUM(H95:H95)</f>
        <v>0</v>
      </c>
      <c r="I96" s="10">
        <f t="shared" ref="I96" si="187">SUM(I95:I95)</f>
        <v>0</v>
      </c>
      <c r="J96" s="10">
        <f t="shared" ref="J96" si="188">SUM(J95:J95)</f>
        <v>0</v>
      </c>
      <c r="K96" s="10">
        <f t="shared" ref="K96" si="189">SUM(K95:K95)</f>
        <v>577.52448582473085</v>
      </c>
      <c r="L96" s="10">
        <f t="shared" ref="L96" si="190">SUM(L95:L95)</f>
        <v>0</v>
      </c>
      <c r="M96" s="10">
        <f t="shared" ref="M96" si="191">SUM(M95:M95)</f>
        <v>295.88283408046925</v>
      </c>
      <c r="N96" s="10">
        <f t="shared" ref="N96" si="192">SUM(N95:N95)</f>
        <v>0</v>
      </c>
      <c r="O96" s="10">
        <f t="shared" ref="O96" si="193">SUM(O95:O95)</f>
        <v>0</v>
      </c>
      <c r="P96" s="10">
        <f t="shared" ref="P96" si="194">SUM(P95:P95)</f>
        <v>0</v>
      </c>
      <c r="Q96" s="10">
        <f t="shared" ref="Q96" si="195">SUM(Q95:Q95)</f>
        <v>0</v>
      </c>
      <c r="R96" s="10">
        <f t="shared" ref="R96" si="196">SUM(R95:R95)</f>
        <v>0</v>
      </c>
      <c r="S96" s="10">
        <f t="shared" ref="S96" si="197">SUM(S95:S95)</f>
        <v>0</v>
      </c>
      <c r="T96" s="10">
        <f t="shared" ref="T96" si="198">SUM(T95:T95)</f>
        <v>0</v>
      </c>
      <c r="U96" s="10">
        <f t="shared" ref="U96" si="199">SUM(U95:U95)</f>
        <v>0</v>
      </c>
      <c r="V96" s="10">
        <f t="shared" ref="V96" si="200">SUM(V95:V95)</f>
        <v>0</v>
      </c>
      <c r="W96" s="10">
        <f t="shared" ref="W96" si="201">SUM(W95:W95)</f>
        <v>0</v>
      </c>
      <c r="X96" s="10">
        <f t="shared" ref="X96" si="202">SUM(X95:X95)</f>
        <v>0</v>
      </c>
      <c r="Y96" s="10">
        <f t="shared" ref="Y96" si="203">SUM(Y95:Y95)</f>
        <v>115.3366484</v>
      </c>
      <c r="Z96" s="10">
        <f t="shared" ref="Z96" si="204">SUM(Z95:Z95)</f>
        <v>1.7447407891549997</v>
      </c>
      <c r="AA96" s="10">
        <f t="shared" ref="AA96" si="205">SUM(AA95:AA95)</f>
        <v>-0.237208769204</v>
      </c>
      <c r="AB96" s="10">
        <f t="shared" ref="AB96" si="206">SUM(AB95:AB95)</f>
        <v>0</v>
      </c>
      <c r="AC96" s="10">
        <f t="shared" ref="AC96" si="207">SUM(AC95:AC95)</f>
        <v>0</v>
      </c>
      <c r="AD96" s="10">
        <f t="shared" ref="AD96" si="208">SUM(AD95:AD95)</f>
        <v>757.78972916344992</v>
      </c>
      <c r="AE96" s="10">
        <f t="shared" ref="AE96" si="209">SUM(AE95:AE95)</f>
        <v>-5.7724969656200003</v>
      </c>
      <c r="AF96" s="10">
        <f t="shared" ref="AF96" si="210">SUM(AF95:AF95)</f>
        <v>0</v>
      </c>
      <c r="AG96" s="10">
        <f t="shared" ref="AG96" si="211">SUM(AG95:AG95)</f>
        <v>1016.5844768625</v>
      </c>
      <c r="AH96" s="10">
        <f t="shared" ref="AH96" si="212">SUM(AH95:AH95)</f>
        <v>0</v>
      </c>
      <c r="AI96" s="10">
        <f t="shared" ref="AI96" si="213">SUM(AI95:AI95)</f>
        <v>0</v>
      </c>
      <c r="AJ96" s="10">
        <f t="shared" ref="AJ96" si="214">SUM(AJ95:AJ95)</f>
        <v>979.8746588050501</v>
      </c>
      <c r="AK96" s="10">
        <f t="shared" ref="AK96" si="215">SUM(AK95:AK95)</f>
        <v>-9.4678786020000003E-2</v>
      </c>
      <c r="AL96" s="10">
        <f t="shared" ref="AL96" si="216">SUM(AL95:AL95)</f>
        <v>1099.296012537126</v>
      </c>
      <c r="AM96" s="10">
        <f t="shared" ref="AM96" si="217">SUM(AM95:AM95)</f>
        <v>-0.35612291191399997</v>
      </c>
      <c r="AN96" s="10">
        <f t="shared" ref="AN96" si="218">SUM(AN95:AN95)</f>
        <v>0</v>
      </c>
      <c r="AO96" s="10">
        <f t="shared" ref="AO96" si="219">SUM(AO95:AO95)</f>
        <v>0</v>
      </c>
      <c r="AP96" s="10">
        <f t="shared" ref="AP96" si="220">SUM(AP95:AP95)</f>
        <v>0</v>
      </c>
      <c r="AQ96" s="10">
        <f t="shared" ref="AQ96" si="221">SUM(AQ95:AQ95)</f>
        <v>0</v>
      </c>
      <c r="AR96" s="10">
        <f t="shared" ref="AR96" si="222">SUM(AR95:AR95)</f>
        <v>0</v>
      </c>
      <c r="AS96" s="10">
        <f t="shared" ref="AS96" si="223">SUM(AS95:AS95)</f>
        <v>952.02327839172483</v>
      </c>
      <c r="AT96" s="10">
        <f t="shared" ref="AT96" si="224">SUM(AT95:AT95)</f>
        <v>0</v>
      </c>
      <c r="AU96" s="10">
        <f t="shared" ref="AU96" si="225">SUM(AU95:AU95)</f>
        <v>0</v>
      </c>
      <c r="AV96" s="10">
        <f t="shared" ref="AV96" si="226">SUM(AV95:AV95)</f>
        <v>0</v>
      </c>
      <c r="AW96" s="10">
        <f t="shared" ref="AW96" si="227">SUM(AW95:AW95)</f>
        <v>0</v>
      </c>
      <c r="AX96" s="10">
        <f t="shared" ref="AX96" si="228">SUM(AX95:AX95)</f>
        <v>0</v>
      </c>
      <c r="AY96" s="10">
        <f t="shared" ref="AY96" si="229">SUM(AY95:AY95)</f>
        <v>0</v>
      </c>
      <c r="AZ96" s="10">
        <f t="shared" ref="AZ96:BK96" si="230">SUM(AZ95)</f>
        <v>0</v>
      </c>
      <c r="BA96" s="10">
        <f t="shared" si="230"/>
        <v>0</v>
      </c>
      <c r="BB96" s="10">
        <f t="shared" si="230"/>
        <v>0</v>
      </c>
      <c r="BC96" s="10">
        <f t="shared" si="230"/>
        <v>0</v>
      </c>
      <c r="BD96" s="10">
        <f t="shared" si="230"/>
        <v>0</v>
      </c>
      <c r="BE96" s="10">
        <f t="shared" si="230"/>
        <v>111.82369677202051</v>
      </c>
      <c r="BF96" s="10">
        <f t="shared" si="230"/>
        <v>0</v>
      </c>
      <c r="BG96" s="10">
        <f t="shared" si="230"/>
        <v>0</v>
      </c>
      <c r="BH96" s="10">
        <f t="shared" si="230"/>
        <v>308.94131002377958</v>
      </c>
      <c r="BI96" s="10">
        <f t="shared" si="230"/>
        <v>0</v>
      </c>
      <c r="BJ96" s="10">
        <f t="shared" si="230"/>
        <v>0</v>
      </c>
      <c r="BK96" s="10">
        <f t="shared" si="230"/>
        <v>0</v>
      </c>
      <c r="BO96" s="23">
        <f>SUM(BO95)</f>
        <v>0</v>
      </c>
      <c r="BP96" s="23">
        <f t="shared" ref="BP96:BT96" si="231">SUM(BP95)</f>
        <v>0</v>
      </c>
      <c r="BQ96" s="23">
        <f t="shared" si="231"/>
        <v>0</v>
      </c>
      <c r="BR96" s="23">
        <f t="shared" si="231"/>
        <v>757.78972916344992</v>
      </c>
      <c r="BS96" s="23">
        <f t="shared" si="231"/>
        <v>0</v>
      </c>
      <c r="BT96" s="23">
        <f t="shared" si="231"/>
        <v>0</v>
      </c>
    </row>
    <row r="98" spans="3:72" x14ac:dyDescent="0.25">
      <c r="C98" s="3" t="s">
        <v>84</v>
      </c>
      <c r="D98" s="10">
        <f t="shared" ref="D98:BK98" si="232">D60+D83+D89+D93+D96</f>
        <v>3576.2358925506101</v>
      </c>
      <c r="E98" s="10">
        <f t="shared" si="232"/>
        <v>2773.1143097001432</v>
      </c>
      <c r="F98" s="10">
        <f t="shared" si="232"/>
        <v>3814.3555738569221</v>
      </c>
      <c r="G98" s="10">
        <f t="shared" si="232"/>
        <v>3415.4422373426505</v>
      </c>
      <c r="H98" s="10">
        <f t="shared" si="232"/>
        <v>3935.5214958745419</v>
      </c>
      <c r="I98" s="10">
        <f t="shared" si="232"/>
        <v>3746.9257867332071</v>
      </c>
      <c r="J98" s="10">
        <f t="shared" si="232"/>
        <v>3699.3282424838526</v>
      </c>
      <c r="K98" s="10">
        <f t="shared" si="232"/>
        <v>4455.6324516674322</v>
      </c>
      <c r="L98" s="10">
        <f t="shared" si="232"/>
        <v>3797.3434115617333</v>
      </c>
      <c r="M98" s="10">
        <f t="shared" si="232"/>
        <v>3633.0425957823782</v>
      </c>
      <c r="N98" s="10">
        <f t="shared" si="232"/>
        <v>3021.4939169389004</v>
      </c>
      <c r="O98" s="10">
        <f t="shared" si="232"/>
        <v>2833.8135356907324</v>
      </c>
      <c r="P98" s="10">
        <f t="shared" si="232"/>
        <v>1383.0664450292095</v>
      </c>
      <c r="Q98" s="10">
        <f t="shared" si="232"/>
        <v>-854.36109811649283</v>
      </c>
      <c r="R98" s="10">
        <f t="shared" si="232"/>
        <v>-2319.627419543981</v>
      </c>
      <c r="S98" s="10">
        <f t="shared" si="232"/>
        <v>-2797.3527939181504</v>
      </c>
      <c r="T98" s="10">
        <f t="shared" si="232"/>
        <v>-3270.5201728339098</v>
      </c>
      <c r="U98" s="10">
        <f t="shared" si="232"/>
        <v>-3953.4182209965202</v>
      </c>
      <c r="V98" s="10">
        <f t="shared" si="232"/>
        <v>-1995.3781261689094</v>
      </c>
      <c r="W98" s="10">
        <f t="shared" si="232"/>
        <v>-1177.1938686594945</v>
      </c>
      <c r="X98" s="10">
        <f t="shared" si="232"/>
        <v>360.93639968922344</v>
      </c>
      <c r="Y98" s="10">
        <f t="shared" si="232"/>
        <v>-723.12844987560061</v>
      </c>
      <c r="Z98" s="10">
        <f t="shared" si="232"/>
        <v>1746.8109196765361</v>
      </c>
      <c r="AA98" s="10">
        <f t="shared" si="232"/>
        <v>1778.4088404199513</v>
      </c>
      <c r="AB98" s="10">
        <f t="shared" si="232"/>
        <v>813.84196810825108</v>
      </c>
      <c r="AC98" s="10">
        <f t="shared" si="232"/>
        <v>2917.6540706648198</v>
      </c>
      <c r="AD98" s="10">
        <f t="shared" si="232"/>
        <v>4085.0996832208662</v>
      </c>
      <c r="AE98" s="10">
        <f t="shared" si="232"/>
        <v>2520.3658584845725</v>
      </c>
      <c r="AF98" s="10">
        <f t="shared" si="232"/>
        <v>2965.0364239931873</v>
      </c>
      <c r="AG98" s="10">
        <f t="shared" si="232"/>
        <v>3153.4372050783304</v>
      </c>
      <c r="AH98" s="10">
        <f t="shared" si="232"/>
        <v>2569.2114975781287</v>
      </c>
      <c r="AI98" s="10">
        <f t="shared" si="232"/>
        <v>2478.5531534702654</v>
      </c>
      <c r="AJ98" s="10">
        <f t="shared" si="232"/>
        <v>3201.5557971716707</v>
      </c>
      <c r="AK98" s="10">
        <f t="shared" si="232"/>
        <v>1287.5495803018378</v>
      </c>
      <c r="AL98" s="10">
        <f t="shared" si="232"/>
        <v>3638.5044047415508</v>
      </c>
      <c r="AM98" s="10">
        <f t="shared" si="232"/>
        <v>2322.5518103124664</v>
      </c>
      <c r="AN98" s="10">
        <f t="shared" si="232"/>
        <v>2041.9036628333354</v>
      </c>
      <c r="AO98" s="10">
        <f t="shared" si="232"/>
        <v>1600.7722879988796</v>
      </c>
      <c r="AP98" s="10">
        <f t="shared" si="232"/>
        <v>1990.5170846465955</v>
      </c>
      <c r="AQ98" s="10">
        <f t="shared" si="232"/>
        <v>850.89082074834926</v>
      </c>
      <c r="AR98" s="10">
        <f t="shared" si="232"/>
        <v>2029.7920150835055</v>
      </c>
      <c r="AS98" s="10">
        <f t="shared" si="232"/>
        <v>1447.7723945981254</v>
      </c>
      <c r="AT98" s="10">
        <f t="shared" si="232"/>
        <v>0</v>
      </c>
      <c r="AU98" s="10">
        <f t="shared" si="232"/>
        <v>0</v>
      </c>
      <c r="AV98" s="10">
        <f t="shared" si="232"/>
        <v>0</v>
      </c>
      <c r="AW98" s="10">
        <f t="shared" si="232"/>
        <v>0</v>
      </c>
      <c r="AX98" s="10">
        <f t="shared" si="232"/>
        <v>0</v>
      </c>
      <c r="AY98" s="10">
        <f t="shared" si="232"/>
        <v>0</v>
      </c>
      <c r="AZ98" s="10">
        <f t="shared" si="232"/>
        <v>-1338.5992342868478</v>
      </c>
      <c r="BA98" s="10">
        <f t="shared" si="232"/>
        <v>-1327.5932978242602</v>
      </c>
      <c r="BB98" s="10">
        <f t="shared" si="232"/>
        <v>-1376.3200910823373</v>
      </c>
      <c r="BC98" s="10">
        <f t="shared" si="232"/>
        <v>-1355.1335114959907</v>
      </c>
      <c r="BD98" s="10">
        <f t="shared" si="232"/>
        <v>-1401.7710245046867</v>
      </c>
      <c r="BE98" s="10">
        <f t="shared" si="232"/>
        <v>-1313.3366697587114</v>
      </c>
      <c r="BF98" s="10">
        <f t="shared" si="232"/>
        <v>-1380.8982792596951</v>
      </c>
      <c r="BG98" s="10">
        <f t="shared" si="232"/>
        <v>-1386.9489386026939</v>
      </c>
      <c r="BH98" s="10">
        <f t="shared" si="232"/>
        <v>-1118.5235642990197</v>
      </c>
      <c r="BI98" s="10">
        <f t="shared" si="232"/>
        <v>-1406.170274584757</v>
      </c>
      <c r="BJ98" s="10">
        <f t="shared" si="232"/>
        <v>-1392.5726682521827</v>
      </c>
      <c r="BK98" s="10">
        <f t="shared" si="232"/>
        <v>-1402.8073639659062</v>
      </c>
      <c r="BO98" s="23">
        <f>BO60+BO83+BO89+BO93+BO96</f>
        <v>5633.1930354788128</v>
      </c>
      <c r="BP98" s="23">
        <f t="shared" ref="BP98:BT98" si="233">BP60+BP83+BP89+BP93+BP96</f>
        <v>10450.446471684241</v>
      </c>
      <c r="BQ98" s="23">
        <f t="shared" si="233"/>
        <v>3642.6759508322157</v>
      </c>
      <c r="BR98" s="23">
        <f t="shared" si="233"/>
        <v>7816.5957219939419</v>
      </c>
      <c r="BS98" s="23">
        <f t="shared" si="233"/>
        <v>-1790.9220726312619</v>
      </c>
      <c r="BT98" s="23">
        <f t="shared" si="233"/>
        <v>10163.705776107672</v>
      </c>
    </row>
    <row r="102" spans="3:72" s="48" customFormat="1" x14ac:dyDescent="0.25">
      <c r="C102" s="46" t="s">
        <v>110</v>
      </c>
      <c r="D102" s="47">
        <f>D11</f>
        <v>783632.5822481002</v>
      </c>
      <c r="E102" s="47">
        <f>IFERROR(AVERAGE(D11:E11),0)</f>
        <v>795150.79201780003</v>
      </c>
      <c r="F102" s="47">
        <f t="shared" ref="F102:BK102" si="234">IFERROR(AVERAGE(E11:F11),0)</f>
        <v>817206.82413970004</v>
      </c>
      <c r="G102" s="47">
        <f t="shared" si="234"/>
        <v>838272.04236904997</v>
      </c>
      <c r="H102" s="47">
        <f t="shared" si="234"/>
        <v>859330.94925920013</v>
      </c>
      <c r="I102" s="47">
        <f t="shared" si="234"/>
        <v>878828.36074104998</v>
      </c>
      <c r="J102" s="48">
        <f t="shared" si="234"/>
        <v>900268.01134496985</v>
      </c>
      <c r="K102" s="48">
        <f t="shared" si="234"/>
        <v>931453.77350761998</v>
      </c>
      <c r="L102" s="48">
        <f t="shared" si="234"/>
        <v>963113.87444389483</v>
      </c>
      <c r="M102" s="48">
        <f t="shared" si="234"/>
        <v>977216.96196541493</v>
      </c>
      <c r="N102" s="48">
        <f t="shared" si="234"/>
        <v>982551.87282786006</v>
      </c>
      <c r="O102" s="48">
        <f t="shared" si="234"/>
        <v>985171.24987984006</v>
      </c>
      <c r="P102" s="48">
        <f t="shared" si="234"/>
        <v>977339.62924944994</v>
      </c>
      <c r="Q102" s="48">
        <f t="shared" si="234"/>
        <v>968297.5132799499</v>
      </c>
      <c r="R102" s="48">
        <f t="shared" si="234"/>
        <v>962738.73895345</v>
      </c>
      <c r="S102" s="48">
        <f t="shared" si="234"/>
        <v>954992.03734270995</v>
      </c>
      <c r="T102" s="48">
        <f t="shared" si="234"/>
        <v>943760.81670532003</v>
      </c>
      <c r="U102" s="48">
        <f t="shared" si="234"/>
        <v>928131.39909663983</v>
      </c>
      <c r="V102" s="48">
        <f t="shared" si="234"/>
        <v>909804.64313443983</v>
      </c>
      <c r="W102" s="47">
        <f t="shared" si="234"/>
        <v>897598.60808552988</v>
      </c>
      <c r="X102" s="47">
        <f t="shared" si="234"/>
        <v>897048.92023893492</v>
      </c>
      <c r="Y102" s="47">
        <f t="shared" si="234"/>
        <v>902632.085855935</v>
      </c>
      <c r="Z102" s="47">
        <f t="shared" si="234"/>
        <v>911956.05866651004</v>
      </c>
      <c r="AA102" s="47">
        <f t="shared" si="234"/>
        <v>921840.9814325301</v>
      </c>
      <c r="AB102" s="47">
        <f t="shared" si="234"/>
        <v>931394.24890791997</v>
      </c>
      <c r="AC102" s="48">
        <f t="shared" si="234"/>
        <v>944423.31585124496</v>
      </c>
      <c r="AD102" s="48">
        <f t="shared" si="234"/>
        <v>963143.51757482509</v>
      </c>
      <c r="AE102" s="48">
        <f t="shared" si="234"/>
        <v>984976.32608098502</v>
      </c>
      <c r="AF102" s="48">
        <f t="shared" si="234"/>
        <v>1009269.492438795</v>
      </c>
      <c r="AG102" s="48">
        <f t="shared" si="234"/>
        <v>1027800.3807371601</v>
      </c>
      <c r="AH102" s="48">
        <f t="shared" si="234"/>
        <v>1040403.727822585</v>
      </c>
      <c r="AI102" s="48">
        <f t="shared" si="234"/>
        <v>1061099.2083010701</v>
      </c>
      <c r="AJ102" s="48">
        <f t="shared" si="234"/>
        <v>1092292.8416288248</v>
      </c>
      <c r="AK102" s="48">
        <f t="shared" si="234"/>
        <v>1139302.2949657249</v>
      </c>
      <c r="AL102" s="48">
        <f t="shared" si="234"/>
        <v>1185184.6226720647</v>
      </c>
      <c r="AM102" s="48">
        <f t="shared" si="234"/>
        <v>1208173.7075972748</v>
      </c>
      <c r="AN102" s="48">
        <f t="shared" si="234"/>
        <v>1223115.7079747347</v>
      </c>
      <c r="AO102" s="48">
        <f t="shared" si="234"/>
        <v>1250715.5699999998</v>
      </c>
      <c r="AP102" s="48">
        <f t="shared" si="234"/>
        <v>1284265.46</v>
      </c>
      <c r="AQ102" s="48">
        <f t="shared" si="234"/>
        <v>1310972.3223998602</v>
      </c>
      <c r="AR102" s="48">
        <f t="shared" si="234"/>
        <v>1337696.8592825001</v>
      </c>
      <c r="AS102" s="48">
        <f t="shared" si="234"/>
        <v>1374985.1781107401</v>
      </c>
      <c r="AT102" s="48">
        <f t="shared" si="234"/>
        <v>698331.00122810004</v>
      </c>
      <c r="AU102" s="48">
        <f t="shared" si="234"/>
        <v>0</v>
      </c>
      <c r="AV102" s="48">
        <f t="shared" si="234"/>
        <v>0</v>
      </c>
      <c r="AW102" s="48">
        <f t="shared" si="234"/>
        <v>0</v>
      </c>
      <c r="AX102" s="48">
        <f t="shared" si="234"/>
        <v>0</v>
      </c>
      <c r="AY102" s="48">
        <f t="shared" si="234"/>
        <v>0</v>
      </c>
      <c r="AZ102" s="48">
        <f>AZ11</f>
        <v>1235453.6819557438</v>
      </c>
      <c r="BA102" s="48">
        <f t="shared" si="234"/>
        <v>1243794.1097571203</v>
      </c>
      <c r="BB102" s="48">
        <f t="shared" si="234"/>
        <v>1266343.9318698014</v>
      </c>
      <c r="BC102" s="48">
        <f t="shared" si="234"/>
        <v>1298149.5585585311</v>
      </c>
      <c r="BD102" s="48">
        <f t="shared" si="234"/>
        <v>1335504.3829282229</v>
      </c>
      <c r="BE102" s="48">
        <f t="shared" si="234"/>
        <v>1368252.0587195954</v>
      </c>
      <c r="BF102" s="48">
        <f t="shared" si="234"/>
        <v>1388317.3691447135</v>
      </c>
      <c r="BG102" s="48">
        <f t="shared" si="234"/>
        <v>1406173.2771738558</v>
      </c>
      <c r="BH102" s="48">
        <f t="shared" si="234"/>
        <v>1431900.9781162937</v>
      </c>
      <c r="BI102" s="48">
        <f t="shared" si="234"/>
        <v>1460729.9429031424</v>
      </c>
      <c r="BJ102" s="48">
        <f t="shared" si="234"/>
        <v>1482611.1671865284</v>
      </c>
      <c r="BK102" s="48">
        <f t="shared" si="234"/>
        <v>1494596.7889201413</v>
      </c>
      <c r="BO102" s="48">
        <f>IFERROR(AVERAGEIFS($D11:$BM11,$D$6:$BM$6,"&gt;="&amp;EOMONTH(BO$2,-1),$D$6:$BM$6,"&lt;="&amp;BO$6,$D$5:$BM$5,BO$5,$D11:$BM11,"&lt;&gt;0"),0)</f>
        <v>1253690.5839873673</v>
      </c>
      <c r="BP102" s="48">
        <f>IFERROR(AVERAGEIFS($D11:$BM11,$D$6:$BM$6,"&gt;="&amp;EOMONTH(BP$2,-1),$D$6:$BM$6,"&lt;="&amp;BP$6,$D$5:$BM$5,BP$5,$D11:$BM11,"&lt;&gt;0"),0)</f>
        <v>1256047.1818984488</v>
      </c>
      <c r="BQ102" s="48">
        <f>IFERROR(AVERAGEIFS($D11:$BM11,$D$6:$BM$6,"&gt;="&amp;EOMONTH(BQ$2,-1),$D$6:$BM$6,"&lt;="&amp;BQ$6,$D$5:$BM$5,BQ$5,$D11:$BM11,"&lt;&gt;0"),0)</f>
        <v>1238301.018649823</v>
      </c>
      <c r="BR102" s="48">
        <f>IFERROR(AVERAGEIFS($D11:$BM11,$D$6:$BM$6,"&gt;="&amp;EOMONTH(BR$2,-1),$D$6:$BM$6,"&lt;="&amp;BR$6,$D$5:$BM$5,BR$5,$D11:$BM11,"&lt;&gt;0"),0)</f>
        <v>947268.88324137253</v>
      </c>
      <c r="BS102" s="48">
        <f t="shared" ref="BS102:BT102" si="235">IFERROR(AVERAGEIFS($D11:$BM11,$D$6:$BM$6,"&gt;="&amp;EOMONTH(BS$2,-1),$D$6:$BM$6,"&lt;="&amp;BS$6,$D$5:$BM$5,BS$5,$D11:$BM11,"&lt;&gt;0"),0)</f>
        <v>970039.18410144991</v>
      </c>
      <c r="BT102" s="48">
        <f t="shared" si="235"/>
        <v>806015.41017583339</v>
      </c>
    </row>
    <row r="104" spans="3:72" x14ac:dyDescent="0.25">
      <c r="BO104" s="20"/>
      <c r="BP104" s="20"/>
      <c r="BQ104" s="20"/>
      <c r="BR104" s="20"/>
      <c r="BS104" s="20"/>
      <c r="BT104" s="20"/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6B6B-0E44-42FD-8A23-90D2AA7C2385}">
  <sheetPr codeName="Hoja8"/>
  <dimension ref="A1:CC102"/>
  <sheetViews>
    <sheetView showGridLines="0" zoomScale="80" zoomScaleNormal="80" workbookViewId="0">
      <pane xSplit="3" ySplit="6" topLeftCell="AV7" activePane="bottomRight" state="frozen"/>
      <selection activeCell="AT11" sqref="AT11"/>
      <selection pane="topRight" activeCell="AT11" sqref="AT11"/>
      <selection pane="bottomLeft" activeCell="AT11" sqref="AT11"/>
      <selection pane="bottomRight" activeCell="AT11" sqref="AT11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hidden="1" customWidth="1" outlineLevel="1"/>
    <col min="15" max="15" width="11.28515625" bestFit="1" customWidth="1" collapsed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1.28515625" bestFit="1" customWidth="1"/>
    <col min="41" max="51" width="10.5703125" customWidth="1"/>
    <col min="52" max="56" width="12.28515625" bestFit="1" customWidth="1"/>
    <col min="57" max="57" width="11.28515625" bestFit="1" customWidth="1"/>
    <col min="58" max="63" width="12.28515625" bestFit="1" customWidth="1"/>
    <col min="77" max="77" width="11.28515625" bestFit="1" customWidth="1"/>
  </cols>
  <sheetData>
    <row r="1" spans="1:81" ht="15.75" x14ac:dyDescent="0.25">
      <c r="D1" s="67" t="s">
        <v>92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8" t="s">
        <v>93</v>
      </c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O1" s="69" t="s">
        <v>90</v>
      </c>
      <c r="BP1" s="69"/>
      <c r="BQ1" s="69"/>
      <c r="BR1" s="69"/>
      <c r="BS1" s="69"/>
      <c r="BT1" s="69"/>
      <c r="BW1" s="69" t="s">
        <v>91</v>
      </c>
      <c r="BX1" s="69"/>
      <c r="BY1" s="69"/>
      <c r="BZ1" s="69"/>
      <c r="CA1" s="69"/>
      <c r="CB1" s="69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</v>
      </c>
      <c r="BP3" s="12">
        <f t="shared" ref="BP3:BT4" si="2">AVERAGEIFS($D3:$BM3,$D$6:$BM$6,"&gt;="&amp;BP$2,$D$6:$BM$6,"&lt;="&amp;BP$6,$D$5:$BM$5,BP$5)</f>
        <v>30</v>
      </c>
      <c r="BQ3" s="12">
        <f t="shared" si="2"/>
        <v>29.5</v>
      </c>
      <c r="BR3" s="12">
        <f t="shared" si="2"/>
        <v>30</v>
      </c>
      <c r="BS3" s="12">
        <f t="shared" si="2"/>
        <v>30.333333333333332</v>
      </c>
      <c r="BT3" s="12">
        <f t="shared" si="2"/>
        <v>30</v>
      </c>
    </row>
    <row r="4" spans="1:81" x14ac:dyDescent="0.25">
      <c r="C4" s="13" t="s">
        <v>62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7">
        <f>AVERAGEIFS($D4:$BM4,$D$6:$BM$6,"&gt;="&amp;BO$2,$D$6:$BM$6,"&lt;="&amp;BO$6,$D$5:$BM$5,BO$5)</f>
        <v>30</v>
      </c>
      <c r="BP4" s="27">
        <f t="shared" si="2"/>
        <v>30</v>
      </c>
      <c r="BQ4" s="27">
        <f t="shared" si="2"/>
        <v>29.5</v>
      </c>
      <c r="BR4" s="27">
        <f t="shared" si="2"/>
        <v>30</v>
      </c>
      <c r="BS4" s="27">
        <f t="shared" si="2"/>
        <v>30.333333333333332</v>
      </c>
      <c r="BT4" s="27">
        <f t="shared" si="2"/>
        <v>30</v>
      </c>
    </row>
    <row r="5" spans="1:81" ht="15.75" thickBot="1" x14ac:dyDescent="0.3">
      <c r="C5" s="13" t="s">
        <v>86</v>
      </c>
      <c r="D5" s="12" t="s">
        <v>87</v>
      </c>
      <c r="E5" s="12" t="s">
        <v>87</v>
      </c>
      <c r="F5" s="12" t="s">
        <v>87</v>
      </c>
      <c r="G5" s="12" t="s">
        <v>87</v>
      </c>
      <c r="H5" s="12" t="s">
        <v>87</v>
      </c>
      <c r="I5" s="12" t="s">
        <v>87</v>
      </c>
      <c r="J5" s="12" t="s">
        <v>87</v>
      </c>
      <c r="K5" s="12" t="s">
        <v>87</v>
      </c>
      <c r="L5" s="12" t="s">
        <v>87</v>
      </c>
      <c r="M5" s="12" t="s">
        <v>87</v>
      </c>
      <c r="N5" s="12" t="s">
        <v>87</v>
      </c>
      <c r="O5" s="12" t="s">
        <v>87</v>
      </c>
      <c r="P5" s="12" t="s">
        <v>87</v>
      </c>
      <c r="Q5" s="12" t="s">
        <v>87</v>
      </c>
      <c r="R5" s="12" t="s">
        <v>87</v>
      </c>
      <c r="S5" s="12" t="s">
        <v>87</v>
      </c>
      <c r="T5" s="12" t="s">
        <v>87</v>
      </c>
      <c r="U5" s="12" t="s">
        <v>87</v>
      </c>
      <c r="V5" s="12" t="s">
        <v>87</v>
      </c>
      <c r="W5" s="12" t="s">
        <v>87</v>
      </c>
      <c r="X5" s="12" t="s">
        <v>87</v>
      </c>
      <c r="Y5" s="12" t="s">
        <v>87</v>
      </c>
      <c r="Z5" s="12" t="s">
        <v>87</v>
      </c>
      <c r="AA5" s="12" t="s">
        <v>87</v>
      </c>
      <c r="AB5" s="12" t="s">
        <v>87</v>
      </c>
      <c r="AC5" s="12" t="s">
        <v>87</v>
      </c>
      <c r="AD5" s="12" t="s">
        <v>87</v>
      </c>
      <c r="AE5" s="12" t="s">
        <v>87</v>
      </c>
      <c r="AF5" s="12" t="s">
        <v>87</v>
      </c>
      <c r="AG5" s="12" t="s">
        <v>87</v>
      </c>
      <c r="AH5" s="12" t="s">
        <v>87</v>
      </c>
      <c r="AI5" s="12" t="s">
        <v>87</v>
      </c>
      <c r="AJ5" s="12" t="s">
        <v>87</v>
      </c>
      <c r="AK5" s="12" t="s">
        <v>87</v>
      </c>
      <c r="AL5" s="12" t="s">
        <v>87</v>
      </c>
      <c r="AM5" s="12" t="s">
        <v>87</v>
      </c>
      <c r="AN5" s="12" t="s">
        <v>87</v>
      </c>
      <c r="AO5" s="12" t="s">
        <v>87</v>
      </c>
      <c r="AP5" s="12" t="s">
        <v>87</v>
      </c>
      <c r="AQ5" s="12" t="s">
        <v>87</v>
      </c>
      <c r="AR5" s="12" t="s">
        <v>87</v>
      </c>
      <c r="AS5" s="12" t="s">
        <v>87</v>
      </c>
      <c r="AT5" s="12" t="s">
        <v>87</v>
      </c>
      <c r="AU5" s="12" t="s">
        <v>87</v>
      </c>
      <c r="AV5" s="12" t="s">
        <v>87</v>
      </c>
      <c r="AW5" s="12" t="s">
        <v>87</v>
      </c>
      <c r="AX5" s="12" t="s">
        <v>87</v>
      </c>
      <c r="AY5" s="12" t="s">
        <v>87</v>
      </c>
      <c r="AZ5" s="12" t="s">
        <v>88</v>
      </c>
      <c r="BA5" s="12" t="s">
        <v>88</v>
      </c>
      <c r="BB5" s="12" t="s">
        <v>88</v>
      </c>
      <c r="BC5" s="12" t="s">
        <v>88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O5" s="12" t="s">
        <v>87</v>
      </c>
      <c r="BP5" s="12" t="s">
        <v>88</v>
      </c>
      <c r="BQ5" s="12" t="s">
        <v>87</v>
      </c>
      <c r="BR5" s="12" t="s">
        <v>87</v>
      </c>
      <c r="BS5" s="12" t="s">
        <v>87</v>
      </c>
      <c r="BT5" s="12" t="s">
        <v>87</v>
      </c>
    </row>
    <row r="6" spans="1:81" ht="16.5" thickTop="1" thickBot="1" x14ac:dyDescent="0.3">
      <c r="C6" s="45" t="s">
        <v>47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46112</v>
      </c>
      <c r="BP6" s="22">
        <f>BO6</f>
        <v>46112</v>
      </c>
      <c r="BQ6" s="1">
        <f>EOMONTH(BO6,-1)</f>
        <v>46081</v>
      </c>
      <c r="BR6" s="1">
        <f>EOMONTH(BO6,-12)</f>
        <v>45747</v>
      </c>
      <c r="BS6" s="1">
        <f>EOMONTH(BO6,-24)</f>
        <v>45382</v>
      </c>
      <c r="BT6" s="1">
        <f>EOMONTH(BO6,-36)</f>
        <v>45016</v>
      </c>
      <c r="BW6" s="1">
        <f>BO6</f>
        <v>46112</v>
      </c>
      <c r="BX6" s="22">
        <f t="shared" ref="BX6:CB6" si="4">BP6</f>
        <v>46112</v>
      </c>
      <c r="BY6" s="1">
        <f t="shared" si="4"/>
        <v>46081</v>
      </c>
      <c r="BZ6" s="1">
        <f t="shared" si="4"/>
        <v>45747</v>
      </c>
      <c r="CA6" s="1">
        <f t="shared" si="4"/>
        <v>45382</v>
      </c>
      <c r="CB6" s="1">
        <f t="shared" si="4"/>
        <v>45016</v>
      </c>
      <c r="CC6" s="26"/>
    </row>
    <row r="7" spans="1:81" ht="15.75" thickTop="1" x14ac:dyDescent="0.25"/>
    <row r="8" spans="1:81" hidden="1" outlineLevel="1" x14ac:dyDescent="0.25">
      <c r="A8" s="11" t="s">
        <v>51</v>
      </c>
      <c r="C8" s="2" t="s">
        <v>0</v>
      </c>
      <c r="D8" s="8">
        <f>IFERROR(
GETPIVOTDATA(
"[Base].[Importe]",
TDinamica_R!$A$5,
"[Calendario].[AñoMes]",
"[Calendario].[AñoMes].&amp;[" &amp; TEXT(D$6,"yyyymm") &amp; "]",
"[Base].[Metrica]",
"[Base].[Metrica].&amp;[" &amp; $A8 &amp; "]",
"[Base].[SEGMENTO_DESCRIP]",
"[Base].[SEGMENTO_DESCRIP].&amp;[" &amp; $C$6 &amp; "]",
"[Base].[SITUACION]",
"[Base].[SITUACION].&amp;[" &amp; $C8 &amp; "]"
),0)/1000</f>
        <v>2380204.5858618398</v>
      </c>
      <c r="E8" s="8">
        <f>IFERROR(
GETPIVOTDATA(
"[Base].[Importe]",
TDinamica_R!$A$5,
"[Calendario].[AñoMes]",
"[Calendario].[AñoMes].&amp;[" &amp; TEXT(E$6,"yyyymm") &amp; "]",
"[Base].[Metrica]",
"[Base].[Metrica].&amp;[" &amp; $A8 &amp; "]",
"[Base].[SEGMENTO_DESCRIP]",
"[Base].[SEGMENTO_DESCRIP].&amp;[" &amp; $C$6 &amp; "]",
"[Base].[SITUACION]",
"[Base].[SITUACION].&amp;[" &amp; $C8 &amp; "]"
),0)/1000</f>
        <v>2447145.2015932398</v>
      </c>
      <c r="F8" s="8">
        <f>IFERROR(
GETPIVOTDATA(
"[Base].[Importe]",
TDinamica_R!$A$5,
"[Calendario].[AñoMes]",
"[Calendario].[AñoMes].&amp;[" &amp; TEXT(F$6,"yyyymm") &amp; "]",
"[Base].[Metrica]",
"[Base].[Metrica].&amp;[" &amp; $A8 &amp; "]",
"[Base].[SEGMENTO_DESCRIP]",
"[Base].[SEGMENTO_DESCRIP].&amp;[" &amp; $C$6 &amp; "]",
"[Base].[SITUACION]",
"[Base].[SITUACION].&amp;[" &amp; $C8 &amp; "]"
),0)/1000</f>
        <v>2544945.8933780002</v>
      </c>
      <c r="G8" s="8">
        <f>IFERROR(
GETPIVOTDATA(
"[Base].[Importe]",
TDinamica_R!$A$5,
"[Calendario].[AñoMes]",
"[Calendario].[AñoMes].&amp;[" &amp; TEXT(G$6,"yyyymm") &amp; "]",
"[Base].[Metrica]",
"[Base].[Metrica].&amp;[" &amp; $A8 &amp; "]",
"[Base].[SEGMENTO_DESCRIP]",
"[Base].[SEGMENTO_DESCRIP].&amp;[" &amp; $C$6 &amp; "]",
"[Base].[SITUACION]",
"[Base].[SITUACION].&amp;[" &amp; $C8 &amp; "]"
),0)/1000</f>
        <v>2601939.4882255001</v>
      </c>
      <c r="H8" s="8">
        <f>IFERROR(
GETPIVOTDATA(
"[Base].[Importe]",
TDinamica_R!$A$5,
"[Calendario].[AñoMes]",
"[Calendario].[AñoMes].&amp;[" &amp; TEXT(H$6,"yyyymm") &amp; "]",
"[Base].[Metrica]",
"[Base].[Metrica].&amp;[" &amp; $A8 &amp; "]",
"[Base].[SEGMENTO_DESCRIP]",
"[Base].[SEGMENTO_DESCRIP].&amp;[" &amp; $C$6 &amp; "]",
"[Base].[SITUACION]",
"[Base].[SITUACION].&amp;[" &amp; $C8 &amp; "]"
),0)/1000</f>
        <v>2654133.9690940594</v>
      </c>
      <c r="I8" s="8">
        <f>IFERROR(
GETPIVOTDATA(
"[Base].[Importe]",
TDinamica_R!$A$5,
"[Calendario].[AñoMes]",
"[Calendario].[AñoMes].&amp;[" &amp; TEXT(I$6,"yyyymm") &amp; "]",
"[Base].[Metrica]",
"[Base].[Metrica].&amp;[" &amp; $A8 &amp; "]",
"[Base].[SEGMENTO_DESCRIP]",
"[Base].[SEGMENTO_DESCRIP].&amp;[" &amp; $C$6 &amp; "]",
"[Base].[SITUACION]",
"[Base].[SITUACION].&amp;[" &amp; $C8 &amp; "]"
),0)/1000</f>
        <v>2693372.0135595803</v>
      </c>
      <c r="J8" s="8">
        <f>IFERROR(
GETPIVOTDATA(
"[Base].[Importe]",
TDinamica_R!$A$5,
"[Calendario].[AñoMes]",
"[Calendario].[AñoMes].&amp;[" &amp; TEXT(J$6,"yyyymm") &amp; "]",
"[Base].[Metrica]",
"[Base].[Metrica].&amp;[" &amp; $A8 &amp; "]",
"[Base].[SEGMENTO_DESCRIP]",
"[Base].[SEGMENTO_DESCRIP].&amp;[" &amp; $C$6 &amp; "]",
"[Base].[SITUACION]",
"[Base].[SITUACION].&amp;[" &amp; $C8 &amp; "]"
),0)/1000</f>
        <v>2699881.0463819397</v>
      </c>
      <c r="K8" s="8">
        <f>IFERROR(
GETPIVOTDATA(
"[Base].[Importe]",
TDinamica_R!$A$5,
"[Calendario].[AñoMes]",
"[Calendario].[AñoMes].&amp;[" &amp; TEXT(K$6,"yyyymm") &amp; "]",
"[Base].[Metrica]",
"[Base].[Metrica].&amp;[" &amp; $A8 &amp; "]",
"[Base].[SEGMENTO_DESCRIP]",
"[Base].[SEGMENTO_DESCRIP].&amp;[" &amp; $C$6 &amp; "]",
"[Base].[SITUACION]",
"[Base].[SITUACION].&amp;[" &amp; $C8 &amp; "]"
),0)/1000</f>
        <v>2751598.58383105</v>
      </c>
      <c r="L8" s="8">
        <f>IFERROR(
GETPIVOTDATA(
"[Base].[Importe]",
TDinamica_R!$A$5,
"[Calendario].[AñoMes]",
"[Calendario].[AñoMes].&amp;[" &amp; TEXT(L$6,"yyyymm") &amp; "]",
"[Base].[Metrica]",
"[Base].[Metrica].&amp;[" &amp; $A8 &amp; "]",
"[Base].[SEGMENTO_DESCRIP]",
"[Base].[SEGMENTO_DESCRIP].&amp;[" &amp; $C$6 &amp; "]",
"[Base].[SITUACION]",
"[Base].[SITUACION].&amp;[" &amp; $C8 &amp; "]"
),0)/1000</f>
        <v>2755524.7785331002</v>
      </c>
      <c r="M8" s="8">
        <f>IFERROR(
GETPIVOTDATA(
"[Base].[Importe]",
TDinamica_R!$A$5,
"[Calendario].[AñoMes]",
"[Calendario].[AñoMes].&amp;[" &amp; TEXT(M$6,"yyyymm") &amp; "]",
"[Base].[Metrica]",
"[Base].[Metrica].&amp;[" &amp; $A8 &amp; "]",
"[Base].[SEGMENTO_DESCRIP]",
"[Base].[SEGMENTO_DESCRIP].&amp;[" &amp; $C$6 &amp; "]",
"[Base].[SITUACION]",
"[Base].[SITUACION].&amp;[" &amp; $C8 &amp; "]"
),0)/1000</f>
        <v>2743320.1908479999</v>
      </c>
      <c r="N8" s="8">
        <f>IFERROR(
GETPIVOTDATA(
"[Base].[Importe]",
TDinamica_R!$A$5,
"[Calendario].[AñoMes]",
"[Calendario].[AñoMes].&amp;[" &amp; TEXT(N$6,"yyyymm") &amp; "]",
"[Base].[Metrica]",
"[Base].[Metrica].&amp;[" &amp; $A8 &amp; "]",
"[Base].[SEGMENTO_DESCRIP]",
"[Base].[SEGMENTO_DESCRIP].&amp;[" &amp; $C$6 &amp; "]",
"[Base].[SITUACION]",
"[Base].[SITUACION].&amp;[" &amp; $C8 &amp; "]"
),0)/1000</f>
        <v>2724377.6276301802</v>
      </c>
      <c r="O8" s="8">
        <f>IFERROR(
GETPIVOTDATA(
"[Base].[Importe]",
TDinamica_R!$A$5,
"[Calendario].[AñoMes]",
"[Calendario].[AñoMes].&amp;[" &amp; TEXT(O$6,"yyyymm") &amp; "]",
"[Base].[Metrica]",
"[Base].[Metrica].&amp;[" &amp; $A8 &amp; "]",
"[Base].[SEGMENTO_DESCRIP]",
"[Base].[SEGMENTO_DESCRIP].&amp;[" &amp; $C$6 &amp; "]",
"[Base].[SITUACION]",
"[Base].[SITUACION].&amp;[" &amp; $C8 &amp; "]"
),0)/1000</f>
        <v>2646208.6293170997</v>
      </c>
      <c r="P8" s="8">
        <f>IFERROR(
GETPIVOTDATA(
"[Base].[Importe]",
TDinamica_R!$A$5,
"[Calendario].[AñoMes]",
"[Calendario].[AñoMes].&amp;[" &amp; TEXT(P$6,"yyyymm") &amp; "]",
"[Base].[Metrica]",
"[Base].[Metrica].&amp;[" &amp; $A8 &amp; "]",
"[Base].[SEGMENTO_DESCRIP]",
"[Base].[SEGMENTO_DESCRIP].&amp;[" &amp; $C$6 &amp; "]",
"[Base].[SITUACION]",
"[Base].[SITUACION].&amp;[" &amp; $C8 &amp; "]"
),0)/1000</f>
        <v>2584123.3024406</v>
      </c>
      <c r="Q8" s="8">
        <f>IFERROR(
GETPIVOTDATA(
"[Base].[Importe]",
TDinamica_R!$A$5,
"[Calendario].[AñoMes]",
"[Calendario].[AñoMes].&amp;[" &amp; TEXT(Q$6,"yyyymm") &amp; "]",
"[Base].[Metrica]",
"[Base].[Metrica].&amp;[" &amp; $A8 &amp; "]",
"[Base].[SEGMENTO_DESCRIP]",
"[Base].[SEGMENTO_DESCRIP].&amp;[" &amp; $C$6 &amp; "]",
"[Base].[SITUACION]",
"[Base].[SITUACION].&amp;[" &amp; $C8 &amp; "]"
),0)/1000</f>
        <v>2514752.8704321999</v>
      </c>
      <c r="R8" s="8">
        <f>IFERROR(
GETPIVOTDATA(
"[Base].[Importe]",
TDinamica_R!$A$5,
"[Calendario].[AñoMes]",
"[Calendario].[AñoMes].&amp;[" &amp; TEXT(R$6,"yyyymm") &amp; "]",
"[Base].[Metrica]",
"[Base].[Metrica].&amp;[" &amp; $A8 &amp; "]",
"[Base].[SEGMENTO_DESCRIP]",
"[Base].[SEGMENTO_DESCRIP].&amp;[" &amp; $C$6 &amp; "]",
"[Base].[SITUACION]",
"[Base].[SITUACION].&amp;[" &amp; $C8 &amp; "]"
),0)/1000</f>
        <v>2442035.2419250598</v>
      </c>
      <c r="S8" s="8">
        <f>IFERROR(
GETPIVOTDATA(
"[Base].[Importe]",
TDinamica_R!$A$5,
"[Calendario].[AñoMes]",
"[Calendario].[AñoMes].&amp;[" &amp; TEXT(S$6,"yyyymm") &amp; "]",
"[Base].[Metrica]",
"[Base].[Metrica].&amp;[" &amp; $A8 &amp; "]",
"[Base].[SEGMENTO_DESCRIP]",
"[Base].[SEGMENTO_DESCRIP].&amp;[" &amp; $C$6 &amp; "]",
"[Base].[SITUACION]",
"[Base].[SITUACION].&amp;[" &amp; $C8 &amp; "]"
),0)/1000</f>
        <v>2370721.6066857497</v>
      </c>
      <c r="T8" s="8">
        <f>IFERROR(
GETPIVOTDATA(
"[Base].[Importe]",
TDinamica_R!$A$5,
"[Calendario].[AñoMes]",
"[Calendario].[AñoMes].&amp;[" &amp; TEXT(T$6,"yyyymm") &amp; "]",
"[Base].[Metrica]",
"[Base].[Metrica].&amp;[" &amp; $A8 &amp; "]",
"[Base].[SEGMENTO_DESCRIP]",
"[Base].[SEGMENTO_DESCRIP].&amp;[" &amp; $C$6 &amp; "]",
"[Base].[SITUACION]",
"[Base].[SITUACION].&amp;[" &amp; $C8 &amp; "]"
),0)/1000</f>
        <v>2276303.8373508803</v>
      </c>
      <c r="U8" s="8">
        <f>IFERROR(
GETPIVOTDATA(
"[Base].[Importe]",
TDinamica_R!$A$5,
"[Calendario].[AñoMes]",
"[Calendario].[AñoMes].&amp;[" &amp; TEXT(U$6,"yyyymm") &amp; "]",
"[Base].[Metrica]",
"[Base].[Metrica].&amp;[" &amp; $A8 &amp; "]",
"[Base].[SEGMENTO_DESCRIP]",
"[Base].[SEGMENTO_DESCRIP].&amp;[" &amp; $C$6 &amp; "]",
"[Base].[SITUACION]",
"[Base].[SITUACION].&amp;[" &amp; $C8 &amp; "]"
),0)/1000</f>
        <v>2198441.3775594402</v>
      </c>
      <c r="V8" s="8">
        <f>IFERROR(
GETPIVOTDATA(
"[Base].[Importe]",
TDinamica_R!$A$5,
"[Calendario].[AñoMes]",
"[Calendario].[AñoMes].&amp;[" &amp; TEXT(V$6,"yyyymm") &amp; "]",
"[Base].[Metrica]",
"[Base].[Metrica].&amp;[" &amp; $A8 &amp; "]",
"[Base].[SEGMENTO_DESCRIP]",
"[Base].[SEGMENTO_DESCRIP].&amp;[" &amp; $C$6 &amp; "]",
"[Base].[SITUACION]",
"[Base].[SITUACION].&amp;[" &amp; $C8 &amp; "]"
),0)/1000</f>
        <v>2121976.5627035</v>
      </c>
      <c r="W8" s="8">
        <f>IFERROR(
GETPIVOTDATA(
"[Base].[Importe]",
TDinamica_R!$A$5,
"[Calendario].[AñoMes]",
"[Calendario].[AñoMes].&amp;[" &amp; TEXT(W$6,"yyyymm") &amp; "]",
"[Base].[Metrica]",
"[Base].[Metrica].&amp;[" &amp; $A8 &amp; "]",
"[Base].[SEGMENTO_DESCRIP]",
"[Base].[SEGMENTO_DESCRIP].&amp;[" &amp; $C$6 &amp; "]",
"[Base].[SITUACION]",
"[Base].[SITUACION].&amp;[" &amp; $C8 &amp; "]"
),0)/1000</f>
        <v>2073871.9082013199</v>
      </c>
      <c r="X8" s="8">
        <f>IFERROR(
GETPIVOTDATA(
"[Base].[Importe]",
TDinamica_R!$A$5,
"[Calendario].[AñoMes]",
"[Calendario].[AñoMes].&amp;[" &amp; TEXT(X$6,"yyyymm") &amp; "]",
"[Base].[Metrica]",
"[Base].[Metrica].&amp;[" &amp; $A8 &amp; "]",
"[Base].[SEGMENTO_DESCRIP]",
"[Base].[SEGMENTO_DESCRIP].&amp;[" &amp; $C$6 &amp; "]",
"[Base].[SITUACION]",
"[Base].[SITUACION].&amp;[" &amp; $C8 &amp; "]"
),0)/1000</f>
        <v>2043295.5736734599</v>
      </c>
      <c r="Y8" s="8">
        <f>IFERROR(
GETPIVOTDATA(
"[Base].[Importe]",
TDinamica_R!$A$5,
"[Calendario].[AñoMes]",
"[Calendario].[AñoMes].&amp;[" &amp; TEXT(Y$6,"yyyymm") &amp; "]",
"[Base].[Metrica]",
"[Base].[Metrica].&amp;[" &amp; $A8 &amp; "]",
"[Base].[SEGMENTO_DESCRIP]",
"[Base].[SEGMENTO_DESCRIP].&amp;[" &amp; $C$6 &amp; "]",
"[Base].[SITUACION]",
"[Base].[SITUACION].&amp;[" &amp; $C8 &amp; "]"
),0)/1000</f>
        <v>2015675.0098627596</v>
      </c>
      <c r="Z8" s="8">
        <f>IFERROR(
GETPIVOTDATA(
"[Base].[Importe]",
TDinamica_R!$A$5,
"[Calendario].[AñoMes]",
"[Calendario].[AñoMes].&amp;[" &amp; TEXT(Z$6,"yyyymm") &amp; "]",
"[Base].[Metrica]",
"[Base].[Metrica].&amp;[" &amp; $A8 &amp; "]",
"[Base].[SEGMENTO_DESCRIP]",
"[Base].[SEGMENTO_DESCRIP].&amp;[" &amp; $C$6 &amp; "]",
"[Base].[SITUACION]",
"[Base].[SITUACION].&amp;[" &amp; $C8 &amp; "]"
),0)/1000</f>
        <v>1972108.4572532601</v>
      </c>
      <c r="AA8" s="8">
        <f>IFERROR(
GETPIVOTDATA(
"[Base].[Importe]",
TDinamica_R!$A$5,
"[Calendario].[AñoMes]",
"[Calendario].[AñoMes].&amp;[" &amp; TEXT(AA$6,"yyyymm") &amp; "]",
"[Base].[Metrica]",
"[Base].[Metrica].&amp;[" &amp; $A8 &amp; "]",
"[Base].[SEGMENTO_DESCRIP]",
"[Base].[SEGMENTO_DESCRIP].&amp;[" &amp; $C$6 &amp; "]",
"[Base].[SITUACION]",
"[Base].[SITUACION].&amp;[" &amp; $C8 &amp; "]"
),0)/1000</f>
        <v>1931449.4153914396</v>
      </c>
      <c r="AB8" s="8">
        <f>IFERROR(
GETPIVOTDATA(
"[Base].[Importe]",
TDinamica_R!$A$5,
"[Calendario].[AñoMes]",
"[Calendario].[AñoMes].&amp;[" &amp; TEXT(AB$6,"yyyymm") &amp; "]",
"[Base].[Metrica]",
"[Base].[Metrica].&amp;[" &amp; $A8 &amp; "]",
"[Base].[SEGMENTO_DESCRIP]",
"[Base].[SEGMENTO_DESCRIP].&amp;[" &amp; $C$6 &amp; "]",
"[Base].[SITUACION]",
"[Base].[SITUACION].&amp;[" &amp; $C8 &amp; "]"
),0)/1000</f>
        <v>1896338.3227176401</v>
      </c>
      <c r="AC8" s="8">
        <f>IFERROR(
GETPIVOTDATA(
"[Base].[Importe]",
TDinamica_R!$A$5,
"[Calendario].[AñoMes]",
"[Calendario].[AñoMes].&amp;[" &amp; TEXT(AC$6,"yyyymm") &amp; "]",
"[Base].[Metrica]",
"[Base].[Metrica].&amp;[" &amp; $A8 &amp; "]",
"[Base].[SEGMENTO_DESCRIP]",
"[Base].[SEGMENTO_DESCRIP].&amp;[" &amp; $C$6 &amp; "]",
"[Base].[SITUACION]",
"[Base].[SITUACION].&amp;[" &amp; $C8 &amp; "]"
),0)/1000</f>
        <v>1879059.5435892905</v>
      </c>
      <c r="AD8" s="8">
        <f>IFERROR(
GETPIVOTDATA(
"[Base].[Importe]",
TDinamica_R!$A$5,
"[Calendario].[AñoMes]",
"[Calendario].[AñoMes].&amp;[" &amp; TEXT(AD$6,"yyyymm") &amp; "]",
"[Base].[Metrica]",
"[Base].[Metrica].&amp;[" &amp; $A8 &amp; "]",
"[Base].[SEGMENTO_DESCRIP]",
"[Base].[SEGMENTO_DESCRIP].&amp;[" &amp; $C$6 &amp; "]",
"[Base].[SITUACION]",
"[Base].[SITUACION].&amp;[" &amp; $C8 &amp; "]"
),0)/1000</f>
        <v>1874769.7841018601</v>
      </c>
      <c r="AE8" s="8">
        <f>IFERROR(
GETPIVOTDATA(
"[Base].[Importe]",
TDinamica_R!$A$5,
"[Calendario].[AñoMes]",
"[Calendario].[AñoMes].&amp;[" &amp; TEXT(AE$6,"yyyymm") &amp; "]",
"[Base].[Metrica]",
"[Base].[Metrica].&amp;[" &amp; $A8 &amp; "]",
"[Base].[SEGMENTO_DESCRIP]",
"[Base].[SEGMENTO_DESCRIP].&amp;[" &amp; $C$6 &amp; "]",
"[Base].[SITUACION]",
"[Base].[SITUACION].&amp;[" &amp; $C8 &amp; "]"
),0)/1000</f>
        <v>1852139.3334494999</v>
      </c>
      <c r="AF8" s="8">
        <f>IFERROR(
GETPIVOTDATA(
"[Base].[Importe]",
TDinamica_R!$A$5,
"[Calendario].[AñoMes]",
"[Calendario].[AñoMes].&amp;[" &amp; TEXT(AF$6,"yyyymm") &amp; "]",
"[Base].[Metrica]",
"[Base].[Metrica].&amp;[" &amp; $A8 &amp; "]",
"[Base].[SEGMENTO_DESCRIP]",
"[Base].[SEGMENTO_DESCRIP].&amp;[" &amp; $C$6 &amp; "]",
"[Base].[SITUACION]",
"[Base].[SITUACION].&amp;[" &amp; $C8 &amp; "]"
),0)/1000</f>
        <v>1839212.9204903198</v>
      </c>
      <c r="AG8" s="8">
        <f>IFERROR(
GETPIVOTDATA(
"[Base].[Importe]",
TDinamica_R!$A$5,
"[Calendario].[AñoMes]",
"[Calendario].[AñoMes].&amp;[" &amp; TEXT(AG$6,"yyyymm") &amp; "]",
"[Base].[Metrica]",
"[Base].[Metrica].&amp;[" &amp; $A8 &amp; "]",
"[Base].[SEGMENTO_DESCRIP]",
"[Base].[SEGMENTO_DESCRIP].&amp;[" &amp; $C$6 &amp; "]",
"[Base].[SITUACION]",
"[Base].[SITUACION].&amp;[" &amp; $C8 &amp; "]"
),0)/1000</f>
        <v>1818561.9946279202</v>
      </c>
      <c r="AH8" s="8">
        <f>IFERROR(
GETPIVOTDATA(
"[Base].[Importe]",
TDinamica_R!$A$5,
"[Calendario].[AñoMes]",
"[Calendario].[AñoMes].&amp;[" &amp; TEXT(AH$6,"yyyymm") &amp; "]",
"[Base].[Metrica]",
"[Base].[Metrica].&amp;[" &amp; $A8 &amp; "]",
"[Base].[SEGMENTO_DESCRIP]",
"[Base].[SEGMENTO_DESCRIP].&amp;[" &amp; $C$6 &amp; "]",
"[Base].[SITUACION]",
"[Base].[SITUACION].&amp;[" &amp; $C8 &amp; "]"
),0)/1000</f>
        <v>1820121.0074266696</v>
      </c>
      <c r="AI8" s="8">
        <f>IFERROR(
GETPIVOTDATA(
"[Base].[Importe]",
TDinamica_R!$A$5,
"[Calendario].[AñoMes]",
"[Calendario].[AñoMes].&amp;[" &amp; TEXT(AI$6,"yyyymm") &amp; "]",
"[Base].[Metrica]",
"[Base].[Metrica].&amp;[" &amp; $A8 &amp; "]",
"[Base].[SEGMENTO_DESCRIP]",
"[Base].[SEGMENTO_DESCRIP].&amp;[" &amp; $C$6 &amp; "]",
"[Base].[SITUACION]",
"[Base].[SITUACION].&amp;[" &amp; $C8 &amp; "]"
),0)/1000</f>
        <v>1832892.35899845</v>
      </c>
      <c r="AJ8" s="8">
        <f>IFERROR(
GETPIVOTDATA(
"[Base].[Importe]",
TDinamica_R!$A$5,
"[Calendario].[AñoMes]",
"[Calendario].[AñoMes].&amp;[" &amp; TEXT(AJ$6,"yyyymm") &amp; "]",
"[Base].[Metrica]",
"[Base].[Metrica].&amp;[" &amp; $A8 &amp; "]",
"[Base].[SEGMENTO_DESCRIP]",
"[Base].[SEGMENTO_DESCRIP].&amp;[" &amp; $C$6 &amp; "]",
"[Base].[SITUACION]",
"[Base].[SITUACION].&amp;[" &amp; $C8 &amp; "]"
),0)/1000</f>
        <v>1827728.7687022001</v>
      </c>
      <c r="AK8" s="8">
        <f>IFERROR(
GETPIVOTDATA(
"[Base].[Importe]",
TDinamica_R!$A$5,
"[Calendario].[AñoMes]",
"[Calendario].[AñoMes].&amp;[" &amp; TEXT(AK$6,"yyyymm") &amp; "]",
"[Base].[Metrica]",
"[Base].[Metrica].&amp;[" &amp; $A8 &amp; "]",
"[Base].[SEGMENTO_DESCRIP]",
"[Base].[SEGMENTO_DESCRIP].&amp;[" &amp; $C$6 &amp; "]",
"[Base].[SITUACION]",
"[Base].[SITUACION].&amp;[" &amp; $C8 &amp; "]"
),0)/1000</f>
        <v>1844393.1783633002</v>
      </c>
      <c r="AL8" s="8">
        <f>IFERROR(
GETPIVOTDATA(
"[Base].[Importe]",
TDinamica_R!$A$5,
"[Calendario].[AñoMes]",
"[Calendario].[AñoMes].&amp;[" &amp; TEXT(AL$6,"yyyymm") &amp; "]",
"[Base].[Metrica]",
"[Base].[Metrica].&amp;[" &amp; $A8 &amp; "]",
"[Base].[SEGMENTO_DESCRIP]",
"[Base].[SEGMENTO_DESCRIP].&amp;[" &amp; $C$6 &amp; "]",
"[Base].[SITUACION]",
"[Base].[SITUACION].&amp;[" &amp; $C8 &amp; "]"
),0)/1000</f>
        <v>1840946.7825265198</v>
      </c>
      <c r="AM8" s="8">
        <f>IFERROR(
GETPIVOTDATA(
"[Base].[Importe]",
TDinamica_R!$A$5,
"[Calendario].[AñoMes]",
"[Calendario].[AñoMes].&amp;[" &amp; TEXT(AM$6,"yyyymm") &amp; "]",
"[Base].[Metrica]",
"[Base].[Metrica].&amp;[" &amp; $A8 &amp; "]",
"[Base].[SEGMENTO_DESCRIP]",
"[Base].[SEGMENTO_DESCRIP].&amp;[" &amp; $C$6 &amp; "]",
"[Base].[SITUACION]",
"[Base].[SITUACION].&amp;[" &amp; $C8 &amp; "]"
),0)/1000</f>
        <v>1829216.8311835998</v>
      </c>
      <c r="AN8" s="8">
        <f>IFERROR(
GETPIVOTDATA(
"[Base].[Importe]",
TDinamica_R!$A$5,
"[Calendario].[AñoMes]",
"[Calendario].[AñoMes].&amp;[" &amp; TEXT(AN$6,"yyyymm") &amp; "]",
"[Base].[Metrica]",
"[Base].[Metrica].&amp;[" &amp; $A8 &amp; "]",
"[Base].[SEGMENTO_DESCRIP]",
"[Base].[SEGMENTO_DESCRIP].&amp;[" &amp; $C$6 &amp; "]",
"[Base].[SITUACION]",
"[Base].[SITUACION].&amp;[" &amp; $C8 &amp; "]"
),0)/1000</f>
        <v>1845430.97</v>
      </c>
      <c r="AO8" s="8">
        <f>IFERROR(
GETPIVOTDATA(
"[Base].[Importe]",
TDinamica_R!$A$5,
"[Calendario].[AñoMes]",
"[Calendario].[AñoMes].&amp;[" &amp; TEXT(AO$6,"yyyymm") &amp; "]",
"[Base].[Metrica]",
"[Base].[Metrica].&amp;[" &amp; $A8 &amp; "]",
"[Base].[SEGMENTO_DESCRIP]",
"[Base].[SEGMENTO_DESCRIP].&amp;[" &amp; $C$6 &amp; "]",
"[Base].[SITUACION]",
"[Base].[SITUACION].&amp;[" &amp; $C8 &amp; "]"
),0)/1000</f>
        <v>1872109</v>
      </c>
      <c r="AP8" s="8">
        <f>IFERROR(
GETPIVOTDATA(
"[Base].[Importe]",
TDinamica_R!$A$5,
"[Calendario].[AñoMes]",
"[Calendario].[AñoMes].&amp;[" &amp; TEXT(AP$6,"yyyymm") &amp; "]",
"[Base].[Metrica]",
"[Base].[Metrica].&amp;[" &amp; $A8 &amp; "]",
"[Base].[SEGMENTO_DESCRIP]",
"[Base].[SEGMENTO_DESCRIP].&amp;[" &amp; $C$6 &amp; "]",
"[Base].[SITUACION]",
"[Base].[SITUACION].&amp;[" &amp; $C8 &amp; "]"
),0)/1000</f>
        <v>1883818.03</v>
      </c>
      <c r="AQ8" s="8">
        <f>IFERROR(
GETPIVOTDATA(
"[Base].[Importe]",
TDinamica_R!$A$5,
"[Calendario].[AñoMes]",
"[Calendario].[AñoMes].&amp;[" &amp; TEXT(AQ$6,"yyyymm") &amp; "]",
"[Base].[Metrica]",
"[Base].[Metrica].&amp;[" &amp; $A8 &amp; "]",
"[Base].[SEGMENTO_DESCRIP]",
"[Base].[SEGMENTO_DESCRIP].&amp;[" &amp; $C$6 &amp; "]",
"[Base].[SITUACION]",
"[Base].[SITUACION].&amp;[" &amp; $C8 &amp; "]"
),0)/1000</f>
        <v>1912366.3576378697</v>
      </c>
      <c r="AR8" s="8">
        <f>IFERROR(
GETPIVOTDATA(
"[Base].[Importe]",
TDinamica_R!$A$5,
"[Calendario].[AñoMes]",
"[Calendario].[AñoMes].&amp;[" &amp; TEXT(AR$6,"yyyymm") &amp; "]",
"[Base].[Metrica]",
"[Base].[Metrica].&amp;[" &amp; $A8 &amp; "]",
"[Base].[SEGMENTO_DESCRIP]",
"[Base].[SEGMENTO_DESCRIP].&amp;[" &amp; $C$6 &amp; "]",
"[Base].[SITUACION]",
"[Base].[SITUACION].&amp;[" &amp; $C8 &amp; "]"
),0)/1000</f>
        <v>1941504.4108379006</v>
      </c>
      <c r="AS8" s="8">
        <f>IFERROR(
GETPIVOTDATA(
"[Base].[Importe]",
TDinamica_R!$A$5,
"[Calendario].[AñoMes]",
"[Calendario].[AñoMes].&amp;[" &amp; TEXT(AS$6,"yyyymm") &amp; "]",
"[Base].[Metrica]",
"[Base].[Metrica].&amp;[" &amp; $A8 &amp; "]",
"[Base].[SEGMENTO_DESCRIP]",
"[Base].[SEGMENTO_DESCRIP].&amp;[" &amp; $C$6 &amp; "]",
"[Base].[SITUACION]",
"[Base].[SITUACION].&amp;[" &amp; $C8 &amp; "]"
),0)/1000</f>
        <v>1978888.0712820003</v>
      </c>
      <c r="AT8" s="8">
        <f>IFERROR(
GETPIVOTDATA(
"[Base].[Importe]",
TDinamica_R!$A$5,
"[Calendario].[AñoMes]",
"[Calendario].[AñoMes].&amp;[" &amp; TEXT(AT$6,"yyyymm")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U8" s="8">
        <f>IFERROR(
GETPIVOTDATA(
"[Base].[Importe]",
TDinamica_R!$A$5,
"[Calendario].[AñoMes]",
"[Calendario].[AñoMes].&amp;[" &amp; TEXT(AU$6,"yyyymm")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V8" s="8">
        <f>IFERROR(
GETPIVOTDATA(
"[Base].[Importe]",
TDinamica_R!$A$5,
"[Calendario].[AñoMes]",
"[Calendario].[AñoMes].&amp;[" &amp; TEXT(AV$6,"yyyymm")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W8" s="8">
        <f>IFERROR(
GETPIVOTDATA(
"[Base].[Importe]",
TDinamica_R!$A$5,
"[Calendario].[AñoMes]",
"[Calendario].[AñoMes].&amp;[" &amp; TEXT(AW$6,"yyyymm")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X8" s="8">
        <f>IFERROR(
GETPIVOTDATA(
"[Base].[Importe]",
TDinamica_R!$A$5,
"[Calendario].[AñoMes]",
"[Calendario].[AñoMes].&amp;[" &amp; TEXT(AX$6,"yyyymm")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Y8" s="8">
        <f>IFERROR(
GETPIVOTDATA(
"[Base].[Importe]",
TDinamica_R!$A$5,
"[Calendario].[AñoMes]",
"[Calendario].[AñoMes].&amp;[" &amp; TEXT(AY$6,"yyyymm")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Z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TEXT(AZ$6,"yyyymm") &amp; "]"
),
0
)</f>
        <v>1830310.2798545582</v>
      </c>
      <c r="BA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TEXT(BA$6,"yyyymm") &amp; "]"
),
0
)</f>
        <v>1823780.8578888036</v>
      </c>
      <c r="BB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TEXT(BB$6,"yyyymm") &amp; "]"
),
0
)</f>
        <v>1834356.2156949255</v>
      </c>
      <c r="BC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TEXT(BC$6,"yyyymm") &amp; "]"
),
0
)</f>
        <v>1849220.2544991502</v>
      </c>
      <c r="BD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TEXT(BD$6,"yyyymm") &amp; "]"
),
0
)</f>
        <v>1872783.4196347117</v>
      </c>
      <c r="BE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TEXT(BE$6,"yyyymm") &amp; "]"
),
0
)</f>
        <v>1881456.1923576479</v>
      </c>
      <c r="BF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TEXT(BF$6,"yyyymm") &amp; "]"
),
0
)</f>
        <v>1886683.6191447559</v>
      </c>
      <c r="BG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TEXT(BG$6,"yyyymm") &amp; "]"
),
0
)</f>
        <v>1902708.822787948</v>
      </c>
      <c r="BH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TEXT(BH$6,"yyyymm") &amp; "]"
),
0
)</f>
        <v>1932341.2217864892</v>
      </c>
      <c r="BI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TEXT(BI$6,"yyyymm") &amp; "]"
),
0
)</f>
        <v>1959890.3051728318</v>
      </c>
      <c r="BJ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TEXT(BJ$6,"yyyymm") &amp; "]"
),
0
)</f>
        <v>1973412.0114864735</v>
      </c>
      <c r="BK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TEXT(BK$6,"yyyymm") &amp; "]"
),
0
)</f>
        <v>1977423.1271203365</v>
      </c>
      <c r="BO8" s="24">
        <f t="shared" ref="BO8:BO10" si="5">_xlfn.XLOOKUP(BO$6,$D$6:$BM$6,$D8:$BM8,,0,1)</f>
        <v>1883818.03</v>
      </c>
      <c r="BP8" s="24">
        <f>_xlfn.XLOOKUP(BP$6,$D$6:$BM$6,$D8:$BM8,,0,-1)</f>
        <v>1834356.2156949255</v>
      </c>
      <c r="BQ8" s="24">
        <f t="shared" ref="BQ8:BT10" si="6">_xlfn.XLOOKUP(BQ$6,$D$6:$BM$6,$D8:$BM8,,0,1)</f>
        <v>1872109</v>
      </c>
      <c r="BR8" s="24">
        <f t="shared" si="6"/>
        <v>1874769.7841018601</v>
      </c>
      <c r="BS8" s="24">
        <f t="shared" si="6"/>
        <v>2442035.2419250598</v>
      </c>
      <c r="BT8" s="24">
        <f t="shared" si="6"/>
        <v>2544945.8933780002</v>
      </c>
    </row>
    <row r="9" spans="1:81" hidden="1" outlineLevel="1" x14ac:dyDescent="0.25">
      <c r="A9" s="11" t="s">
        <v>51</v>
      </c>
      <c r="C9" s="2" t="s">
        <v>1</v>
      </c>
      <c r="D9" s="8">
        <f>IFERROR(
GETPIVOTDATA(
"[Base].[Importe]",
TDinamica_R!$A$5,
"[Calendario].[AñoMes]",
"[Calendario].[AñoMes].&amp;[" &amp; TEXT(D$6,"yyyymm") &amp; "]",
"[Base].[Metrica]",
"[Base].[Metrica].&amp;[" &amp; $A9 &amp; "]",
"[Base].[SEGMENTO_DESCRIP]",
"[Base].[SEGMENTO_DESCRIP].&amp;[" &amp; $C$6 &amp; "]",
"[Base].[SITUACION]",
"[Base].[SITUACION].&amp;[" &amp; $C9 &amp; "]"
),0)/1000</f>
        <v>11727.904430000001</v>
      </c>
      <c r="E9" s="8">
        <f>IFERROR(
GETPIVOTDATA(
"[Base].[Importe]",
TDinamica_R!$A$5,
"[Calendario].[AñoMes]",
"[Calendario].[AñoMes].&amp;[" &amp; TEXT(E$6,"yyyymm") &amp; "]",
"[Base].[Metrica]",
"[Base].[Metrica].&amp;[" &amp; $A9 &amp; "]",
"[Base].[SEGMENTO_DESCRIP]",
"[Base].[SEGMENTO_DESCRIP].&amp;[" &amp; $C$6 &amp; "]",
"[Base].[SITUACION]",
"[Base].[SITUACION].&amp;[" &amp; $C9 &amp; "]"
),0)/1000</f>
        <v>12225.114659999999</v>
      </c>
      <c r="F9" s="8">
        <f>IFERROR(
GETPIVOTDATA(
"[Base].[Importe]",
TDinamica_R!$A$5,
"[Calendario].[AñoMes]",
"[Calendario].[AñoMes].&amp;[" &amp; TEXT(F$6,"yyyymm") &amp; "]",
"[Base].[Metrica]",
"[Base].[Metrica].&amp;[" &amp; $A9 &amp; "]",
"[Base].[SEGMENTO_DESCRIP]",
"[Base].[SEGMENTO_DESCRIP].&amp;[" &amp; $C$6 &amp; "]",
"[Base].[SITUACION]",
"[Base].[SITUACION].&amp;[" &amp; $C9 &amp; "]"
),0)/1000</f>
        <v>12137.274072119999</v>
      </c>
      <c r="G9" s="8">
        <f>IFERROR(
GETPIVOTDATA(
"[Base].[Importe]",
TDinamica_R!$A$5,
"[Calendario].[AñoMes]",
"[Calendario].[AñoMes].&amp;[" &amp; TEXT(G$6,"yyyymm") &amp; "]",
"[Base].[Metrica]",
"[Base].[Metrica].&amp;[" &amp; $A9 &amp; "]",
"[Base].[SEGMENTO_DESCRIP]",
"[Base].[SEGMENTO_DESCRIP].&amp;[" &amp; $C$6 &amp; "]",
"[Base].[SITUACION]",
"[Base].[SITUACION].&amp;[" &amp; $C9 &amp; "]"
),0)/1000</f>
        <v>11078.487494950001</v>
      </c>
      <c r="H9" s="8">
        <f>IFERROR(
GETPIVOTDATA(
"[Base].[Importe]",
TDinamica_R!$A$5,
"[Calendario].[AñoMes]",
"[Calendario].[AñoMes].&amp;[" &amp; TEXT(H$6,"yyyymm") &amp; "]",
"[Base].[Metrica]",
"[Base].[Metrica].&amp;[" &amp; $A9 &amp; "]",
"[Base].[SEGMENTO_DESCRIP]",
"[Base].[SEGMENTO_DESCRIP].&amp;[" &amp; $C$6 &amp; "]",
"[Base].[SITUACION]",
"[Base].[SITUACION].&amp;[" &amp; $C9 &amp; "]"
),0)/1000</f>
        <v>10484.423312909999</v>
      </c>
      <c r="I9" s="8">
        <f>IFERROR(
GETPIVOTDATA(
"[Base].[Importe]",
TDinamica_R!$A$5,
"[Calendario].[AñoMes]",
"[Calendario].[AñoMes].&amp;[" &amp; TEXT(I$6,"yyyymm") &amp; "]",
"[Base].[Metrica]",
"[Base].[Metrica].&amp;[" &amp; $A9 &amp; "]",
"[Base].[SEGMENTO_DESCRIP]",
"[Base].[SEGMENTO_DESCRIP].&amp;[" &amp; $C$6 &amp; "]",
"[Base].[SITUACION]",
"[Base].[SITUACION].&amp;[" &amp; $C9 &amp; "]"
),0)/1000</f>
        <v>9690.9286961199996</v>
      </c>
      <c r="J9" s="8">
        <f>IFERROR(
GETPIVOTDATA(
"[Base].[Importe]",
TDinamica_R!$A$5,
"[Calendario].[AñoMes]",
"[Calendario].[AñoMes].&amp;[" &amp; TEXT(J$6,"yyyymm") &amp; "]",
"[Base].[Metrica]",
"[Base].[Metrica].&amp;[" &amp; $A9 &amp; "]",
"[Base].[SEGMENTO_DESCRIP]",
"[Base].[SEGMENTO_DESCRIP].&amp;[" &amp; $C$6 &amp; "]",
"[Base].[SITUACION]",
"[Base].[SITUACION].&amp;[" &amp; $C9 &amp; "]"
),0)/1000</f>
        <v>8838.6742937599993</v>
      </c>
      <c r="K9" s="8">
        <f>IFERROR(
GETPIVOTDATA(
"[Base].[Importe]",
TDinamica_R!$A$5,
"[Calendario].[AñoMes]",
"[Calendario].[AñoMes].&amp;[" &amp; TEXT(K$6,"yyyymm") &amp; "]",
"[Base].[Metrica]",
"[Base].[Metrica].&amp;[" &amp; $A9 &amp; "]",
"[Base].[SEGMENTO_DESCRIP]",
"[Base].[SEGMENTO_DESCRIP].&amp;[" &amp; $C$6 &amp; "]",
"[Base].[SITUACION]",
"[Base].[SITUACION].&amp;[" &amp; $C9 &amp; "]"
),0)/1000</f>
        <v>8090.1264693499998</v>
      </c>
      <c r="L9" s="8">
        <f>IFERROR(
GETPIVOTDATA(
"[Base].[Importe]",
TDinamica_R!$A$5,
"[Calendario].[AñoMes]",
"[Calendario].[AñoMes].&amp;[" &amp; TEXT(L$6,"yyyymm") &amp; "]",
"[Base].[Metrica]",
"[Base].[Metrica].&amp;[" &amp; $A9 &amp; "]",
"[Base].[SEGMENTO_DESCRIP]",
"[Base].[SEGMENTO_DESCRIP].&amp;[" &amp; $C$6 &amp; "]",
"[Base].[SITUACION]",
"[Base].[SITUACION].&amp;[" &amp; $C9 &amp; "]"
),0)/1000</f>
        <v>7899.2985066299998</v>
      </c>
      <c r="M9" s="8">
        <f>IFERROR(
GETPIVOTDATA(
"[Base].[Importe]",
TDinamica_R!$A$5,
"[Calendario].[AñoMes]",
"[Calendario].[AñoMes].&amp;[" &amp; TEXT(M$6,"yyyymm") &amp; "]",
"[Base].[Metrica]",
"[Base].[Metrica].&amp;[" &amp; $A9 &amp; "]",
"[Base].[SEGMENTO_DESCRIP]",
"[Base].[SEGMENTO_DESCRIP].&amp;[" &amp; $C$6 &amp; "]",
"[Base].[SITUACION]",
"[Base].[SITUACION].&amp;[" &amp; $C9 &amp; "]"
),0)/1000</f>
        <v>7022.7195683999998</v>
      </c>
      <c r="N9" s="8">
        <f>IFERROR(
GETPIVOTDATA(
"[Base].[Importe]",
TDinamica_R!$A$5,
"[Calendario].[AñoMes]",
"[Calendario].[AñoMes].&amp;[" &amp; TEXT(N$6,"yyyymm") &amp; "]",
"[Base].[Metrica]",
"[Base].[Metrica].&amp;[" &amp; $A9 &amp; "]",
"[Base].[SEGMENTO_DESCRIP]",
"[Base].[SEGMENTO_DESCRIP].&amp;[" &amp; $C$6 &amp; "]",
"[Base].[SITUACION]",
"[Base].[SITUACION].&amp;[" &amp; $C9 &amp; "]"
),0)/1000</f>
        <v>6333.6206331199992</v>
      </c>
      <c r="O9" s="8">
        <f>IFERROR(
GETPIVOTDATA(
"[Base].[Importe]",
TDinamica_R!$A$5,
"[Calendario].[AñoMes]",
"[Calendario].[AñoMes].&amp;[" &amp; TEXT(O$6,"yyyymm") &amp; "]",
"[Base].[Metrica]",
"[Base].[Metrica].&amp;[" &amp; $A9 &amp; "]",
"[Base].[SEGMENTO_DESCRIP]",
"[Base].[SEGMENTO_DESCRIP].&amp;[" &amp; $C$6 &amp; "]",
"[Base].[SITUACION]",
"[Base].[SITUACION].&amp;[" &amp; $C9 &amp; "]"
),0)/1000</f>
        <v>5676.1913299999997</v>
      </c>
      <c r="P9" s="8">
        <f>IFERROR(
GETPIVOTDATA(
"[Base].[Importe]",
TDinamica_R!$A$5,
"[Calendario].[AñoMes]",
"[Calendario].[AñoMes].&amp;[" &amp; TEXT(P$6,"yyyymm") &amp; "]",
"[Base].[Metrica]",
"[Base].[Metrica].&amp;[" &amp; $A9 &amp; "]",
"[Base].[SEGMENTO_DESCRIP]",
"[Base].[SEGMENTO_DESCRIP].&amp;[" &amp; $C$6 &amp; "]",
"[Base].[SITUACION]",
"[Base].[SITUACION].&amp;[" &amp; $C9 &amp; "]"
),0)/1000</f>
        <v>5015.7224299999998</v>
      </c>
      <c r="Q9" s="8">
        <f>IFERROR(
GETPIVOTDATA(
"[Base].[Importe]",
TDinamica_R!$A$5,
"[Calendario].[AñoMes]",
"[Calendario].[AñoMes].&amp;[" &amp; TEXT(Q$6,"yyyymm") &amp; "]",
"[Base].[Metrica]",
"[Base].[Metrica].&amp;[" &amp; $A9 &amp; "]",
"[Base].[SEGMENTO_DESCRIP]",
"[Base].[SEGMENTO_DESCRIP].&amp;[" &amp; $C$6 &amp; "]",
"[Base].[SITUACION]",
"[Base].[SITUACION].&amp;[" &amp; $C9 &amp; "]"
),0)/1000</f>
        <v>5478.5341500000004</v>
      </c>
      <c r="R9" s="8">
        <f>IFERROR(
GETPIVOTDATA(
"[Base].[Importe]",
TDinamica_R!$A$5,
"[Calendario].[AñoMes]",
"[Calendario].[AñoMes].&amp;[" &amp; TEXT(R$6,"yyyymm") &amp; "]",
"[Base].[Metrica]",
"[Base].[Metrica].&amp;[" &amp; $A9 &amp; "]",
"[Base].[SEGMENTO_DESCRIP]",
"[Base].[SEGMENTO_DESCRIP].&amp;[" &amp; $C$6 &amp; "]",
"[Base].[SITUACION]",
"[Base].[SITUACION].&amp;[" &amp; $C9 &amp; "]"
),0)/1000</f>
        <v>8021.5601900000001</v>
      </c>
      <c r="S9" s="8">
        <f>IFERROR(
GETPIVOTDATA(
"[Base].[Importe]",
TDinamica_R!$A$5,
"[Calendario].[AñoMes]",
"[Calendario].[AñoMes].&amp;[" &amp; TEXT(S$6,"yyyymm") &amp; "]",
"[Base].[Metrica]",
"[Base].[Metrica].&amp;[" &amp; $A9 &amp; "]",
"[Base].[SEGMENTO_DESCRIP]",
"[Base].[SEGMENTO_DESCRIP].&amp;[" &amp; $C$6 &amp; "]",
"[Base].[SITUACION]",
"[Base].[SITUACION].&amp;[" &amp; $C9 &amp; "]"
),0)/1000</f>
        <v>14529.759689999999</v>
      </c>
      <c r="T9" s="8">
        <f>IFERROR(
GETPIVOTDATA(
"[Base].[Importe]",
TDinamica_R!$A$5,
"[Calendario].[AñoMes]",
"[Calendario].[AñoMes].&amp;[" &amp; TEXT(T$6,"yyyymm") &amp; "]",
"[Base].[Metrica]",
"[Base].[Metrica].&amp;[" &amp; $A9 &amp; "]",
"[Base].[SEGMENTO_DESCRIP]",
"[Base].[SEGMENTO_DESCRIP].&amp;[" &amp; $C$6 &amp; "]",
"[Base].[SITUACION]",
"[Base].[SITUACION].&amp;[" &amp; $C9 &amp; "]"
),0)/1000</f>
        <v>26578.164699999998</v>
      </c>
      <c r="U9" s="8">
        <f>IFERROR(
GETPIVOTDATA(
"[Base].[Importe]",
TDinamica_R!$A$5,
"[Calendario].[AñoMes]",
"[Calendario].[AñoMes].&amp;[" &amp; TEXT(U$6,"yyyymm") &amp; "]",
"[Base].[Metrica]",
"[Base].[Metrica].&amp;[" &amp; $A9 &amp; "]",
"[Base].[SEGMENTO_DESCRIP]",
"[Base].[SEGMENTO_DESCRIP].&amp;[" &amp; $C$6 &amp; "]",
"[Base].[SITUACION]",
"[Base].[SITUACION].&amp;[" &amp; $C9 &amp; "]"
),0)/1000</f>
        <v>34682.521979999998</v>
      </c>
      <c r="V9" s="8">
        <f>IFERROR(
GETPIVOTDATA(
"[Base].[Importe]",
TDinamica_R!$A$5,
"[Calendario].[AñoMes]",
"[Calendario].[AñoMes].&amp;[" &amp; TEXT(V$6,"yyyymm") &amp; "]",
"[Base].[Metrica]",
"[Base].[Metrica].&amp;[" &amp; $A9 &amp; "]",
"[Base].[SEGMENTO_DESCRIP]",
"[Base].[SEGMENTO_DESCRIP].&amp;[" &amp; $C$6 &amp; "]",
"[Base].[SITUACION]",
"[Base].[SITUACION].&amp;[" &amp; $C9 &amp; "]"
),0)/1000</f>
        <v>40295.3033</v>
      </c>
      <c r="W9" s="8">
        <f>IFERROR(
GETPIVOTDATA(
"[Base].[Importe]",
TDinamica_R!$A$5,
"[Calendario].[AñoMes]",
"[Calendario].[AñoMes].&amp;[" &amp; TEXT(W$6,"yyyymm") &amp; "]",
"[Base].[Metrica]",
"[Base].[Metrica].&amp;[" &amp; $A9 &amp; "]",
"[Base].[SEGMENTO_DESCRIP]",
"[Base].[SEGMENTO_DESCRIP].&amp;[" &amp; $C$6 &amp; "]",
"[Base].[SITUACION]",
"[Base].[SITUACION].&amp;[" &amp; $C9 &amp; "]"
),0)/1000</f>
        <v>42451.8053</v>
      </c>
      <c r="X9" s="8">
        <f>IFERROR(
GETPIVOTDATA(
"[Base].[Importe]",
TDinamica_R!$A$5,
"[Calendario].[AñoMes]",
"[Calendario].[AñoMes].&amp;[" &amp; TEXT(X$6,"yyyymm") &amp; "]",
"[Base].[Metrica]",
"[Base].[Metrica].&amp;[" &amp; $A9 &amp; "]",
"[Base].[SEGMENTO_DESCRIP]",
"[Base].[SEGMENTO_DESCRIP].&amp;[" &amp; $C$6 &amp; "]",
"[Base].[SITUACION]",
"[Base].[SITUACION].&amp;[" &amp; $C9 &amp; "]"
),0)/1000</f>
        <v>43196.840380000001</v>
      </c>
      <c r="Y9" s="8">
        <f>IFERROR(
GETPIVOTDATA(
"[Base].[Importe]",
TDinamica_R!$A$5,
"[Calendario].[AñoMes]",
"[Calendario].[AñoMes].&amp;[" &amp; TEXT(Y$6,"yyyymm") &amp; "]",
"[Base].[Metrica]",
"[Base].[Metrica].&amp;[" &amp; $A9 &amp; "]",
"[Base].[SEGMENTO_DESCRIP]",
"[Base].[SEGMENTO_DESCRIP].&amp;[" &amp; $C$6 &amp; "]",
"[Base].[SITUACION]",
"[Base].[SITUACION].&amp;[" &amp; $C9 &amp; "]"
),0)/1000</f>
        <v>42276.506500000003</v>
      </c>
      <c r="Z9" s="8">
        <f>IFERROR(
GETPIVOTDATA(
"[Base].[Importe]",
TDinamica_R!$A$5,
"[Calendario].[AñoMes]",
"[Calendario].[AñoMes].&amp;[" &amp; TEXT(Z$6,"yyyymm") &amp; "]",
"[Base].[Metrica]",
"[Base].[Metrica].&amp;[" &amp; $A9 &amp; "]",
"[Base].[SEGMENTO_DESCRIP]",
"[Base].[SEGMENTO_DESCRIP].&amp;[" &amp; $C$6 &amp; "]",
"[Base].[SITUACION]",
"[Base].[SITUACION].&amp;[" &amp; $C9 &amp; "]"
),0)/1000</f>
        <v>43553.784200000002</v>
      </c>
      <c r="AA9" s="8">
        <f>IFERROR(
GETPIVOTDATA(
"[Base].[Importe]",
TDinamica_R!$A$5,
"[Calendario].[AñoMes]",
"[Calendario].[AñoMes].&amp;[" &amp; TEXT(AA$6,"yyyymm") &amp; "]",
"[Base].[Metrica]",
"[Base].[Metrica].&amp;[" &amp; $A9 &amp; "]",
"[Base].[SEGMENTO_DESCRIP]",
"[Base].[SEGMENTO_DESCRIP].&amp;[" &amp; $C$6 &amp; "]",
"[Base].[SITUACION]",
"[Base].[SITUACION].&amp;[" &amp; $C9 &amp; "]"
),0)/1000</f>
        <v>43874.345649999996</v>
      </c>
      <c r="AB9" s="8">
        <f>IFERROR(
GETPIVOTDATA(
"[Base].[Importe]",
TDinamica_R!$A$5,
"[Calendario].[AñoMes]",
"[Calendario].[AñoMes].&amp;[" &amp; TEXT(AB$6,"yyyymm") &amp; "]",
"[Base].[Metrica]",
"[Base].[Metrica].&amp;[" &amp; $A9 &amp; "]",
"[Base].[SEGMENTO_DESCRIP]",
"[Base].[SEGMENTO_DESCRIP].&amp;[" &amp; $C$6 &amp; "]",
"[Base].[SITUACION]",
"[Base].[SITUACION].&amp;[" &amp; $C9 &amp; "]"
),0)/1000</f>
        <v>43319.487829999998</v>
      </c>
      <c r="AC9" s="8">
        <f>IFERROR(
GETPIVOTDATA(
"[Base].[Importe]",
TDinamica_R!$A$5,
"[Calendario].[AñoMes]",
"[Calendario].[AñoMes].&amp;[" &amp; TEXT(AC$6,"yyyymm") &amp; "]",
"[Base].[Metrica]",
"[Base].[Metrica].&amp;[" &amp; $A9 &amp; "]",
"[Base].[SEGMENTO_DESCRIP]",
"[Base].[SEGMENTO_DESCRIP].&amp;[" &amp; $C$6 &amp; "]",
"[Base].[SITUACION]",
"[Base].[SITUACION].&amp;[" &amp; $C9 &amp; "]"
),0)/1000</f>
        <v>42000.559259999995</v>
      </c>
      <c r="AD9" s="8">
        <f>IFERROR(
GETPIVOTDATA(
"[Base].[Importe]",
TDinamica_R!$A$5,
"[Calendario].[AñoMes]",
"[Calendario].[AñoMes].&amp;[" &amp; TEXT(AD$6,"yyyymm") &amp; "]",
"[Base].[Metrica]",
"[Base].[Metrica].&amp;[" &amp; $A9 &amp; "]",
"[Base].[SEGMENTO_DESCRIP]",
"[Base].[SEGMENTO_DESCRIP].&amp;[" &amp; $C$6 &amp; "]",
"[Base].[SITUACION]",
"[Base].[SITUACION].&amp;[" &amp; $C9 &amp; "]"
),0)/1000</f>
        <v>43802.655729999999</v>
      </c>
      <c r="AE9" s="8">
        <f>IFERROR(
GETPIVOTDATA(
"[Base].[Importe]",
TDinamica_R!$A$5,
"[Calendario].[AñoMes]",
"[Calendario].[AñoMes].&amp;[" &amp; TEXT(AE$6,"yyyymm") &amp; "]",
"[Base].[Metrica]",
"[Base].[Metrica].&amp;[" &amp; $A9 &amp; "]",
"[Base].[SEGMENTO_DESCRIP]",
"[Base].[SEGMENTO_DESCRIP].&amp;[" &amp; $C$6 &amp; "]",
"[Base].[SITUACION]",
"[Base].[SITUACION].&amp;[" &amp; $C9 &amp; "]"
),0)/1000</f>
        <v>43725.780319999998</v>
      </c>
      <c r="AF9" s="8">
        <f>IFERROR(
GETPIVOTDATA(
"[Base].[Importe]",
TDinamica_R!$A$5,
"[Calendario].[AñoMes]",
"[Calendario].[AñoMes].&amp;[" &amp; TEXT(AF$6,"yyyymm") &amp; "]",
"[Base].[Metrica]",
"[Base].[Metrica].&amp;[" &amp; $A9 &amp; "]",
"[Base].[SEGMENTO_DESCRIP]",
"[Base].[SEGMENTO_DESCRIP].&amp;[" &amp; $C$6 &amp; "]",
"[Base].[SITUACION]",
"[Base].[SITUACION].&amp;[" &amp; $C9 &amp; "]"
),0)/1000</f>
        <v>42627.964409999993</v>
      </c>
      <c r="AG9" s="8">
        <f>IFERROR(
GETPIVOTDATA(
"[Base].[Importe]",
TDinamica_R!$A$5,
"[Calendario].[AñoMes]",
"[Calendario].[AñoMes].&amp;[" &amp; TEXT(AG$6,"yyyymm") &amp; "]",
"[Base].[Metrica]",
"[Base].[Metrica].&amp;[" &amp; $A9 &amp; "]",
"[Base].[SEGMENTO_DESCRIP]",
"[Base].[SEGMENTO_DESCRIP].&amp;[" &amp; $C$6 &amp; "]",
"[Base].[SITUACION]",
"[Base].[SITUACION].&amp;[" &amp; $C9 &amp; "]"
),0)/1000</f>
        <v>41366.117729999998</v>
      </c>
      <c r="AH9" s="8">
        <f>IFERROR(
GETPIVOTDATA(
"[Base].[Importe]",
TDinamica_R!$A$5,
"[Calendario].[AñoMes]",
"[Calendario].[AñoMes].&amp;[" &amp; TEXT(AH$6,"yyyymm") &amp; "]",
"[Base].[Metrica]",
"[Base].[Metrica].&amp;[" &amp; $A9 &amp; "]",
"[Base].[SEGMENTO_DESCRIP]",
"[Base].[SEGMENTO_DESCRIP].&amp;[" &amp; $C$6 &amp; "]",
"[Base].[SITUACION]",
"[Base].[SITUACION].&amp;[" &amp; $C9 &amp; "]"
),0)/1000</f>
        <v>40144.266729999996</v>
      </c>
      <c r="AI9" s="8">
        <f>IFERROR(
GETPIVOTDATA(
"[Base].[Importe]",
TDinamica_R!$A$5,
"[Calendario].[AñoMes]",
"[Calendario].[AñoMes].&amp;[" &amp; TEXT(AI$6,"yyyymm") &amp; "]",
"[Base].[Metrica]",
"[Base].[Metrica].&amp;[" &amp; $A9 &amp; "]",
"[Base].[SEGMENTO_DESCRIP]",
"[Base].[SEGMENTO_DESCRIP].&amp;[" &amp; $C$6 &amp; "]",
"[Base].[SITUACION]",
"[Base].[SITUACION].&amp;[" &amp; $C9 &amp; "]"
),0)/1000</f>
        <v>38744.397709999997</v>
      </c>
      <c r="AJ9" s="8">
        <f>IFERROR(
GETPIVOTDATA(
"[Base].[Importe]",
TDinamica_R!$A$5,
"[Calendario].[AñoMes]",
"[Calendario].[AñoMes].&amp;[" &amp; TEXT(AJ$6,"yyyymm") &amp; "]",
"[Base].[Metrica]",
"[Base].[Metrica].&amp;[" &amp; $A9 &amp; "]",
"[Base].[SEGMENTO_DESCRIP]",
"[Base].[SEGMENTO_DESCRIP].&amp;[" &amp; $C$6 &amp; "]",
"[Base].[SITUACION]",
"[Base].[SITUACION].&amp;[" &amp; $C9 &amp; "]"
),0)/1000</f>
        <v>38016.471429999998</v>
      </c>
      <c r="AK9" s="8">
        <f>IFERROR(
GETPIVOTDATA(
"[Base].[Importe]",
TDinamica_R!$A$5,
"[Calendario].[AñoMes]",
"[Calendario].[AñoMes].&amp;[" &amp; TEXT(AK$6,"yyyymm") &amp; "]",
"[Base].[Metrica]",
"[Base].[Metrica].&amp;[" &amp; $A9 &amp; "]",
"[Base].[SEGMENTO_DESCRIP]",
"[Base].[SEGMENTO_DESCRIP].&amp;[" &amp; $C$6 &amp; "]",
"[Base].[SITUACION]",
"[Base].[SITUACION].&amp;[" &amp; $C9 &amp; "]"
),0)/1000</f>
        <v>36901.770819999998</v>
      </c>
      <c r="AL9" s="8">
        <f>IFERROR(
GETPIVOTDATA(
"[Base].[Importe]",
TDinamica_R!$A$5,
"[Calendario].[AñoMes]",
"[Calendario].[AñoMes].&amp;[" &amp; TEXT(AL$6,"yyyymm") &amp; "]",
"[Base].[Metrica]",
"[Base].[Metrica].&amp;[" &amp; $A9 &amp; "]",
"[Base].[SEGMENTO_DESCRIP]",
"[Base].[SEGMENTO_DESCRIP].&amp;[" &amp; $C$6 &amp; "]",
"[Base].[SITUACION]",
"[Base].[SITUACION].&amp;[" &amp; $C9 &amp; "]"
),0)/1000</f>
        <v>36207.760270000006</v>
      </c>
      <c r="AM9" s="8">
        <f>IFERROR(
GETPIVOTDATA(
"[Base].[Importe]",
TDinamica_R!$A$5,
"[Calendario].[AñoMes]",
"[Calendario].[AñoMes].&amp;[" &amp; TEXT(AM$6,"yyyymm") &amp; "]",
"[Base].[Metrica]",
"[Base].[Metrica].&amp;[" &amp; $A9 &amp; "]",
"[Base].[SEGMENTO_DESCRIP]",
"[Base].[SEGMENTO_DESCRIP].&amp;[" &amp; $C$6 &amp; "]",
"[Base].[SITUACION]",
"[Base].[SITUACION].&amp;[" &amp; $C9 &amp; "]"
),0)/1000</f>
        <v>35705.712229999997</v>
      </c>
      <c r="AN9" s="8">
        <f>IFERROR(
GETPIVOTDATA(
"[Base].[Importe]",
TDinamica_R!$A$5,
"[Calendario].[AñoMes]",
"[Calendario].[AñoMes].&amp;[" &amp; TEXT(AN$6,"yyyymm") &amp; "]",
"[Base].[Metrica]",
"[Base].[Metrica].&amp;[" &amp; $A9 &amp; "]",
"[Base].[SEGMENTO_DESCRIP]",
"[Base].[SEGMENTO_DESCRIP].&amp;[" &amp; $C$6 &amp; "]",
"[Base].[SITUACION]",
"[Base].[SITUACION].&amp;[" &amp; $C9 &amp; "]"
),0)/1000</f>
        <v>35149.58</v>
      </c>
      <c r="AO9" s="8">
        <f>IFERROR(
GETPIVOTDATA(
"[Base].[Importe]",
TDinamica_R!$A$5,
"[Calendario].[AñoMes]",
"[Calendario].[AñoMes].&amp;[" &amp; TEXT(AO$6,"yyyymm") &amp; "]",
"[Base].[Metrica]",
"[Base].[Metrica].&amp;[" &amp; $A9 &amp; "]",
"[Base].[SEGMENTO_DESCRIP]",
"[Base].[SEGMENTO_DESCRIP].&amp;[" &amp; $C$6 &amp; "]",
"[Base].[SITUACION]",
"[Base].[SITUACION].&amp;[" &amp; $C9 &amp; "]"
),0)/1000</f>
        <v>34378.21</v>
      </c>
      <c r="AP9" s="8">
        <f>IFERROR(
GETPIVOTDATA(
"[Base].[Importe]",
TDinamica_R!$A$5,
"[Calendario].[AñoMes]",
"[Calendario].[AñoMes].&amp;[" &amp; TEXT(AP$6,"yyyymm") &amp; "]",
"[Base].[Metrica]",
"[Base].[Metrica].&amp;[" &amp; $A9 &amp; "]",
"[Base].[SEGMENTO_DESCRIP]",
"[Base].[SEGMENTO_DESCRIP].&amp;[" &amp; $C$6 &amp; "]",
"[Base].[SITUACION]",
"[Base].[SITUACION].&amp;[" &amp; $C9 &amp; "]"
),0)/1000</f>
        <v>33418.46</v>
      </c>
      <c r="AQ9" s="8">
        <f>IFERROR(
GETPIVOTDATA(
"[Base].[Importe]",
TDinamica_R!$A$5,
"[Calendario].[AñoMes]",
"[Calendario].[AñoMes].&amp;[" &amp; TEXT(AQ$6,"yyyymm") &amp; "]",
"[Base].[Metrica]",
"[Base].[Metrica].&amp;[" &amp; $A9 &amp; "]",
"[Base].[SEGMENTO_DESCRIP]",
"[Base].[SEGMENTO_DESCRIP].&amp;[" &amp; $C$6 &amp; "]",
"[Base].[SITUACION]",
"[Base].[SITUACION].&amp;[" &amp; $C9 &amp; "]"
),0)/1000</f>
        <v>32308.567079999997</v>
      </c>
      <c r="AR9" s="8">
        <f>IFERROR(
GETPIVOTDATA(
"[Base].[Importe]",
TDinamica_R!$A$5,
"[Calendario].[AñoMes]",
"[Calendario].[AñoMes].&amp;[" &amp; TEXT(AR$6,"yyyymm") &amp; "]",
"[Base].[Metrica]",
"[Base].[Metrica].&amp;[" &amp; $A9 &amp; "]",
"[Base].[SEGMENTO_DESCRIP]",
"[Base].[SEGMENTO_DESCRIP].&amp;[" &amp; $C$6 &amp; "]",
"[Base].[SITUACION]",
"[Base].[SITUACION].&amp;[" &amp; $C9 &amp; "]"
),0)/1000</f>
        <v>32021.006839999998</v>
      </c>
      <c r="AS9" s="8">
        <f>IFERROR(
GETPIVOTDATA(
"[Base].[Importe]",
TDinamica_R!$A$5,
"[Calendario].[AñoMes]",
"[Calendario].[AñoMes].&amp;[" &amp; TEXT(AS$6,"yyyymm") &amp; "]",
"[Base].[Metrica]",
"[Base].[Metrica].&amp;[" &amp; $A9 &amp; "]",
"[Base].[SEGMENTO_DESCRIP]",
"[Base].[SEGMENTO_DESCRIP].&amp;[" &amp; $C$6 &amp; "]",
"[Base].[SITUACION]",
"[Base].[SITUACION].&amp;[" &amp; $C9 &amp; "]"
),0)/1000</f>
        <v>31311.242479999994</v>
      </c>
      <c r="AT9" s="8">
        <f>IFERROR(
GETPIVOTDATA(
"[Base].[Importe]",
TDinamica_R!$A$5,
"[Calendario].[AñoMes]",
"[Calendario].[AñoMes].&amp;[" &amp; TEXT(AT$6,"yyyymm")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U9" s="8">
        <f>IFERROR(
GETPIVOTDATA(
"[Base].[Importe]",
TDinamica_R!$A$5,
"[Calendario].[AñoMes]",
"[Calendario].[AñoMes].&amp;[" &amp; TEXT(AU$6,"yyyymm")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V9" s="8">
        <f>IFERROR(
GETPIVOTDATA(
"[Base].[Importe]",
TDinamica_R!$A$5,
"[Calendario].[AñoMes]",
"[Calendario].[AñoMes].&amp;[" &amp; TEXT(AV$6,"yyyymm")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W9" s="8">
        <f>IFERROR(
GETPIVOTDATA(
"[Base].[Importe]",
TDinamica_R!$A$5,
"[Calendario].[AñoMes]",
"[Calendario].[AñoMes].&amp;[" &amp; TEXT(AW$6,"yyyymm")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X9" s="8">
        <f>IFERROR(
GETPIVOTDATA(
"[Base].[Importe]",
TDinamica_R!$A$5,
"[Calendario].[AñoMes]",
"[Calendario].[AñoMes].&amp;[" &amp; TEXT(AX$6,"yyyymm")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Y9" s="8">
        <f>IFERROR(
GETPIVOTDATA(
"[Base].[Importe]",
TDinamica_R!$A$5,
"[Calendario].[AñoMes]",
"[Calendario].[AñoMes].&amp;[" &amp; TEXT(AY$6,"yyyymm")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Z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TEXT(AZ$6,"yyyymm") &amp; "]"
),
0
)</f>
        <v>32386.218958806119</v>
      </c>
      <c r="BA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TEXT(BA$6,"yyyymm") &amp; "]"
),
0
)</f>
        <v>30709.264386255778</v>
      </c>
      <c r="BB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TEXT(BB$6,"yyyymm") &amp; "]"
),
0
)</f>
        <v>29236.34766235096</v>
      </c>
      <c r="BC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TEXT(BC$6,"yyyymm") &amp; "]"
),
0
)</f>
        <v>28464.472812460743</v>
      </c>
      <c r="BD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TEXT(BD$6,"yyyymm") &amp; "]"
),
0
)</f>
        <v>27432.562842799522</v>
      </c>
      <c r="BE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TEXT(BE$6,"yyyymm") &amp; "]"
),
0
)</f>
        <v>26280.272193090655</v>
      </c>
      <c r="BF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TEXT(BF$6,"yyyymm") &amp; "]"
),
0
)</f>
        <v>25652.494787501761</v>
      </c>
      <c r="BG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TEXT(BG$6,"yyyymm") &amp; "]"
),
0
)</f>
        <v>24784.877446863353</v>
      </c>
      <c r="BH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TEXT(BH$6,"yyyymm") &amp; "]"
),
0
)</f>
        <v>23764.072892552547</v>
      </c>
      <c r="BI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TEXT(BI$6,"yyyymm") &amp; "]"
),
0
)</f>
        <v>23188.778635949053</v>
      </c>
      <c r="BJ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TEXT(BJ$6,"yyyymm") &amp; "]"
),
0
)</f>
        <v>22505.024817261743</v>
      </c>
      <c r="BK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TEXT(BK$6,"yyyymm") &amp; "]"
),
0
)</f>
        <v>22196.026039769218</v>
      </c>
      <c r="BO9" s="24">
        <f t="shared" si="5"/>
        <v>33418.46</v>
      </c>
      <c r="BP9" s="24">
        <f t="shared" ref="BP9:BP10" si="7">_xlfn.XLOOKUP(BP$6,$D$6:$BM$6,$D9:$BM9,,0,-1)</f>
        <v>29236.34766235096</v>
      </c>
      <c r="BQ9" s="24">
        <f t="shared" si="6"/>
        <v>34378.21</v>
      </c>
      <c r="BR9" s="24">
        <f t="shared" si="6"/>
        <v>43802.655729999999</v>
      </c>
      <c r="BS9" s="24">
        <f t="shared" si="6"/>
        <v>8021.5601900000001</v>
      </c>
      <c r="BT9" s="24">
        <f t="shared" si="6"/>
        <v>12137.274072119999</v>
      </c>
    </row>
    <row r="10" spans="1:81" ht="14.45" hidden="1" customHeight="1" outlineLevel="1" x14ac:dyDescent="0.25">
      <c r="A10" s="11" t="s">
        <v>51</v>
      </c>
      <c r="C10" s="2" t="s">
        <v>45</v>
      </c>
      <c r="D10" s="8">
        <f>IFERROR(
GETPIVOTDATA(
"[Base].[Importe]",
TDinamica_R!$A$5,
"[Calendario].[AñoMes]",
"[Calendario].[AñoMes].&amp;[" &amp; TEXT(D$6,"yyyymm") &amp; "]",
"[Base].[Metrica]",
"[Base].[Metrica].&amp;[" &amp; $A10 &amp; "]",
"[Base].[SEGMENTO_DESCRIP]",
"[Base].[SEGMENTO_DESCRIP].&amp;[" &amp; $C$6 &amp; "]",
"[Base].[SITUACION]",
"[Base].[SITUACION].&amp;[" &amp; $C10 &amp; "]"
),0)/1000</f>
        <v>71286.586630439997</v>
      </c>
      <c r="E10" s="8">
        <f>IFERROR(
GETPIVOTDATA(
"[Base].[Importe]",
TDinamica_R!$A$5,
"[Calendario].[AñoMes]",
"[Calendario].[AñoMes].&amp;[" &amp; TEXT(E$6,"yyyymm") &amp; "]",
"[Base].[Metrica]",
"[Base].[Metrica].&amp;[" &amp; $A10 &amp; "]",
"[Base].[SEGMENTO_DESCRIP]",
"[Base].[SEGMENTO_DESCRIP].&amp;[" &amp; $C$6 &amp; "]",
"[Base].[SITUACION]",
"[Base].[SITUACION].&amp;[" &amp; $C10 &amp; "]"
),0)/1000</f>
        <v>69493.556319759999</v>
      </c>
      <c r="F10" s="8">
        <f>IFERROR(
GETPIVOTDATA(
"[Base].[Importe]",
TDinamica_R!$A$5,
"[Calendario].[AñoMes]",
"[Calendario].[AñoMes].&amp;[" &amp; TEXT(F$6,"yyyymm") &amp; "]",
"[Base].[Metrica]",
"[Base].[Metrica].&amp;[" &amp; $A10 &amp; "]",
"[Base].[SEGMENTO_DESCRIP]",
"[Base].[SEGMENTO_DESCRIP].&amp;[" &amp; $C$6 &amp; "]",
"[Base].[SITUACION]",
"[Base].[SITUACION].&amp;[" &amp; $C10 &amp; "]"
),0)/1000</f>
        <v>63167.837844640002</v>
      </c>
      <c r="G10" s="8">
        <f>IFERROR(
GETPIVOTDATA(
"[Base].[Importe]",
TDinamica_R!$A$5,
"[Calendario].[AñoMes]",
"[Calendario].[AñoMes].&amp;[" &amp; TEXT(G$6,"yyyymm") &amp; "]",
"[Base].[Metrica]",
"[Base].[Metrica].&amp;[" &amp; $A10 &amp; "]",
"[Base].[SEGMENTO_DESCRIP]",
"[Base].[SEGMENTO_DESCRIP].&amp;[" &amp; $C$6 &amp; "]",
"[Base].[SITUACION]",
"[Base].[SITUACION].&amp;[" &amp; $C10 &amp; "]"
),0)/1000</f>
        <v>58253.543242399996</v>
      </c>
      <c r="H10" s="8">
        <f>IFERROR(
GETPIVOTDATA(
"[Base].[Importe]",
TDinamica_R!$A$5,
"[Calendario].[AñoMes]",
"[Calendario].[AñoMes].&amp;[" &amp; TEXT(H$6,"yyyymm") &amp; "]",
"[Base].[Metrica]",
"[Base].[Metrica].&amp;[" &amp; $A10 &amp; "]",
"[Base].[SEGMENTO_DESCRIP]",
"[Base].[SEGMENTO_DESCRIP].&amp;[" &amp; $C$6 &amp; "]",
"[Base].[SITUACION]",
"[Base].[SITUACION].&amp;[" &amp; $C10 &amp; "]"
),0)/1000</f>
        <v>55508.012248889994</v>
      </c>
      <c r="I10" s="8">
        <f>IFERROR(
GETPIVOTDATA(
"[Base].[Importe]",
TDinamica_R!$A$5,
"[Calendario].[AñoMes]",
"[Calendario].[AñoMes].&amp;[" &amp; TEXT(I$6,"yyyymm") &amp; "]",
"[Base].[Metrica]",
"[Base].[Metrica].&amp;[" &amp; $A10 &amp; "]",
"[Base].[SEGMENTO_DESCRIP]",
"[Base].[SEGMENTO_DESCRIP].&amp;[" &amp; $C$6 &amp; "]",
"[Base].[SITUACION]",
"[Base].[SITUACION].&amp;[" &amp; $C10 &amp; "]"
),0)/1000</f>
        <v>61496.087575800004</v>
      </c>
      <c r="J10" s="8">
        <f>IFERROR(
GETPIVOTDATA(
"[Base].[Importe]",
TDinamica_R!$A$5,
"[Calendario].[AñoMes]",
"[Calendario].[AñoMes].&amp;[" &amp; TEXT(J$6,"yyyymm") &amp; "]",
"[Base].[Metrica]",
"[Base].[Metrica].&amp;[" &amp; $A10 &amp; "]",
"[Base].[SEGMENTO_DESCRIP]",
"[Base].[SEGMENTO_DESCRIP].&amp;[" &amp; $C$6 &amp; "]",
"[Base].[SITUACION]",
"[Base].[SITUACION].&amp;[" &amp; $C10 &amp; "]"
),0)/1000</f>
        <v>84964.460384320002</v>
      </c>
      <c r="K10" s="8">
        <f>IFERROR(
GETPIVOTDATA(
"[Base].[Importe]",
TDinamica_R!$A$5,
"[Calendario].[AñoMes]",
"[Calendario].[AñoMes].&amp;[" &amp; TEXT(K$6,"yyyymm") &amp; "]",
"[Base].[Metrica]",
"[Base].[Metrica].&amp;[" &amp; $A10 &amp; "]",
"[Base].[SEGMENTO_DESCRIP]",
"[Base].[SEGMENTO_DESCRIP].&amp;[" &amp; $C$6 &amp; "]",
"[Base].[SITUACION]",
"[Base].[SITUACION].&amp;[" &amp; $C10 &amp; "]"
),0)/1000</f>
        <v>123470.06636434999</v>
      </c>
      <c r="L10" s="8">
        <f>IFERROR(
GETPIVOTDATA(
"[Base].[Importe]",
TDinamica_R!$A$5,
"[Calendario].[AñoMes]",
"[Calendario].[AñoMes].&amp;[" &amp; TEXT(L$6,"yyyymm") &amp; "]",
"[Base].[Metrica]",
"[Base].[Metrica].&amp;[" &amp; $A10 &amp; "]",
"[Base].[SEGMENTO_DESCRIP]",
"[Base].[SEGMENTO_DESCRIP].&amp;[" &amp; $C$6 &amp; "]",
"[Base].[SITUACION]",
"[Base].[SITUACION].&amp;[" &amp; $C10 &amp; "]"
),0)/1000</f>
        <v>125328.46946615999</v>
      </c>
      <c r="M10" s="8">
        <f>IFERROR(
GETPIVOTDATA(
"[Base].[Importe]",
TDinamica_R!$A$5,
"[Calendario].[AñoMes]",
"[Calendario].[AñoMes].&amp;[" &amp; TEXT(M$6,"yyyymm") &amp; "]",
"[Base].[Metrica]",
"[Base].[Metrica].&amp;[" &amp; $A10 &amp; "]",
"[Base].[SEGMENTO_DESCRIP]",
"[Base].[SEGMENTO_DESCRIP].&amp;[" &amp; $C$6 &amp; "]",
"[Base].[SITUACION]",
"[Base].[SITUACION].&amp;[" &amp; $C10 &amp; "]"
),0)/1000</f>
        <v>138802.04747026</v>
      </c>
      <c r="N10" s="8">
        <f>IFERROR(
GETPIVOTDATA(
"[Base].[Importe]",
TDinamica_R!$A$5,
"[Calendario].[AñoMes]",
"[Calendario].[AñoMes].&amp;[" &amp; TEXT(N$6,"yyyymm") &amp; "]",
"[Base].[Metrica]",
"[Base].[Metrica].&amp;[" &amp; $A10 &amp; "]",
"[Base].[SEGMENTO_DESCRIP]",
"[Base].[SEGMENTO_DESCRIP].&amp;[" &amp; $C$6 &amp; "]",
"[Base].[SITUACION]",
"[Base].[SITUACION].&amp;[" &amp; $C10 &amp; "]"
),0)/1000</f>
        <v>127748.15958241999</v>
      </c>
      <c r="O10" s="8">
        <f>IFERROR(
GETPIVOTDATA(
"[Base].[Importe]",
TDinamica_R!$A$5,
"[Calendario].[AñoMes]",
"[Calendario].[AñoMes].&amp;[" &amp; TEXT(O$6,"yyyymm") &amp; "]",
"[Base].[Metrica]",
"[Base].[Metrica].&amp;[" &amp; $A10 &amp; "]",
"[Base].[SEGMENTO_DESCRIP]",
"[Base].[SEGMENTO_DESCRIP].&amp;[" &amp; $C$6 &amp; "]",
"[Base].[SITUACION]",
"[Base].[SITUACION].&amp;[" &amp; $C10 &amp; "]"
),0)/1000</f>
        <v>137423.17035423999</v>
      </c>
      <c r="P10" s="8">
        <f>IFERROR(
GETPIVOTDATA(
"[Base].[Importe]",
TDinamica_R!$A$5,
"[Calendario].[AñoMes]",
"[Calendario].[AñoMes].&amp;[" &amp; TEXT(P$6,"yyyymm") &amp; "]",
"[Base].[Metrica]",
"[Base].[Metrica].&amp;[" &amp; $A10 &amp; "]",
"[Base].[SEGMENTO_DESCRIP]",
"[Base].[SEGMENTO_DESCRIP].&amp;[" &amp; $C$6 &amp; "]",
"[Base].[SITUACION]",
"[Base].[SITUACION].&amp;[" &amp; $C10 &amp; "]"
),0)/1000</f>
        <v>139604.15651994001</v>
      </c>
      <c r="Q10" s="8">
        <f>IFERROR(
GETPIVOTDATA(
"[Base].[Importe]",
TDinamica_R!$A$5,
"[Calendario].[AñoMes]",
"[Calendario].[AñoMes].&amp;[" &amp; TEXT(Q$6,"yyyymm") &amp; "]",
"[Base].[Metrica]",
"[Base].[Metrica].&amp;[" &amp; $A10 &amp; "]",
"[Base].[SEGMENTO_DESCRIP]",
"[Base].[SEGMENTO_DESCRIP].&amp;[" &amp; $C$6 &amp; "]",
"[Base].[SITUACION]",
"[Base].[SITUACION].&amp;[" &amp; $C10 &amp; "]"
),0)/1000</f>
        <v>133568.79975560002</v>
      </c>
      <c r="R10" s="8">
        <f>IFERROR(
GETPIVOTDATA(
"[Base].[Importe]",
TDinamica_R!$A$5,
"[Calendario].[AñoMes]",
"[Calendario].[AñoMes].&amp;[" &amp; TEXT(R$6,"yyyymm") &amp; "]",
"[Base].[Metrica]",
"[Base].[Metrica].&amp;[" &amp; $A10 &amp; "]",
"[Base].[SEGMENTO_DESCRIP]",
"[Base].[SEGMENTO_DESCRIP].&amp;[" &amp; $C$6 &amp; "]",
"[Base].[SITUACION]",
"[Base].[SITUACION].&amp;[" &amp; $C10 &amp; "]"
),0)/1000</f>
        <v>159740.18721435999</v>
      </c>
      <c r="S10" s="8">
        <f>IFERROR(
GETPIVOTDATA(
"[Base].[Importe]",
TDinamica_R!$A$5,
"[Calendario].[AñoMes]",
"[Calendario].[AñoMes].&amp;[" &amp; TEXT(S$6,"yyyymm") &amp; "]",
"[Base].[Metrica]",
"[Base].[Metrica].&amp;[" &amp; $A10 &amp; "]",
"[Base].[SEGMENTO_DESCRIP]",
"[Base].[SEGMENTO_DESCRIP].&amp;[" &amp; $C$6 &amp; "]",
"[Base].[SITUACION]",
"[Base].[SITUACION].&amp;[" &amp; $C10 &amp; "]"
),0)/1000</f>
        <v>165708.52904087002</v>
      </c>
      <c r="T10" s="8">
        <f>IFERROR(
GETPIVOTDATA(
"[Base].[Importe]",
TDinamica_R!$A$5,
"[Calendario].[AñoMes]",
"[Calendario].[AñoMes].&amp;[" &amp; TEXT(T$6,"yyyymm") &amp; "]",
"[Base].[Metrica]",
"[Base].[Metrica].&amp;[" &amp; $A10 &amp; "]",
"[Base].[SEGMENTO_DESCRIP]",
"[Base].[SEGMENTO_DESCRIP].&amp;[" &amp; $C$6 &amp; "]",
"[Base].[SITUACION]",
"[Base].[SITUACION].&amp;[" &amp; $C10 &amp; "]"
),0)/1000</f>
        <v>172532.00824164</v>
      </c>
      <c r="U10" s="8">
        <f>IFERROR(
GETPIVOTDATA(
"[Base].[Importe]",
TDinamica_R!$A$5,
"[Calendario].[AñoMes]",
"[Calendario].[AñoMes].&amp;[" &amp; TEXT(U$6,"yyyymm") &amp; "]",
"[Base].[Metrica]",
"[Base].[Metrica].&amp;[" &amp; $A10 &amp; "]",
"[Base].[SEGMENTO_DESCRIP]",
"[Base].[SEGMENTO_DESCRIP].&amp;[" &amp; $C$6 &amp; "]",
"[Base].[SITUACION]",
"[Base].[SITUACION].&amp;[" &amp; $C10 &amp; "]"
),0)/1000</f>
        <v>164201.68939971999</v>
      </c>
      <c r="V10" s="8">
        <f>IFERROR(
GETPIVOTDATA(
"[Base].[Importe]",
TDinamica_R!$A$5,
"[Calendario].[AñoMes]",
"[Calendario].[AñoMes].&amp;[" &amp; TEXT(V$6,"yyyymm") &amp; "]",
"[Base].[Metrica]",
"[Base].[Metrica].&amp;[" &amp; $A10 &amp; "]",
"[Base].[SEGMENTO_DESCRIP]",
"[Base].[SEGMENTO_DESCRIP].&amp;[" &amp; $C$6 &amp; "]",
"[Base].[SITUACION]",
"[Base].[SITUACION].&amp;[" &amp; $C10 &amp; "]"
),0)/1000</f>
        <v>147528.33705300998</v>
      </c>
      <c r="W10" s="8">
        <f>IFERROR(
GETPIVOTDATA(
"[Base].[Importe]",
TDinamica_R!$A$5,
"[Calendario].[AñoMes]",
"[Calendario].[AñoMes].&amp;[" &amp; TEXT(W$6,"yyyymm") &amp; "]",
"[Base].[Metrica]",
"[Base].[Metrica].&amp;[" &amp; $A10 &amp; "]",
"[Base].[SEGMENTO_DESCRIP]",
"[Base].[SEGMENTO_DESCRIP].&amp;[" &amp; $C$6 &amp; "]",
"[Base].[SITUACION]",
"[Base].[SITUACION].&amp;[" &amp; $C10 &amp; "]"
),0)/1000</f>
        <v>136789.58116311999</v>
      </c>
      <c r="X10" s="8">
        <f>IFERROR(
GETPIVOTDATA(
"[Base].[Importe]",
TDinamica_R!$A$5,
"[Calendario].[AñoMes]",
"[Calendario].[AñoMes].&amp;[" &amp; TEXT(X$6,"yyyymm") &amp; "]",
"[Base].[Metrica]",
"[Base].[Metrica].&amp;[" &amp; $A10 &amp; "]",
"[Base].[SEGMENTO_DESCRIP]",
"[Base].[SEGMENTO_DESCRIP].&amp;[" &amp; $C$6 &amp; "]",
"[Base].[SITUACION]",
"[Base].[SITUACION].&amp;[" &amp; $C10 &amp; "]"
),0)/1000</f>
        <v>120026.28482756999</v>
      </c>
      <c r="Y10" s="8">
        <f>IFERROR(
GETPIVOTDATA(
"[Base].[Importe]",
TDinamica_R!$A$5,
"[Calendario].[AñoMes]",
"[Calendario].[AñoMes].&amp;[" &amp; TEXT(Y$6,"yyyymm") &amp; "]",
"[Base].[Metrica]",
"[Base].[Metrica].&amp;[" &amp; $A10 &amp; "]",
"[Base].[SEGMENTO_DESCRIP]",
"[Base].[SEGMENTO_DESCRIP].&amp;[" &amp; $C$6 &amp; "]",
"[Base].[SITUACION]",
"[Base].[SITUACION].&amp;[" &amp; $C10 &amp; "]"
),0)/1000</f>
        <v>112496.58629064001</v>
      </c>
      <c r="Z10" s="8">
        <f>IFERROR(
GETPIVOTDATA(
"[Base].[Importe]",
TDinamica_R!$A$5,
"[Calendario].[AñoMes]",
"[Calendario].[AñoMes].&amp;[" &amp; TEXT(Z$6,"yyyymm") &amp; "]",
"[Base].[Metrica]",
"[Base].[Metrica].&amp;[" &amp; $A10 &amp; "]",
"[Base].[SEGMENTO_DESCRIP]",
"[Base].[SEGMENTO_DESCRIP].&amp;[" &amp; $C$6 &amp; "]",
"[Base].[SITUACION]",
"[Base].[SITUACION].&amp;[" &amp; $C10 &amp; "]"
),0)/1000</f>
        <v>97578.612558480003</v>
      </c>
      <c r="AA10" s="8">
        <f>IFERROR(
GETPIVOTDATA(
"[Base].[Importe]",
TDinamica_R!$A$5,
"[Calendario].[AñoMes]",
"[Calendario].[AñoMes].&amp;[" &amp; TEXT(AA$6,"yyyymm") &amp; "]",
"[Base].[Metrica]",
"[Base].[Metrica].&amp;[" &amp; $A10 &amp; "]",
"[Base].[SEGMENTO_DESCRIP]",
"[Base].[SEGMENTO_DESCRIP].&amp;[" &amp; $C$6 &amp; "]",
"[Base].[SITUACION]",
"[Base].[SITUACION].&amp;[" &amp; $C10 &amp; "]"
),0)/1000</f>
        <v>103351.96475036001</v>
      </c>
      <c r="AB10" s="8">
        <f>IFERROR(
GETPIVOTDATA(
"[Base].[Importe]",
TDinamica_R!$A$5,
"[Calendario].[AñoMes]",
"[Calendario].[AñoMes].&amp;[" &amp; TEXT(AB$6,"yyyymm") &amp; "]",
"[Base].[Metrica]",
"[Base].[Metrica].&amp;[" &amp; $A10 &amp; "]",
"[Base].[SEGMENTO_DESCRIP]",
"[Base].[SEGMENTO_DESCRIP].&amp;[" &amp; $C$6 &amp; "]",
"[Base].[SITUACION]",
"[Base].[SITUACION].&amp;[" &amp; $C10 &amp; "]"
),0)/1000</f>
        <v>102801.42869269999</v>
      </c>
      <c r="AC10" s="8">
        <f>IFERROR(
GETPIVOTDATA(
"[Base].[Importe]",
TDinamica_R!$A$5,
"[Calendario].[AñoMes]",
"[Calendario].[AñoMes].&amp;[" &amp; TEXT(AC$6,"yyyymm") &amp; "]",
"[Base].[Metrica]",
"[Base].[Metrica].&amp;[" &amp; $A10 &amp; "]",
"[Base].[SEGMENTO_DESCRIP]",
"[Base].[SEGMENTO_DESCRIP].&amp;[" &amp; $C$6 &amp; "]",
"[Base].[SITUACION]",
"[Base].[SITUACION].&amp;[" &amp; $C10 &amp; "]"
),0)/1000</f>
        <v>94460.83474695</v>
      </c>
      <c r="AD10" s="8">
        <f>IFERROR(
GETPIVOTDATA(
"[Base].[Importe]",
TDinamica_R!$A$5,
"[Calendario].[AñoMes]",
"[Calendario].[AñoMes].&amp;[" &amp; TEXT(AD$6,"yyyymm") &amp; "]",
"[Base].[Metrica]",
"[Base].[Metrica].&amp;[" &amp; $A10 &amp; "]",
"[Base].[SEGMENTO_DESCRIP]",
"[Base].[SEGMENTO_DESCRIP].&amp;[" &amp; $C$6 &amp; "]",
"[Base].[SITUACION]",
"[Base].[SITUACION].&amp;[" &amp; $C10 &amp; "]"
),0)/1000</f>
        <v>101165.33130380001</v>
      </c>
      <c r="AE10" s="8">
        <f>IFERROR(
GETPIVOTDATA(
"[Base].[Importe]",
TDinamica_R!$A$5,
"[Calendario].[AñoMes]",
"[Calendario].[AñoMes].&amp;[" &amp; TEXT(AE$6,"yyyymm") &amp; "]",
"[Base].[Metrica]",
"[Base].[Metrica].&amp;[" &amp; $A10 &amp; "]",
"[Base].[SEGMENTO_DESCRIP]",
"[Base].[SEGMENTO_DESCRIP].&amp;[" &amp; $C$6 &amp; "]",
"[Base].[SITUACION]",
"[Base].[SITUACION].&amp;[" &amp; $C10 &amp; "]"
),0)/1000</f>
        <v>102120.78657625</v>
      </c>
      <c r="AF10" s="8">
        <f>IFERROR(
GETPIVOTDATA(
"[Base].[Importe]",
TDinamica_R!$A$5,
"[Calendario].[AñoMes]",
"[Calendario].[AñoMes].&amp;[" &amp; TEXT(AF$6,"yyyymm") &amp; "]",
"[Base].[Metrica]",
"[Base].[Metrica].&amp;[" &amp; $A10 &amp; "]",
"[Base].[SEGMENTO_DESCRIP]",
"[Base].[SEGMENTO_DESCRIP].&amp;[" &amp; $C$6 &amp; "]",
"[Base].[SITUACION]",
"[Base].[SITUACION].&amp;[" &amp; $C10 &amp; "]"
),0)/1000</f>
        <v>104564.2316691</v>
      </c>
      <c r="AG10" s="8">
        <f>IFERROR(
GETPIVOTDATA(
"[Base].[Importe]",
TDinamica_R!$A$5,
"[Calendario].[AñoMes]",
"[Calendario].[AñoMes].&amp;[" &amp; TEXT(AG$6,"yyyymm") &amp; "]",
"[Base].[Metrica]",
"[Base].[Metrica].&amp;[" &amp; $A10 &amp; "]",
"[Base].[SEGMENTO_DESCRIP]",
"[Base].[SEGMENTO_DESCRIP].&amp;[" &amp; $C$6 &amp; "]",
"[Base].[SITUACION]",
"[Base].[SITUACION].&amp;[" &amp; $C10 &amp; "]"
),0)/1000</f>
        <v>98610.016028040001</v>
      </c>
      <c r="AH10" s="8">
        <f>IFERROR(
GETPIVOTDATA(
"[Base].[Importe]",
TDinamica_R!$A$5,
"[Calendario].[AñoMes]",
"[Calendario].[AñoMes].&amp;[" &amp; TEXT(AH$6,"yyyymm") &amp; "]",
"[Base].[Metrica]",
"[Base].[Metrica].&amp;[" &amp; $A10 &amp; "]",
"[Base].[SEGMENTO_DESCRIP]",
"[Base].[SEGMENTO_DESCRIP].&amp;[" &amp; $C$6 &amp; "]",
"[Base].[SITUACION]",
"[Base].[SITUACION].&amp;[" &amp; $C10 &amp; "]"
),0)/1000</f>
        <v>93181.171330800003</v>
      </c>
      <c r="AI10" s="8">
        <f>IFERROR(
GETPIVOTDATA(
"[Base].[Importe]",
TDinamica_R!$A$5,
"[Calendario].[AñoMes]",
"[Calendario].[AñoMes].&amp;[" &amp; TEXT(AI$6,"yyyymm") &amp; "]",
"[Base].[Metrica]",
"[Base].[Metrica].&amp;[" &amp; $A10 &amp; "]",
"[Base].[SEGMENTO_DESCRIP]",
"[Base].[SEGMENTO_DESCRIP].&amp;[" &amp; $C$6 &amp; "]",
"[Base].[SITUACION]",
"[Base].[SITUACION].&amp;[" &amp; $C10 &amp; "]"
),0)/1000</f>
        <v>92665.856943799998</v>
      </c>
      <c r="AJ10" s="8">
        <f>IFERROR(
GETPIVOTDATA(
"[Base].[Importe]",
TDinamica_R!$A$5,
"[Calendario].[AñoMes]",
"[Calendario].[AñoMes].&amp;[" &amp; TEXT(AJ$6,"yyyymm") &amp; "]",
"[Base].[Metrica]",
"[Base].[Metrica].&amp;[" &amp; $A10 &amp; "]",
"[Base].[SEGMENTO_DESCRIP]",
"[Base].[SEGMENTO_DESCRIP].&amp;[" &amp; $C$6 &amp; "]",
"[Base].[SITUACION]",
"[Base].[SITUACION].&amp;[" &amp; $C10 &amp; "]"
),0)/1000</f>
        <v>88138.08444549999</v>
      </c>
      <c r="AK10" s="8">
        <f>IFERROR(
GETPIVOTDATA(
"[Base].[Importe]",
TDinamica_R!$A$5,
"[Calendario].[AñoMes]",
"[Calendario].[AñoMes].&amp;[" &amp; TEXT(AK$6,"yyyymm") &amp; "]",
"[Base].[Metrica]",
"[Base].[Metrica].&amp;[" &amp; $A10 &amp; "]",
"[Base].[SEGMENTO_DESCRIP]",
"[Base].[SEGMENTO_DESCRIP].&amp;[" &amp; $C$6 &amp; "]",
"[Base].[SITUACION]",
"[Base].[SITUACION].&amp;[" &amp; $C10 &amp; "]"
),0)/1000</f>
        <v>84516.308019999997</v>
      </c>
      <c r="AL10" s="8">
        <f>IFERROR(
GETPIVOTDATA(
"[Base].[Importe]",
TDinamica_R!$A$5,
"[Calendario].[AñoMes]",
"[Calendario].[AñoMes].&amp;[" &amp; TEXT(AL$6,"yyyymm") &amp; "]",
"[Base].[Metrica]",
"[Base].[Metrica].&amp;[" &amp; $A10 &amp; "]",
"[Base].[SEGMENTO_DESCRIP]",
"[Base].[SEGMENTO_DESCRIP].&amp;[" &amp; $C$6 &amp; "]",
"[Base].[SITUACION]",
"[Base].[SITUACION].&amp;[" &amp; $C10 &amp; "]"
),0)/1000</f>
        <v>74094.123836380008</v>
      </c>
      <c r="AM10" s="8">
        <f>IFERROR(
GETPIVOTDATA(
"[Base].[Importe]",
TDinamica_R!$A$5,
"[Calendario].[AñoMes]",
"[Calendario].[AñoMes].&amp;[" &amp; TEXT(AM$6,"yyyymm") &amp; "]",
"[Base].[Metrica]",
"[Base].[Metrica].&amp;[" &amp; $A10 &amp; "]",
"[Base].[SEGMENTO_DESCRIP]",
"[Base].[SEGMENTO_DESCRIP].&amp;[" &amp; $C$6 &amp; "]",
"[Base].[SITUACION]",
"[Base].[SITUACION].&amp;[" &amp; $C10 &amp; "]"
),0)/1000</f>
        <v>77834.912391580001</v>
      </c>
      <c r="AN10" s="8">
        <f>IFERROR(
GETPIVOTDATA(
"[Base].[Importe]",
TDinamica_R!$A$5,
"[Calendario].[AñoMes]",
"[Calendario].[AñoMes].&amp;[" &amp; TEXT(AN$6,"yyyymm") &amp; "]",
"[Base].[Metrica]",
"[Base].[Metrica].&amp;[" &amp; $A10 &amp; "]",
"[Base].[SEGMENTO_DESCRIP]",
"[Base].[SEGMENTO_DESCRIP].&amp;[" &amp; $C$6 &amp; "]",
"[Base].[SITUACION]",
"[Base].[SITUACION].&amp;[" &amp; $C10 &amp; "]"
),0)/1000</f>
        <v>77076.009999999995</v>
      </c>
      <c r="AO10" s="8">
        <f>IFERROR(
GETPIVOTDATA(
"[Base].[Importe]",
TDinamica_R!$A$5,
"[Calendario].[AñoMes]",
"[Calendario].[AñoMes].&amp;[" &amp; TEXT(AO$6,"yyyymm") &amp; "]",
"[Base].[Metrica]",
"[Base].[Metrica].&amp;[" &amp; $A10 &amp; "]",
"[Base].[SEGMENTO_DESCRIP]",
"[Base].[SEGMENTO_DESCRIP].&amp;[" &amp; $C$6 &amp; "]",
"[Base].[SITUACION]",
"[Base].[SITUACION].&amp;[" &amp; $C10 &amp; "]"
),0)/1000</f>
        <v>74757.42</v>
      </c>
      <c r="AP10" s="8">
        <f>IFERROR(
GETPIVOTDATA(
"[Base].[Importe]",
TDinamica_R!$A$5,
"[Calendario].[AñoMes]",
"[Calendario].[AñoMes].&amp;[" &amp; TEXT(AP$6,"yyyymm") &amp; "]",
"[Base].[Metrica]",
"[Base].[Metrica].&amp;[" &amp; $A10 &amp; "]",
"[Base].[SEGMENTO_DESCRIP]",
"[Base].[SEGMENTO_DESCRIP].&amp;[" &amp; $C$6 &amp; "]",
"[Base].[SITUACION]",
"[Base].[SITUACION].&amp;[" &amp; $C10 &amp; "]"
),0)/1000</f>
        <v>71012.509999999995</v>
      </c>
      <c r="AQ10" s="8">
        <f>IFERROR(
GETPIVOTDATA(
"[Base].[Importe]",
TDinamica_R!$A$5,
"[Calendario].[AñoMes]",
"[Calendario].[AñoMes].&amp;[" &amp; TEXT(AQ$6,"yyyymm") &amp; "]",
"[Base].[Metrica]",
"[Base].[Metrica].&amp;[" &amp; $A10 &amp; "]",
"[Base].[SEGMENTO_DESCRIP]",
"[Base].[SEGMENTO_DESCRIP].&amp;[" &amp; $C$6 &amp; "]",
"[Base].[SITUACION]",
"[Base].[SITUACION].&amp;[" &amp; $C10 &amp; "]"
),0)/1000</f>
        <v>66807.278838340004</v>
      </c>
      <c r="AR10" s="8">
        <f>IFERROR(
GETPIVOTDATA(
"[Base].[Importe]",
TDinamica_R!$A$5,
"[Calendario].[AñoMes]",
"[Calendario].[AñoMes].&amp;[" &amp; TEXT(AR$6,"yyyymm") &amp; "]",
"[Base].[Metrica]",
"[Base].[Metrica].&amp;[" &amp; $A10 &amp; "]",
"[Base].[SEGMENTO_DESCRIP]",
"[Base].[SEGMENTO_DESCRIP].&amp;[" &amp; $C$6 &amp; "]",
"[Base].[SITUACION]",
"[Base].[SITUACION].&amp;[" &amp; $C10 &amp; "]"
),0)/1000</f>
        <v>65502.600653239999</v>
      </c>
      <c r="AS10" s="8">
        <f>IFERROR(
GETPIVOTDATA(
"[Base].[Importe]",
TDinamica_R!$A$5,
"[Calendario].[AñoMes]",
"[Calendario].[AñoMes].&amp;[" &amp; TEXT(AS$6,"yyyymm") &amp; "]",
"[Base].[Metrica]",
"[Base].[Metrica].&amp;[" &amp; $A10 &amp; "]",
"[Base].[SEGMENTO_DESCRIP]",
"[Base].[SEGMENTO_DESCRIP].&amp;[" &amp; $C$6 &amp; "]",
"[Base].[SITUACION]",
"[Base].[SITUACION].&amp;[" &amp; $C10 &amp; "]"
),0)/1000</f>
        <v>65874.864926299997</v>
      </c>
      <c r="AT10" s="8">
        <f>IFERROR(
GETPIVOTDATA(
"[Base].[Importe]",
TDinamica_R!$A$5,
"[Calendario].[AñoMes]",
"[Calendario].[AñoMes].&amp;[" &amp; TEXT(AT$6,"yyyymm")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U10" s="8">
        <f>IFERROR(
GETPIVOTDATA(
"[Base].[Importe]",
TDinamica_R!$A$5,
"[Calendario].[AñoMes]",
"[Calendario].[AñoMes].&amp;[" &amp; TEXT(AU$6,"yyyymm")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V10" s="8">
        <f>IFERROR(
GETPIVOTDATA(
"[Base].[Importe]",
TDinamica_R!$A$5,
"[Calendario].[AñoMes]",
"[Calendario].[AñoMes].&amp;[" &amp; TEXT(AV$6,"yyyymm")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W10" s="8">
        <f>IFERROR(
GETPIVOTDATA(
"[Base].[Importe]",
TDinamica_R!$A$5,
"[Calendario].[AñoMes]",
"[Calendario].[AñoMes].&amp;[" &amp; TEXT(AW$6,"yyyymm")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X10" s="8">
        <f>IFERROR(
GETPIVOTDATA(
"[Base].[Importe]",
TDinamica_R!$A$5,
"[Calendario].[AñoMes]",
"[Calendario].[AñoMes].&amp;[" &amp; TEXT(AX$6,"yyyymm")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Y10" s="8">
        <f>IFERROR(
GETPIVOTDATA(
"[Base].[Importe]",
TDinamica_R!$A$5,
"[Calendario].[AñoMes]",
"[Calendario].[AñoMes].&amp;[" &amp; TEXT(AY$6,"yyyymm")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Z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TEXT(AZ$6,"yyyymm") &amp; "]"
),
0
)</f>
        <v>86785.283654405794</v>
      </c>
      <c r="BA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TEXT(BA$6,"yyyymm") &amp; "]"
),
0
)</f>
        <v>82284.011538251711</v>
      </c>
      <c r="BB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TEXT(BB$6,"yyyymm") &amp; "]"
),
0
)</f>
        <v>80701.995216573123</v>
      </c>
      <c r="BC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TEXT(BC$6,"yyyymm") &amp; "]"
),
0
)</f>
        <v>79357.05934375689</v>
      </c>
      <c r="BD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TEXT(BD$6,"yyyymm") &amp; "]"
),
0
)</f>
        <v>79751.240234141427</v>
      </c>
      <c r="BE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TEXT(BE$6,"yyyymm") &amp; "]"
),
0
)</f>
        <v>78917.73308092526</v>
      </c>
      <c r="BF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TEXT(BF$6,"yyyymm") &amp; "]"
),
0
)</f>
        <v>77860.281430451199</v>
      </c>
      <c r="BG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TEXT(BG$6,"yyyymm") &amp; "]"
),
0
)</f>
        <v>80139.182634166151</v>
      </c>
      <c r="BH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TEXT(BH$6,"yyyymm") &amp; "]"
),
0
)</f>
        <v>77900.951824882504</v>
      </c>
      <c r="BI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TEXT(BI$6,"yyyymm") &amp; "]"
),
0
)</f>
        <v>79542.822033709264</v>
      </c>
      <c r="BJ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TEXT(BJ$6,"yyyymm") &amp; "]"
),
0
)</f>
        <v>76837.923547955725</v>
      </c>
      <c r="BK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TEXT(BK$6,"yyyymm") &amp; "]"
),
0
)</f>
        <v>79490.40161453528</v>
      </c>
      <c r="BO10" s="24">
        <f t="shared" si="5"/>
        <v>71012.509999999995</v>
      </c>
      <c r="BP10" s="24">
        <f t="shared" si="7"/>
        <v>80701.995216573123</v>
      </c>
      <c r="BQ10" s="24">
        <f t="shared" si="6"/>
        <v>74757.42</v>
      </c>
      <c r="BR10" s="24">
        <f t="shared" si="6"/>
        <v>101165.33130380001</v>
      </c>
      <c r="BS10" s="24">
        <f t="shared" si="6"/>
        <v>159740.18721435999</v>
      </c>
      <c r="BT10" s="24">
        <f t="shared" si="6"/>
        <v>63167.837844640002</v>
      </c>
    </row>
    <row r="11" spans="1:81" collapsed="1" x14ac:dyDescent="0.25">
      <c r="C11" s="3" t="s">
        <v>2</v>
      </c>
      <c r="D11" s="10">
        <f>SUM(D8:D10)</f>
        <v>2463219.0769222798</v>
      </c>
      <c r="E11" s="10">
        <f t="shared" ref="E11:AY11" si="8">SUM(E8:E10)</f>
        <v>2528863.8725729999</v>
      </c>
      <c r="F11" s="10">
        <f t="shared" si="8"/>
        <v>2620251.0052947602</v>
      </c>
      <c r="G11" s="10">
        <f t="shared" si="8"/>
        <v>2671271.5189628503</v>
      </c>
      <c r="H11" s="10">
        <f t="shared" si="8"/>
        <v>2720126.4046558593</v>
      </c>
      <c r="I11" s="10">
        <f t="shared" si="8"/>
        <v>2764559.0298315003</v>
      </c>
      <c r="J11" s="10">
        <f t="shared" si="8"/>
        <v>2793684.1810600199</v>
      </c>
      <c r="K11" s="10">
        <f t="shared" si="8"/>
        <v>2883158.7766647497</v>
      </c>
      <c r="L11" s="10">
        <f t="shared" si="8"/>
        <v>2888752.5465058903</v>
      </c>
      <c r="M11" s="10">
        <f t="shared" si="8"/>
        <v>2889144.95788666</v>
      </c>
      <c r="N11" s="10">
        <f t="shared" si="8"/>
        <v>2858459.4078457202</v>
      </c>
      <c r="O11" s="10">
        <f t="shared" si="8"/>
        <v>2789307.9910013396</v>
      </c>
      <c r="P11" s="10">
        <f t="shared" si="8"/>
        <v>2728743.1813905402</v>
      </c>
      <c r="Q11" s="10">
        <f t="shared" si="8"/>
        <v>2653800.2043377999</v>
      </c>
      <c r="R11" s="10">
        <f t="shared" si="8"/>
        <v>2609796.98932942</v>
      </c>
      <c r="S11" s="10">
        <f t="shared" si="8"/>
        <v>2550959.8954166202</v>
      </c>
      <c r="T11" s="10">
        <f t="shared" si="8"/>
        <v>2475414.0102925203</v>
      </c>
      <c r="U11" s="10">
        <f t="shared" si="8"/>
        <v>2397325.5889391606</v>
      </c>
      <c r="V11" s="10">
        <f t="shared" si="8"/>
        <v>2309800.2030565096</v>
      </c>
      <c r="W11" s="10">
        <f t="shared" si="8"/>
        <v>2253113.2946644397</v>
      </c>
      <c r="X11" s="10">
        <f t="shared" si="8"/>
        <v>2206518.6988810301</v>
      </c>
      <c r="Y11" s="10">
        <f t="shared" si="8"/>
        <v>2170448.1026533996</v>
      </c>
      <c r="Z11" s="10">
        <f t="shared" si="8"/>
        <v>2113240.8540117401</v>
      </c>
      <c r="AA11" s="10">
        <f t="shared" si="8"/>
        <v>2078675.7257917996</v>
      </c>
      <c r="AB11" s="10">
        <f t="shared" si="8"/>
        <v>2042459.23924034</v>
      </c>
      <c r="AC11" s="10">
        <f t="shared" si="8"/>
        <v>2015520.9375962405</v>
      </c>
      <c r="AD11" s="10">
        <f t="shared" si="8"/>
        <v>2019737.7711356601</v>
      </c>
      <c r="AE11" s="10">
        <f t="shared" si="8"/>
        <v>1997985.9003457499</v>
      </c>
      <c r="AF11" s="10">
        <f t="shared" si="8"/>
        <v>1986405.1165694199</v>
      </c>
      <c r="AG11" s="10">
        <f t="shared" si="8"/>
        <v>1958538.1283859604</v>
      </c>
      <c r="AH11" s="10">
        <f t="shared" si="8"/>
        <v>1953446.4454874697</v>
      </c>
      <c r="AI11" s="10">
        <f t="shared" si="8"/>
        <v>1964302.6136522498</v>
      </c>
      <c r="AJ11" s="10">
        <f t="shared" si="8"/>
        <v>1953883.3245777001</v>
      </c>
      <c r="AK11" s="10">
        <f t="shared" si="8"/>
        <v>1965811.2572033</v>
      </c>
      <c r="AL11" s="10">
        <f t="shared" si="8"/>
        <v>1951248.6666328998</v>
      </c>
      <c r="AM11" s="10">
        <f t="shared" si="8"/>
        <v>1942757.4558051797</v>
      </c>
      <c r="AN11" s="10">
        <f t="shared" si="8"/>
        <v>1957656.56</v>
      </c>
      <c r="AO11" s="10">
        <f t="shared" si="8"/>
        <v>1981244.63</v>
      </c>
      <c r="AP11" s="10">
        <f t="shared" si="8"/>
        <v>1988249</v>
      </c>
      <c r="AQ11" s="10">
        <f t="shared" si="8"/>
        <v>2011482.2035562096</v>
      </c>
      <c r="AR11" s="10">
        <f t="shared" si="8"/>
        <v>2039028.0183311405</v>
      </c>
      <c r="AS11" s="10">
        <f t="shared" si="8"/>
        <v>2076074.1786883003</v>
      </c>
      <c r="AT11" s="10">
        <f t="shared" si="8"/>
        <v>0</v>
      </c>
      <c r="AU11" s="10">
        <f t="shared" si="8"/>
        <v>0</v>
      </c>
      <c r="AV11" s="10">
        <f t="shared" si="8"/>
        <v>0</v>
      </c>
      <c r="AW11" s="10">
        <f t="shared" si="8"/>
        <v>0</v>
      </c>
      <c r="AX11" s="10">
        <f t="shared" si="8"/>
        <v>0</v>
      </c>
      <c r="AY11" s="10">
        <f t="shared" si="8"/>
        <v>0</v>
      </c>
      <c r="AZ11" s="10">
        <f t="shared" ref="AZ11:BK11" si="9">SUM(AZ8:AZ10)</f>
        <v>1949481.7824677699</v>
      </c>
      <c r="BA11" s="10">
        <f t="shared" si="9"/>
        <v>1936774.1338133111</v>
      </c>
      <c r="BB11" s="10">
        <f t="shared" si="9"/>
        <v>1944294.5585738495</v>
      </c>
      <c r="BC11" s="10">
        <f t="shared" si="9"/>
        <v>1957041.7866553678</v>
      </c>
      <c r="BD11" s="10">
        <f t="shared" si="9"/>
        <v>1979967.2227116528</v>
      </c>
      <c r="BE11" s="10">
        <f t="shared" si="9"/>
        <v>1986654.1976316639</v>
      </c>
      <c r="BF11" s="10">
        <f t="shared" si="9"/>
        <v>1990196.395362709</v>
      </c>
      <c r="BG11" s="10">
        <f t="shared" si="9"/>
        <v>2007632.8828689775</v>
      </c>
      <c r="BH11" s="10">
        <f t="shared" si="9"/>
        <v>2034006.2465039243</v>
      </c>
      <c r="BI11" s="10">
        <f t="shared" si="9"/>
        <v>2062621.90584249</v>
      </c>
      <c r="BJ11" s="10">
        <f t="shared" si="9"/>
        <v>2072754.959851691</v>
      </c>
      <c r="BK11" s="10">
        <f t="shared" si="9"/>
        <v>2079109.5547746411</v>
      </c>
      <c r="BO11" s="23">
        <f>SUM(BO8:BO10)</f>
        <v>1988249</v>
      </c>
      <c r="BP11" s="23">
        <f>SUM(BP8:BP10)</f>
        <v>1944294.5585738495</v>
      </c>
      <c r="BQ11" s="23">
        <f t="shared" ref="BQ11:BT11" si="10">SUM(BQ8:BQ10)</f>
        <v>1981244.63</v>
      </c>
      <c r="BR11" s="23">
        <f t="shared" si="10"/>
        <v>2019737.7711356601</v>
      </c>
      <c r="BS11" s="23">
        <f t="shared" si="10"/>
        <v>2609796.98932942</v>
      </c>
      <c r="BT11" s="23">
        <f t="shared" si="10"/>
        <v>2620251.0052947602</v>
      </c>
    </row>
    <row r="14" spans="1:81" hidden="1" outlineLevel="1" x14ac:dyDescent="0.25">
      <c r="A14" s="11" t="s">
        <v>52</v>
      </c>
      <c r="C14" s="2" t="s">
        <v>0</v>
      </c>
      <c r="D14" s="8">
        <f>IFERROR(
GETPIVOTDATA(
"[Base].[Importe]",
TDinamica_R!$A$5,
"[Calendario].[AñoMes]",
"[Calendario].[AñoMes].&amp;[" &amp; TEXT(D$6,"yyyymm") &amp; "]",
"[Base].[Metrica]",
"[Base].[Metrica].&amp;[" &amp; $A14 &amp; "]",
"[Base].[SEGMENTO_DESCRIP]",
"[Base].[SEGMENTO_DESCRIP].&amp;[" &amp; $C$6 &amp; "]",
"[Base].[SITUACION]",
"[Base].[SITUACION].&amp;[" &amp; $C14 &amp; "]"
),0)/1000</f>
        <v>2336723.1369304201</v>
      </c>
      <c r="E14" s="8">
        <f>IFERROR(
GETPIVOTDATA(
"[Base].[Importe]",
TDinamica_R!$A$5,
"[Calendario].[AñoMes]",
"[Calendario].[AñoMes].&amp;[" &amp; TEXT(E$6,"yyyymm") &amp; "]",
"[Base].[Metrica]",
"[Base].[Metrica].&amp;[" &amp; $A14 &amp; "]",
"[Base].[SEGMENTO_DESCRIP]",
"[Base].[SEGMENTO_DESCRIP].&amp;[" &amp; $C$6 &amp; "]",
"[Base].[SITUACION]",
"[Base].[SITUACION].&amp;[" &amp; $C14 &amp; "]"
),0)/1000</f>
        <v>2388059.9875044697</v>
      </c>
      <c r="F14" s="8">
        <f>IFERROR(
GETPIVOTDATA(
"[Base].[Importe]",
TDinamica_R!$A$5,
"[Calendario].[AñoMes]",
"[Calendario].[AñoMes].&amp;[" &amp; TEXT(F$6,"yyyymm") &amp; "]",
"[Base].[Metrica]",
"[Base].[Metrica].&amp;[" &amp; $A14 &amp; "]",
"[Base].[SEGMENTO_DESCRIP]",
"[Base].[SEGMENTO_DESCRIP].&amp;[" &amp; $C$6 &amp; "]",
"[Base].[SITUACION]",
"[Base].[SITUACION].&amp;[" &amp; $C14 &amp; "]"
),0)/1000</f>
        <v>2480897.5001434004</v>
      </c>
      <c r="G14" s="8">
        <f>IFERROR(
GETPIVOTDATA(
"[Base].[Importe]",
TDinamica_R!$A$5,
"[Calendario].[AñoMes]",
"[Calendario].[AñoMes].&amp;[" &amp; TEXT(G$6,"yyyymm") &amp; "]",
"[Base].[Metrica]",
"[Base].[Metrica].&amp;[" &amp; $A14 &amp; "]",
"[Base].[SEGMENTO_DESCRIP]",
"[Base].[SEGMENTO_DESCRIP].&amp;[" &amp; $C$6 &amp; "]",
"[Base].[SITUACION]",
"[Base].[SITUACION].&amp;[" &amp; $C14 &amp; "]"
),0)/1000</f>
        <v>2559234.2466996401</v>
      </c>
      <c r="H14" s="8">
        <f>IFERROR(
GETPIVOTDATA(
"[Base].[Importe]",
TDinamica_R!$A$5,
"[Calendario].[AñoMes]",
"[Calendario].[AñoMes].&amp;[" &amp; TEXT(H$6,"yyyymm") &amp; "]",
"[Base].[Metrica]",
"[Base].[Metrica].&amp;[" &amp; $A14 &amp; "]",
"[Base].[SEGMENTO_DESCRIP]",
"[Base].[SEGMENTO_DESCRIP].&amp;[" &amp; $C$6 &amp; "]",
"[Base].[SITUACION]",
"[Base].[SITUACION].&amp;[" &amp; $C14 &amp; "]"
),0)/1000</f>
        <v>2616918.5113033</v>
      </c>
      <c r="I14" s="8">
        <f>IFERROR(
GETPIVOTDATA(
"[Base].[Importe]",
TDinamica_R!$A$5,
"[Calendario].[AñoMes]",
"[Calendario].[AñoMes].&amp;[" &amp; TEXT(I$6,"yyyymm") &amp; "]",
"[Base].[Metrica]",
"[Base].[Metrica].&amp;[" &amp; $A14 &amp; "]",
"[Base].[SEGMENTO_DESCRIP]",
"[Base].[SEGMENTO_DESCRIP].&amp;[" &amp; $C$6 &amp; "]",
"[Base].[SITUACION]",
"[Base].[SITUACION].&amp;[" &amp; $C14 &amp; "]"
),0)/1000</f>
        <v>2651190.594517</v>
      </c>
      <c r="J14" s="8">
        <f>IFERROR(
GETPIVOTDATA(
"[Base].[Importe]",
TDinamica_R!$A$5,
"[Calendario].[AñoMes]",
"[Calendario].[AñoMes].&amp;[" &amp; TEXT(J$6,"yyyymm") &amp; "]",
"[Base].[Metrica]",
"[Base].[Metrica].&amp;[" &amp; $A14 &amp; "]",
"[Base].[SEGMENTO_DESCRIP]",
"[Base].[SEGMENTO_DESCRIP].&amp;[" &amp; $C$6 &amp; "]",
"[Base].[SITUACION]",
"[Base].[SITUACION].&amp;[" &amp; $C14 &amp; "]"
),0)/1000</f>
        <v>2671595.9140049401</v>
      </c>
      <c r="K14" s="8">
        <f>IFERROR(
GETPIVOTDATA(
"[Base].[Importe]",
TDinamica_R!$A$5,
"[Calendario].[AñoMes]",
"[Calendario].[AñoMes].&amp;[" &amp; TEXT(K$6,"yyyymm") &amp; "]",
"[Base].[Metrica]",
"[Base].[Metrica].&amp;[" &amp; $A14 &amp; "]",
"[Base].[SEGMENTO_DESCRIP]",
"[Base].[SEGMENTO_DESCRIP].&amp;[" &amp; $C$6 &amp; "]",
"[Base].[SITUACION]",
"[Base].[SITUACION].&amp;[" &amp; $C14 &amp; "]"
),0)/1000</f>
        <v>2679224.20643616</v>
      </c>
      <c r="L14" s="8">
        <f>IFERROR(
GETPIVOTDATA(
"[Base].[Importe]",
TDinamica_R!$A$5,
"[Calendario].[AñoMes]",
"[Calendario].[AñoMes].&amp;[" &amp; TEXT(L$6,"yyyymm") &amp; "]",
"[Base].[Metrica]",
"[Base].[Metrica].&amp;[" &amp; $A14 &amp; "]",
"[Base].[SEGMENTO_DESCRIP]",
"[Base].[SEGMENTO_DESCRIP].&amp;[" &amp; $C$6 &amp; "]",
"[Base].[SITUACION]",
"[Base].[SITUACION].&amp;[" &amp; $C14 &amp; "]"
),0)/1000</f>
        <v>2727982.0961242099</v>
      </c>
      <c r="M14" s="8">
        <f>IFERROR(
GETPIVOTDATA(
"[Base].[Importe]",
TDinamica_R!$A$5,
"[Calendario].[AñoMes]",
"[Calendario].[AñoMes].&amp;[" &amp; TEXT(M$6,"yyyymm") &amp; "]",
"[Base].[Metrica]",
"[Base].[Metrica].&amp;[" &amp; $A14 &amp; "]",
"[Base].[SEGMENTO_DESCRIP]",
"[Base].[SEGMENTO_DESCRIP].&amp;[" &amp; $C$6 &amp; "]",
"[Base].[SITUACION]",
"[Base].[SITUACION].&amp;[" &amp; $C14 &amp; "]"
),0)/1000</f>
        <v>2718385.0268987999</v>
      </c>
      <c r="N14" s="8">
        <f>IFERROR(
GETPIVOTDATA(
"[Base].[Importe]",
TDinamica_R!$A$5,
"[Calendario].[AñoMes]",
"[Calendario].[AñoMes].&amp;[" &amp; TEXT(N$6,"yyyymm") &amp; "]",
"[Base].[Metrica]",
"[Base].[Metrica].&amp;[" &amp; $A14 &amp; "]",
"[Base].[SEGMENTO_DESCRIP]",
"[Base].[SEGMENTO_DESCRIP].&amp;[" &amp; $C$6 &amp; "]",
"[Base].[SITUACION]",
"[Base].[SITUACION].&amp;[" &amp; $C14 &amp; "]"
),0)/1000</f>
        <v>2708930.4098144197</v>
      </c>
      <c r="O14" s="8">
        <f>IFERROR(
GETPIVOTDATA(
"[Base].[Importe]",
TDinamica_R!$A$5,
"[Calendario].[AñoMes]",
"[Calendario].[AñoMes].&amp;[" &amp; TEXT(O$6,"yyyymm") &amp; "]",
"[Base].[Metrica]",
"[Base].[Metrica].&amp;[" &amp; $A14 &amp; "]",
"[Base].[SEGMENTO_DESCRIP]",
"[Base].[SEGMENTO_DESCRIP].&amp;[" &amp; $C$6 &amp; "]",
"[Base].[SITUACION]",
"[Base].[SITUACION].&amp;[" &amp; $C14 &amp; "]"
),0)/1000</f>
        <v>2663838.8710149298</v>
      </c>
      <c r="P14" s="8">
        <f>IFERROR(
GETPIVOTDATA(
"[Base].[Importe]",
TDinamica_R!$A$5,
"[Calendario].[AñoMes]",
"[Calendario].[AñoMes].&amp;[" &amp; TEXT(P$6,"yyyymm") &amp; "]",
"[Base].[Metrica]",
"[Base].[Metrica].&amp;[" &amp; $A14 &amp; "]",
"[Base].[SEGMENTO_DESCRIP]",
"[Base].[SEGMENTO_DESCRIP].&amp;[" &amp; $C$6 &amp; "]",
"[Base].[SITUACION]",
"[Base].[SITUACION].&amp;[" &amp; $C14 &amp; "]"
),0)/1000</f>
        <v>2590501.4563711002</v>
      </c>
      <c r="Q14" s="8">
        <f>IFERROR(
GETPIVOTDATA(
"[Base].[Importe]",
TDinamica_R!$A$5,
"[Calendario].[AñoMes]",
"[Calendario].[AñoMes].&amp;[" &amp; TEXT(Q$6,"yyyymm") &amp; "]",
"[Base].[Metrica]",
"[Base].[Metrica].&amp;[" &amp; $A14 &amp; "]",
"[Base].[SEGMENTO_DESCRIP]",
"[Base].[SEGMENTO_DESCRIP].&amp;[" &amp; $C$6 &amp; "]",
"[Base].[SITUACION]",
"[Base].[SITUACION].&amp;[" &amp; $C14 &amp; "]"
),0)/1000</f>
        <v>2521705.1501759002</v>
      </c>
      <c r="R14" s="8">
        <f>IFERROR(
GETPIVOTDATA(
"[Base].[Importe]",
TDinamica_R!$A$5,
"[Calendario].[AñoMes]",
"[Calendario].[AñoMes].&amp;[" &amp; TEXT(R$6,"yyyymm") &amp; "]",
"[Base].[Metrica]",
"[Base].[Metrica].&amp;[" &amp; $A14 &amp; "]",
"[Base].[SEGMENTO_DESCRIP]",
"[Base].[SEGMENTO_DESCRIP].&amp;[" &amp; $C$6 &amp; "]",
"[Base].[SITUACION]",
"[Base].[SITUACION].&amp;[" &amp; $C14 &amp; "]"
),0)/1000</f>
        <v>2460625.3662593001</v>
      </c>
      <c r="S14" s="8">
        <f>IFERROR(
GETPIVOTDATA(
"[Base].[Importe]",
TDinamica_R!$A$5,
"[Calendario].[AñoMes]",
"[Calendario].[AñoMes].&amp;[" &amp; TEXT(S$6,"yyyymm") &amp; "]",
"[Base].[Metrica]",
"[Base].[Metrica].&amp;[" &amp; $A14 &amp; "]",
"[Base].[SEGMENTO_DESCRIP]",
"[Base].[SEGMENTO_DESCRIP].&amp;[" &amp; $C$6 &amp; "]",
"[Base].[SITUACION]",
"[Base].[SITUACION].&amp;[" &amp; $C14 &amp; "]"
),0)/1000</f>
        <v>2381042.95439394</v>
      </c>
      <c r="T14" s="8">
        <f>IFERROR(
GETPIVOTDATA(
"[Base].[Importe]",
TDinamica_R!$A$5,
"[Calendario].[AñoMes]",
"[Calendario].[AñoMes].&amp;[" &amp; TEXT(T$6,"yyyymm") &amp; "]",
"[Base].[Metrica]",
"[Base].[Metrica].&amp;[" &amp; $A14 &amp; "]",
"[Base].[SEGMENTO_DESCRIP]",
"[Base].[SEGMENTO_DESCRIP].&amp;[" &amp; $C$6 &amp; "]",
"[Base].[SITUACION]",
"[Base].[SITUACION].&amp;[" &amp; $C14 &amp; "]"
),0)/1000</f>
        <v>2300679.0025420999</v>
      </c>
      <c r="U14" s="8">
        <f>IFERROR(
GETPIVOTDATA(
"[Base].[Importe]",
TDinamica_R!$A$5,
"[Calendario].[AñoMes]",
"[Calendario].[AñoMes].&amp;[" &amp; TEXT(U$6,"yyyymm") &amp; "]",
"[Base].[Metrica]",
"[Base].[Metrica].&amp;[" &amp; $A14 &amp; "]",
"[Base].[SEGMENTO_DESCRIP]",
"[Base].[SEGMENTO_DESCRIP].&amp;[" &amp; $C$6 &amp; "]",
"[Base].[SITUACION]",
"[Base].[SITUACION].&amp;[" &amp; $C14 &amp; "]"
),0)/1000</f>
        <v>2211943.5978444</v>
      </c>
      <c r="V14" s="8">
        <f>IFERROR(
GETPIVOTDATA(
"[Base].[Importe]",
TDinamica_R!$A$5,
"[Calendario].[AñoMes]",
"[Calendario].[AñoMes].&amp;[" &amp; TEXT(V$6,"yyyymm") &amp; "]",
"[Base].[Metrica]",
"[Base].[Metrica].&amp;[" &amp; $A14 &amp; "]",
"[Base].[SEGMENTO_DESCRIP]",
"[Base].[SEGMENTO_DESCRIP].&amp;[" &amp; $C$6 &amp; "]",
"[Base].[SITUACION]",
"[Base].[SITUACION].&amp;[" &amp; $C14 &amp; "]"
),0)/1000</f>
        <v>2137867.7096517002</v>
      </c>
      <c r="W14" s="8">
        <f>IFERROR(
GETPIVOTDATA(
"[Base].[Importe]",
TDinamica_R!$A$5,
"[Calendario].[AñoMes]",
"[Calendario].[AñoMes].&amp;[" &amp; TEXT(W$6,"yyyymm") &amp; "]",
"[Base].[Metrica]",
"[Base].[Metrica].&amp;[" &amp; $A14 &amp; "]",
"[Base].[SEGMENTO_DESCRIP]",
"[Base].[SEGMENTO_DESCRIP].&amp;[" &amp; $C$6 &amp; "]",
"[Base].[SITUACION]",
"[Base].[SITUACION].&amp;[" &amp; $C14 &amp; "]"
),0)/1000</f>
        <v>2074186.40815215</v>
      </c>
      <c r="X14" s="8">
        <f>IFERROR(
GETPIVOTDATA(
"[Base].[Importe]",
TDinamica_R!$A$5,
"[Calendario].[AñoMes]",
"[Calendario].[AñoMes].&amp;[" &amp; TEXT(X$6,"yyyymm") &amp; "]",
"[Base].[Metrica]",
"[Base].[Metrica].&amp;[" &amp; $A14 &amp; "]",
"[Base].[SEGMENTO_DESCRIP]",
"[Base].[SEGMENTO_DESCRIP].&amp;[" &amp; $C$6 &amp; "]",
"[Base].[SITUACION]",
"[Base].[SITUACION].&amp;[" &amp; $C14 &amp; "]"
),0)/1000</f>
        <v>2039635.2501159797</v>
      </c>
      <c r="Y14" s="8">
        <f>IFERROR(
GETPIVOTDATA(
"[Base].[Importe]",
TDinamica_R!$A$5,
"[Calendario].[AñoMes]",
"[Calendario].[AñoMes].&amp;[" &amp; TEXT(Y$6,"yyyymm") &amp; "]",
"[Base].[Metrica]",
"[Base].[Metrica].&amp;[" &amp; $A14 &amp; "]",
"[Base].[SEGMENTO_DESCRIP]",
"[Base].[SEGMENTO_DESCRIP].&amp;[" &amp; $C$6 &amp; "]",
"[Base].[SITUACION]",
"[Base].[SITUACION].&amp;[" &amp; $C14 &amp; "]"
),0)/1000</f>
        <v>2011431.0676624</v>
      </c>
      <c r="Z14" s="8">
        <f>IFERROR(
GETPIVOTDATA(
"[Base].[Importe]",
TDinamica_R!$A$5,
"[Calendario].[AñoMes]",
"[Calendario].[AñoMes].&amp;[" &amp; TEXT(Z$6,"yyyymm") &amp; "]",
"[Base].[Metrica]",
"[Base].[Metrica].&amp;[" &amp; $A14 &amp; "]",
"[Base].[SEGMENTO_DESCRIP]",
"[Base].[SEGMENTO_DESCRIP].&amp;[" &amp; $C$6 &amp; "]",
"[Base].[SITUACION]",
"[Base].[SITUACION].&amp;[" &amp; $C14 &amp; "]"
),0)/1000</f>
        <v>1977245.72872932</v>
      </c>
      <c r="AA14" s="8">
        <f>IFERROR(
GETPIVOTDATA(
"[Base].[Importe]",
TDinamica_R!$A$5,
"[Calendario].[AñoMes]",
"[Calendario].[AñoMes].&amp;[" &amp; TEXT(AA$6,"yyyymm") &amp; "]",
"[Base].[Metrica]",
"[Base].[Metrica].&amp;[" &amp; $A14 &amp; "]",
"[Base].[SEGMENTO_DESCRIP]",
"[Base].[SEGMENTO_DESCRIP].&amp;[" &amp; $C$6 &amp; "]",
"[Base].[SITUACION]",
"[Base].[SITUACION].&amp;[" &amp; $C14 &amp; "]"
),0)/1000</f>
        <v>1938172.5337195501</v>
      </c>
      <c r="AB14" s="8">
        <f>IFERROR(
GETPIVOTDATA(
"[Base].[Importe]",
TDinamica_R!$A$5,
"[Calendario].[AñoMes]",
"[Calendario].[AñoMes].&amp;[" &amp; TEXT(AB$6,"yyyymm") &amp; "]",
"[Base].[Metrica]",
"[Base].[Metrica].&amp;[" &amp; $A14 &amp; "]",
"[Base].[SEGMENTO_DESCRIP]",
"[Base].[SEGMENTO_DESCRIP].&amp;[" &amp; $C$6 &amp; "]",
"[Base].[SITUACION]",
"[Base].[SITUACION].&amp;[" &amp; $C14 &amp; "]"
),0)/1000</f>
        <v>1889596.43582337</v>
      </c>
      <c r="AC14" s="8">
        <f>IFERROR(
GETPIVOTDATA(
"[Base].[Importe]",
TDinamica_R!$A$5,
"[Calendario].[AñoMes]",
"[Calendario].[AñoMes].&amp;[" &amp; TEXT(AC$6,"yyyymm") &amp; "]",
"[Base].[Metrica]",
"[Base].[Metrica].&amp;[" &amp; $A14 &amp; "]",
"[Base].[SEGMENTO_DESCRIP]",
"[Base].[SEGMENTO_DESCRIP].&amp;[" &amp; $C$6 &amp; "]",
"[Base].[SITUACION]",
"[Base].[SITUACION].&amp;[" &amp; $C14 &amp; "]"
),0)/1000</f>
        <v>1869440.0466679998</v>
      </c>
      <c r="AD14" s="8">
        <f>IFERROR(
GETPIVOTDATA(
"[Base].[Importe]",
TDinamica_R!$A$5,
"[Calendario].[AñoMes]",
"[Calendario].[AñoMes].&amp;[" &amp; TEXT(AD$6,"yyyymm") &amp; "]",
"[Base].[Metrica]",
"[Base].[Metrica].&amp;[" &amp; $A14 &amp; "]",
"[Base].[SEGMENTO_DESCRIP]",
"[Base].[SEGMENTO_DESCRIP].&amp;[" &amp; $C$6 &amp; "]",
"[Base].[SITUACION]",
"[Base].[SITUACION].&amp;[" &amp; $C14 &amp; "]"
),0)/1000</f>
        <v>1864760.2260950499</v>
      </c>
      <c r="AE14" s="8">
        <f>IFERROR(
GETPIVOTDATA(
"[Base].[Importe]",
TDinamica_R!$A$5,
"[Calendario].[AñoMes]",
"[Calendario].[AñoMes].&amp;[" &amp; TEXT(AE$6,"yyyymm") &amp; "]",
"[Base].[Metrica]",
"[Base].[Metrica].&amp;[" &amp; $A14 &amp; "]",
"[Base].[SEGMENTO_DESCRIP]",
"[Base].[SEGMENTO_DESCRIP].&amp;[" &amp; $C$6 &amp; "]",
"[Base].[SITUACION]",
"[Base].[SITUACION].&amp;[" &amp; $C14 &amp; "]"
),0)/1000</f>
        <v>1849368.4915988802</v>
      </c>
      <c r="AF14" s="8">
        <f>IFERROR(
GETPIVOTDATA(
"[Base].[Importe]",
TDinamica_R!$A$5,
"[Calendario].[AñoMes]",
"[Calendario].[AñoMes].&amp;[" &amp; TEXT(AF$6,"yyyymm") &amp; "]",
"[Base].[Metrica]",
"[Base].[Metrica].&amp;[" &amp; $A14 &amp; "]",
"[Base].[SEGMENTO_DESCRIP]",
"[Base].[SEGMENTO_DESCRIP].&amp;[" &amp; $C$6 &amp; "]",
"[Base].[SITUACION]",
"[Base].[SITUACION].&amp;[" &amp; $C14 &amp; "]"
),0)/1000</f>
        <v>1829511.9884088002</v>
      </c>
      <c r="AG14" s="8">
        <f>IFERROR(
GETPIVOTDATA(
"[Base].[Importe]",
TDinamica_R!$A$5,
"[Calendario].[AñoMes]",
"[Calendario].[AñoMes].&amp;[" &amp; TEXT(AG$6,"yyyymm") &amp; "]",
"[Base].[Metrica]",
"[Base].[Metrica].&amp;[" &amp; $A14 &amp; "]",
"[Base].[SEGMENTO_DESCRIP]",
"[Base].[SEGMENTO_DESCRIP].&amp;[" &amp; $C$6 &amp; "]",
"[Base].[SITUACION]",
"[Base].[SITUACION].&amp;[" &amp; $C14 &amp; "]"
),0)/1000</f>
        <v>1809205.4560245199</v>
      </c>
      <c r="AH14" s="8">
        <f>IFERROR(
GETPIVOTDATA(
"[Base].[Importe]",
TDinamica_R!$A$5,
"[Calendario].[AñoMes]",
"[Calendario].[AñoMes].&amp;[" &amp; TEXT(AH$6,"yyyymm") &amp; "]",
"[Base].[Metrica]",
"[Base].[Metrica].&amp;[" &amp; $A14 &amp; "]",
"[Base].[SEGMENTO_DESCRIP]",
"[Base].[SEGMENTO_DESCRIP].&amp;[" &amp; $C$6 &amp; "]",
"[Base].[SITUACION]",
"[Base].[SITUACION].&amp;[" &amp; $C14 &amp; "]"
),0)/1000</f>
        <v>1804890.75086234</v>
      </c>
      <c r="AI14" s="8">
        <f>IFERROR(
GETPIVOTDATA(
"[Base].[Importe]",
TDinamica_R!$A$5,
"[Calendario].[AñoMes]",
"[Calendario].[AñoMes].&amp;[" &amp; TEXT(AI$6,"yyyymm") &amp; "]",
"[Base].[Metrica]",
"[Base].[Metrica].&amp;[" &amp; $A14 &amp; "]",
"[Base].[SEGMENTO_DESCRIP]",
"[Base].[SEGMENTO_DESCRIP].&amp;[" &amp; $C$6 &amp; "]",
"[Base].[SITUACION]",
"[Base].[SITUACION].&amp;[" &amp; $C14 &amp; "]"
),0)/1000</f>
        <v>1814978.1919839997</v>
      </c>
      <c r="AJ14" s="8">
        <f>IFERROR(
GETPIVOTDATA(
"[Base].[Importe]",
TDinamica_R!$A$5,
"[Calendario].[AñoMes]",
"[Calendario].[AñoMes].&amp;[" &amp; TEXT(AJ$6,"yyyymm") &amp; "]",
"[Base].[Metrica]",
"[Base].[Metrica].&amp;[" &amp; $A14 &amp; "]",
"[Base].[SEGMENTO_DESCRIP]",
"[Base].[SEGMENTO_DESCRIP].&amp;[" &amp; $C$6 &amp; "]",
"[Base].[SITUACION]",
"[Base].[SITUACION].&amp;[" &amp; $C14 &amp; "]"
),0)/1000</f>
        <v>1815248.4992920398</v>
      </c>
      <c r="AK14" s="8">
        <f>IFERROR(
GETPIVOTDATA(
"[Base].[Importe]",
TDinamica_R!$A$5,
"[Calendario].[AñoMes]",
"[Calendario].[AñoMes].&amp;[" &amp; TEXT(AK$6,"yyyymm") &amp; "]",
"[Base].[Metrica]",
"[Base].[Metrica].&amp;[" &amp; $A14 &amp; "]",
"[Base].[SEGMENTO_DESCRIP]",
"[Base].[SEGMENTO_DESCRIP].&amp;[" &amp; $C$6 &amp; "]",
"[Base].[SITUACION]",
"[Base].[SITUACION].&amp;[" &amp; $C14 &amp; "]"
),0)/1000</f>
        <v>1821634.78380666</v>
      </c>
      <c r="AL14" s="8">
        <f>IFERROR(
GETPIVOTDATA(
"[Base].[Importe]",
TDinamica_R!$A$5,
"[Calendario].[AñoMes]",
"[Calendario].[AñoMes].&amp;[" &amp; TEXT(AL$6,"yyyymm") &amp; "]",
"[Base].[Metrica]",
"[Base].[Metrica].&amp;[" &amp; $A14 &amp; "]",
"[Base].[SEGMENTO_DESCRIP]",
"[Base].[SEGMENTO_DESCRIP].&amp;[" &amp; $C$6 &amp; "]",
"[Base].[SITUACION]",
"[Base].[SITUACION].&amp;[" &amp; $C14 &amp; "]"
),0)/1000</f>
        <v>1832802.8578824999</v>
      </c>
      <c r="AM14" s="8">
        <f>IFERROR(
GETPIVOTDATA(
"[Base].[Importe]",
TDinamica_R!$A$5,
"[Calendario].[AñoMes]",
"[Calendario].[AñoMes].&amp;[" &amp; TEXT(AM$6,"yyyymm") &amp; "]",
"[Base].[Metrica]",
"[Base].[Metrica].&amp;[" &amp; $A14 &amp; "]",
"[Base].[SEGMENTO_DESCRIP]",
"[Base].[SEGMENTO_DESCRIP].&amp;[" &amp; $C$6 &amp; "]",
"[Base].[SITUACION]",
"[Base].[SITUACION].&amp;[" &amp; $C14 &amp; "]"
),0)/1000</f>
        <v>1823990.4484324798</v>
      </c>
      <c r="AN14" s="8">
        <f>IFERROR(
GETPIVOTDATA(
"[Base].[Importe]",
TDinamica_R!$A$5,
"[Calendario].[AñoMes]",
"[Calendario].[AñoMes].&amp;[" &amp; TEXT(AN$6,"yyyymm") &amp; "]",
"[Base].[Metrica]",
"[Base].[Metrica].&amp;[" &amp; $A14 &amp; "]",
"[Base].[SEGMENTO_DESCRIP]",
"[Base].[SEGMENTO_DESCRIP].&amp;[" &amp; $C$6 &amp; "]",
"[Base].[SITUACION]",
"[Base].[SITUACION].&amp;[" &amp; $C14 &amp; "]"
),0)/1000</f>
        <v>1822583.85</v>
      </c>
      <c r="AO14" s="8">
        <f>IFERROR(
GETPIVOTDATA(
"[Base].[Importe]",
TDinamica_R!$A$5,
"[Calendario].[AñoMes]",
"[Calendario].[AñoMes].&amp;[" &amp; TEXT(AO$6,"yyyymm") &amp; "]",
"[Base].[Metrica]",
"[Base].[Metrica].&amp;[" &amp; $A14 &amp; "]",
"[Base].[SEGMENTO_DESCRIP]",
"[Base].[SEGMENTO_DESCRIP].&amp;[" &amp; $C$6 &amp; "]",
"[Base].[SITUACION]",
"[Base].[SITUACION].&amp;[" &amp; $C14 &amp; "]"
),0)/1000</f>
        <v>1845963.16</v>
      </c>
      <c r="AP14" s="8">
        <f>IFERROR(
GETPIVOTDATA(
"[Base].[Importe]",
TDinamica_R!$A$5,
"[Calendario].[AñoMes]",
"[Calendario].[AñoMes].&amp;[" &amp; TEXT(AP$6,"yyyymm") &amp; "]",
"[Base].[Metrica]",
"[Base].[Metrica].&amp;[" &amp; $A14 &amp; "]",
"[Base].[SEGMENTO_DESCRIP]",
"[Base].[SEGMENTO_DESCRIP].&amp;[" &amp; $C$6 &amp; "]",
"[Base].[SITUACION]",
"[Base].[SITUACION].&amp;[" &amp; $C14 &amp; "]"
),0)/1000</f>
        <v>1868677.59</v>
      </c>
      <c r="AQ14" s="8">
        <f>IFERROR(
GETPIVOTDATA(
"[Base].[Importe]",
TDinamica_R!$A$5,
"[Calendario].[AñoMes]",
"[Calendario].[AñoMes].&amp;[" &amp; TEXT(AQ$6,"yyyymm") &amp; "]",
"[Base].[Metrica]",
"[Base].[Metrica].&amp;[" &amp; $A14 &amp; "]",
"[Base].[SEGMENTO_DESCRIP]",
"[Base].[SEGMENTO_DESCRIP].&amp;[" &amp; $C$6 &amp; "]",
"[Base].[SITUACION]",
"[Base].[SITUACION].&amp;[" &amp; $C14 &amp; "]"
),0)/1000</f>
        <v>1885908.8039728</v>
      </c>
      <c r="AR14" s="8">
        <f>IFERROR(
GETPIVOTDATA(
"[Base].[Importe]",
TDinamica_R!$A$5,
"[Calendario].[AñoMes]",
"[Calendario].[AñoMes].&amp;[" &amp; TEXT(AR$6,"yyyymm") &amp; "]",
"[Base].[Metrica]",
"[Base].[Metrica].&amp;[" &amp; $A14 &amp; "]",
"[Base].[SEGMENTO_DESCRIP]",
"[Base].[SEGMENTO_DESCRIP].&amp;[" &amp; $C$6 &amp; "]",
"[Base].[SITUACION]",
"[Base].[SITUACION].&amp;[" &amp; $C14 &amp; "]"
),0)/1000</f>
        <v>1915412.78213704</v>
      </c>
      <c r="AS14" s="8">
        <f>IFERROR(
GETPIVOTDATA(
"[Base].[Importe]",
TDinamica_R!$A$5,
"[Calendario].[AñoMes]",
"[Calendario].[AñoMes].&amp;[" &amp; TEXT(AS$6,"yyyymm") &amp; "]",
"[Base].[Metrica]",
"[Base].[Metrica].&amp;[" &amp; $A14 &amp; "]",
"[Base].[SEGMENTO_DESCRIP]",
"[Base].[SEGMENTO_DESCRIP].&amp;[" &amp; $C$6 &amp; "]",
"[Base].[SITUACION]",
"[Base].[SITUACION].&amp;[" &amp; $C14 &amp; "]"
),0)/1000</f>
        <v>1951710.5661728508</v>
      </c>
      <c r="AT14" s="8">
        <f>IFERROR(
GETPIVOTDATA(
"[Base].[Importe]",
TDinamica_R!$A$5,
"[Calendario].[AñoMes]",
"[Calendario].[AñoMes].&amp;[" &amp; TEXT(AT$6,"yyyymm")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U14" s="8">
        <f>IFERROR(
GETPIVOTDATA(
"[Base].[Importe]",
TDinamica_R!$A$5,
"[Calendario].[AñoMes]",
"[Calendario].[AñoMes].&amp;[" &amp; TEXT(AU$6,"yyyymm")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V14" s="8">
        <f>IFERROR(
GETPIVOTDATA(
"[Base].[Importe]",
TDinamica_R!$A$5,
"[Calendario].[AñoMes]",
"[Calendario].[AñoMes].&amp;[" &amp; TEXT(AV$6,"yyyymm")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W14" s="8">
        <f>IFERROR(
GETPIVOTDATA(
"[Base].[Importe]",
TDinamica_R!$A$5,
"[Calendario].[AñoMes]",
"[Calendario].[AñoMes].&amp;[" &amp; TEXT(AW$6,"yyyymm")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X14" s="8">
        <f>IFERROR(
GETPIVOTDATA(
"[Base].[Importe]",
TDinamica_R!$A$5,
"[Calendario].[AñoMes]",
"[Calendario].[AñoMes].&amp;[" &amp; TEXT(AX$6,"yyyymm")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Y14" s="8">
        <f>IFERROR(
GETPIVOTDATA(
"[Base].[Importe]",
TDinamica_R!$A$5,
"[Calendario].[AñoMes]",
"[Calendario].[AñoMes].&amp;[" &amp; TEXT(AY$6,"yyyymm")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Z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TEXT(AZ$6,"yyyymm") &amp; "]"
),
0
)</f>
        <v>1821755.7353299677</v>
      </c>
      <c r="BA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TEXT(BA$6,"yyyymm") &amp; "]"
),
0
)</f>
        <v>1813592.1615961064</v>
      </c>
      <c r="BB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TEXT(BB$6,"yyyymm") &amp; "]"
),
0
)</f>
        <v>1815537.2926780542</v>
      </c>
      <c r="BC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TEXT(BC$6,"yyyymm") &amp; "]"
),
0
)</f>
        <v>1828275.5473842621</v>
      </c>
      <c r="BD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TEXT(BD$6,"yyyymm") &amp; "]"
),
0
)</f>
        <v>1847371.1267683299</v>
      </c>
      <c r="BE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TEXT(BE$6,"yyyymm") &amp; "]"
),
0
)</f>
        <v>1863390.9172067759</v>
      </c>
      <c r="BF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TEXT(BF$6,"yyyymm") &amp; "]"
),
0
)</f>
        <v>1870336.5288494129</v>
      </c>
      <c r="BG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TEXT(BG$6,"yyyymm") &amp; "]"
),
0
)</f>
        <v>1880910.2037049942</v>
      </c>
      <c r="BH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TEXT(BH$6,"yyyymm") &amp; "]"
),
0
)</f>
        <v>1903600.1409172318</v>
      </c>
      <c r="BI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TEXT(BI$6,"yyyymm") &amp; "]"
),
0
)</f>
        <v>1932013.3254645388</v>
      </c>
      <c r="BJ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TEXT(BJ$6,"yyyymm") &amp; "]"
),
0
)</f>
        <v>1952422.9643910248</v>
      </c>
      <c r="BK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TEXT(BK$6,"yyyymm") &amp; "]"
),
0
)</f>
        <v>1961147.5287718631</v>
      </c>
      <c r="BO14" s="24">
        <f t="shared" ref="BO14:BT16" si="11">IFERROR(AVERAGEIFS($D14:$BM14,$D$6:$BM$6,"&gt;="&amp;BO$2,$D$6:$BM$6,"&lt;="&amp;BO$6,$D$5:$BM$5,BO$5,$D14:$BM14,"&lt;&gt;0"),0)</f>
        <v>1845741.5333333332</v>
      </c>
      <c r="BP14" s="24">
        <f t="shared" si="11"/>
        <v>1816961.729868043</v>
      </c>
      <c r="BQ14" s="24">
        <f t="shared" si="11"/>
        <v>1834273.5049999999</v>
      </c>
      <c r="BR14" s="24">
        <f t="shared" si="11"/>
        <v>1874598.90286214</v>
      </c>
      <c r="BS14" s="24">
        <f t="shared" si="11"/>
        <v>2524277.3242687667</v>
      </c>
      <c r="BT14" s="24">
        <f t="shared" si="11"/>
        <v>2401893.5415260969</v>
      </c>
      <c r="BW14" s="24">
        <f t="shared" ref="BW14:CB16" si="12">SUMIFS($D14:$BM14,$D$6:$BM$6,"&gt;="&amp;BO$2,$D$6:$BM$6,"&lt;="&amp;BO$6,$D$5:$BM$5,BO$5)</f>
        <v>5537224.5999999996</v>
      </c>
      <c r="BX14" s="24">
        <f t="shared" si="12"/>
        <v>5450885.1896041287</v>
      </c>
      <c r="BY14" s="24">
        <f t="shared" si="12"/>
        <v>3668547.01</v>
      </c>
      <c r="BZ14" s="24">
        <f t="shared" si="12"/>
        <v>5623796.7085864199</v>
      </c>
      <c r="CA14" s="24">
        <f t="shared" si="12"/>
        <v>7572831.9728063</v>
      </c>
      <c r="CB14" s="24">
        <f t="shared" si="12"/>
        <v>7205680.6245782906</v>
      </c>
    </row>
    <row r="15" spans="1:81" hidden="1" outlineLevel="1" x14ac:dyDescent="0.25">
      <c r="A15" s="11" t="s">
        <v>52</v>
      </c>
      <c r="C15" s="2" t="s">
        <v>1</v>
      </c>
      <c r="D15" s="8">
        <f>IFERROR(
GETPIVOTDATA(
"[Base].[Importe]",
TDinamica_R!$A$5,
"[Calendario].[AñoMes]",
"[Calendario].[AñoMes].&amp;[" &amp; TEXT(D$6,"yyyymm") &amp; "]",
"[Base].[Metrica]",
"[Base].[Metrica].&amp;[" &amp; $A15 &amp; "]",
"[Base].[SEGMENTO_DESCRIP]",
"[Base].[SEGMENTO_DESCRIP].&amp;[" &amp; $C$6 &amp; "]",
"[Base].[SITUACION]",
"[Base].[SITUACION].&amp;[" &amp; $C15 &amp; "]"
),0)/1000</f>
        <v>10884.51045</v>
      </c>
      <c r="E15" s="8">
        <f>IFERROR(
GETPIVOTDATA(
"[Base].[Importe]",
TDinamica_R!$A$5,
"[Calendario].[AñoMes]",
"[Calendario].[AñoMes].&amp;[" &amp; TEXT(E$6,"yyyymm") &amp; "]",
"[Base].[Metrica]",
"[Base].[Metrica].&amp;[" &amp; $A15 &amp; "]",
"[Base].[SEGMENTO_DESCRIP]",
"[Base].[SEGMENTO_DESCRIP].&amp;[" &amp; $C$6 &amp; "]",
"[Base].[SITUACION]",
"[Base].[SITUACION].&amp;[" &amp; $C15 &amp; "]"
),0)/1000</f>
        <v>11284.47184</v>
      </c>
      <c r="F15" s="8">
        <f>IFERROR(
GETPIVOTDATA(
"[Base].[Importe]",
TDinamica_R!$A$5,
"[Calendario].[AñoMes]",
"[Calendario].[AñoMes].&amp;[" &amp; TEXT(F$6,"yyyymm") &amp; "]",
"[Base].[Metrica]",
"[Base].[Metrica].&amp;[" &amp; $A15 &amp; "]",
"[Base].[SEGMENTO_DESCRIP]",
"[Base].[SEGMENTO_DESCRIP].&amp;[" &amp; $C$6 &amp; "]",
"[Base].[SITUACION]",
"[Base].[SITUACION].&amp;[" &amp; $C15 &amp; "]"
),0)/1000</f>
        <v>11713.634507799999</v>
      </c>
      <c r="G15" s="8">
        <f>IFERROR(
GETPIVOTDATA(
"[Base].[Importe]",
TDinamica_R!$A$5,
"[Calendario].[AñoMes]",
"[Calendario].[AñoMes].&amp;[" &amp; TEXT(G$6,"yyyymm") &amp; "]",
"[Base].[Metrica]",
"[Base].[Metrica].&amp;[" &amp; $A15 &amp; "]",
"[Base].[SEGMENTO_DESCRIP]",
"[Base].[SEGMENTO_DESCRIP].&amp;[" &amp; $C$6 &amp; "]",
"[Base].[SITUACION]",
"[Base].[SITUACION].&amp;[" &amp; $C15 &amp; "]"
),0)/1000</f>
        <v>11140.393991480001</v>
      </c>
      <c r="H15" s="8">
        <f>IFERROR(
GETPIVOTDATA(
"[Base].[Importe]",
TDinamica_R!$A$5,
"[Calendario].[AñoMes]",
"[Calendario].[AñoMes].&amp;[" &amp; TEXT(H$6,"yyyymm") &amp; "]",
"[Base].[Metrica]",
"[Base].[Metrica].&amp;[" &amp; $A15 &amp; "]",
"[Base].[SEGMENTO_DESCRIP]",
"[Base].[SEGMENTO_DESCRIP].&amp;[" &amp; $C$6 &amp; "]",
"[Base].[SITUACION]",
"[Base].[SITUACION].&amp;[" &amp; $C15 &amp; "]"
),0)/1000</f>
        <v>10238.007602400001</v>
      </c>
      <c r="I15" s="8">
        <f>IFERROR(
GETPIVOTDATA(
"[Base].[Importe]",
TDinamica_R!$A$5,
"[Calendario].[AñoMes]",
"[Calendario].[AñoMes].&amp;[" &amp; TEXT(I$6,"yyyymm") &amp; "]",
"[Base].[Metrica]",
"[Base].[Metrica].&amp;[" &amp; $A15 &amp; "]",
"[Base].[SEGMENTO_DESCRIP]",
"[Base].[SEGMENTO_DESCRIP].&amp;[" &amp; $C$6 &amp; "]",
"[Base].[SITUACION]",
"[Base].[SITUACION].&amp;[" &amp; $C15 &amp; "]"
),0)/1000</f>
        <v>9451.4435345000002</v>
      </c>
      <c r="J15" s="8">
        <f>IFERROR(
GETPIVOTDATA(
"[Base].[Importe]",
TDinamica_R!$A$5,
"[Calendario].[AñoMes]",
"[Calendario].[AñoMes].&amp;[" &amp; TEXT(J$6,"yyyymm") &amp; "]",
"[Base].[Metrica]",
"[Base].[Metrica].&amp;[" &amp; $A15 &amp; "]",
"[Base].[SEGMENTO_DESCRIP]",
"[Base].[SEGMENTO_DESCRIP].&amp;[" &amp; $C$6 &amp; "]",
"[Base].[SITUACION]",
"[Base].[SITUACION].&amp;[" &amp; $C15 &amp; "]"
),0)/1000</f>
        <v>8890.1792634800004</v>
      </c>
      <c r="K15" s="8">
        <f>IFERROR(
GETPIVOTDATA(
"[Base].[Importe]",
TDinamica_R!$A$5,
"[Calendario].[AñoMes]",
"[Calendario].[AñoMes].&amp;[" &amp; TEXT(K$6,"yyyymm") &amp; "]",
"[Base].[Metrica]",
"[Base].[Metrica].&amp;[" &amp; $A15 &amp; "]",
"[Base].[SEGMENTO_DESCRIP]",
"[Base].[SEGMENTO_DESCRIP].&amp;[" &amp; $C$6 &amp; "]",
"[Base].[SITUACION]",
"[Base].[SITUACION].&amp;[" &amp; $C15 &amp; "]"
),0)/1000</f>
        <v>8052.6282397599998</v>
      </c>
      <c r="L15" s="8">
        <f>IFERROR(
GETPIVOTDATA(
"[Base].[Importe]",
TDinamica_R!$A$5,
"[Calendario].[AñoMes]",
"[Calendario].[AñoMes].&amp;[" &amp; TEXT(L$6,"yyyymm") &amp; "]",
"[Base].[Metrica]",
"[Base].[Metrica].&amp;[" &amp; $A15 &amp; "]",
"[Base].[SEGMENTO_DESCRIP]",
"[Base].[SEGMENTO_DESCRIP].&amp;[" &amp; $C$6 &amp; "]",
"[Base].[SITUACION]",
"[Base].[SITUACION].&amp;[" &amp; $C15 &amp; "]"
),0)/1000</f>
        <v>7690.7638887499998</v>
      </c>
      <c r="M15" s="8">
        <f>IFERROR(
GETPIVOTDATA(
"[Base].[Importe]",
TDinamica_R!$A$5,
"[Calendario].[AñoMes]",
"[Calendario].[AñoMes].&amp;[" &amp; TEXT(M$6,"yyyymm") &amp; "]",
"[Base].[Metrica]",
"[Base].[Metrica].&amp;[" &amp; $A15 &amp; "]",
"[Base].[SEGMENTO_DESCRIP]",
"[Base].[SEGMENTO_DESCRIP].&amp;[" &amp; $C$6 &amp; "]",
"[Base].[SITUACION]",
"[Base].[SITUACION].&amp;[" &amp; $C15 &amp; "]"
),0)/1000</f>
        <v>7050.3449033000006</v>
      </c>
      <c r="N15" s="8">
        <f>IFERROR(
GETPIVOTDATA(
"[Base].[Importe]",
TDinamica_R!$A$5,
"[Calendario].[AñoMes]",
"[Calendario].[AñoMes].&amp;[" &amp; TEXT(N$6,"yyyymm") &amp; "]",
"[Base].[Metrica]",
"[Base].[Metrica].&amp;[" &amp; $A15 &amp; "]",
"[Base].[SEGMENTO_DESCRIP]",
"[Base].[SEGMENTO_DESCRIP].&amp;[" &amp; $C$6 &amp; "]",
"[Base].[SITUACION]",
"[Base].[SITUACION].&amp;[" &amp; $C15 &amp; "]"
),0)/1000</f>
        <v>6110.1042454200006</v>
      </c>
      <c r="O15" s="8">
        <f>IFERROR(
GETPIVOTDATA(
"[Base].[Importe]",
TDinamica_R!$A$5,
"[Calendario].[AñoMes]",
"[Calendario].[AñoMes].&amp;[" &amp; TEXT(O$6,"yyyymm") &amp; "]",
"[Base].[Metrica]",
"[Base].[Metrica].&amp;[" &amp; $A15 &amp; "]",
"[Base].[SEGMENTO_DESCRIP]",
"[Base].[SEGMENTO_DESCRIP].&amp;[" &amp; $C$6 &amp; "]",
"[Base].[SITUACION]",
"[Base].[SITUACION].&amp;[" &amp; $C15 &amp; "]"
),0)/1000</f>
        <v>5721.7417487899993</v>
      </c>
      <c r="P15" s="8">
        <f>IFERROR(
GETPIVOTDATA(
"[Base].[Importe]",
TDinamica_R!$A$5,
"[Calendario].[AñoMes]",
"[Calendario].[AñoMes].&amp;[" &amp; TEXT(P$6,"yyyymm") &amp; "]",
"[Base].[Metrica]",
"[Base].[Metrica].&amp;[" &amp; $A15 &amp; "]",
"[Base].[SEGMENTO_DESCRIP]",
"[Base].[SEGMENTO_DESCRIP].&amp;[" &amp; $C$6 &amp; "]",
"[Base].[SITUACION]",
"[Base].[SITUACION].&amp;[" &amp; $C15 &amp; "]"
),0)/1000</f>
        <v>5094.1618699999999</v>
      </c>
      <c r="Q15" s="8">
        <f>IFERROR(
GETPIVOTDATA(
"[Base].[Importe]",
TDinamica_R!$A$5,
"[Calendario].[AñoMes]",
"[Calendario].[AñoMes].&amp;[" &amp; TEXT(Q$6,"yyyymm") &amp; "]",
"[Base].[Metrica]",
"[Base].[Metrica].&amp;[" &amp; $A15 &amp; "]",
"[Base].[SEGMENTO_DESCRIP]",
"[Base].[SEGMENTO_DESCRIP].&amp;[" &amp; $C$6 &amp; "]",
"[Base].[SITUACION]",
"[Base].[SITUACION].&amp;[" &amp; $C15 &amp; "]"
),0)/1000</f>
        <v>4735.6164699999999</v>
      </c>
      <c r="R15" s="8">
        <f>IFERROR(
GETPIVOTDATA(
"[Base].[Importe]",
TDinamica_R!$A$5,
"[Calendario].[AñoMes]",
"[Calendario].[AñoMes].&amp;[" &amp; TEXT(R$6,"yyyymm") &amp; "]",
"[Base].[Metrica]",
"[Base].[Metrica].&amp;[" &amp; $A15 &amp; "]",
"[Base].[SEGMENTO_DESCRIP]",
"[Base].[SEGMENTO_DESCRIP].&amp;[" &amp; $C$6 &amp; "]",
"[Base].[SITUACION]",
"[Base].[SITUACION].&amp;[" &amp; $C15 &amp; "]"
),0)/1000</f>
        <v>5684.9802599999994</v>
      </c>
      <c r="S15" s="8">
        <f>IFERROR(
GETPIVOTDATA(
"[Base].[Importe]",
TDinamica_R!$A$5,
"[Calendario].[AñoMes]",
"[Calendario].[AñoMes].&amp;[" &amp; TEXT(S$6,"yyyymm") &amp; "]",
"[Base].[Metrica]",
"[Base].[Metrica].&amp;[" &amp; $A15 &amp; "]",
"[Base].[SEGMENTO_DESCRIP]",
"[Base].[SEGMENTO_DESCRIP].&amp;[" &amp; $C$6 &amp; "]",
"[Base].[SITUACION]",
"[Base].[SITUACION].&amp;[" &amp; $C15 &amp; "]"
),0)/1000</f>
        <v>9229.5827499999996</v>
      </c>
      <c r="T15" s="8">
        <f>IFERROR(
GETPIVOTDATA(
"[Base].[Importe]",
TDinamica_R!$A$5,
"[Calendario].[AñoMes]",
"[Calendario].[AñoMes].&amp;[" &amp; TEXT(T$6,"yyyymm") &amp; "]",
"[Base].[Metrica]",
"[Base].[Metrica].&amp;[" &amp; $A15 &amp; "]",
"[Base].[SEGMENTO_DESCRIP]",
"[Base].[SEGMENTO_DESCRIP].&amp;[" &amp; $C$6 &amp; "]",
"[Base].[SITUACION]",
"[Base].[SITUACION].&amp;[" &amp; $C15 &amp; "]"
),0)/1000</f>
        <v>18460.479059999998</v>
      </c>
      <c r="U15" s="8">
        <f>IFERROR(
GETPIVOTDATA(
"[Base].[Importe]",
TDinamica_R!$A$5,
"[Calendario].[AñoMes]",
"[Calendario].[AñoMes].&amp;[" &amp; TEXT(U$6,"yyyymm") &amp; "]",
"[Base].[Metrica]",
"[Base].[Metrica].&amp;[" &amp; $A15 &amp; "]",
"[Base].[SEGMENTO_DESCRIP]",
"[Base].[SEGMENTO_DESCRIP].&amp;[" &amp; $C$6 &amp; "]",
"[Base].[SITUACION]",
"[Base].[SITUACION].&amp;[" &amp; $C15 &amp; "]"
),0)/1000</f>
        <v>30292.854350000001</v>
      </c>
      <c r="V15" s="8">
        <f>IFERROR(
GETPIVOTDATA(
"[Base].[Importe]",
TDinamica_R!$A$5,
"[Calendario].[AñoMes]",
"[Calendario].[AñoMes].&amp;[" &amp; TEXT(V$6,"yyyymm") &amp; "]",
"[Base].[Metrica]",
"[Base].[Metrica].&amp;[" &amp; $A15 &amp; "]",
"[Base].[SEGMENTO_DESCRIP]",
"[Base].[SEGMENTO_DESCRIP].&amp;[" &amp; $C$6 &amp; "]",
"[Base].[SITUACION]",
"[Base].[SITUACION].&amp;[" &amp; $C15 &amp; "]"
),0)/1000</f>
        <v>37149.103219999997</v>
      </c>
      <c r="W15" s="8">
        <f>IFERROR(
GETPIVOTDATA(
"[Base].[Importe]",
TDinamica_R!$A$5,
"[Calendario].[AñoMes]",
"[Calendario].[AñoMes].&amp;[" &amp; TEXT(W$6,"yyyymm") &amp; "]",
"[Base].[Metrica]",
"[Base].[Metrica].&amp;[" &amp; $A15 &amp; "]",
"[Base].[SEGMENTO_DESCRIP]",
"[Base].[SEGMENTO_DESCRIP].&amp;[" &amp; $C$6 &amp; "]",
"[Base].[SITUACION]",
"[Base].[SITUACION].&amp;[" &amp; $C15 &amp; "]"
),0)/1000</f>
        <v>41046.379560000001</v>
      </c>
      <c r="X15" s="8">
        <f>IFERROR(
GETPIVOTDATA(
"[Base].[Importe]",
TDinamica_R!$A$5,
"[Calendario].[AñoMes]",
"[Calendario].[AñoMes].&amp;[" &amp; TEXT(X$6,"yyyymm") &amp; "]",
"[Base].[Metrica]",
"[Base].[Metrica].&amp;[" &amp; $A15 &amp; "]",
"[Base].[SEGMENTO_DESCRIP]",
"[Base].[SEGMENTO_DESCRIP].&amp;[" &amp; $C$6 &amp; "]",
"[Base].[SITUACION]",
"[Base].[SITUACION].&amp;[" &amp; $C15 &amp; "]"
),0)/1000</f>
        <v>42052.133219999996</v>
      </c>
      <c r="Y15" s="8">
        <f>IFERROR(
GETPIVOTDATA(
"[Base].[Importe]",
TDinamica_R!$A$5,
"[Calendario].[AñoMes]",
"[Calendario].[AñoMes].&amp;[" &amp; TEXT(Y$6,"yyyymm") &amp; "]",
"[Base].[Metrica]",
"[Base].[Metrica].&amp;[" &amp; $A15 &amp; "]",
"[Base].[SEGMENTO_DESCRIP]",
"[Base].[SEGMENTO_DESCRIP].&amp;[" &amp; $C$6 &amp; "]",
"[Base].[SITUACION]",
"[Base].[SITUACION].&amp;[" &amp; $C15 &amp; "]"
),0)/1000</f>
        <v>40950.790520000002</v>
      </c>
      <c r="Z15" s="8">
        <f>IFERROR(
GETPIVOTDATA(
"[Base].[Importe]",
TDinamica_R!$A$5,
"[Calendario].[AñoMes]",
"[Calendario].[AñoMes].&amp;[" &amp; TEXT(Z$6,"yyyymm") &amp; "]",
"[Base].[Metrica]",
"[Base].[Metrica].&amp;[" &amp; $A15 &amp; "]",
"[Base].[SEGMENTO_DESCRIP]",
"[Base].[SEGMENTO_DESCRIP].&amp;[" &amp; $C$6 &amp; "]",
"[Base].[SITUACION]",
"[Base].[SITUACION].&amp;[" &amp; $C15 &amp; "]"
),0)/1000</f>
        <v>40981.27923</v>
      </c>
      <c r="AA15" s="8">
        <f>IFERROR(
GETPIVOTDATA(
"[Base].[Importe]",
TDinamica_R!$A$5,
"[Calendario].[AñoMes]",
"[Calendario].[AñoMes].&amp;[" &amp; TEXT(AA$6,"yyyymm") &amp; "]",
"[Base].[Metrica]",
"[Base].[Metrica].&amp;[" &amp; $A15 &amp; "]",
"[Base].[SEGMENTO_DESCRIP]",
"[Base].[SEGMENTO_DESCRIP].&amp;[" &amp; $C$6 &amp; "]",
"[Base].[SITUACION]",
"[Base].[SITUACION].&amp;[" &amp; $C15 &amp; "]"
),0)/1000</f>
        <v>41528.354200000002</v>
      </c>
      <c r="AB15" s="8">
        <f>IFERROR(
GETPIVOTDATA(
"[Base].[Importe]",
TDinamica_R!$A$5,
"[Calendario].[AñoMes]",
"[Calendario].[AñoMes].&amp;[" &amp; TEXT(AB$6,"yyyymm") &amp; "]",
"[Base].[Metrica]",
"[Base].[Metrica].&amp;[" &amp; $A15 &amp; "]",
"[Base].[SEGMENTO_DESCRIP]",
"[Base].[SEGMENTO_DESCRIP].&amp;[" &amp; $C$6 &amp; "]",
"[Base].[SITUACION]",
"[Base].[SITUACION].&amp;[" &amp; $C15 &amp; "]"
),0)/1000</f>
        <v>41820.288529999998</v>
      </c>
      <c r="AC15" s="8">
        <f>IFERROR(
GETPIVOTDATA(
"[Base].[Importe]",
TDinamica_R!$A$5,
"[Calendario].[AñoMes]",
"[Calendario].[AñoMes].&amp;[" &amp; TEXT(AC$6,"yyyymm") &amp; "]",
"[Base].[Metrica]",
"[Base].[Metrica].&amp;[" &amp; $A15 &amp; "]",
"[Base].[SEGMENTO_DESCRIP]",
"[Base].[SEGMENTO_DESCRIP].&amp;[" &amp; $C$6 &amp; "]",
"[Base].[SITUACION]",
"[Base].[SITUACION].&amp;[" &amp; $C15 &amp; "]"
),0)/1000</f>
        <v>41058.248119999997</v>
      </c>
      <c r="AD15" s="8">
        <f>IFERROR(
GETPIVOTDATA(
"[Base].[Importe]",
TDinamica_R!$A$5,
"[Calendario].[AñoMes]",
"[Calendario].[AñoMes].&amp;[" &amp; TEXT(AD$6,"yyyymm") &amp; "]",
"[Base].[Metrica]",
"[Base].[Metrica].&amp;[" &amp; $A15 &amp; "]",
"[Base].[SEGMENTO_DESCRIP]",
"[Base].[SEGMENTO_DESCRIP].&amp;[" &amp; $C$6 &amp; "]",
"[Base].[SITUACION]",
"[Base].[SITUACION].&amp;[" &amp; $C15 &amp; "]"
),0)/1000</f>
        <v>41145.557000000001</v>
      </c>
      <c r="AE15" s="8">
        <f>IFERROR(
GETPIVOTDATA(
"[Base].[Importe]",
TDinamica_R!$A$5,
"[Calendario].[AñoMes]",
"[Calendario].[AñoMes].&amp;[" &amp; TEXT(AE$6,"yyyymm") &amp; "]",
"[Base].[Metrica]",
"[Base].[Metrica].&amp;[" &amp; $A15 &amp; "]",
"[Base].[SEGMENTO_DESCRIP]",
"[Base].[SEGMENTO_DESCRIP].&amp;[" &amp; $C$6 &amp; "]",
"[Base].[SITUACION]",
"[Base].[SITUACION].&amp;[" &amp; $C15 &amp; "]"
),0)/1000</f>
        <v>42970.322189999999</v>
      </c>
      <c r="AF15" s="8">
        <f>IFERROR(
GETPIVOTDATA(
"[Base].[Importe]",
TDinamica_R!$A$5,
"[Calendario].[AñoMes]",
"[Calendario].[AñoMes].&amp;[" &amp; TEXT(AF$6,"yyyymm") &amp; "]",
"[Base].[Metrica]",
"[Base].[Metrica].&amp;[" &amp; $A15 &amp; "]",
"[Base].[SEGMENTO_DESCRIP]",
"[Base].[SEGMENTO_DESCRIP].&amp;[" &amp; $C$6 &amp; "]",
"[Base].[SITUACION]",
"[Base].[SITUACION].&amp;[" &amp; $C15 &amp; "]"
),0)/1000</f>
        <v>41585.234929999999</v>
      </c>
      <c r="AG15" s="8">
        <f>IFERROR(
GETPIVOTDATA(
"[Base].[Importe]",
TDinamica_R!$A$5,
"[Calendario].[AñoMes]",
"[Calendario].[AñoMes].&amp;[" &amp; TEXT(AG$6,"yyyymm") &amp; "]",
"[Base].[Metrica]",
"[Base].[Metrica].&amp;[" &amp; $A15 &amp; "]",
"[Base].[SEGMENTO_DESCRIP]",
"[Base].[SEGMENTO_DESCRIP].&amp;[" &amp; $C$6 &amp; "]",
"[Base].[SITUACION]",
"[Base].[SITUACION].&amp;[" &amp; $C15 &amp; "]"
),0)/1000</f>
        <v>40148.681810000002</v>
      </c>
      <c r="AH15" s="8">
        <f>IFERROR(
GETPIVOTDATA(
"[Base].[Importe]",
TDinamica_R!$A$5,
"[Calendario].[AñoMes]",
"[Calendario].[AñoMes].&amp;[" &amp; TEXT(AH$6,"yyyymm") &amp; "]",
"[Base].[Metrica]",
"[Base].[Metrica].&amp;[" &amp; $A15 &amp; "]",
"[Base].[SEGMENTO_DESCRIP]",
"[Base].[SEGMENTO_DESCRIP].&amp;[" &amp; $C$6 &amp; "]",
"[Base].[SITUACION]",
"[Base].[SITUACION].&amp;[" &amp; $C15 &amp; "]"
),0)/1000</f>
        <v>39106.843489999999</v>
      </c>
      <c r="AI15" s="8">
        <f>IFERROR(
GETPIVOTDATA(
"[Base].[Importe]",
TDinamica_R!$A$5,
"[Calendario].[AñoMes]",
"[Calendario].[AñoMes].&amp;[" &amp; TEXT(AI$6,"yyyymm") &amp; "]",
"[Base].[Metrica]",
"[Base].[Metrica].&amp;[" &amp; $A15 &amp; "]",
"[Base].[SEGMENTO_DESCRIP]",
"[Base].[SEGMENTO_DESCRIP].&amp;[" &amp; $C$6 &amp; "]",
"[Base].[SITUACION]",
"[Base].[SITUACION].&amp;[" &amp; $C15 &amp; "]"
),0)/1000</f>
        <v>37536.300159999999</v>
      </c>
      <c r="AJ15" s="8">
        <f>IFERROR(
GETPIVOTDATA(
"[Base].[Importe]",
TDinamica_R!$A$5,
"[Calendario].[AñoMes]",
"[Calendario].[AñoMes].&amp;[" &amp; TEXT(AJ$6,"yyyymm") &amp; "]",
"[Base].[Metrica]",
"[Base].[Metrica].&amp;[" &amp; $A15 &amp; "]",
"[Base].[SEGMENTO_DESCRIP]",
"[Base].[SEGMENTO_DESCRIP].&amp;[" &amp; $C$6 &amp; "]",
"[Base].[SITUACION]",
"[Base].[SITUACION].&amp;[" &amp; $C15 &amp; "]"
),0)/1000</f>
        <v>36883.066409999999</v>
      </c>
      <c r="AK15" s="8">
        <f>IFERROR(
GETPIVOTDATA(
"[Base].[Importe]",
TDinamica_R!$A$5,
"[Calendario].[AñoMes]",
"[Calendario].[AñoMes].&amp;[" &amp; TEXT(AK$6,"yyyymm") &amp; "]",
"[Base].[Metrica]",
"[Base].[Metrica].&amp;[" &amp; $A15 &amp; "]",
"[Base].[SEGMENTO_DESCRIP]",
"[Base].[SEGMENTO_DESCRIP].&amp;[" &amp; $C$6 &amp; "]",
"[Base].[SITUACION]",
"[Base].[SITUACION].&amp;[" &amp; $C15 &amp; "]"
),0)/1000</f>
        <v>36076.694179999999</v>
      </c>
      <c r="AL15" s="8">
        <f>IFERROR(
GETPIVOTDATA(
"[Base].[Importe]",
TDinamica_R!$A$5,
"[Calendario].[AñoMes]",
"[Calendario].[AñoMes].&amp;[" &amp; TEXT(AL$6,"yyyymm") &amp; "]",
"[Base].[Metrica]",
"[Base].[Metrica].&amp;[" &amp; $A15 &amp; "]",
"[Base].[SEGMENTO_DESCRIP]",
"[Base].[SEGMENTO_DESCRIP].&amp;[" &amp; $C$6 &amp; "]",
"[Base].[SITUACION]",
"[Base].[SITUACION].&amp;[" &amp; $C15 &amp; "]"
),0)/1000</f>
        <v>35101.537729999996</v>
      </c>
      <c r="AM15" s="8">
        <f>IFERROR(
GETPIVOTDATA(
"[Base].[Importe]",
TDinamica_R!$A$5,
"[Calendario].[AñoMes]",
"[Calendario].[AñoMes].&amp;[" &amp; TEXT(AM$6,"yyyymm") &amp; "]",
"[Base].[Metrica]",
"[Base].[Metrica].&amp;[" &amp; $A15 &amp; "]",
"[Base].[SEGMENTO_DESCRIP]",
"[Base].[SEGMENTO_DESCRIP].&amp;[" &amp; $C$6 &amp; "]",
"[Base].[SITUACION]",
"[Base].[SITUACION].&amp;[" &amp; $C15 &amp; "]"
),0)/1000</f>
        <v>35225.711600000002</v>
      </c>
      <c r="AN15" s="8">
        <f>IFERROR(
GETPIVOTDATA(
"[Base].[Importe]",
TDinamica_R!$A$5,
"[Calendario].[AñoMes]",
"[Calendario].[AñoMes].&amp;[" &amp; TEXT(AN$6,"yyyymm") &amp; "]",
"[Base].[Metrica]",
"[Base].[Metrica].&amp;[" &amp; $A15 &amp; "]",
"[Base].[SEGMENTO_DESCRIP]",
"[Base].[SEGMENTO_DESCRIP].&amp;[" &amp; $C$6 &amp; "]",
"[Base].[SITUACION]",
"[Base].[SITUACION].&amp;[" &amp; $C15 &amp; "]"
),0)/1000</f>
        <v>34485.85</v>
      </c>
      <c r="AO15" s="8">
        <f>IFERROR(
GETPIVOTDATA(
"[Base].[Importe]",
TDinamica_R!$A$5,
"[Calendario].[AñoMes]",
"[Calendario].[AñoMes].&amp;[" &amp; TEXT(AO$6,"yyyymm") &amp; "]",
"[Base].[Metrica]",
"[Base].[Metrica].&amp;[" &amp; $A15 &amp; "]",
"[Base].[SEGMENTO_DESCRIP]",
"[Base].[SEGMENTO_DESCRIP].&amp;[" &amp; $C$6 &amp; "]",
"[Base].[SITUACION]",
"[Base].[SITUACION].&amp;[" &amp; $C15 &amp; "]"
),0)/1000</f>
        <v>33678.68</v>
      </c>
      <c r="AP15" s="8">
        <f>IFERROR(
GETPIVOTDATA(
"[Base].[Importe]",
TDinamica_R!$A$5,
"[Calendario].[AñoMes]",
"[Calendario].[AñoMes].&amp;[" &amp; TEXT(AP$6,"yyyymm") &amp; "]",
"[Base].[Metrica]",
"[Base].[Metrica].&amp;[" &amp; $A15 &amp; "]",
"[Base].[SEGMENTO_DESCRIP]",
"[Base].[SEGMENTO_DESCRIP].&amp;[" &amp; $C$6 &amp; "]",
"[Base].[SITUACION]",
"[Base].[SITUACION].&amp;[" &amp; $C15 &amp; "]"
),0)/1000</f>
        <v>32924.300000000003</v>
      </c>
      <c r="AQ15" s="8">
        <f>IFERROR(
GETPIVOTDATA(
"[Base].[Importe]",
TDinamica_R!$A$5,
"[Calendario].[AñoMes]",
"[Calendario].[AñoMes].&amp;[" &amp; TEXT(AQ$6,"yyyymm") &amp; "]",
"[Base].[Metrica]",
"[Base].[Metrica].&amp;[" &amp; $A15 &amp; "]",
"[Base].[SEGMENTO_DESCRIP]",
"[Base].[SEGMENTO_DESCRIP].&amp;[" &amp; $C$6 &amp; "]",
"[Base].[SITUACION]",
"[Base].[SITUACION].&amp;[" &amp; $C15 &amp; "]"
),0)/1000</f>
        <v>32080.798409999996</v>
      </c>
      <c r="AR15" s="8">
        <f>IFERROR(
GETPIVOTDATA(
"[Base].[Importe]",
TDinamica_R!$A$5,
"[Calendario].[AñoMes]",
"[Calendario].[AñoMes].&amp;[" &amp; TEXT(AR$6,"yyyymm") &amp; "]",
"[Base].[Metrica]",
"[Base].[Metrica].&amp;[" &amp; $A15 &amp; "]",
"[Base].[SEGMENTO_DESCRIP]",
"[Base].[SEGMENTO_DESCRIP].&amp;[" &amp; $C$6 &amp; "]",
"[Base].[SITUACION]",
"[Base].[SITUACION].&amp;[" &amp; $C15 &amp; "]"
),0)/1000</f>
        <v>31370.099289999991</v>
      </c>
      <c r="AS15" s="8">
        <f>IFERROR(
GETPIVOTDATA(
"[Base].[Importe]",
TDinamica_R!$A$5,
"[Calendario].[AñoMes]",
"[Calendario].[AñoMes].&amp;[" &amp; TEXT(AS$6,"yyyymm") &amp; "]",
"[Base].[Metrica]",
"[Base].[Metrica].&amp;[" &amp; $A15 &amp; "]",
"[Base].[SEGMENTO_DESCRIP]",
"[Base].[SEGMENTO_DESCRIP].&amp;[" &amp; $C$6 &amp; "]",
"[Base].[SITUACION]",
"[Base].[SITUACION].&amp;[" &amp; $C15 &amp; "]"
),0)/1000</f>
        <v>30765.48633</v>
      </c>
      <c r="AT15" s="8">
        <f>IFERROR(
GETPIVOTDATA(
"[Base].[Importe]",
TDinamica_R!$A$5,
"[Calendario].[AñoMes]",
"[Calendario].[AñoMes].&amp;[" &amp; TEXT(AT$6,"yyyymm")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U15" s="8">
        <f>IFERROR(
GETPIVOTDATA(
"[Base].[Importe]",
TDinamica_R!$A$5,
"[Calendario].[AñoMes]",
"[Calendario].[AñoMes].&amp;[" &amp; TEXT(AU$6,"yyyymm")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V15" s="8">
        <f>IFERROR(
GETPIVOTDATA(
"[Base].[Importe]",
TDinamica_R!$A$5,
"[Calendario].[AñoMes]",
"[Calendario].[AñoMes].&amp;[" &amp; TEXT(AV$6,"yyyymm")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W15" s="8">
        <f>IFERROR(
GETPIVOTDATA(
"[Base].[Importe]",
TDinamica_R!$A$5,
"[Calendario].[AñoMes]",
"[Calendario].[AñoMes].&amp;[" &amp; TEXT(AW$6,"yyyymm")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X15" s="8">
        <f>IFERROR(
GETPIVOTDATA(
"[Base].[Importe]",
TDinamica_R!$A$5,
"[Calendario].[AñoMes]",
"[Calendario].[AñoMes].&amp;[" &amp; TEXT(AX$6,"yyyymm")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Y15" s="8">
        <f>IFERROR(
GETPIVOTDATA(
"[Base].[Importe]",
TDinamica_R!$A$5,
"[Calendario].[AñoMes]",
"[Calendario].[AñoMes].&amp;[" &amp; TEXT(AY$6,"yyyymm")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Z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TEXT(AZ$6,"yyyymm") &amp; "]"
),
0
)</f>
        <v>31814.050562456152</v>
      </c>
      <c r="BA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TEXT(BA$6,"yyyymm") &amp; "]"
),
0
)</f>
        <v>30206.789895328377</v>
      </c>
      <c r="BB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TEXT(BB$6,"yyyymm") &amp; "]"
),
0
)</f>
        <v>28707.059392539955</v>
      </c>
      <c r="BC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TEXT(BC$6,"yyyymm") &amp; "]"
),
0
)</f>
        <v>27626.507914429152</v>
      </c>
      <c r="BD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TEXT(BD$6,"yyyymm") &amp; "]"
),
0
)</f>
        <v>26763.895076062083</v>
      </c>
      <c r="BE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TEXT(BE$6,"yyyymm") &amp; "]"
),
0
)</f>
        <v>25719.154974951143</v>
      </c>
      <c r="BF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TEXT(BF$6,"yyyymm") &amp; "]"
),
0
)</f>
        <v>24865.804661909737</v>
      </c>
      <c r="BG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TEXT(BG$6,"yyyymm") &amp; "]"
),
0
)</f>
        <v>24150.114318912674</v>
      </c>
      <c r="BH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TEXT(BH$6,"yyyymm") &amp; "]"
),
0
)</f>
        <v>23246.022258193399</v>
      </c>
      <c r="BI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TEXT(BI$6,"yyyymm") &amp; "]"
),
0
)</f>
        <v>22481.614980786249</v>
      </c>
      <c r="BJ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TEXT(BJ$6,"yyyymm") &amp; "]"
),
0
)</f>
        <v>21878.84214315821</v>
      </c>
      <c r="BK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TEXT(BK$6,"yyyymm") &amp; "]"
),
0
)</f>
        <v>21403.502806542954</v>
      </c>
      <c r="BO15" s="24">
        <f t="shared" si="11"/>
        <v>33696.276666666665</v>
      </c>
      <c r="BP15" s="24">
        <f t="shared" si="11"/>
        <v>30242.633283441493</v>
      </c>
      <c r="BQ15" s="24">
        <f t="shared" si="11"/>
        <v>34082.264999999999</v>
      </c>
      <c r="BR15" s="24">
        <f t="shared" si="11"/>
        <v>41341.364549999998</v>
      </c>
      <c r="BS15" s="24">
        <f t="shared" si="11"/>
        <v>5171.5862000000006</v>
      </c>
      <c r="BT15" s="24">
        <f t="shared" si="11"/>
        <v>11294.205599266666</v>
      </c>
      <c r="BW15" s="24">
        <f t="shared" si="12"/>
        <v>101088.83</v>
      </c>
      <c r="BX15" s="24">
        <f t="shared" si="12"/>
        <v>90727.89985032448</v>
      </c>
      <c r="BY15" s="24">
        <f t="shared" si="12"/>
        <v>68164.53</v>
      </c>
      <c r="BZ15" s="24">
        <f t="shared" si="12"/>
        <v>124024.09365</v>
      </c>
      <c r="CA15" s="24">
        <f t="shared" si="12"/>
        <v>15514.758600000001</v>
      </c>
      <c r="CB15" s="24">
        <f t="shared" si="12"/>
        <v>33882.616797800001</v>
      </c>
    </row>
    <row r="16" spans="1:81" hidden="1" outlineLevel="1" x14ac:dyDescent="0.25">
      <c r="A16" s="11" t="s">
        <v>52</v>
      </c>
      <c r="C16" s="2" t="s">
        <v>45</v>
      </c>
      <c r="D16" s="8">
        <f>IFERROR(
GETPIVOTDATA(
"[Base].[Importe]",
TDinamica_R!$A$5,
"[Calendario].[AñoMes]",
"[Calendario].[AñoMes].&amp;[" &amp; TEXT(D$6,"yyyymm") &amp; "]",
"[Base].[Metrica]",
"[Base].[Metrica].&amp;[" &amp; $A16 &amp; "]",
"[Base].[SEGMENTO_DESCRIP]",
"[Base].[SEGMENTO_DESCRIP].&amp;[" &amp; $C$6 &amp; "]",
"[Base].[SITUACION]",
"[Base].[SITUACION].&amp;[" &amp; $C16 &amp; "]"
),0)/1000</f>
        <v>82937.412900509997</v>
      </c>
      <c r="E16" s="8">
        <f>IFERROR(
GETPIVOTDATA(
"[Base].[Importe]",
TDinamica_R!$A$5,
"[Calendario].[AñoMes]",
"[Calendario].[AñoMes].&amp;[" &amp; TEXT(E$6,"yyyymm") &amp; "]",
"[Base].[Metrica]",
"[Base].[Metrica].&amp;[" &amp; $A16 &amp; "]",
"[Base].[SEGMENTO_DESCRIP]",
"[Base].[SEGMENTO_DESCRIP].&amp;[" &amp; $C$6 &amp; "]",
"[Base].[SITUACION]",
"[Base].[SITUACION].&amp;[" &amp; $C16 &amp; "]"
),0)/1000</f>
        <v>83603.347929919997</v>
      </c>
      <c r="F16" s="8">
        <f>IFERROR(
GETPIVOTDATA(
"[Base].[Importe]",
TDinamica_R!$A$5,
"[Calendario].[AñoMes]",
"[Calendario].[AñoMes].&amp;[" &amp; TEXT(F$6,"yyyymm") &amp; "]",
"[Base].[Metrica]",
"[Base].[Metrica].&amp;[" &amp; $A16 &amp; "]",
"[Base].[SEGMENTO_DESCRIP]",
"[Base].[SEGMENTO_DESCRIP].&amp;[" &amp; $C$6 &amp; "]",
"[Base].[SITUACION]",
"[Base].[SITUACION].&amp;[" &amp; $C16 &amp; "]"
),0)/1000</f>
        <v>75034.649332599991</v>
      </c>
      <c r="G16" s="8">
        <f>IFERROR(
GETPIVOTDATA(
"[Base].[Importe]",
TDinamica_R!$A$5,
"[Calendario].[AñoMes]",
"[Calendario].[AñoMes].&amp;[" &amp; TEXT(G$6,"yyyymm") &amp; "]",
"[Base].[Metrica]",
"[Base].[Metrica].&amp;[" &amp; $A16 &amp; "]",
"[Base].[SEGMENTO_DESCRIP]",
"[Base].[SEGMENTO_DESCRIP].&amp;[" &amp; $C$6 &amp; "]",
"[Base].[SITUACION]",
"[Base].[SITUACION].&amp;[" &amp; $C16 &amp; "]"
),0)/1000</f>
        <v>72460.543244219996</v>
      </c>
      <c r="H16" s="8">
        <f>IFERROR(
GETPIVOTDATA(
"[Base].[Importe]",
TDinamica_R!$A$5,
"[Calendario].[AñoMes]",
"[Calendario].[AñoMes].&amp;[" &amp; TEXT(H$6,"yyyymm") &amp; "]",
"[Base].[Metrica]",
"[Base].[Metrica].&amp;[" &amp; $A16 &amp; "]",
"[Base].[SEGMENTO_DESCRIP]",
"[Base].[SEGMENTO_DESCRIP].&amp;[" &amp; $C$6 &amp; "]",
"[Base].[SITUACION]",
"[Base].[SITUACION].&amp;[" &amp; $C16 &amp; "]"
),0)/1000</f>
        <v>65839.461897239991</v>
      </c>
      <c r="I16" s="8">
        <f>IFERROR(
GETPIVOTDATA(
"[Base].[Importe]",
TDinamica_R!$A$5,
"[Calendario].[AñoMes]",
"[Calendario].[AñoMes].&amp;[" &amp; TEXT(I$6,"yyyymm") &amp; "]",
"[Base].[Metrica]",
"[Base].[Metrica].&amp;[" &amp; $A16 &amp; "]",
"[Base].[SEGMENTO_DESCRIP]",
"[Base].[SEGMENTO_DESCRIP].&amp;[" &amp; $C$6 &amp; "]",
"[Base].[SITUACION]",
"[Base].[SITUACION].&amp;[" &amp; $C16 &amp; "]"
),0)/1000</f>
        <v>72684.045256500001</v>
      </c>
      <c r="J16" s="8">
        <f>IFERROR(
GETPIVOTDATA(
"[Base].[Importe]",
TDinamica_R!$A$5,
"[Calendario].[AñoMes]",
"[Calendario].[AñoMes].&amp;[" &amp; TEXT(J$6,"yyyymm") &amp; "]",
"[Base].[Metrica]",
"[Base].[Metrica].&amp;[" &amp; $A16 &amp; "]",
"[Base].[SEGMENTO_DESCRIP]",
"[Base].[SEGMENTO_DESCRIP].&amp;[" &amp; $C$6 &amp; "]",
"[Base].[SITUACION]",
"[Base].[SITUACION].&amp;[" &amp; $C16 &amp; "]"
),0)/1000</f>
        <v>87376.612239589987</v>
      </c>
      <c r="K16" s="8">
        <f>IFERROR(
GETPIVOTDATA(
"[Base].[Importe]",
TDinamica_R!$A$5,
"[Calendario].[AñoMes]",
"[Calendario].[AñoMes].&amp;[" &amp; TEXT(K$6,"yyyymm") &amp; "]",
"[Base].[Metrica]",
"[Base].[Metrica].&amp;[" &amp; $A16 &amp; "]",
"[Base].[SEGMENTO_DESCRIP]",
"[Base].[SEGMENTO_DESCRIP].&amp;[" &amp; $C$6 &amp; "]",
"[Base].[SITUACION]",
"[Base].[SITUACION].&amp;[" &amp; $C16 &amp; "]"
),0)/1000</f>
        <v>132939.70403514002</v>
      </c>
      <c r="L16" s="8">
        <f>IFERROR(
GETPIVOTDATA(
"[Base].[Importe]",
TDinamica_R!$A$5,
"[Calendario].[AñoMes]",
"[Calendario].[AñoMes].&amp;[" &amp; TEXT(L$6,"yyyymm") &amp; "]",
"[Base].[Metrica]",
"[Base].[Metrica].&amp;[" &amp; $A16 &amp; "]",
"[Base].[SEGMENTO_DESCRIP]",
"[Base].[SEGMENTO_DESCRIP].&amp;[" &amp; $C$6 &amp; "]",
"[Base].[SITUACION]",
"[Base].[SITUACION].&amp;[" &amp; $C16 &amp; "]"
),0)/1000</f>
        <v>162691.17253962002</v>
      </c>
      <c r="M16" s="8">
        <f>IFERROR(
GETPIVOTDATA(
"[Base].[Importe]",
TDinamica_R!$A$5,
"[Calendario].[AñoMes]",
"[Calendario].[AñoMes].&amp;[" &amp; TEXT(M$6,"yyyymm") &amp; "]",
"[Base].[Metrica]",
"[Base].[Metrica].&amp;[" &amp; $A16 &amp; "]",
"[Base].[SEGMENTO_DESCRIP]",
"[Base].[SEGMENTO_DESCRIP].&amp;[" &amp; $C$6 &amp; "]",
"[Base].[SITUACION]",
"[Base].[SITUACION].&amp;[" &amp; $C16 &amp; "]"
),0)/1000</f>
        <v>155783.68879034999</v>
      </c>
      <c r="N16" s="8">
        <f>IFERROR(
GETPIVOTDATA(
"[Base].[Importe]",
TDinamica_R!$A$5,
"[Calendario].[AñoMes]",
"[Calendario].[AñoMes].&amp;[" &amp; TEXT(N$6,"yyyymm") &amp; "]",
"[Base].[Metrica]",
"[Base].[Metrica].&amp;[" &amp; $A16 &amp; "]",
"[Base].[SEGMENTO_DESCRIP]",
"[Base].[SEGMENTO_DESCRIP].&amp;[" &amp; $C$6 &amp; "]",
"[Base].[SITUACION]",
"[Base].[SITUACION].&amp;[" &amp; $C16 &amp; "]"
),0)/1000</f>
        <v>146032.69250862001</v>
      </c>
      <c r="O16" s="8">
        <f>IFERROR(
GETPIVOTDATA(
"[Base].[Importe]",
TDinamica_R!$A$5,
"[Calendario].[AñoMes]",
"[Calendario].[AñoMes].&amp;[" &amp; TEXT(O$6,"yyyymm") &amp; "]",
"[Base].[Metrica]",
"[Base].[Metrica].&amp;[" &amp; $A16 &amp; "]",
"[Base].[SEGMENTO_DESCRIP]",
"[Base].[SEGMENTO_DESCRIP].&amp;[" &amp; $C$6 &amp; "]",
"[Base].[SITUACION]",
"[Base].[SITUACION].&amp;[" &amp; $C16 &amp; "]"
),0)/1000</f>
        <v>140110.84173590998</v>
      </c>
      <c r="P16" s="8">
        <f>IFERROR(
GETPIVOTDATA(
"[Base].[Importe]",
TDinamica_R!$A$5,
"[Calendario].[AñoMes]",
"[Calendario].[AñoMes].&amp;[" &amp; TEXT(P$6,"yyyymm") &amp; "]",
"[Base].[Metrica]",
"[Base].[Metrica].&amp;[" &amp; $A16 &amp; "]",
"[Base].[SEGMENTO_DESCRIP]",
"[Base].[SEGMENTO_DESCRIP].&amp;[" &amp; $C$6 &amp; "]",
"[Base].[SITUACION]",
"[Base].[SITUACION].&amp;[" &amp; $C16 &amp; "]"
),0)/1000</f>
        <v>167679.04347025999</v>
      </c>
      <c r="Q16" s="8">
        <f>IFERROR(
GETPIVOTDATA(
"[Base].[Importe]",
TDinamica_R!$A$5,
"[Calendario].[AñoMes]",
"[Calendario].[AñoMes].&amp;[" &amp; TEXT(Q$6,"yyyymm") &amp; "]",
"[Base].[Metrica]",
"[Base].[Metrica].&amp;[" &amp; $A16 &amp; "]",
"[Base].[SEGMENTO_DESCRIP]",
"[Base].[SEGMENTO_DESCRIP].&amp;[" &amp; $C$6 &amp; "]",
"[Base].[SITUACION]",
"[Base].[SITUACION].&amp;[" &amp; $C16 &amp; "]"
),0)/1000</f>
        <v>171871.28633952001</v>
      </c>
      <c r="R16" s="8">
        <f>IFERROR(
GETPIVOTDATA(
"[Base].[Importe]",
TDinamica_R!$A$5,
"[Calendario].[AñoMes]",
"[Calendario].[AñoMes].&amp;[" &amp; TEXT(R$6,"yyyymm") &amp; "]",
"[Base].[Metrica]",
"[Base].[Metrica].&amp;[" &amp; $A16 &amp; "]",
"[Base].[SEGMENTO_DESCRIP]",
"[Base].[SEGMENTO_DESCRIP].&amp;[" &amp; $C$6 &amp; "]",
"[Base].[SITUACION]",
"[Base].[SITUACION].&amp;[" &amp; $C16 &amp; "]"
),0)/1000</f>
        <v>166420.62775152002</v>
      </c>
      <c r="S16" s="8">
        <f>IFERROR(
GETPIVOTDATA(
"[Base].[Importe]",
TDinamica_R!$A$5,
"[Calendario].[AñoMes]",
"[Calendario].[AñoMes].&amp;[" &amp; TEXT(S$6,"yyyymm") &amp; "]",
"[Base].[Metrica]",
"[Base].[Metrica].&amp;[" &amp; $A16 &amp; "]",
"[Base].[SEGMENTO_DESCRIP]",
"[Base].[SEGMENTO_DESCRIP].&amp;[" &amp; $C$6 &amp; "]",
"[Base].[SITUACION]",
"[Base].[SITUACION].&amp;[" &amp; $C16 &amp; "]"
),0)/1000</f>
        <v>200726.99952444003</v>
      </c>
      <c r="T16" s="8">
        <f>IFERROR(
GETPIVOTDATA(
"[Base].[Importe]",
TDinamica_R!$A$5,
"[Calendario].[AñoMes]",
"[Calendario].[AñoMes].&amp;[" &amp; TEXT(T$6,"yyyymm") &amp; "]",
"[Base].[Metrica]",
"[Base].[Metrica].&amp;[" &amp; $A16 &amp; "]",
"[Base].[SEGMENTO_DESCRIP]",
"[Base].[SEGMENTO_DESCRIP].&amp;[" &amp; $C$6 &amp; "]",
"[Base].[SITUACION]",
"[Base].[SITUACION].&amp;[" &amp; $C16 &amp; "]"
),0)/1000</f>
        <v>196913.40562140002</v>
      </c>
      <c r="U16" s="8">
        <f>IFERROR(
GETPIVOTDATA(
"[Base].[Importe]",
TDinamica_R!$A$5,
"[Calendario].[AñoMes]",
"[Calendario].[AñoMes].&amp;[" &amp; TEXT(U$6,"yyyymm") &amp; "]",
"[Base].[Metrica]",
"[Base].[Metrica].&amp;[" &amp; $A16 &amp; "]",
"[Base].[SEGMENTO_DESCRIP]",
"[Base].[SEGMENTO_DESCRIP].&amp;[" &amp; $C$6 &amp; "]",
"[Base].[SITUACION]",
"[Base].[SITUACION].&amp;[" &amp; $C16 &amp; "]"
),0)/1000</f>
        <v>190256.02219921999</v>
      </c>
      <c r="V16" s="8">
        <f>IFERROR(
GETPIVOTDATA(
"[Base].[Importe]",
TDinamica_R!$A$5,
"[Calendario].[AñoMes]",
"[Calendario].[AñoMes].&amp;[" &amp; TEXT(V$6,"yyyymm") &amp; "]",
"[Base].[Metrica]",
"[Base].[Metrica].&amp;[" &amp; $A16 &amp; "]",
"[Base].[SEGMENTO_DESCRIP]",
"[Base].[SEGMENTO_DESCRIP].&amp;[" &amp; $C$6 &amp; "]",
"[Base].[SITUACION]",
"[Base].[SITUACION].&amp;[" &amp; $C16 &amp; "]"
),0)/1000</f>
        <v>170184.63533532</v>
      </c>
      <c r="W16" s="8">
        <f>IFERROR(
GETPIVOTDATA(
"[Base].[Importe]",
TDinamica_R!$A$5,
"[Calendario].[AñoMes]",
"[Calendario].[AñoMes].&amp;[" &amp; TEXT(W$6,"yyyymm") &amp; "]",
"[Base].[Metrica]",
"[Base].[Metrica].&amp;[" &amp; $A16 &amp; "]",
"[Base].[SEGMENTO_DESCRIP]",
"[Base].[SEGMENTO_DESCRIP].&amp;[" &amp; $C$6 &amp; "]",
"[Base].[SITUACION]",
"[Base].[SITUACION].&amp;[" &amp; $C16 &amp; "]"
),0)/1000</f>
        <v>152034.54615307</v>
      </c>
      <c r="X16" s="8">
        <f>IFERROR(
GETPIVOTDATA(
"[Base].[Importe]",
TDinamica_R!$A$5,
"[Calendario].[AñoMes]",
"[Calendario].[AñoMes].&amp;[" &amp; TEXT(X$6,"yyyymm") &amp; "]",
"[Base].[Metrica]",
"[Base].[Metrica].&amp;[" &amp; $A16 &amp; "]",
"[Base].[SEGMENTO_DESCRIP]",
"[Base].[SEGMENTO_DESCRIP].&amp;[" &amp; $C$6 &amp; "]",
"[Base].[SITUACION]",
"[Base].[SITUACION].&amp;[" &amp; $C16 &amp; "]"
),0)/1000</f>
        <v>151436.94634771999</v>
      </c>
      <c r="Y16" s="8">
        <f>IFERROR(
GETPIVOTDATA(
"[Base].[Importe]",
TDinamica_R!$A$5,
"[Calendario].[AñoMes]",
"[Calendario].[AñoMes].&amp;[" &amp; TEXT(Y$6,"yyyymm") &amp; "]",
"[Base].[Metrica]",
"[Base].[Metrica].&amp;[" &amp; $A16 &amp; "]",
"[Base].[SEGMENTO_DESCRIP]",
"[Base].[SEGMENTO_DESCRIP].&amp;[" &amp; $C$6 &amp; "]",
"[Base].[SITUACION]",
"[Base].[SITUACION].&amp;[" &amp; $C16 &amp; "]"
),0)/1000</f>
        <v>131548.17925855998</v>
      </c>
      <c r="Z16" s="8">
        <f>IFERROR(
GETPIVOTDATA(
"[Base].[Importe]",
TDinamica_R!$A$5,
"[Calendario].[AñoMes]",
"[Calendario].[AñoMes].&amp;[" &amp; TEXT(Z$6,"yyyymm") &amp; "]",
"[Base].[Metrica]",
"[Base].[Metrica].&amp;[" &amp; $A16 &amp; "]",
"[Base].[SEGMENTO_DESCRIP]",
"[Base].[SEGMENTO_DESCRIP].&amp;[" &amp; $C$6 &amp; "]",
"[Base].[SITUACION]",
"[Base].[SITUACION].&amp;[" &amp; $C16 &amp; "]"
),0)/1000</f>
        <v>117065.09095666</v>
      </c>
      <c r="AA16" s="8">
        <f>IFERROR(
GETPIVOTDATA(
"[Base].[Importe]",
TDinamica_R!$A$5,
"[Calendario].[AñoMes]",
"[Calendario].[AñoMes].&amp;[" &amp; TEXT(AA$6,"yyyymm") &amp; "]",
"[Base].[Metrica]",
"[Base].[Metrica].&amp;[" &amp; $A16 &amp; "]",
"[Base].[SEGMENTO_DESCRIP]",
"[Base].[SEGMENTO_DESCRIP].&amp;[" &amp; $C$6 &amp; "]",
"[Base].[SITUACION]",
"[Base].[SITUACION].&amp;[" &amp; $C16 &amp; "]"
),0)/1000</f>
        <v>106413.74655750001</v>
      </c>
      <c r="AB16" s="8">
        <f>IFERROR(
GETPIVOTDATA(
"[Base].[Importe]",
TDinamica_R!$A$5,
"[Calendario].[AñoMes]",
"[Calendario].[AñoMes].&amp;[" &amp; TEXT(AB$6,"yyyymm") &amp; "]",
"[Base].[Metrica]",
"[Base].[Metrica].&amp;[" &amp; $A16 &amp; "]",
"[Base].[SEGMENTO_DESCRIP]",
"[Base].[SEGMENTO_DESCRIP].&amp;[" &amp; $C$6 &amp; "]",
"[Base].[SITUACION]",
"[Base].[SITUACION].&amp;[" &amp; $C16 &amp; "]"
),0)/1000</f>
        <v>123766.42036693999</v>
      </c>
      <c r="AC16" s="8">
        <f>IFERROR(
GETPIVOTDATA(
"[Base].[Importe]",
TDinamica_R!$A$5,
"[Calendario].[AñoMes]",
"[Calendario].[AñoMes].&amp;[" &amp; TEXT(AC$6,"yyyymm") &amp; "]",
"[Base].[Metrica]",
"[Base].[Metrica].&amp;[" &amp; $A16 &amp; "]",
"[Base].[SEGMENTO_DESCRIP]",
"[Base].[SEGMENTO_DESCRIP].&amp;[" &amp; $C$6 &amp; "]",
"[Base].[SITUACION]",
"[Base].[SITUACION].&amp;[" &amp; $C16 &amp; "]"
),0)/1000</f>
        <v>125607.206376</v>
      </c>
      <c r="AD16" s="8">
        <f>IFERROR(
GETPIVOTDATA(
"[Base].[Importe]",
TDinamica_R!$A$5,
"[Calendario].[AñoMes]",
"[Calendario].[AñoMes].&amp;[" &amp; TEXT(AD$6,"yyyymm") &amp; "]",
"[Base].[Metrica]",
"[Base].[Metrica].&amp;[" &amp; $A16 &amp; "]",
"[Base].[SEGMENTO_DESCRIP]",
"[Base].[SEGMENTO_DESCRIP].&amp;[" &amp; $C$6 &amp; "]",
"[Base].[SITUACION]",
"[Base].[SITUACION].&amp;[" &amp; $C16 &amp; "]"
),0)/1000</f>
        <v>111769.98953855</v>
      </c>
      <c r="AE16" s="8">
        <f>IFERROR(
GETPIVOTDATA(
"[Base].[Importe]",
TDinamica_R!$A$5,
"[Calendario].[AñoMes]",
"[Calendario].[AñoMes].&amp;[" &amp; TEXT(AE$6,"yyyymm") &amp; "]",
"[Base].[Metrica]",
"[Base].[Metrica].&amp;[" &amp; $A16 &amp; "]",
"[Base].[SEGMENTO_DESCRIP]",
"[Base].[SEGMENTO_DESCRIP].&amp;[" &amp; $C$6 &amp; "]",
"[Base].[SITUACION]",
"[Base].[SITUACION].&amp;[" &amp; $C16 &amp; "]"
),0)/1000</f>
        <v>114618.62749605</v>
      </c>
      <c r="AF16" s="8">
        <f>IFERROR(
GETPIVOTDATA(
"[Base].[Importe]",
TDinamica_R!$A$5,
"[Calendario].[AñoMes]",
"[Calendario].[AñoMes].&amp;[" &amp; TEXT(AF$6,"yyyymm") &amp; "]",
"[Base].[Metrica]",
"[Base].[Metrica].&amp;[" &amp; $A16 &amp; "]",
"[Base].[SEGMENTO_DESCRIP]",
"[Base].[SEGMENTO_DESCRIP].&amp;[" &amp; $C$6 &amp; "]",
"[Base].[SITUACION]",
"[Base].[SITUACION].&amp;[" &amp; $C16 &amp; "]"
),0)/1000</f>
        <v>114332.03512099999</v>
      </c>
      <c r="AG16" s="8">
        <f>IFERROR(
GETPIVOTDATA(
"[Base].[Importe]",
TDinamica_R!$A$5,
"[Calendario].[AñoMes]",
"[Calendario].[AñoMes].&amp;[" &amp; TEXT(AG$6,"yyyymm") &amp; "]",
"[Base].[Metrica]",
"[Base].[Metrica].&amp;[" &amp; $A16 &amp; "]",
"[Base].[SEGMENTO_DESCRIP]",
"[Base].[SEGMENTO_DESCRIP].&amp;[" &amp; $C$6 &amp; "]",
"[Base].[SITUACION]",
"[Base].[SITUACION].&amp;[" &amp; $C16 &amp; "]"
),0)/1000</f>
        <v>117436.8967192</v>
      </c>
      <c r="AH16" s="8">
        <f>IFERROR(
GETPIVOTDATA(
"[Base].[Importe]",
TDinamica_R!$A$5,
"[Calendario].[AñoMes]",
"[Calendario].[AñoMes].&amp;[" &amp; TEXT(AH$6,"yyyymm") &amp; "]",
"[Base].[Metrica]",
"[Base].[Metrica].&amp;[" &amp; $A16 &amp; "]",
"[Base].[SEGMENTO_DESCRIP]",
"[Base].[SEGMENTO_DESCRIP].&amp;[" &amp; $C$6 &amp; "]",
"[Base].[SITUACION]",
"[Base].[SITUACION].&amp;[" &amp; $C16 &amp; "]"
),0)/1000</f>
        <v>109272.8631776</v>
      </c>
      <c r="AI16" s="8">
        <f>IFERROR(
GETPIVOTDATA(
"[Base].[Importe]",
TDinamica_R!$A$5,
"[Calendario].[AñoMes]",
"[Calendario].[AñoMes].&amp;[" &amp; TEXT(AI$6,"yyyymm") &amp; "]",
"[Base].[Metrica]",
"[Base].[Metrica].&amp;[" &amp; $A16 &amp; "]",
"[Base].[SEGMENTO_DESCRIP]",
"[Base].[SEGMENTO_DESCRIP].&amp;[" &amp; $C$6 &amp; "]",
"[Base].[SITUACION]",
"[Base].[SITUACION].&amp;[" &amp; $C16 &amp; "]"
),0)/1000</f>
        <v>108908.0397529</v>
      </c>
      <c r="AJ16" s="8">
        <f>IFERROR(
GETPIVOTDATA(
"[Base].[Importe]",
TDinamica_R!$A$5,
"[Calendario].[AñoMes]",
"[Calendario].[AñoMes].&amp;[" &amp; TEXT(AJ$6,"yyyymm") &amp; "]",
"[Base].[Metrica]",
"[Base].[Metrica].&amp;[" &amp; $A16 &amp; "]",
"[Base].[SEGMENTO_DESCRIP]",
"[Base].[SEGMENTO_DESCRIP].&amp;[" &amp; $C$6 &amp; "]",
"[Base].[SITUACION]",
"[Base].[SITUACION].&amp;[" &amp; $C16 &amp; "]"
),0)/1000</f>
        <v>104698.96735794</v>
      </c>
      <c r="AK16" s="8">
        <f>IFERROR(
GETPIVOTDATA(
"[Base].[Importe]",
TDinamica_R!$A$5,
"[Calendario].[AñoMes]",
"[Calendario].[AñoMes].&amp;[" &amp; TEXT(AK$6,"yyyymm") &amp; "]",
"[Base].[Metrica]",
"[Base].[Metrica].&amp;[" &amp; $A16 &amp; "]",
"[Base].[SEGMENTO_DESCRIP]",
"[Base].[SEGMENTO_DESCRIP].&amp;[" &amp; $C$6 &amp; "]",
"[Base].[SITUACION]",
"[Base].[SITUACION].&amp;[" &amp; $C16 &amp; "]"
),0)/1000</f>
        <v>101644.31649231999</v>
      </c>
      <c r="AL16" s="8">
        <f>IFERROR(
GETPIVOTDATA(
"[Base].[Importe]",
TDinamica_R!$A$5,
"[Calendario].[AñoMes]",
"[Calendario].[AñoMes].&amp;[" &amp; TEXT(AL$6,"yyyymm") &amp; "]",
"[Base].[Metrica]",
"[Base].[Metrica].&amp;[" &amp; $A16 &amp; "]",
"[Base].[SEGMENTO_DESCRIP]",
"[Base].[SEGMENTO_DESCRIP].&amp;[" &amp; $C$6 &amp; "]",
"[Base].[SITUACION]",
"[Base].[SITUACION].&amp;[" &amp; $C16 &amp; "]"
),0)/1000</f>
        <v>88050.324431839996</v>
      </c>
      <c r="AM16" s="8">
        <f>IFERROR(
GETPIVOTDATA(
"[Base].[Importe]",
TDinamica_R!$A$5,
"[Calendario].[AñoMes]",
"[Calendario].[AñoMes].&amp;[" &amp; TEXT(AM$6,"yyyymm") &amp; "]",
"[Base].[Metrica]",
"[Base].[Metrica].&amp;[" &amp; $A16 &amp; "]",
"[Base].[SEGMENTO_DESCRIP]",
"[Base].[SEGMENTO_DESCRIP].&amp;[" &amp; $C$6 &amp; "]",
"[Base].[SITUACION]",
"[Base].[SITUACION].&amp;[" &amp; $C16 &amp; "]"
),0)/1000</f>
        <v>81301.032627139983</v>
      </c>
      <c r="AN16" s="8">
        <f>IFERROR(
GETPIVOTDATA(
"[Base].[Importe]",
TDinamica_R!$A$5,
"[Calendario].[AñoMes]",
"[Calendario].[AñoMes].&amp;[" &amp; TEXT(AN$6,"yyyymm") &amp; "]",
"[Base].[Metrica]",
"[Base].[Metrica].&amp;[" &amp; $A16 &amp; "]",
"[Base].[SEGMENTO_DESCRIP]",
"[Base].[SEGMENTO_DESCRIP].&amp;[" &amp; $C$6 &amp; "]",
"[Base].[SITUACION]",
"[Base].[SITUACION].&amp;[" &amp; $C16 &amp; "]"
),0)/1000</f>
        <v>88158.24</v>
      </c>
      <c r="AO16" s="8">
        <f>IFERROR(
GETPIVOTDATA(
"[Base].[Importe]",
TDinamica_R!$A$5,
"[Calendario].[AñoMes]",
"[Calendario].[AñoMes].&amp;[" &amp; TEXT(AO$6,"yyyymm") &amp; "]",
"[Base].[Metrica]",
"[Base].[Metrica].&amp;[" &amp; $A16 &amp; "]",
"[Base].[SEGMENTO_DESCRIP]",
"[Base].[SEGMENTO_DESCRIP].&amp;[" &amp; $C$6 &amp; "]",
"[Base].[SITUACION]",
"[Base].[SITUACION].&amp;[" &amp; $C16 &amp; "]"
),0)/1000</f>
        <v>86028.96</v>
      </c>
      <c r="AP16" s="8">
        <f>IFERROR(
GETPIVOTDATA(
"[Base].[Importe]",
TDinamica_R!$A$5,
"[Calendario].[AñoMes]",
"[Calendario].[AñoMes].&amp;[" &amp; TEXT(AP$6,"yyyymm") &amp; "]",
"[Base].[Metrica]",
"[Base].[Metrica].&amp;[" &amp; $A16 &amp; "]",
"[Base].[SEGMENTO_DESCRIP]",
"[Base].[SEGMENTO_DESCRIP].&amp;[" &amp; $C$6 &amp; "]",
"[Base].[SITUACION]",
"[Base].[SITUACION].&amp;[" &amp; $C16 &amp; "]"
),0)/1000</f>
        <v>81103.740000000005</v>
      </c>
      <c r="AQ16" s="8">
        <f>IFERROR(
GETPIVOTDATA(
"[Base].[Importe]",
TDinamica_R!$A$5,
"[Calendario].[AñoMes]",
"[Calendario].[AñoMes].&amp;[" &amp; TEXT(AQ$6,"yyyymm") &amp; "]",
"[Base].[Metrica]",
"[Base].[Metrica].&amp;[" &amp; $A16 &amp; "]",
"[Base].[SEGMENTO_DESCRIP]",
"[Base].[SEGMENTO_DESCRIP].&amp;[" &amp; $C$6 &amp; "]",
"[Base].[SITUACION]",
"[Base].[SITUACION].&amp;[" &amp; $C16 &amp; "]"
),0)/1000</f>
        <v>74684.8774061</v>
      </c>
      <c r="AR16" s="8">
        <f>IFERROR(
GETPIVOTDATA(
"[Base].[Importe]",
TDinamica_R!$A$5,
"[Calendario].[AñoMes]",
"[Calendario].[AñoMes].&amp;[" &amp; TEXT(AR$6,"yyyymm") &amp; "]",
"[Base].[Metrica]",
"[Base].[Metrica].&amp;[" &amp; $A16 &amp; "]",
"[Base].[SEGMENTO_DESCRIP]",
"[Base].[SEGMENTO_DESCRIP].&amp;[" &amp; $C$6 &amp; "]",
"[Base].[SITUACION]",
"[Base].[SITUACION].&amp;[" &amp; $C16 &amp; "]"
),0)/1000</f>
        <v>70547.46414043002</v>
      </c>
      <c r="AS16" s="8">
        <f>IFERROR(
GETPIVOTDATA(
"[Base].[Importe]",
TDinamica_R!$A$5,
"[Calendario].[AñoMes]",
"[Calendario].[AñoMes].&amp;[" &amp; TEXT(AS$6,"yyyymm") &amp; "]",
"[Base].[Metrica]",
"[Base].[Metrica].&amp;[" &amp; $A16 &amp; "]",
"[Base].[SEGMENTO_DESCRIP]",
"[Base].[SEGMENTO_DESCRIP].&amp;[" &amp; $C$6 &amp; "]",
"[Base].[SITUACION]",
"[Base].[SITUACION].&amp;[" &amp; $C16 &amp; "]"
),0)/1000</f>
        <v>72808.039085700002</v>
      </c>
      <c r="AT16" s="8">
        <f>IFERROR(
GETPIVOTDATA(
"[Base].[Importe]",
TDinamica_R!$A$5,
"[Calendario].[AñoMes]",
"[Calendario].[AñoMes].&amp;[" &amp; TEXT(AT$6,"yyyymm")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U16" s="8">
        <f>IFERROR(
GETPIVOTDATA(
"[Base].[Importe]",
TDinamica_R!$A$5,
"[Calendario].[AñoMes]",
"[Calendario].[AñoMes].&amp;[" &amp; TEXT(AU$6,"yyyymm")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V16" s="8">
        <f>IFERROR(
GETPIVOTDATA(
"[Base].[Importe]",
TDinamica_R!$A$5,
"[Calendario].[AñoMes]",
"[Calendario].[AñoMes].&amp;[" &amp; TEXT(AV$6,"yyyymm")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W16" s="8">
        <f>IFERROR(
GETPIVOTDATA(
"[Base].[Importe]",
TDinamica_R!$A$5,
"[Calendario].[AñoMes]",
"[Calendario].[AñoMes].&amp;[" &amp; TEXT(AW$6,"yyyymm")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X16" s="8">
        <f>IFERROR(
GETPIVOTDATA(
"[Base].[Importe]",
TDinamica_R!$A$5,
"[Calendario].[AñoMes]",
"[Calendario].[AñoMes].&amp;[" &amp; TEXT(AX$6,"yyyymm")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Y16" s="8">
        <f>IFERROR(
GETPIVOTDATA(
"[Base].[Importe]",
TDinamica_R!$A$5,
"[Calendario].[AñoMes]",
"[Calendario].[AñoMes].&amp;[" &amp; TEXT(AY$6,"yyyymm")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Z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TEXT(AZ$6,"yyyymm") &amp; "]"
),
0
)</f>
        <v>99572.172094695765</v>
      </c>
      <c r="BA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TEXT(BA$6,"yyyymm") &amp; "]"
),
0
)</f>
        <v>98077.012361745306</v>
      </c>
      <c r="BB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TEXT(BB$6,"yyyymm") &amp; "]"
),
0
)</f>
        <v>94495.734336570575</v>
      </c>
      <c r="BC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TEXT(BC$6,"yyyymm") &amp; "]"
),
0
)</f>
        <v>92813.983776210473</v>
      </c>
      <c r="BD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TEXT(BD$6,"yyyymm") &amp; "]"
),
0
)</f>
        <v>92273.829752924416</v>
      </c>
      <c r="BE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TEXT(BE$6,"yyyymm") &amp; "]"
),
0
)</f>
        <v>92008.34974714226</v>
      </c>
      <c r="BF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TEXT(BF$6,"yyyymm") &amp; "]"
),
0
)</f>
        <v>90917.399767823197</v>
      </c>
      <c r="BG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TEXT(BG$6,"yyyymm") &amp; "]"
),
0
)</f>
        <v>91625.699629716619</v>
      </c>
      <c r="BH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TEXT(BH$6,"yyyymm") &amp; "]"
),
0
)</f>
        <v>91647.231583200497</v>
      </c>
      <c r="BI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TEXT(BI$6,"yyyymm") &amp; "]"
),
0
)</f>
        <v>91302.919984538821</v>
      </c>
      <c r="BJ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TEXT(BJ$6,"yyyymm") &amp; "]"
),
0
)</f>
        <v>90687.418042880323</v>
      </c>
      <c r="BK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TEXT(BK$6,"yyyymm") &amp; "]"
),
0
)</f>
        <v>90656.730765694127</v>
      </c>
      <c r="BO16" s="24">
        <f t="shared" si="11"/>
        <v>85096.98</v>
      </c>
      <c r="BP16" s="24">
        <f t="shared" si="11"/>
        <v>97381.639597670568</v>
      </c>
      <c r="BQ16" s="24">
        <f t="shared" si="11"/>
        <v>87093.6</v>
      </c>
      <c r="BR16" s="24">
        <f t="shared" si="11"/>
        <v>120381.20542716332</v>
      </c>
      <c r="BS16" s="24">
        <f t="shared" si="11"/>
        <v>168656.98585376667</v>
      </c>
      <c r="BT16" s="24">
        <f t="shared" si="11"/>
        <v>80525.136721009985</v>
      </c>
      <c r="BW16" s="24">
        <f t="shared" si="12"/>
        <v>255290.94</v>
      </c>
      <c r="BX16" s="24">
        <f t="shared" si="12"/>
        <v>292144.91879301169</v>
      </c>
      <c r="BY16" s="24">
        <f t="shared" si="12"/>
        <v>174187.2</v>
      </c>
      <c r="BZ16" s="24">
        <f t="shared" si="12"/>
        <v>361143.61628148996</v>
      </c>
      <c r="CA16" s="24">
        <f t="shared" si="12"/>
        <v>505970.95756130002</v>
      </c>
      <c r="CB16" s="24">
        <f t="shared" si="12"/>
        <v>241575.41016302997</v>
      </c>
    </row>
    <row r="17" spans="1:80" collapsed="1" x14ac:dyDescent="0.25">
      <c r="C17" s="3" t="s">
        <v>56</v>
      </c>
      <c r="D17" s="10">
        <f>SUM(D14:D16)</f>
        <v>2430545.0602809298</v>
      </c>
      <c r="E17" s="10">
        <f t="shared" ref="E17:AY17" si="13">SUM(E14:E16)</f>
        <v>2482947.8072743895</v>
      </c>
      <c r="F17" s="10">
        <f t="shared" si="13"/>
        <v>2567645.7839838006</v>
      </c>
      <c r="G17" s="10">
        <f t="shared" si="13"/>
        <v>2642835.18393534</v>
      </c>
      <c r="H17" s="10">
        <f t="shared" si="13"/>
        <v>2692995.9808029402</v>
      </c>
      <c r="I17" s="10">
        <f t="shared" si="13"/>
        <v>2733326.0833080001</v>
      </c>
      <c r="J17" s="10">
        <f t="shared" si="13"/>
        <v>2767862.70550801</v>
      </c>
      <c r="K17" s="10">
        <f t="shared" si="13"/>
        <v>2820216.5387110603</v>
      </c>
      <c r="L17" s="10">
        <f t="shared" si="13"/>
        <v>2898364.0325525803</v>
      </c>
      <c r="M17" s="10">
        <f t="shared" si="13"/>
        <v>2881219.0605924502</v>
      </c>
      <c r="N17" s="10">
        <f t="shared" si="13"/>
        <v>2861073.20656846</v>
      </c>
      <c r="O17" s="10">
        <f t="shared" si="13"/>
        <v>2809671.4544996298</v>
      </c>
      <c r="P17" s="10">
        <f t="shared" si="13"/>
        <v>2763274.6617113603</v>
      </c>
      <c r="Q17" s="10">
        <f t="shared" si="13"/>
        <v>2698312.05298542</v>
      </c>
      <c r="R17" s="10">
        <f t="shared" si="13"/>
        <v>2632730.9742708202</v>
      </c>
      <c r="S17" s="10">
        <f t="shared" si="13"/>
        <v>2590999.5366683803</v>
      </c>
      <c r="T17" s="10">
        <f t="shared" si="13"/>
        <v>2516052.8872234998</v>
      </c>
      <c r="U17" s="10">
        <f t="shared" si="13"/>
        <v>2432492.4743936202</v>
      </c>
      <c r="V17" s="10">
        <f t="shared" si="13"/>
        <v>2345201.4482070203</v>
      </c>
      <c r="W17" s="10">
        <f t="shared" si="13"/>
        <v>2267267.3338652197</v>
      </c>
      <c r="X17" s="10">
        <f t="shared" si="13"/>
        <v>2233124.3296836996</v>
      </c>
      <c r="Y17" s="10">
        <f t="shared" si="13"/>
        <v>2183930.0374409598</v>
      </c>
      <c r="Z17" s="10">
        <f t="shared" si="13"/>
        <v>2135292.0989159802</v>
      </c>
      <c r="AA17" s="10">
        <f t="shared" si="13"/>
        <v>2086114.63447705</v>
      </c>
      <c r="AB17" s="10">
        <f t="shared" si="13"/>
        <v>2055183.1447203101</v>
      </c>
      <c r="AC17" s="10">
        <f t="shared" si="13"/>
        <v>2036105.5011639998</v>
      </c>
      <c r="AD17" s="10">
        <f t="shared" si="13"/>
        <v>2017675.7726335998</v>
      </c>
      <c r="AE17" s="10">
        <f t="shared" si="13"/>
        <v>2006957.4412849301</v>
      </c>
      <c r="AF17" s="10">
        <f t="shared" si="13"/>
        <v>1985429.2584598002</v>
      </c>
      <c r="AG17" s="10">
        <f t="shared" si="13"/>
        <v>1966791.0345537199</v>
      </c>
      <c r="AH17" s="10">
        <f t="shared" si="13"/>
        <v>1953270.4575299399</v>
      </c>
      <c r="AI17" s="10">
        <f t="shared" si="13"/>
        <v>1961422.5318968997</v>
      </c>
      <c r="AJ17" s="10">
        <f t="shared" si="13"/>
        <v>1956830.5330599798</v>
      </c>
      <c r="AK17" s="10">
        <f t="shared" si="13"/>
        <v>1959355.7944789801</v>
      </c>
      <c r="AL17" s="10">
        <f t="shared" si="13"/>
        <v>1955954.72004434</v>
      </c>
      <c r="AM17" s="10">
        <f t="shared" si="13"/>
        <v>1940517.1926596197</v>
      </c>
      <c r="AN17" s="10">
        <f t="shared" si="13"/>
        <v>1945227.9400000002</v>
      </c>
      <c r="AO17" s="10">
        <f t="shared" si="13"/>
        <v>1965670.7999999998</v>
      </c>
      <c r="AP17" s="10">
        <f t="shared" si="13"/>
        <v>1982705.6300000001</v>
      </c>
      <c r="AQ17" s="10">
        <f t="shared" si="13"/>
        <v>1992674.4797889001</v>
      </c>
      <c r="AR17" s="10">
        <f t="shared" si="13"/>
        <v>2017330.3455674702</v>
      </c>
      <c r="AS17" s="10">
        <f t="shared" si="13"/>
        <v>2055284.0915885507</v>
      </c>
      <c r="AT17" s="10">
        <f t="shared" si="13"/>
        <v>0</v>
      </c>
      <c r="AU17" s="10">
        <f t="shared" si="13"/>
        <v>0</v>
      </c>
      <c r="AV17" s="10">
        <f t="shared" si="13"/>
        <v>0</v>
      </c>
      <c r="AW17" s="10">
        <f t="shared" si="13"/>
        <v>0</v>
      </c>
      <c r="AX17" s="10">
        <f t="shared" si="13"/>
        <v>0</v>
      </c>
      <c r="AY17" s="10">
        <f t="shared" si="13"/>
        <v>0</v>
      </c>
      <c r="AZ17" s="10">
        <f t="shared" ref="AZ17:BK17" si="14">SUM(AZ14:AZ16)</f>
        <v>1953141.9579871197</v>
      </c>
      <c r="BA17" s="10">
        <f t="shared" si="14"/>
        <v>1941875.9638531802</v>
      </c>
      <c r="BB17" s="10">
        <f t="shared" si="14"/>
        <v>1938740.0864071648</v>
      </c>
      <c r="BC17" s="10">
        <f t="shared" si="14"/>
        <v>1948716.0390749017</v>
      </c>
      <c r="BD17" s="10">
        <f t="shared" si="14"/>
        <v>1966408.8515973163</v>
      </c>
      <c r="BE17" s="10">
        <f t="shared" si="14"/>
        <v>1981118.4219288693</v>
      </c>
      <c r="BF17" s="10">
        <f t="shared" si="14"/>
        <v>1986119.733279146</v>
      </c>
      <c r="BG17" s="10">
        <f t="shared" si="14"/>
        <v>1996686.0176536234</v>
      </c>
      <c r="BH17" s="10">
        <f t="shared" si="14"/>
        <v>2018493.3947586257</v>
      </c>
      <c r="BI17" s="10">
        <f t="shared" si="14"/>
        <v>2045797.8604298639</v>
      </c>
      <c r="BJ17" s="10">
        <f t="shared" si="14"/>
        <v>2064989.2245770632</v>
      </c>
      <c r="BK17" s="10">
        <f t="shared" si="14"/>
        <v>2073207.7623441</v>
      </c>
      <c r="BO17" s="23">
        <f>SUM(BO14:BO16)</f>
        <v>1964534.7899999998</v>
      </c>
      <c r="BP17" s="23">
        <f t="shared" ref="BP17:BT17" si="15">SUM(BP14:BP16)</f>
        <v>1944586.002749155</v>
      </c>
      <c r="BQ17" s="23">
        <f t="shared" si="15"/>
        <v>1955449.3699999999</v>
      </c>
      <c r="BR17" s="23">
        <f t="shared" si="15"/>
        <v>2036321.4728393033</v>
      </c>
      <c r="BS17" s="23">
        <f t="shared" si="15"/>
        <v>2698105.896322533</v>
      </c>
      <c r="BT17" s="23">
        <f t="shared" si="15"/>
        <v>2493712.8838463733</v>
      </c>
      <c r="BW17" s="23">
        <f>SUM(BW14:BW16)</f>
        <v>5893604.3700000001</v>
      </c>
      <c r="BX17" s="23">
        <f t="shared" ref="BX17:CB17" si="16">SUM(BX14:BX16)</f>
        <v>5833758.0082474649</v>
      </c>
      <c r="BY17" s="23">
        <f t="shared" si="16"/>
        <v>3910898.7399999998</v>
      </c>
      <c r="BZ17" s="23">
        <f t="shared" si="16"/>
        <v>6108964.4185179099</v>
      </c>
      <c r="CA17" s="23">
        <f t="shared" si="16"/>
        <v>8094317.6889676005</v>
      </c>
      <c r="CB17" s="23">
        <f t="shared" si="16"/>
        <v>7481138.6515391208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11"/>
      <c r="C20" s="2" t="s">
        <v>0</v>
      </c>
      <c r="D20" s="14">
        <f>IFERROR(((1+D38/D14)^(360/D$3))-1,0)</f>
        <v>0.19910073014895024</v>
      </c>
      <c r="E20" s="14">
        <f t="shared" ref="E20:AY23" si="17">IFERROR(((1+E38/E14)^(360/E$3))-1,0)</f>
        <v>0.20272482020841975</v>
      </c>
      <c r="F20" s="14">
        <f t="shared" si="17"/>
        <v>0.19838011804075051</v>
      </c>
      <c r="G20" s="14">
        <f t="shared" si="17"/>
        <v>0.18982271380721838</v>
      </c>
      <c r="H20" s="14">
        <f t="shared" si="17"/>
        <v>0.20070407430178316</v>
      </c>
      <c r="I20" s="14">
        <f t="shared" si="17"/>
        <v>0.19958353668455442</v>
      </c>
      <c r="J20" s="14">
        <f t="shared" si="17"/>
        <v>0.19854010640004249</v>
      </c>
      <c r="K20" s="14">
        <f t="shared" si="17"/>
        <v>0.19968929648343381</v>
      </c>
      <c r="L20" s="14">
        <f t="shared" si="17"/>
        <v>0.1967614074761892</v>
      </c>
      <c r="M20" s="14">
        <f t="shared" si="17"/>
        <v>0.19434704090702892</v>
      </c>
      <c r="N20" s="14">
        <f t="shared" si="17"/>
        <v>0.19037080002873408</v>
      </c>
      <c r="O20" s="14">
        <f t="shared" si="17"/>
        <v>0.1854039842644033</v>
      </c>
      <c r="P20" s="14">
        <f t="shared" si="17"/>
        <v>0.18479086488813401</v>
      </c>
      <c r="Q20" s="14">
        <f t="shared" si="17"/>
        <v>0.18045951975682151</v>
      </c>
      <c r="R20" s="14">
        <f t="shared" si="17"/>
        <v>0.18073433099345126</v>
      </c>
      <c r="S20" s="14">
        <f t="shared" si="17"/>
        <v>0.18495009856706246</v>
      </c>
      <c r="T20" s="14">
        <f t="shared" si="17"/>
        <v>0.18756315989398198</v>
      </c>
      <c r="U20" s="14">
        <f t="shared" si="17"/>
        <v>0.18831744849794663</v>
      </c>
      <c r="V20" s="14">
        <f t="shared" si="17"/>
        <v>0.19350568512296418</v>
      </c>
      <c r="W20" s="14">
        <f t="shared" si="17"/>
        <v>0.19215450624964681</v>
      </c>
      <c r="X20" s="14">
        <f t="shared" si="17"/>
        <v>0.1919292812177209</v>
      </c>
      <c r="Y20" s="14">
        <f t="shared" si="17"/>
        <v>0.19064023124228346</v>
      </c>
      <c r="Z20" s="14">
        <f t="shared" si="17"/>
        <v>0.18580919513571437</v>
      </c>
      <c r="AA20" s="14">
        <f t="shared" si="17"/>
        <v>0.18464855179653128</v>
      </c>
      <c r="AB20" s="14">
        <f t="shared" si="17"/>
        <v>0.18543987972411458</v>
      </c>
      <c r="AC20" s="14">
        <f t="shared" si="17"/>
        <v>0.18220524684902961</v>
      </c>
      <c r="AD20" s="14">
        <f t="shared" si="17"/>
        <v>0.18371337279114286</v>
      </c>
      <c r="AE20" s="14">
        <f t="shared" si="17"/>
        <v>0.18402135831915944</v>
      </c>
      <c r="AF20" s="14">
        <f t="shared" si="17"/>
        <v>0.18396034038033937</v>
      </c>
      <c r="AG20" s="14">
        <f t="shared" si="17"/>
        <v>0.18309585692475805</v>
      </c>
      <c r="AH20" s="14">
        <f t="shared" si="17"/>
        <v>0.18354917195048026</v>
      </c>
      <c r="AI20" s="14">
        <f t="shared" si="17"/>
        <v>0.1833579554067537</v>
      </c>
      <c r="AJ20" s="14">
        <f t="shared" si="17"/>
        <v>0.18426087484042775</v>
      </c>
      <c r="AK20" s="14">
        <f t="shared" si="17"/>
        <v>0.18436736414842492</v>
      </c>
      <c r="AL20" s="14">
        <f t="shared" si="17"/>
        <v>0.18331494588513797</v>
      </c>
      <c r="AM20" s="14">
        <f t="shared" si="17"/>
        <v>0.18764545044235637</v>
      </c>
      <c r="AN20" s="14">
        <f t="shared" si="17"/>
        <v>0.18850241091913489</v>
      </c>
      <c r="AO20" s="14">
        <f t="shared" si="17"/>
        <v>0.18919660271812244</v>
      </c>
      <c r="AP20" s="14">
        <f t="shared" si="17"/>
        <v>0.18839940869415139</v>
      </c>
      <c r="AQ20" s="14">
        <f t="shared" si="17"/>
        <v>0.18645494650062444</v>
      </c>
      <c r="AR20" s="14">
        <f t="shared" si="17"/>
        <v>0.18606495674900425</v>
      </c>
      <c r="AS20" s="14">
        <f t="shared" si="17"/>
        <v>0.18568544553214572</v>
      </c>
      <c r="AT20" s="14">
        <f t="shared" si="17"/>
        <v>0</v>
      </c>
      <c r="AU20" s="14">
        <f t="shared" si="17"/>
        <v>0</v>
      </c>
      <c r="AV20" s="14">
        <f t="shared" si="17"/>
        <v>0</v>
      </c>
      <c r="AW20" s="14">
        <f t="shared" si="17"/>
        <v>0</v>
      </c>
      <c r="AX20" s="14">
        <f t="shared" si="17"/>
        <v>0</v>
      </c>
      <c r="AY20" s="14">
        <f t="shared" si="17"/>
        <v>0</v>
      </c>
      <c r="AZ20" s="14">
        <f t="shared" ref="AZ20:BK20" si="18">IFERROR(((1+AZ38/AZ14)^(360/AZ$3))-1,0)</f>
        <v>0.18445195273373738</v>
      </c>
      <c r="BA20" s="14">
        <f t="shared" si="18"/>
        <v>0.18336328925669854</v>
      </c>
      <c r="BB20" s="14">
        <f t="shared" si="18"/>
        <v>0.18512811268086549</v>
      </c>
      <c r="BC20" s="14">
        <f t="shared" si="18"/>
        <v>0.18553788988612729</v>
      </c>
      <c r="BD20" s="14">
        <f t="shared" si="18"/>
        <v>0.1867915322840874</v>
      </c>
      <c r="BE20" s="14">
        <f t="shared" si="18"/>
        <v>0.18840440001481085</v>
      </c>
      <c r="BF20" s="14">
        <f t="shared" si="18"/>
        <v>0.18943805864544738</v>
      </c>
      <c r="BG20" s="14">
        <f t="shared" si="18"/>
        <v>0.19076962757575733</v>
      </c>
      <c r="BH20" s="14">
        <f t="shared" si="18"/>
        <v>0.1911503751011685</v>
      </c>
      <c r="BI20" s="14">
        <f t="shared" si="18"/>
        <v>0.19299284631211755</v>
      </c>
      <c r="BJ20" s="14">
        <f t="shared" si="18"/>
        <v>0.19378586550640353</v>
      </c>
      <c r="BK20" s="14">
        <f t="shared" si="18"/>
        <v>0.19613265323966989</v>
      </c>
      <c r="BO20" s="28">
        <f>IFERROR(((1+BO38/BW14)^(360/BO$3))-1,0)</f>
        <v>0.18868467725665439</v>
      </c>
      <c r="BP20" s="28">
        <f t="shared" ref="BP20:BT23" si="19">IFERROR(((1+BP38/BX14)^(360/BP$3))-1,0)</f>
        <v>0.18436236276579421</v>
      </c>
      <c r="BQ20" s="28">
        <f t="shared" si="19"/>
        <v>0.18877090274067276</v>
      </c>
      <c r="BR20" s="28">
        <f t="shared" si="19"/>
        <v>0.18386639316560638</v>
      </c>
      <c r="BS20" s="28">
        <f t="shared" si="19"/>
        <v>0.18206966141388436</v>
      </c>
      <c r="BT20" s="28">
        <f t="shared" si="19"/>
        <v>0.20000823093747933</v>
      </c>
    </row>
    <row r="21" spans="1:80" hidden="1" outlineLevel="1" x14ac:dyDescent="0.25">
      <c r="A21" s="11"/>
      <c r="C21" s="2" t="s">
        <v>1</v>
      </c>
      <c r="D21" s="14">
        <f t="shared" ref="D21:S23" si="20">IFERROR(((1+D39/D15)^(360/D$3))-1,0)</f>
        <v>7.0203147453628656E-2</v>
      </c>
      <c r="E21" s="14">
        <f t="shared" si="20"/>
        <v>7.8579923109980632E-2</v>
      </c>
      <c r="F21" s="14">
        <f t="shared" si="20"/>
        <v>5.6478847386452369E-2</v>
      </c>
      <c r="G21" s="14">
        <f t="shared" si="20"/>
        <v>4.8757407469849356E-2</v>
      </c>
      <c r="H21" s="14">
        <f t="shared" si="20"/>
        <v>5.5129851984391021E-2</v>
      </c>
      <c r="I21" s="14">
        <f t="shared" si="20"/>
        <v>5.6281510070371299E-2</v>
      </c>
      <c r="J21" s="14">
        <f t="shared" si="20"/>
        <v>6.2438115234463964E-2</v>
      </c>
      <c r="K21" s="14">
        <f t="shared" si="20"/>
        <v>6.7462345341376961E-2</v>
      </c>
      <c r="L21" s="14">
        <f t="shared" si="20"/>
        <v>7.2831416049854214E-2</v>
      </c>
      <c r="M21" s="14">
        <f t="shared" si="20"/>
        <v>6.3579103620645894E-2</v>
      </c>
      <c r="N21" s="14">
        <f t="shared" si="20"/>
        <v>7.5255961360646495E-2</v>
      </c>
      <c r="O21" s="14">
        <f t="shared" si="20"/>
        <v>6.9134307528147865E-2</v>
      </c>
      <c r="P21" s="14">
        <f t="shared" si="20"/>
        <v>7.5990388859729752E-2</v>
      </c>
      <c r="Q21" s="14">
        <f t="shared" si="20"/>
        <v>7.9731936668979708E-2</v>
      </c>
      <c r="R21" s="14">
        <f t="shared" si="20"/>
        <v>6.2686347811146792E-2</v>
      </c>
      <c r="S21" s="14">
        <f t="shared" si="20"/>
        <v>7.8139679137403828E-2</v>
      </c>
      <c r="T21" s="14">
        <f t="shared" si="17"/>
        <v>5.9265498760377566E-2</v>
      </c>
      <c r="U21" s="14">
        <f t="shared" si="17"/>
        <v>6.643496239711566E-2</v>
      </c>
      <c r="V21" s="14">
        <f t="shared" si="17"/>
        <v>7.0291876137628995E-2</v>
      </c>
      <c r="W21" s="14">
        <f t="shared" si="17"/>
        <v>6.0882281562250729E-2</v>
      </c>
      <c r="X21" s="14">
        <f t="shared" si="17"/>
        <v>6.5695388389927167E-2</v>
      </c>
      <c r="Y21" s="14">
        <f t="shared" si="17"/>
        <v>5.6131571294699922E-2</v>
      </c>
      <c r="Z21" s="14">
        <f t="shared" si="17"/>
        <v>5.702404954669249E-2</v>
      </c>
      <c r="AA21" s="14">
        <f t="shared" si="17"/>
        <v>5.8930574004788516E-2</v>
      </c>
      <c r="AB21" s="14">
        <f t="shared" si="17"/>
        <v>6.6463452018601599E-2</v>
      </c>
      <c r="AC21" s="14">
        <f t="shared" si="17"/>
        <v>7.0908323502976156E-2</v>
      </c>
      <c r="AD21" s="14">
        <f t="shared" si="17"/>
        <v>5.8911750853464895E-2</v>
      </c>
      <c r="AE21" s="14">
        <f t="shared" si="17"/>
        <v>6.2767739295562341E-2</v>
      </c>
      <c r="AF21" s="14">
        <f t="shared" si="17"/>
        <v>6.4271302188235735E-2</v>
      </c>
      <c r="AG21" s="14">
        <f t="shared" si="17"/>
        <v>6.5066694088582233E-2</v>
      </c>
      <c r="AH21" s="14">
        <f t="shared" si="17"/>
        <v>7.4893055386858309E-2</v>
      </c>
      <c r="AI21" s="14">
        <f t="shared" si="17"/>
        <v>6.3728330121943788E-2</v>
      </c>
      <c r="AJ21" s="14">
        <f t="shared" si="17"/>
        <v>7.4877573754356108E-2</v>
      </c>
      <c r="AK21" s="14">
        <f t="shared" si="17"/>
        <v>7.1854478837616531E-2</v>
      </c>
      <c r="AL21" s="14">
        <f t="shared" si="17"/>
        <v>6.8495366866274665E-2</v>
      </c>
      <c r="AM21" s="14">
        <f t="shared" si="17"/>
        <v>8.1819352167588066E-2</v>
      </c>
      <c r="AN21" s="14">
        <f t="shared" si="17"/>
        <v>7.6121636978824458E-2</v>
      </c>
      <c r="AO21" s="14">
        <f t="shared" si="17"/>
        <v>8.022763476668171E-2</v>
      </c>
      <c r="AP21" s="14">
        <f t="shared" si="17"/>
        <v>7.8306883163191454E-2</v>
      </c>
      <c r="AQ21" s="14">
        <f t="shared" si="17"/>
        <v>8.0790788725461304E-2</v>
      </c>
      <c r="AR21" s="14">
        <f t="shared" si="17"/>
        <v>7.3423876699532764E-2</v>
      </c>
      <c r="AS21" s="14">
        <f t="shared" si="17"/>
        <v>8.3761494568029615E-2</v>
      </c>
      <c r="AT21" s="14">
        <f t="shared" si="17"/>
        <v>0</v>
      </c>
      <c r="AU21" s="14">
        <f t="shared" si="17"/>
        <v>0</v>
      </c>
      <c r="AV21" s="14">
        <f t="shared" si="17"/>
        <v>0</v>
      </c>
      <c r="AW21" s="14">
        <f t="shared" si="17"/>
        <v>0</v>
      </c>
      <c r="AX21" s="14">
        <f t="shared" si="17"/>
        <v>0</v>
      </c>
      <c r="AY21" s="14">
        <f t="shared" si="17"/>
        <v>0</v>
      </c>
      <c r="AZ21" s="14">
        <f t="shared" ref="AZ21:BK21" si="21">IFERROR(((1+AZ39/AZ15)^(360/AZ$3))-1,0)</f>
        <v>7.1669624902679141E-2</v>
      </c>
      <c r="BA21" s="14">
        <f t="shared" si="21"/>
        <v>7.1614614473128668E-2</v>
      </c>
      <c r="BB21" s="14">
        <f t="shared" si="21"/>
        <v>7.1998010455404993E-2</v>
      </c>
      <c r="BC21" s="14">
        <f t="shared" si="21"/>
        <v>7.1760749943738267E-2</v>
      </c>
      <c r="BD21" s="14">
        <f t="shared" si="21"/>
        <v>7.1791124957424124E-2</v>
      </c>
      <c r="BE21" s="14">
        <f t="shared" si="21"/>
        <v>7.1849961785521721E-2</v>
      </c>
      <c r="BF21" s="14">
        <f t="shared" si="21"/>
        <v>7.1800612228894556E-2</v>
      </c>
      <c r="BG21" s="14">
        <f t="shared" si="21"/>
        <v>7.1813899657280578E-2</v>
      </c>
      <c r="BH21" s="14">
        <f t="shared" si="21"/>
        <v>7.1821491223900136E-2</v>
      </c>
      <c r="BI21" s="14">
        <f t="shared" si="21"/>
        <v>7.1812001036692941E-2</v>
      </c>
      <c r="BJ21" s="14">
        <f t="shared" si="21"/>
        <v>7.1815797305957219E-2</v>
      </c>
      <c r="BK21" s="14">
        <f t="shared" si="21"/>
        <v>7.1816429855515507E-2</v>
      </c>
      <c r="BO21" s="28">
        <f t="shared" ref="BO21:BO23" si="22">IFERROR(((1+BO39/BW15)^(360/BO$3))-1,0)</f>
        <v>7.8134184603634971E-2</v>
      </c>
      <c r="BP21" s="28">
        <f t="shared" si="19"/>
        <v>7.176331937818281E-2</v>
      </c>
      <c r="BQ21" s="28">
        <f t="shared" si="19"/>
        <v>7.809300941420827E-2</v>
      </c>
      <c r="BR21" s="28">
        <f t="shared" si="19"/>
        <v>6.525271130496435E-2</v>
      </c>
      <c r="BS21" s="28">
        <f t="shared" si="19"/>
        <v>7.2221377720026014E-2</v>
      </c>
      <c r="BT21" s="28">
        <f t="shared" si="19"/>
        <v>6.7868849199675729E-2</v>
      </c>
    </row>
    <row r="22" spans="1:80" hidden="1" outlineLevel="1" x14ac:dyDescent="0.25">
      <c r="A22" s="11"/>
      <c r="C22" s="2" t="s">
        <v>45</v>
      </c>
      <c r="D22" s="14">
        <f t="shared" si="20"/>
        <v>6.0966090865174349E-2</v>
      </c>
      <c r="E22" s="14">
        <f t="shared" si="17"/>
        <v>3.657457122849328E-2</v>
      </c>
      <c r="F22" s="14">
        <f t="shared" si="17"/>
        <v>5.2419741707215861E-2</v>
      </c>
      <c r="G22" s="14">
        <f t="shared" si="17"/>
        <v>5.6426341418125858E-2</v>
      </c>
      <c r="H22" s="14">
        <f t="shared" si="17"/>
        <v>9.4415537174111552E-2</v>
      </c>
      <c r="I22" s="14">
        <f t="shared" si="17"/>
        <v>7.3907136104320648E-2</v>
      </c>
      <c r="J22" s="14">
        <f t="shared" si="17"/>
        <v>8.5560113102318036E-2</v>
      </c>
      <c r="K22" s="14">
        <f t="shared" si="17"/>
        <v>5.9947533335942049E-2</v>
      </c>
      <c r="L22" s="14">
        <f t="shared" si="17"/>
        <v>4.2131350361886977E-2</v>
      </c>
      <c r="M22" s="14">
        <f t="shared" si="17"/>
        <v>4.7270623569602543E-2</v>
      </c>
      <c r="N22" s="14">
        <f t="shared" si="17"/>
        <v>6.0409658757975881E-2</v>
      </c>
      <c r="O22" s="14">
        <f t="shared" si="17"/>
        <v>6.1292863341321002E-2</v>
      </c>
      <c r="P22" s="14">
        <f t="shared" si="17"/>
        <v>5.7253760371266171E-2</v>
      </c>
      <c r="Q22" s="14">
        <f t="shared" si="17"/>
        <v>5.8243139590090642E-2</v>
      </c>
      <c r="R22" s="14">
        <f t="shared" si="17"/>
        <v>6.1858173928852178E-2</v>
      </c>
      <c r="S22" s="14">
        <f t="shared" si="17"/>
        <v>8.1104150969216526E-2</v>
      </c>
      <c r="T22" s="14">
        <f t="shared" si="17"/>
        <v>7.8920947487554294E-2</v>
      </c>
      <c r="U22" s="14">
        <f t="shared" si="17"/>
        <v>0.10065833923650658</v>
      </c>
      <c r="V22" s="14">
        <f t="shared" si="17"/>
        <v>0.10759761531898659</v>
      </c>
      <c r="W22" s="14">
        <f t="shared" si="17"/>
        <v>8.1123328322603605E-2</v>
      </c>
      <c r="X22" s="14">
        <f t="shared" si="17"/>
        <v>7.9380135457293166E-2</v>
      </c>
      <c r="Y22" s="14">
        <f t="shared" si="17"/>
        <v>7.6540121597910904E-2</v>
      </c>
      <c r="Z22" s="14">
        <f t="shared" si="17"/>
        <v>0.10161761388172397</v>
      </c>
      <c r="AA22" s="14">
        <f t="shared" si="17"/>
        <v>0.1022002052112625</v>
      </c>
      <c r="AB22" s="14">
        <f t="shared" si="17"/>
        <v>8.9156636935674882E-2</v>
      </c>
      <c r="AC22" s="14">
        <f t="shared" si="17"/>
        <v>8.8773155550214033E-2</v>
      </c>
      <c r="AD22" s="14">
        <f t="shared" si="17"/>
        <v>0.10783570971415379</v>
      </c>
      <c r="AE22" s="14">
        <f t="shared" si="17"/>
        <v>8.9841028444850535E-2</v>
      </c>
      <c r="AF22" s="14">
        <f t="shared" si="17"/>
        <v>0.10044100546239232</v>
      </c>
      <c r="AG22" s="14">
        <f t="shared" si="17"/>
        <v>9.9477483918408494E-2</v>
      </c>
      <c r="AH22" s="14">
        <f t="shared" si="17"/>
        <v>0.10261642192864295</v>
      </c>
      <c r="AI22" s="14">
        <f t="shared" si="17"/>
        <v>8.3231193979483642E-2</v>
      </c>
      <c r="AJ22" s="14">
        <f t="shared" si="17"/>
        <v>8.5068703587500183E-2</v>
      </c>
      <c r="AK22" s="14">
        <f t="shared" si="17"/>
        <v>8.6182499752949449E-2</v>
      </c>
      <c r="AL22" s="14">
        <f t="shared" si="17"/>
        <v>0.12276906942287913</v>
      </c>
      <c r="AM22" s="14">
        <f t="shared" si="17"/>
        <v>0.12889949445136573</v>
      </c>
      <c r="AN22" s="14">
        <f t="shared" si="17"/>
        <v>8.99759649406493E-2</v>
      </c>
      <c r="AO22" s="14">
        <f t="shared" si="17"/>
        <v>9.6139125577172191E-2</v>
      </c>
      <c r="AP22" s="14">
        <f t="shared" si="17"/>
        <v>8.6192170923516276E-2</v>
      </c>
      <c r="AQ22" s="14">
        <f t="shared" si="17"/>
        <v>9.8678636300884026E-2</v>
      </c>
      <c r="AR22" s="14">
        <f t="shared" si="17"/>
        <v>0.11335444470453382</v>
      </c>
      <c r="AS22" s="14">
        <f t="shared" si="17"/>
        <v>0.10583255549200965</v>
      </c>
      <c r="AT22" s="14">
        <f t="shared" si="17"/>
        <v>0</v>
      </c>
      <c r="AU22" s="14">
        <f t="shared" si="17"/>
        <v>0</v>
      </c>
      <c r="AV22" s="14">
        <f t="shared" si="17"/>
        <v>0</v>
      </c>
      <c r="AW22" s="14">
        <f t="shared" si="17"/>
        <v>0</v>
      </c>
      <c r="AX22" s="14">
        <f t="shared" si="17"/>
        <v>0</v>
      </c>
      <c r="AY22" s="14">
        <f t="shared" si="17"/>
        <v>0</v>
      </c>
      <c r="AZ22" s="14">
        <f t="shared" ref="AZ22:BK22" si="23">IFERROR(((1+AZ40/AZ16)^(360/AZ$3))-1,0)</f>
        <v>8.4194602602108537E-2</v>
      </c>
      <c r="BA22" s="14">
        <f t="shared" si="23"/>
        <v>9.2676377890299033E-2</v>
      </c>
      <c r="BB22" s="14">
        <f t="shared" si="23"/>
        <v>8.3577731943691447E-2</v>
      </c>
      <c r="BC22" s="14">
        <f t="shared" si="23"/>
        <v>8.6613269909707968E-2</v>
      </c>
      <c r="BD22" s="14">
        <f t="shared" si="23"/>
        <v>8.3542567480689112E-2</v>
      </c>
      <c r="BE22" s="14">
        <f t="shared" si="23"/>
        <v>8.6512839592299606E-2</v>
      </c>
      <c r="BF22" s="14">
        <f t="shared" si="23"/>
        <v>8.3618905475929317E-2</v>
      </c>
      <c r="BG22" s="14">
        <f t="shared" si="23"/>
        <v>8.3590027822754376E-2</v>
      </c>
      <c r="BH22" s="14">
        <f t="shared" si="23"/>
        <v>8.6509976218805074E-2</v>
      </c>
      <c r="BI22" s="14">
        <f t="shared" si="23"/>
        <v>8.3604927160425113E-2</v>
      </c>
      <c r="BJ22" s="14">
        <f t="shared" si="23"/>
        <v>8.6504194143992796E-2</v>
      </c>
      <c r="BK22" s="14">
        <f t="shared" si="23"/>
        <v>8.3603681090124171E-2</v>
      </c>
      <c r="BO22" s="28">
        <f t="shared" si="22"/>
        <v>9.063066149409571E-2</v>
      </c>
      <c r="BP22" s="28">
        <f t="shared" si="19"/>
        <v>8.6617486132468668E-2</v>
      </c>
      <c r="BQ22" s="28">
        <f t="shared" si="19"/>
        <v>9.2919429719585889E-2</v>
      </c>
      <c r="BR22" s="28">
        <f t="shared" si="19"/>
        <v>9.4840655721374345E-2</v>
      </c>
      <c r="BS22" s="28">
        <f t="shared" si="19"/>
        <v>5.9096636065958164E-2</v>
      </c>
      <c r="BT22" s="28">
        <f t="shared" si="19"/>
        <v>5.02222880323826E-2</v>
      </c>
    </row>
    <row r="23" spans="1:80" collapsed="1" x14ac:dyDescent="0.25">
      <c r="C23" s="3" t="s">
        <v>59</v>
      </c>
      <c r="D23" s="15">
        <f t="shared" si="20"/>
        <v>0.19352332391668337</v>
      </c>
      <c r="E23" s="15">
        <f t="shared" si="17"/>
        <v>0.19616247101244388</v>
      </c>
      <c r="F23" s="15">
        <f t="shared" si="17"/>
        <v>0.19318210253047319</v>
      </c>
      <c r="G23" s="15">
        <f t="shared" si="17"/>
        <v>0.18534080726779956</v>
      </c>
      <c r="H23" s="15">
        <f t="shared" si="17"/>
        <v>0.19741146759170269</v>
      </c>
      <c r="I23" s="15">
        <f t="shared" si="17"/>
        <v>0.19555077478389093</v>
      </c>
      <c r="J23" s="15">
        <f t="shared" si="17"/>
        <v>0.19435504136463355</v>
      </c>
      <c r="K23" s="15">
        <f t="shared" si="17"/>
        <v>0.19234564063881487</v>
      </c>
      <c r="L23" s="15">
        <f t="shared" si="17"/>
        <v>0.18721035326587177</v>
      </c>
      <c r="M23" s="15">
        <f t="shared" si="17"/>
        <v>0.18560088744219372</v>
      </c>
      <c r="N23" s="15">
        <f t="shared" si="17"/>
        <v>0.1831430564916019</v>
      </c>
      <c r="O23" s="15">
        <f t="shared" si="17"/>
        <v>0.17866682978484727</v>
      </c>
      <c r="P23" s="15">
        <f t="shared" si="17"/>
        <v>0.17646006386921576</v>
      </c>
      <c r="Q23" s="15">
        <f t="shared" si="17"/>
        <v>0.17212084164582375</v>
      </c>
      <c r="R23" s="15">
        <f t="shared" si="17"/>
        <v>0.17260854950465343</v>
      </c>
      <c r="S23" s="15">
        <f t="shared" si="17"/>
        <v>0.17619520394113497</v>
      </c>
      <c r="T23" s="15">
        <f t="shared" si="17"/>
        <v>0.17772897749834637</v>
      </c>
      <c r="U23" s="15">
        <f t="shared" si="17"/>
        <v>0.1796527118589073</v>
      </c>
      <c r="V23" s="15">
        <f t="shared" si="17"/>
        <v>0.18503380342384523</v>
      </c>
      <c r="W23" s="15">
        <f t="shared" si="17"/>
        <v>0.18190732299488355</v>
      </c>
      <c r="X23" s="15">
        <f t="shared" si="17"/>
        <v>0.18148635049070116</v>
      </c>
      <c r="Y23" s="15">
        <f t="shared" si="17"/>
        <v>0.18082131207132335</v>
      </c>
      <c r="Z23" s="15">
        <f t="shared" si="17"/>
        <v>0.17845309212114135</v>
      </c>
      <c r="AA23" s="15">
        <f t="shared" si="17"/>
        <v>0.17768862604310565</v>
      </c>
      <c r="AB23" s="15">
        <f t="shared" si="17"/>
        <v>0.17690299863148273</v>
      </c>
      <c r="AC23" s="15">
        <f t="shared" si="17"/>
        <v>0.17389906695443424</v>
      </c>
      <c r="AD23" s="15">
        <f t="shared" si="17"/>
        <v>0.17672405547027803</v>
      </c>
      <c r="AE23" s="15">
        <f t="shared" si="17"/>
        <v>0.17573608086432957</v>
      </c>
      <c r="AF23" s="15">
        <f t="shared" si="17"/>
        <v>0.17637993520938888</v>
      </c>
      <c r="AG23" s="15">
        <f t="shared" si="17"/>
        <v>0.1754293298110905</v>
      </c>
      <c r="AH23" s="15">
        <f t="shared" si="17"/>
        <v>0.17661972875166554</v>
      </c>
      <c r="AI23" s="15">
        <f t="shared" si="17"/>
        <v>0.17519443494922848</v>
      </c>
      <c r="AJ23" s="15">
        <f t="shared" si="17"/>
        <v>0.17660657338302976</v>
      </c>
      <c r="AK23" s="15">
        <f t="shared" si="17"/>
        <v>0.17692410617063414</v>
      </c>
      <c r="AL23" s="15">
        <f t="shared" si="17"/>
        <v>0.17837446476834318</v>
      </c>
      <c r="AM23" s="15">
        <f t="shared" si="17"/>
        <v>0.18313059765232387</v>
      </c>
      <c r="AN23" s="15">
        <f t="shared" si="17"/>
        <v>0.18179187535913921</v>
      </c>
      <c r="AO23" s="15">
        <f t="shared" si="17"/>
        <v>0.1830330189786753</v>
      </c>
      <c r="AP23" s="15">
        <f t="shared" si="17"/>
        <v>0.18214924544258992</v>
      </c>
      <c r="AQ23" s="15">
        <f t="shared" si="17"/>
        <v>0.18128355699915355</v>
      </c>
      <c r="AR23" s="15">
        <f t="shared" si="17"/>
        <v>0.18162312767856204</v>
      </c>
      <c r="AS23" s="15">
        <f t="shared" si="17"/>
        <v>0.18118392412921103</v>
      </c>
      <c r="AT23" s="15">
        <f t="shared" si="17"/>
        <v>0</v>
      </c>
      <c r="AU23" s="15">
        <f t="shared" si="17"/>
        <v>0</v>
      </c>
      <c r="AV23" s="15">
        <f t="shared" si="17"/>
        <v>0</v>
      </c>
      <c r="AW23" s="15">
        <f t="shared" si="17"/>
        <v>0</v>
      </c>
      <c r="AX23" s="15">
        <f t="shared" si="17"/>
        <v>0</v>
      </c>
      <c r="AY23" s="15">
        <f t="shared" si="17"/>
        <v>0</v>
      </c>
      <c r="AZ23" s="15">
        <f t="shared" ref="AZ23:BK23" si="24">IFERROR(((1+AZ41/AZ17)^(360/AZ$3))-1,0)</f>
        <v>0.17722969190759885</v>
      </c>
      <c r="BA23" s="15">
        <f t="shared" si="24"/>
        <v>0.17681062573122941</v>
      </c>
      <c r="BB23" s="15">
        <f t="shared" si="24"/>
        <v>0.17823875459650584</v>
      </c>
      <c r="BC23" s="15">
        <f t="shared" si="24"/>
        <v>0.17896399971096777</v>
      </c>
      <c r="BD23" s="15">
        <f t="shared" si="24"/>
        <v>0.1801206098699395</v>
      </c>
      <c r="BE23" s="15">
        <f t="shared" si="24"/>
        <v>0.18190607054358932</v>
      </c>
      <c r="BF23" s="15">
        <f t="shared" si="24"/>
        <v>0.18285797222035804</v>
      </c>
      <c r="BG23" s="15">
        <f t="shared" si="24"/>
        <v>0.18414448132985717</v>
      </c>
      <c r="BH23" s="15">
        <f t="shared" si="24"/>
        <v>0.18477053735016913</v>
      </c>
      <c r="BI23" s="15">
        <f t="shared" si="24"/>
        <v>0.18651187904041744</v>
      </c>
      <c r="BJ23" s="15">
        <f t="shared" si="24"/>
        <v>0.18752644402858176</v>
      </c>
      <c r="BK23" s="15">
        <f t="shared" si="24"/>
        <v>0.18965418974488935</v>
      </c>
      <c r="BO23" s="29">
        <f t="shared" si="22"/>
        <v>0.18230130930426425</v>
      </c>
      <c r="BP23" s="29">
        <f t="shared" si="19"/>
        <v>0.17745797940036878</v>
      </c>
      <c r="BQ23" s="29">
        <f t="shared" si="19"/>
        <v>0.18233441472884482</v>
      </c>
      <c r="BR23" s="29">
        <f t="shared" si="19"/>
        <v>0.17591113409356152</v>
      </c>
      <c r="BS23" s="29">
        <f t="shared" si="19"/>
        <v>0.1737967517316934</v>
      </c>
      <c r="BT23" s="29">
        <f t="shared" si="19"/>
        <v>0.19425215877703916</v>
      </c>
    </row>
    <row r="26" spans="1:80" hidden="1" outlineLevel="1" x14ac:dyDescent="0.25">
      <c r="A26" s="11"/>
      <c r="C26" s="2" t="s">
        <v>0</v>
      </c>
      <c r="D26" s="14">
        <f>-IFERROR(((1-D44/D14)^(360/D$4))-1,0)</f>
        <v>-6.9523657706910713E-2</v>
      </c>
      <c r="E26" s="14">
        <f t="shared" ref="E26:AY29" si="25">-IFERROR(((1-E44/E14)^(360/E$4))-1,0)</f>
        <v>-7.2191497285913231E-2</v>
      </c>
      <c r="F26" s="14">
        <f t="shared" si="25"/>
        <v>-7.4119493609672737E-2</v>
      </c>
      <c r="G26" s="14">
        <f t="shared" si="25"/>
        <v>-7.5379063429410698E-2</v>
      </c>
      <c r="H26" s="14">
        <f t="shared" si="25"/>
        <v>-7.6095428039320012E-2</v>
      </c>
      <c r="I26" s="14">
        <f t="shared" si="25"/>
        <v>-7.7407574889306163E-2</v>
      </c>
      <c r="J26" s="14">
        <f t="shared" si="25"/>
        <v>-7.7203432390862581E-2</v>
      </c>
      <c r="K26" s="14">
        <f t="shared" si="25"/>
        <v>-7.7072881243738234E-2</v>
      </c>
      <c r="L26" s="14">
        <f t="shared" si="25"/>
        <v>-7.7644690637470593E-2</v>
      </c>
      <c r="M26" s="14">
        <f t="shared" si="25"/>
        <v>-7.8037025510448332E-2</v>
      </c>
      <c r="N26" s="14">
        <f t="shared" si="25"/>
        <v>-7.829946186141723E-2</v>
      </c>
      <c r="O26" s="14">
        <f t="shared" si="25"/>
        <v>-7.8373437604333684E-2</v>
      </c>
      <c r="P26" s="14">
        <f t="shared" si="25"/>
        <v>-7.8239210990514785E-2</v>
      </c>
      <c r="Q26" s="14">
        <f t="shared" si="25"/>
        <v>-7.7894226522759791E-2</v>
      </c>
      <c r="R26" s="14">
        <f t="shared" si="25"/>
        <v>-7.7437771193665128E-2</v>
      </c>
      <c r="S26" s="14">
        <f t="shared" si="25"/>
        <v>-7.7041893140022077E-2</v>
      </c>
      <c r="T26" s="14">
        <f t="shared" si="25"/>
        <v>-7.6661117301220605E-2</v>
      </c>
      <c r="U26" s="14">
        <f t="shared" si="25"/>
        <v>-7.6196318155766996E-2</v>
      </c>
      <c r="V26" s="14">
        <f t="shared" si="25"/>
        <v>-7.5689139532600258E-2</v>
      </c>
      <c r="W26" s="14">
        <f t="shared" si="25"/>
        <v>-7.5088303343445073E-2</v>
      </c>
      <c r="X26" s="14">
        <f t="shared" si="25"/>
        <v>-7.4354368425548767E-2</v>
      </c>
      <c r="Y26" s="14">
        <f t="shared" si="25"/>
        <v>-7.3522555004266188E-2</v>
      </c>
      <c r="Z26" s="14">
        <f t="shared" si="25"/>
        <v>-7.2875336188827244E-2</v>
      </c>
      <c r="AA26" s="14">
        <f t="shared" si="25"/>
        <v>-7.2197711477969051E-2</v>
      </c>
      <c r="AB26" s="14">
        <f t="shared" si="25"/>
        <v>-7.1617878162912429E-2</v>
      </c>
      <c r="AC26" s="14">
        <f t="shared" si="25"/>
        <v>-7.0790568610031634E-2</v>
      </c>
      <c r="AD26" s="14">
        <f t="shared" si="25"/>
        <v>-6.9247702450099924E-2</v>
      </c>
      <c r="AE26" s="14">
        <f t="shared" si="25"/>
        <v>-6.8768825583077398E-2</v>
      </c>
      <c r="AF26" s="14">
        <f t="shared" si="25"/>
        <v>-6.7997576754778244E-2</v>
      </c>
      <c r="AG26" s="14">
        <f t="shared" si="25"/>
        <v>-6.7150744559428821E-2</v>
      </c>
      <c r="AH26" s="14">
        <f t="shared" si="25"/>
        <v>-6.624513426764933E-2</v>
      </c>
      <c r="AI26" s="14">
        <f t="shared" si="25"/>
        <v>-6.533964999646602E-2</v>
      </c>
      <c r="AJ26" s="14">
        <f t="shared" si="25"/>
        <v>-6.4696635636413591E-2</v>
      </c>
      <c r="AK26" s="14">
        <f t="shared" si="25"/>
        <v>-6.4225224477084897E-2</v>
      </c>
      <c r="AL26" s="14">
        <f t="shared" si="25"/>
        <v>-6.3905535802125879E-2</v>
      </c>
      <c r="AM26" s="14">
        <f t="shared" si="25"/>
        <v>-6.3392674504957114E-2</v>
      </c>
      <c r="AN26" s="14">
        <f t="shared" si="25"/>
        <v>-6.286368243400231E-2</v>
      </c>
      <c r="AO26" s="14">
        <f t="shared" si="25"/>
        <v>-6.2022477957886402E-2</v>
      </c>
      <c r="AP26" s="14">
        <f t="shared" si="25"/>
        <v>-6.1248566051886E-2</v>
      </c>
      <c r="AQ26" s="14">
        <f t="shared" si="25"/>
        <v>-6.0860842000922899E-2</v>
      </c>
      <c r="AR26" s="14">
        <f t="shared" si="25"/>
        <v>-6.0617750494325717E-2</v>
      </c>
      <c r="AS26" s="14">
        <f t="shared" si="25"/>
        <v>-6.0121931070831192E-2</v>
      </c>
      <c r="AT26" s="14">
        <f t="shared" si="25"/>
        <v>0</v>
      </c>
      <c r="AU26" s="14">
        <f t="shared" si="25"/>
        <v>0</v>
      </c>
      <c r="AV26" s="14">
        <f t="shared" si="25"/>
        <v>0</v>
      </c>
      <c r="AW26" s="14">
        <f t="shared" si="25"/>
        <v>0</v>
      </c>
      <c r="AX26" s="14">
        <f t="shared" si="25"/>
        <v>0</v>
      </c>
      <c r="AY26" s="14">
        <f t="shared" si="25"/>
        <v>0</v>
      </c>
      <c r="AZ26" s="14">
        <f t="shared" ref="AZ26:BK26" si="26">-IFERROR(((1-AZ44/AZ14)^(360/AZ$4))-1,0)</f>
        <v>-6.471433565676743E-2</v>
      </c>
      <c r="BA26" s="14">
        <f t="shared" si="26"/>
        <v>-6.423707326532746E-2</v>
      </c>
      <c r="BB26" s="14">
        <f t="shared" si="26"/>
        <v>-6.3541577951262918E-2</v>
      </c>
      <c r="BC26" s="14">
        <f t="shared" si="26"/>
        <v>-6.2968392208279544E-2</v>
      </c>
      <c r="BD26" s="14">
        <f t="shared" si="26"/>
        <v>-6.2447458848758242E-2</v>
      </c>
      <c r="BE26" s="14">
        <f t="shared" si="26"/>
        <v>-6.1956168362342634E-2</v>
      </c>
      <c r="BF26" s="14">
        <f t="shared" si="26"/>
        <v>-6.1489163083765508E-2</v>
      </c>
      <c r="BG26" s="14">
        <f t="shared" si="26"/>
        <v>-6.1082580089766081E-2</v>
      </c>
      <c r="BH26" s="14">
        <f t="shared" si="26"/>
        <v>-6.0611057492343079E-2</v>
      </c>
      <c r="BI26" s="14">
        <f t="shared" si="26"/>
        <v>-6.0178377328440336E-2</v>
      </c>
      <c r="BJ26" s="14">
        <f t="shared" si="26"/>
        <v>-5.9810678749843804E-2</v>
      </c>
      <c r="BK26" s="14">
        <f t="shared" si="26"/>
        <v>-5.9509449717560337E-2</v>
      </c>
      <c r="BO26" s="28">
        <f>-IFERROR(((1-BO44/BW14)^(360/BO$4))-1,0)</f>
        <v>-6.203861832312918E-2</v>
      </c>
      <c r="BP26" s="28">
        <f t="shared" ref="BP26:BT29" si="27">-IFERROR(((1-BP44/BX14)^(360/BP$4))-1,0)</f>
        <v>-6.4166887032604647E-2</v>
      </c>
      <c r="BQ26" s="28">
        <f t="shared" si="27"/>
        <v>-6.2441375500552176E-2</v>
      </c>
      <c r="BR26" s="28">
        <f t="shared" si="27"/>
        <v>-7.0555877563910352E-2</v>
      </c>
      <c r="BS26" s="28">
        <f t="shared" si="27"/>
        <v>-7.7865263539085294E-2</v>
      </c>
      <c r="BT26" s="28">
        <f t="shared" si="27"/>
        <v>-7.1996662466740746E-2</v>
      </c>
    </row>
    <row r="27" spans="1:80" hidden="1" outlineLevel="1" x14ac:dyDescent="0.25">
      <c r="A27" s="11"/>
      <c r="C27" s="2" t="s">
        <v>1</v>
      </c>
      <c r="D27" s="14">
        <f t="shared" ref="D27:S29" si="28">-IFERROR(((1-D45/D15)^(360/D$4))-1,0)</f>
        <v>-7.2940294997337229E-2</v>
      </c>
      <c r="E27" s="14">
        <f t="shared" si="28"/>
        <v>-7.5978951576570974E-2</v>
      </c>
      <c r="F27" s="14">
        <f t="shared" si="28"/>
        <v>-7.7842484442471438E-2</v>
      </c>
      <c r="G27" s="14">
        <f t="shared" si="28"/>
        <v>-7.8441966841924726E-2</v>
      </c>
      <c r="H27" s="14">
        <f t="shared" si="28"/>
        <v>-7.8871482260434389E-2</v>
      </c>
      <c r="I27" s="14">
        <f t="shared" si="28"/>
        <v>-7.8459988824656213E-2</v>
      </c>
      <c r="J27" s="14">
        <f t="shared" si="28"/>
        <v>-7.7357005557630254E-2</v>
      </c>
      <c r="K27" s="14">
        <f t="shared" si="28"/>
        <v>-7.5667234114029203E-2</v>
      </c>
      <c r="L27" s="14">
        <f t="shared" si="28"/>
        <v>-7.7072226709864466E-2</v>
      </c>
      <c r="M27" s="14">
        <f t="shared" si="28"/>
        <v>-7.6815680227970695E-2</v>
      </c>
      <c r="N27" s="14">
        <f t="shared" si="28"/>
        <v>-7.671062389319383E-2</v>
      </c>
      <c r="O27" s="14">
        <f t="shared" si="28"/>
        <v>-7.6757360324629875E-2</v>
      </c>
      <c r="P27" s="14">
        <f t="shared" si="28"/>
        <v>-7.6477989930408219E-2</v>
      </c>
      <c r="Q27" s="14">
        <f t="shared" si="28"/>
        <v>-7.6230600500408086E-2</v>
      </c>
      <c r="R27" s="14">
        <f t="shared" si="28"/>
        <v>-7.4953814105279459E-2</v>
      </c>
      <c r="S27" s="14">
        <f t="shared" si="28"/>
        <v>-7.3597914059651437E-2</v>
      </c>
      <c r="T27" s="14">
        <f t="shared" si="25"/>
        <v>-7.2675264413047058E-2</v>
      </c>
      <c r="U27" s="14">
        <f t="shared" si="25"/>
        <v>-7.1514482877369057E-2</v>
      </c>
      <c r="V27" s="14">
        <f t="shared" si="25"/>
        <v>-7.0706716174793183E-2</v>
      </c>
      <c r="W27" s="14">
        <f t="shared" si="25"/>
        <v>-7.014856714176676E-2</v>
      </c>
      <c r="X27" s="14">
        <f t="shared" si="25"/>
        <v>-6.9590145877841403E-2</v>
      </c>
      <c r="Y27" s="14">
        <f t="shared" si="25"/>
        <v>-6.8815017148413204E-2</v>
      </c>
      <c r="Z27" s="14">
        <f t="shared" si="25"/>
        <v>-6.8164012951795971E-2</v>
      </c>
      <c r="AA27" s="14">
        <f t="shared" si="25"/>
        <v>-6.7448414359251974E-2</v>
      </c>
      <c r="AB27" s="14">
        <f t="shared" si="25"/>
        <v>-6.7009113891664196E-2</v>
      </c>
      <c r="AC27" s="14">
        <f t="shared" si="25"/>
        <v>-6.6583513549666851E-2</v>
      </c>
      <c r="AD27" s="14">
        <f t="shared" si="25"/>
        <v>-6.582110684914233E-2</v>
      </c>
      <c r="AE27" s="14">
        <f t="shared" si="25"/>
        <v>-6.5027657612535927E-2</v>
      </c>
      <c r="AF27" s="14">
        <f t="shared" si="25"/>
        <v>-6.4510549124955352E-2</v>
      </c>
      <c r="AG27" s="14">
        <f t="shared" si="25"/>
        <v>-6.4015886957928148E-2</v>
      </c>
      <c r="AH27" s="14">
        <f t="shared" si="25"/>
        <v>-6.3566758643079702E-2</v>
      </c>
      <c r="AI27" s="14">
        <f t="shared" si="25"/>
        <v>-6.3381729048089364E-2</v>
      </c>
      <c r="AJ27" s="14">
        <f t="shared" si="25"/>
        <v>-6.3203769088159945E-2</v>
      </c>
      <c r="AK27" s="14">
        <f t="shared" si="25"/>
        <v>-6.2904428443506744E-2</v>
      </c>
      <c r="AL27" s="14">
        <f t="shared" si="25"/>
        <v>-6.2945952199793043E-2</v>
      </c>
      <c r="AM27" s="14">
        <f t="shared" si="25"/>
        <v>-6.2789330144348288E-2</v>
      </c>
      <c r="AN27" s="14">
        <f t="shared" si="25"/>
        <v>-6.2616240901519626E-2</v>
      </c>
      <c r="AO27" s="14">
        <f t="shared" si="25"/>
        <v>-6.2374077925108962E-2</v>
      </c>
      <c r="AP27" s="14">
        <f t="shared" si="25"/>
        <v>-6.2115017440002918E-2</v>
      </c>
      <c r="AQ27" s="14">
        <f t="shared" si="25"/>
        <v>-6.2002192215055985E-2</v>
      </c>
      <c r="AR27" s="14">
        <f t="shared" si="25"/>
        <v>-6.1945166567598742E-2</v>
      </c>
      <c r="AS27" s="14">
        <f t="shared" si="25"/>
        <v>-6.1752966422560673E-2</v>
      </c>
      <c r="AT27" s="14">
        <f t="shared" si="25"/>
        <v>0</v>
      </c>
      <c r="AU27" s="14">
        <f t="shared" si="25"/>
        <v>0</v>
      </c>
      <c r="AV27" s="14">
        <f t="shared" si="25"/>
        <v>0</v>
      </c>
      <c r="AW27" s="14">
        <f t="shared" si="25"/>
        <v>0</v>
      </c>
      <c r="AX27" s="14">
        <f t="shared" si="25"/>
        <v>0</v>
      </c>
      <c r="AY27" s="14">
        <f t="shared" si="25"/>
        <v>0</v>
      </c>
      <c r="AZ27" s="14">
        <f t="shared" ref="AZ27:BK27" si="29">-IFERROR(((1-AZ45/AZ15)^(360/AZ$4))-1,0)</f>
        <v>-9.2238620718310127E-3</v>
      </c>
      <c r="BA27" s="14">
        <f t="shared" si="29"/>
        <v>-9.6013163052863781E-3</v>
      </c>
      <c r="BB27" s="14">
        <f t="shared" si="29"/>
        <v>-1.0011330647728078E-2</v>
      </c>
      <c r="BC27" s="14">
        <f t="shared" si="29"/>
        <v>-1.0385004360120131E-2</v>
      </c>
      <c r="BD27" s="14">
        <f t="shared" si="29"/>
        <v>-1.0747024329251342E-2</v>
      </c>
      <c r="BE27" s="14">
        <f t="shared" si="29"/>
        <v>-1.1195717324722576E-2</v>
      </c>
      <c r="BF27" s="14">
        <f t="shared" si="29"/>
        <v>-1.1540416892172001E-2</v>
      </c>
      <c r="BG27" s="14">
        <f t="shared" si="29"/>
        <v>-1.1874475379452187E-2</v>
      </c>
      <c r="BH27" s="14">
        <f t="shared" si="29"/>
        <v>-1.2393390906705326E-2</v>
      </c>
      <c r="BI27" s="14">
        <f t="shared" si="29"/>
        <v>-1.2919555324678589E-2</v>
      </c>
      <c r="BJ27" s="14">
        <f t="shared" si="29"/>
        <v>-1.3337589653706239E-2</v>
      </c>
      <c r="BK27" s="14">
        <f t="shared" si="29"/>
        <v>-1.3630189865764697E-2</v>
      </c>
      <c r="BO27" s="28">
        <f t="shared" ref="BO27:BO29" si="30">-IFERROR(((1-BO45/BW15)^(360/BO$4))-1,0)</f>
        <v>-6.2373716496986642E-2</v>
      </c>
      <c r="BP27" s="28">
        <f t="shared" si="27"/>
        <v>-9.5989465058294865E-3</v>
      </c>
      <c r="BQ27" s="28">
        <f t="shared" si="27"/>
        <v>-6.2541969720323554E-2</v>
      </c>
      <c r="BR27" s="28">
        <f t="shared" si="27"/>
        <v>-6.6486419311737821E-2</v>
      </c>
      <c r="BS27" s="28">
        <f t="shared" si="27"/>
        <v>-7.5981906824386103E-2</v>
      </c>
      <c r="BT27" s="28">
        <f t="shared" si="27"/>
        <v>-7.5636938156593336E-2</v>
      </c>
    </row>
    <row r="28" spans="1:80" hidden="1" outlineLevel="1" x14ac:dyDescent="0.25">
      <c r="A28" s="11"/>
      <c r="C28" s="2" t="s">
        <v>45</v>
      </c>
      <c r="D28" s="14">
        <f t="shared" si="28"/>
        <v>-4.3249661382021687E-2</v>
      </c>
      <c r="E28" s="14">
        <f t="shared" si="25"/>
        <v>-4.3451217902261918E-2</v>
      </c>
      <c r="F28" s="14">
        <f t="shared" si="25"/>
        <v>-4.4422711779745994E-2</v>
      </c>
      <c r="G28" s="14">
        <f t="shared" si="25"/>
        <v>-4.5464566486573155E-2</v>
      </c>
      <c r="H28" s="14">
        <f t="shared" si="25"/>
        <v>-4.8342607476373978E-2</v>
      </c>
      <c r="I28" s="14">
        <f t="shared" si="25"/>
        <v>-7.4768979950667891E-2</v>
      </c>
      <c r="J28" s="14">
        <f t="shared" si="25"/>
        <v>-5.8845676027376559E-2</v>
      </c>
      <c r="K28" s="14">
        <f t="shared" si="25"/>
        <v>-7.7477388544246573E-2</v>
      </c>
      <c r="L28" s="14">
        <f t="shared" si="25"/>
        <v>-5.7281486154427297E-2</v>
      </c>
      <c r="M28" s="14">
        <f t="shared" si="25"/>
        <v>-6.1266092450150023E-2</v>
      </c>
      <c r="N28" s="14">
        <f t="shared" si="25"/>
        <v>-6.446537709575284E-2</v>
      </c>
      <c r="O28" s="14">
        <f t="shared" si="25"/>
        <v>-6.7829118894899842E-2</v>
      </c>
      <c r="P28" s="14">
        <f t="shared" si="25"/>
        <v>-7.0959804014564698E-2</v>
      </c>
      <c r="Q28" s="14">
        <f t="shared" si="25"/>
        <v>-7.3442456715754556E-2</v>
      </c>
      <c r="R28" s="14">
        <f t="shared" si="25"/>
        <v>-7.3877651634547625E-2</v>
      </c>
      <c r="S28" s="14">
        <f t="shared" si="25"/>
        <v>-7.5721567003500523E-2</v>
      </c>
      <c r="T28" s="14">
        <f t="shared" si="25"/>
        <v>-7.5864370497078282E-2</v>
      </c>
      <c r="U28" s="14">
        <f t="shared" si="25"/>
        <v>-7.588985323190145E-2</v>
      </c>
      <c r="V28" s="14">
        <f t="shared" si="25"/>
        <v>-7.5998099925144391E-2</v>
      </c>
      <c r="W28" s="14">
        <f t="shared" si="25"/>
        <v>-7.5498450649962523E-2</v>
      </c>
      <c r="X28" s="14">
        <f t="shared" si="25"/>
        <v>-7.5684698899160407E-2</v>
      </c>
      <c r="Y28" s="14">
        <f t="shared" si="25"/>
        <v>-7.5315041836901075E-2</v>
      </c>
      <c r="Z28" s="14">
        <f t="shared" si="25"/>
        <v>-7.4668685606126273E-2</v>
      </c>
      <c r="AA28" s="14">
        <f t="shared" si="25"/>
        <v>-7.4294178935136124E-2</v>
      </c>
      <c r="AB28" s="14">
        <f t="shared" si="25"/>
        <v>-7.5008034970759807E-2</v>
      </c>
      <c r="AC28" s="14">
        <f t="shared" si="25"/>
        <v>-7.447228491363389E-2</v>
      </c>
      <c r="AD28" s="14">
        <f t="shared" si="25"/>
        <v>-8.0669001007764862E-2</v>
      </c>
      <c r="AE28" s="14">
        <f t="shared" si="25"/>
        <v>-7.4407255061880839E-2</v>
      </c>
      <c r="AF28" s="14">
        <f t="shared" si="25"/>
        <v>-7.4127928477517813E-2</v>
      </c>
      <c r="AG28" s="14">
        <f t="shared" si="25"/>
        <v>-7.371857463901299E-2</v>
      </c>
      <c r="AH28" s="14">
        <f t="shared" si="25"/>
        <v>-7.3283178813729588E-2</v>
      </c>
      <c r="AI28" s="14">
        <f t="shared" si="25"/>
        <v>-7.2685194714319001E-2</v>
      </c>
      <c r="AJ28" s="14">
        <f t="shared" si="25"/>
        <v>-7.2079795098401567E-2</v>
      </c>
      <c r="AK28" s="14">
        <f t="shared" si="25"/>
        <v>-9.7774373345198784E-2</v>
      </c>
      <c r="AL28" s="14">
        <f t="shared" si="25"/>
        <v>-7.1479917863426001E-2</v>
      </c>
      <c r="AM28" s="14">
        <f t="shared" si="25"/>
        <v>-7.1333895332349906E-2</v>
      </c>
      <c r="AN28" s="14">
        <f t="shared" si="25"/>
        <v>-7.0363368480435451E-2</v>
      </c>
      <c r="AO28" s="14">
        <f t="shared" si="25"/>
        <v>-6.9881557466722866E-2</v>
      </c>
      <c r="AP28" s="14">
        <f t="shared" si="25"/>
        <v>-6.92210190736533E-2</v>
      </c>
      <c r="AQ28" s="14">
        <f t="shared" si="25"/>
        <v>-6.884249859288194E-2</v>
      </c>
      <c r="AR28" s="14">
        <f t="shared" si="25"/>
        <v>-6.7878466064993148E-2</v>
      </c>
      <c r="AS28" s="14">
        <f t="shared" si="25"/>
        <v>-6.6967485226073542E-2</v>
      </c>
      <c r="AT28" s="14">
        <f t="shared" si="25"/>
        <v>0</v>
      </c>
      <c r="AU28" s="14">
        <f t="shared" si="25"/>
        <v>0</v>
      </c>
      <c r="AV28" s="14">
        <f t="shared" si="25"/>
        <v>0</v>
      </c>
      <c r="AW28" s="14">
        <f t="shared" si="25"/>
        <v>0</v>
      </c>
      <c r="AX28" s="14">
        <f t="shared" si="25"/>
        <v>0</v>
      </c>
      <c r="AY28" s="14">
        <f t="shared" si="25"/>
        <v>0</v>
      </c>
      <c r="AZ28" s="14">
        <f t="shared" ref="AZ28:BK28" si="31">-IFERROR(((1-AZ46/AZ16)^(360/AZ$4))-1,0)</f>
        <v>-5.3382865564107096E-2</v>
      </c>
      <c r="BA28" s="14">
        <f t="shared" si="31"/>
        <v>-5.3569119482400174E-2</v>
      </c>
      <c r="BB28" s="14">
        <f t="shared" si="31"/>
        <v>-5.5112491771328376E-2</v>
      </c>
      <c r="BC28" s="14">
        <f t="shared" si="31"/>
        <v>-5.6031017545549844E-2</v>
      </c>
      <c r="BD28" s="14">
        <f t="shared" si="31"/>
        <v>-5.6501452070844893E-2</v>
      </c>
      <c r="BE28" s="14">
        <f t="shared" si="31"/>
        <v>-5.6723422550275737E-2</v>
      </c>
      <c r="BF28" s="14">
        <f t="shared" si="31"/>
        <v>-5.7207840879597516E-2</v>
      </c>
      <c r="BG28" s="14">
        <f t="shared" si="31"/>
        <v>-5.6706672247610168E-2</v>
      </c>
      <c r="BH28" s="14">
        <f t="shared" si="31"/>
        <v>-5.6951849132349741E-2</v>
      </c>
      <c r="BI28" s="14">
        <f t="shared" si="31"/>
        <v>-5.7634000146145503E-2</v>
      </c>
      <c r="BJ28" s="14">
        <f t="shared" si="31"/>
        <v>-5.8306170155205894E-2</v>
      </c>
      <c r="BK28" s="14">
        <f t="shared" si="31"/>
        <v>-5.8299063331024525E-2</v>
      </c>
      <c r="BO28" s="28">
        <f t="shared" si="30"/>
        <v>-6.9810611306997172E-2</v>
      </c>
      <c r="BP28" s="28">
        <f t="shared" si="27"/>
        <v>-5.4006352511213773E-2</v>
      </c>
      <c r="BQ28" s="28">
        <f t="shared" si="27"/>
        <v>-7.018330193831579E-2</v>
      </c>
      <c r="BR28" s="28">
        <f t="shared" si="27"/>
        <v>-7.652958320458203E-2</v>
      </c>
      <c r="BS28" s="28">
        <f t="shared" si="27"/>
        <v>-7.2715482787458097E-2</v>
      </c>
      <c r="BT28" s="28">
        <f t="shared" si="27"/>
        <v>-4.3635052901543903E-2</v>
      </c>
    </row>
    <row r="29" spans="1:80" collapsed="1" x14ac:dyDescent="0.25">
      <c r="C29" s="3" t="s">
        <v>60</v>
      </c>
      <c r="D29" s="15">
        <f t="shared" si="28"/>
        <v>-6.8632503949610291E-2</v>
      </c>
      <c r="E29" s="15">
        <f t="shared" si="25"/>
        <v>-7.1229196230274461E-2</v>
      </c>
      <c r="F29" s="15">
        <f t="shared" si="25"/>
        <v>-7.3257773173234231E-2</v>
      </c>
      <c r="G29" s="15">
        <f t="shared" si="25"/>
        <v>-7.4561408296673681E-2</v>
      </c>
      <c r="H29" s="15">
        <f t="shared" si="25"/>
        <v>-7.5419521037789927E-2</v>
      </c>
      <c r="I29" s="15">
        <f t="shared" si="25"/>
        <v>-7.7340970386901686E-2</v>
      </c>
      <c r="J29" s="15">
        <f t="shared" si="25"/>
        <v>-7.6619985050876416E-2</v>
      </c>
      <c r="K29" s="15">
        <f t="shared" si="25"/>
        <v>-7.7087929810232936E-2</v>
      </c>
      <c r="L29" s="15">
        <f t="shared" si="25"/>
        <v>-7.6490688619721858E-2</v>
      </c>
      <c r="M29" s="15">
        <f t="shared" si="25"/>
        <v>-7.7121098330177329E-2</v>
      </c>
      <c r="N29" s="15">
        <f t="shared" si="25"/>
        <v>-7.7585987803489465E-2</v>
      </c>
      <c r="O29" s="15">
        <f t="shared" si="25"/>
        <v>-7.7842082734570717E-2</v>
      </c>
      <c r="P29" s="15">
        <f t="shared" si="25"/>
        <v>-7.7792953815164045E-2</v>
      </c>
      <c r="Q29" s="15">
        <f t="shared" si="25"/>
        <v>-7.7607240781376152E-2</v>
      </c>
      <c r="R29" s="15">
        <f t="shared" si="25"/>
        <v>-7.7207041020350697E-2</v>
      </c>
      <c r="S29" s="15">
        <f t="shared" si="25"/>
        <v>-7.6927268337086963E-2</v>
      </c>
      <c r="T29" s="15">
        <f t="shared" si="25"/>
        <v>-7.6569450011030327E-2</v>
      </c>
      <c r="U29" s="15">
        <f t="shared" si="25"/>
        <v>-7.6113926489722372E-2</v>
      </c>
      <c r="V29" s="15">
        <f t="shared" si="25"/>
        <v>-7.5632466850271252E-2</v>
      </c>
      <c r="W29" s="15">
        <f t="shared" si="25"/>
        <v>-7.5026186351491608E-2</v>
      </c>
      <c r="X29" s="15">
        <f t="shared" si="25"/>
        <v>-7.435463391077124E-2</v>
      </c>
      <c r="Y29" s="15">
        <f t="shared" si="25"/>
        <v>-7.354199438789677E-2</v>
      </c>
      <c r="Z29" s="15">
        <f t="shared" si="25"/>
        <v>-7.2882975542563511E-2</v>
      </c>
      <c r="AA29" s="15">
        <f t="shared" si="25"/>
        <v>-7.220982163893841E-2</v>
      </c>
      <c r="AB29" s="15">
        <f t="shared" si="25"/>
        <v>-7.1727782315571975E-2</v>
      </c>
      <c r="AC29" s="15">
        <f t="shared" si="25"/>
        <v>-7.0932353064489639E-2</v>
      </c>
      <c r="AD29" s="15">
        <f t="shared" si="25"/>
        <v>-6.9807477134056661E-2</v>
      </c>
      <c r="AE29" s="15">
        <f t="shared" si="25"/>
        <v>-6.9009859057222123E-2</v>
      </c>
      <c r="AF29" s="15">
        <f t="shared" si="25"/>
        <v>-6.8276561448806783E-2</v>
      </c>
      <c r="AG29" s="15">
        <f t="shared" si="25"/>
        <v>-6.7477773974164768E-2</v>
      </c>
      <c r="AH29" s="15">
        <f t="shared" si="25"/>
        <v>-6.6584048031511189E-2</v>
      </c>
      <c r="AI29" s="15">
        <f t="shared" si="25"/>
        <v>-6.5708789806419698E-2</v>
      </c>
      <c r="AJ29" s="15">
        <f t="shared" si="25"/>
        <v>-6.5062318216724924E-2</v>
      </c>
      <c r="AK29" s="15">
        <f t="shared" si="25"/>
        <v>-6.5917951857428658E-2</v>
      </c>
      <c r="AL29" s="15">
        <f t="shared" si="25"/>
        <v>-6.4228217785831987E-2</v>
      </c>
      <c r="AM29" s="15">
        <f t="shared" si="25"/>
        <v>-6.3713343522811661E-2</v>
      </c>
      <c r="AN29" s="15">
        <f t="shared" si="25"/>
        <v>-6.3198140058940755E-2</v>
      </c>
      <c r="AO29" s="15">
        <f t="shared" si="25"/>
        <v>-6.2371343962045245E-2</v>
      </c>
      <c r="AP29" s="15">
        <f t="shared" si="25"/>
        <v>-6.1588002100108286E-2</v>
      </c>
      <c r="AQ29" s="15">
        <f t="shared" si="25"/>
        <v>-6.1177374824953556E-2</v>
      </c>
      <c r="AR29" s="15">
        <f t="shared" si="25"/>
        <v>-6.0891534234172928E-2</v>
      </c>
      <c r="AS29" s="15">
        <f t="shared" si="25"/>
        <v>-6.0388147085307375E-2</v>
      </c>
      <c r="AT29" s="15">
        <f t="shared" si="25"/>
        <v>0</v>
      </c>
      <c r="AU29" s="15">
        <f t="shared" si="25"/>
        <v>0</v>
      </c>
      <c r="AV29" s="15">
        <f t="shared" si="25"/>
        <v>0</v>
      </c>
      <c r="AW29" s="15">
        <f t="shared" si="25"/>
        <v>0</v>
      </c>
      <c r="AX29" s="15">
        <f t="shared" si="25"/>
        <v>0</v>
      </c>
      <c r="AY29" s="15">
        <f t="shared" si="25"/>
        <v>0</v>
      </c>
      <c r="AZ29" s="15">
        <f t="shared" ref="AZ29:BK29" si="32">-IFERROR(((1-AZ47/AZ17)^(360/AZ$4))-1,0)</f>
        <v>-6.3208662261643678E-2</v>
      </c>
      <c r="BA29" s="15">
        <f t="shared" si="32"/>
        <v>-6.2825939786161911E-2</v>
      </c>
      <c r="BB29" s="15">
        <f t="shared" si="32"/>
        <v>-6.2318422055027467E-2</v>
      </c>
      <c r="BC29" s="15">
        <f t="shared" si="32"/>
        <v>-6.1874581763677883E-2</v>
      </c>
      <c r="BD29" s="15">
        <f t="shared" si="32"/>
        <v>-6.1448334403964244E-2</v>
      </c>
      <c r="BE29" s="15">
        <f t="shared" si="32"/>
        <v>-6.1039085577381247E-2</v>
      </c>
      <c r="BF29" s="15">
        <f t="shared" si="32"/>
        <v>-6.0653906012268388E-2</v>
      </c>
      <c r="BG29" s="15">
        <f t="shared" si="32"/>
        <v>-6.0273501696234133E-2</v>
      </c>
      <c r="BH29" s="15">
        <f t="shared" si="32"/>
        <v>-5.987766673797501E-2</v>
      </c>
      <c r="BI29" s="15">
        <f t="shared" si="32"/>
        <v>-5.9534652688183032E-2</v>
      </c>
      <c r="BJ29" s="15">
        <f t="shared" si="32"/>
        <v>-5.9242131373334228E-2</v>
      </c>
      <c r="BK29" s="15">
        <f t="shared" si="32"/>
        <v>-5.8973328231544553E-2</v>
      </c>
      <c r="BO29" s="29">
        <f t="shared" si="30"/>
        <v>-6.2379947901807009E-2</v>
      </c>
      <c r="BP29" s="29">
        <f t="shared" si="27"/>
        <v>-6.2787367469070876E-2</v>
      </c>
      <c r="BQ29" s="29">
        <f t="shared" si="27"/>
        <v>-6.2786849271379452E-2</v>
      </c>
      <c r="BR29" s="29">
        <f t="shared" si="27"/>
        <v>-7.0825393848052087E-2</v>
      </c>
      <c r="BS29" s="29">
        <f t="shared" si="27"/>
        <v>-7.7539079855929893E-2</v>
      </c>
      <c r="BT29" s="29">
        <f t="shared" si="27"/>
        <v>-7.1086349424531958E-2</v>
      </c>
    </row>
    <row r="32" spans="1:80" hidden="1" outlineLevel="1" x14ac:dyDescent="0.25">
      <c r="A32" s="11"/>
      <c r="C32" s="2" t="s">
        <v>0</v>
      </c>
      <c r="D32" s="14">
        <f>D20+D26</f>
        <v>0.12957707244203953</v>
      </c>
      <c r="E32" s="14">
        <f t="shared" ref="E32:AY32" si="33">E20+E26</f>
        <v>0.13053332292250652</v>
      </c>
      <c r="F32" s="14">
        <f t="shared" si="33"/>
        <v>0.12426062443107777</v>
      </c>
      <c r="G32" s="14">
        <f t="shared" si="33"/>
        <v>0.11444365037780768</v>
      </c>
      <c r="H32" s="14">
        <f t="shared" si="33"/>
        <v>0.12460864626246315</v>
      </c>
      <c r="I32" s="14">
        <f t="shared" si="33"/>
        <v>0.12217596179524826</v>
      </c>
      <c r="J32" s="14">
        <f t="shared" si="33"/>
        <v>0.12133667400917991</v>
      </c>
      <c r="K32" s="14">
        <f t="shared" si="33"/>
        <v>0.12261641523969558</v>
      </c>
      <c r="L32" s="14">
        <f t="shared" si="33"/>
        <v>0.11911671683871861</v>
      </c>
      <c r="M32" s="14">
        <f t="shared" si="33"/>
        <v>0.11631001539658059</v>
      </c>
      <c r="N32" s="14">
        <f t="shared" si="33"/>
        <v>0.11207133816731685</v>
      </c>
      <c r="O32" s="14">
        <f t="shared" si="33"/>
        <v>0.10703054666006961</v>
      </c>
      <c r="P32" s="14">
        <f t="shared" si="33"/>
        <v>0.10655165389761923</v>
      </c>
      <c r="Q32" s="14">
        <f t="shared" si="33"/>
        <v>0.10256529323406172</v>
      </c>
      <c r="R32" s="14">
        <f t="shared" si="33"/>
        <v>0.10329655979978614</v>
      </c>
      <c r="S32" s="14">
        <f t="shared" si="33"/>
        <v>0.10790820542704038</v>
      </c>
      <c r="T32" s="14">
        <f t="shared" si="33"/>
        <v>0.11090204259276137</v>
      </c>
      <c r="U32" s="14">
        <f t="shared" si="33"/>
        <v>0.11212113034217963</v>
      </c>
      <c r="V32" s="14">
        <f t="shared" si="33"/>
        <v>0.11781654559036392</v>
      </c>
      <c r="W32" s="14">
        <f t="shared" si="33"/>
        <v>0.11706620290620173</v>
      </c>
      <c r="X32" s="14">
        <f t="shared" si="33"/>
        <v>0.11757491279217214</v>
      </c>
      <c r="Y32" s="14">
        <f t="shared" si="33"/>
        <v>0.11711767623801728</v>
      </c>
      <c r="Z32" s="14">
        <f t="shared" si="33"/>
        <v>0.11293385894688712</v>
      </c>
      <c r="AA32" s="14">
        <f t="shared" si="33"/>
        <v>0.11245084031856223</v>
      </c>
      <c r="AB32" s="14">
        <f t="shared" si="33"/>
        <v>0.11382200156120215</v>
      </c>
      <c r="AC32" s="14">
        <f t="shared" si="33"/>
        <v>0.11141467823899798</v>
      </c>
      <c r="AD32" s="14">
        <f t="shared" si="33"/>
        <v>0.11446567034104294</v>
      </c>
      <c r="AE32" s="14">
        <f t="shared" si="33"/>
        <v>0.11525253273608205</v>
      </c>
      <c r="AF32" s="14">
        <f t="shared" si="33"/>
        <v>0.11596276362556113</v>
      </c>
      <c r="AG32" s="14">
        <f t="shared" si="33"/>
        <v>0.11594511236532923</v>
      </c>
      <c r="AH32" s="14">
        <f t="shared" si="33"/>
        <v>0.11730403768283093</v>
      </c>
      <c r="AI32" s="14">
        <f t="shared" si="33"/>
        <v>0.11801830541028768</v>
      </c>
      <c r="AJ32" s="14">
        <f t="shared" si="33"/>
        <v>0.11956423920401416</v>
      </c>
      <c r="AK32" s="14">
        <f t="shared" si="33"/>
        <v>0.12014213967134002</v>
      </c>
      <c r="AL32" s="14">
        <f t="shared" si="33"/>
        <v>0.11940941008301209</v>
      </c>
      <c r="AM32" s="14">
        <f t="shared" si="33"/>
        <v>0.12425277593739925</v>
      </c>
      <c r="AN32" s="14">
        <f t="shared" si="33"/>
        <v>0.12563872848513258</v>
      </c>
      <c r="AO32" s="14">
        <f t="shared" si="33"/>
        <v>0.12717412476023604</v>
      </c>
      <c r="AP32" s="14">
        <f t="shared" si="33"/>
        <v>0.12715084264226539</v>
      </c>
      <c r="AQ32" s="14">
        <f t="shared" si="33"/>
        <v>0.12559410449970154</v>
      </c>
      <c r="AR32" s="14">
        <f t="shared" si="33"/>
        <v>0.12544720625467853</v>
      </c>
      <c r="AS32" s="14">
        <f t="shared" si="33"/>
        <v>0.12556351446131453</v>
      </c>
      <c r="AT32" s="14">
        <f t="shared" si="33"/>
        <v>0</v>
      </c>
      <c r="AU32" s="14">
        <f t="shared" si="33"/>
        <v>0</v>
      </c>
      <c r="AV32" s="14">
        <f t="shared" si="33"/>
        <v>0</v>
      </c>
      <c r="AW32" s="14">
        <f t="shared" si="33"/>
        <v>0</v>
      </c>
      <c r="AX32" s="14">
        <f t="shared" si="33"/>
        <v>0</v>
      </c>
      <c r="AY32" s="14">
        <f t="shared" si="33"/>
        <v>0</v>
      </c>
      <c r="AZ32" s="14">
        <f t="shared" ref="AZ32:BK32" si="34">AZ20+AZ26</f>
        <v>0.11973761707696995</v>
      </c>
      <c r="BA32" s="14">
        <f t="shared" si="34"/>
        <v>0.11912621599137108</v>
      </c>
      <c r="BB32" s="14">
        <f t="shared" si="34"/>
        <v>0.12158653472960257</v>
      </c>
      <c r="BC32" s="14">
        <f t="shared" si="34"/>
        <v>0.12256949767784775</v>
      </c>
      <c r="BD32" s="14">
        <f t="shared" si="34"/>
        <v>0.12434407343532916</v>
      </c>
      <c r="BE32" s="14">
        <f t="shared" si="34"/>
        <v>0.12644823165246821</v>
      </c>
      <c r="BF32" s="14">
        <f t="shared" si="34"/>
        <v>0.12794889556168187</v>
      </c>
      <c r="BG32" s="14">
        <f t="shared" si="34"/>
        <v>0.12968704748599125</v>
      </c>
      <c r="BH32" s="14">
        <f t="shared" si="34"/>
        <v>0.13053931760882542</v>
      </c>
      <c r="BI32" s="14">
        <f t="shared" si="34"/>
        <v>0.13281446898367721</v>
      </c>
      <c r="BJ32" s="14">
        <f t="shared" si="34"/>
        <v>0.13397518675655973</v>
      </c>
      <c r="BK32" s="14">
        <f t="shared" si="34"/>
        <v>0.13662320352210955</v>
      </c>
      <c r="BO32" s="28">
        <f>BO20+BO26</f>
        <v>0.12664605893352521</v>
      </c>
      <c r="BP32" s="28">
        <f t="shared" ref="BP32:BT32" si="35">BP20+BP26</f>
        <v>0.12019547573318956</v>
      </c>
      <c r="BQ32" s="28">
        <f t="shared" si="35"/>
        <v>0.12632952724012059</v>
      </c>
      <c r="BR32" s="28">
        <f t="shared" si="35"/>
        <v>0.11331051560169603</v>
      </c>
      <c r="BS32" s="28">
        <f t="shared" si="35"/>
        <v>0.10420439787479907</v>
      </c>
      <c r="BT32" s="28">
        <f t="shared" si="35"/>
        <v>0.12801156847073858</v>
      </c>
    </row>
    <row r="33" spans="1:72" hidden="1" outlineLevel="1" x14ac:dyDescent="0.25">
      <c r="A33" s="11"/>
      <c r="C33" s="2" t="s">
        <v>1</v>
      </c>
      <c r="D33" s="14">
        <f t="shared" ref="D33:AY35" si="36">D21+D27</f>
        <v>-2.7371475437085735E-3</v>
      </c>
      <c r="E33" s="14">
        <f t="shared" si="36"/>
        <v>2.6009715334096573E-3</v>
      </c>
      <c r="F33" s="14">
        <f t="shared" si="36"/>
        <v>-2.1363637056019069E-2</v>
      </c>
      <c r="G33" s="14">
        <f t="shared" si="36"/>
        <v>-2.968455937207537E-2</v>
      </c>
      <c r="H33" s="14">
        <f t="shared" si="36"/>
        <v>-2.3741630276043368E-2</v>
      </c>
      <c r="I33" s="14">
        <f t="shared" si="36"/>
        <v>-2.2178478754284914E-2</v>
      </c>
      <c r="J33" s="14">
        <f t="shared" si="36"/>
        <v>-1.4918890323166289E-2</v>
      </c>
      <c r="K33" s="14">
        <f t="shared" si="36"/>
        <v>-8.2048887726522413E-3</v>
      </c>
      <c r="L33" s="14">
        <f t="shared" si="36"/>
        <v>-4.2408106600102524E-3</v>
      </c>
      <c r="M33" s="14">
        <f t="shared" si="36"/>
        <v>-1.3236576607324801E-2</v>
      </c>
      <c r="N33" s="14">
        <f t="shared" si="36"/>
        <v>-1.454662532547335E-3</v>
      </c>
      <c r="O33" s="14">
        <f t="shared" si="36"/>
        <v>-7.6230527964820105E-3</v>
      </c>
      <c r="P33" s="14">
        <f t="shared" si="36"/>
        <v>-4.8760107067846725E-4</v>
      </c>
      <c r="Q33" s="14">
        <f t="shared" si="36"/>
        <v>3.5013361685716227E-3</v>
      </c>
      <c r="R33" s="14">
        <f t="shared" si="36"/>
        <v>-1.2267466294132667E-2</v>
      </c>
      <c r="S33" s="14">
        <f t="shared" si="36"/>
        <v>4.541765077752391E-3</v>
      </c>
      <c r="T33" s="14">
        <f t="shared" si="36"/>
        <v>-1.3409765652669492E-2</v>
      </c>
      <c r="U33" s="14">
        <f t="shared" si="36"/>
        <v>-5.0795204802533966E-3</v>
      </c>
      <c r="V33" s="14">
        <f t="shared" si="36"/>
        <v>-4.1484003716418805E-4</v>
      </c>
      <c r="W33" s="14">
        <f t="shared" si="36"/>
        <v>-9.2662855795160315E-3</v>
      </c>
      <c r="X33" s="14">
        <f t="shared" si="36"/>
        <v>-3.8947574879142355E-3</v>
      </c>
      <c r="Y33" s="14">
        <f t="shared" si="36"/>
        <v>-1.2683445853713282E-2</v>
      </c>
      <c r="Z33" s="14">
        <f t="shared" si="36"/>
        <v>-1.1139963405103481E-2</v>
      </c>
      <c r="AA33" s="14">
        <f t="shared" si="36"/>
        <v>-8.5178403544634573E-3</v>
      </c>
      <c r="AB33" s="14">
        <f t="shared" si="36"/>
        <v>-5.4566187306259728E-4</v>
      </c>
      <c r="AC33" s="14">
        <f t="shared" si="36"/>
        <v>4.3248099533093054E-3</v>
      </c>
      <c r="AD33" s="14">
        <f t="shared" si="36"/>
        <v>-6.9093559956774353E-3</v>
      </c>
      <c r="AE33" s="14">
        <f t="shared" si="36"/>
        <v>-2.2599183169735859E-3</v>
      </c>
      <c r="AF33" s="14">
        <f t="shared" si="36"/>
        <v>-2.3924693671961705E-4</v>
      </c>
      <c r="AG33" s="14">
        <f t="shared" si="36"/>
        <v>1.0508071306540856E-3</v>
      </c>
      <c r="AH33" s="14">
        <f t="shared" si="36"/>
        <v>1.1326296743778608E-2</v>
      </c>
      <c r="AI33" s="14">
        <f t="shared" si="36"/>
        <v>3.4660107385442451E-4</v>
      </c>
      <c r="AJ33" s="14">
        <f t="shared" si="36"/>
        <v>1.1673804666196164E-2</v>
      </c>
      <c r="AK33" s="14">
        <f t="shared" si="36"/>
        <v>8.9500503941097875E-3</v>
      </c>
      <c r="AL33" s="14">
        <f t="shared" si="36"/>
        <v>5.5494146664816224E-3</v>
      </c>
      <c r="AM33" s="14">
        <f t="shared" si="36"/>
        <v>1.9030022023239779E-2</v>
      </c>
      <c r="AN33" s="14">
        <f t="shared" si="36"/>
        <v>1.3505396077304832E-2</v>
      </c>
      <c r="AO33" s="14">
        <f t="shared" si="36"/>
        <v>1.7853556841572749E-2</v>
      </c>
      <c r="AP33" s="14">
        <f t="shared" si="36"/>
        <v>1.6191865723188537E-2</v>
      </c>
      <c r="AQ33" s="14">
        <f t="shared" si="36"/>
        <v>1.878859651040532E-2</v>
      </c>
      <c r="AR33" s="14">
        <f t="shared" si="36"/>
        <v>1.1478710131934022E-2</v>
      </c>
      <c r="AS33" s="14">
        <f t="shared" si="36"/>
        <v>2.2008528145468942E-2</v>
      </c>
      <c r="AT33" s="14">
        <f t="shared" si="36"/>
        <v>0</v>
      </c>
      <c r="AU33" s="14">
        <f t="shared" si="36"/>
        <v>0</v>
      </c>
      <c r="AV33" s="14">
        <f t="shared" si="36"/>
        <v>0</v>
      </c>
      <c r="AW33" s="14">
        <f t="shared" si="36"/>
        <v>0</v>
      </c>
      <c r="AX33" s="14">
        <f t="shared" si="36"/>
        <v>0</v>
      </c>
      <c r="AY33" s="14">
        <f t="shared" si="36"/>
        <v>0</v>
      </c>
      <c r="AZ33" s="14">
        <f t="shared" ref="AZ33:BK33" si="37">AZ21+AZ27</f>
        <v>6.2445762830848128E-2</v>
      </c>
      <c r="BA33" s="14">
        <f t="shared" si="37"/>
        <v>6.201329816784229E-2</v>
      </c>
      <c r="BB33" s="14">
        <f t="shared" si="37"/>
        <v>6.1986679807676914E-2</v>
      </c>
      <c r="BC33" s="14">
        <f t="shared" si="37"/>
        <v>6.1375745583618135E-2</v>
      </c>
      <c r="BD33" s="14">
        <f t="shared" si="37"/>
        <v>6.1044100628172782E-2</v>
      </c>
      <c r="BE33" s="14">
        <f t="shared" si="37"/>
        <v>6.0654244460799145E-2</v>
      </c>
      <c r="BF33" s="14">
        <f t="shared" si="37"/>
        <v>6.0260195336722555E-2</v>
      </c>
      <c r="BG33" s="14">
        <f t="shared" si="37"/>
        <v>5.993942427782839E-2</v>
      </c>
      <c r="BH33" s="14">
        <f t="shared" si="37"/>
        <v>5.942810031719481E-2</v>
      </c>
      <c r="BI33" s="14">
        <f t="shared" si="37"/>
        <v>5.8892445712014352E-2</v>
      </c>
      <c r="BJ33" s="14">
        <f t="shared" si="37"/>
        <v>5.847820765225098E-2</v>
      </c>
      <c r="BK33" s="14">
        <f t="shared" si="37"/>
        <v>5.818623998975081E-2</v>
      </c>
      <c r="BO33" s="28">
        <f t="shared" ref="BO33:BT35" si="38">BO21+BO27</f>
        <v>1.5760468106648329E-2</v>
      </c>
      <c r="BP33" s="28">
        <f t="shared" si="38"/>
        <v>6.2164372872353324E-2</v>
      </c>
      <c r="BQ33" s="28">
        <f t="shared" si="38"/>
        <v>1.5551039693884716E-2</v>
      </c>
      <c r="BR33" s="28">
        <f t="shared" si="38"/>
        <v>-1.2337080067734707E-3</v>
      </c>
      <c r="BS33" s="28">
        <f t="shared" si="38"/>
        <v>-3.7605291043600886E-3</v>
      </c>
      <c r="BT33" s="28">
        <f t="shared" si="38"/>
        <v>-7.768088956917607E-3</v>
      </c>
    </row>
    <row r="34" spans="1:72" hidden="1" outlineLevel="1" x14ac:dyDescent="0.25">
      <c r="A34" s="11"/>
      <c r="C34" s="2" t="s">
        <v>45</v>
      </c>
      <c r="D34" s="14">
        <f t="shared" si="36"/>
        <v>1.7716429483152663E-2</v>
      </c>
      <c r="E34" s="14">
        <f t="shared" si="36"/>
        <v>-6.8766466737686383E-3</v>
      </c>
      <c r="F34" s="14">
        <f t="shared" si="36"/>
        <v>7.9970299274698675E-3</v>
      </c>
      <c r="G34" s="14">
        <f t="shared" si="36"/>
        <v>1.0961774931552704E-2</v>
      </c>
      <c r="H34" s="14">
        <f t="shared" si="36"/>
        <v>4.6072929697737575E-2</v>
      </c>
      <c r="I34" s="14">
        <f t="shared" si="36"/>
        <v>-8.6184384634724331E-4</v>
      </c>
      <c r="J34" s="14">
        <f t="shared" si="36"/>
        <v>2.6714437074941477E-2</v>
      </c>
      <c r="K34" s="14">
        <f t="shared" si="36"/>
        <v>-1.7529855208304523E-2</v>
      </c>
      <c r="L34" s="14">
        <f t="shared" si="36"/>
        <v>-1.515013579254032E-2</v>
      </c>
      <c r="M34" s="14">
        <f t="shared" si="36"/>
        <v>-1.3995468880547479E-2</v>
      </c>
      <c r="N34" s="14">
        <f t="shared" si="36"/>
        <v>-4.055718337776959E-3</v>
      </c>
      <c r="O34" s="14">
        <f t="shared" si="36"/>
        <v>-6.5362555535788402E-3</v>
      </c>
      <c r="P34" s="14">
        <f t="shared" si="36"/>
        <v>-1.3706043643298527E-2</v>
      </c>
      <c r="Q34" s="14">
        <f t="shared" si="36"/>
        <v>-1.5199317125663914E-2</v>
      </c>
      <c r="R34" s="14">
        <f t="shared" si="36"/>
        <v>-1.2019477705695447E-2</v>
      </c>
      <c r="S34" s="14">
        <f t="shared" si="36"/>
        <v>5.3825839657160035E-3</v>
      </c>
      <c r="T34" s="14">
        <f t="shared" si="36"/>
        <v>3.0565769904760121E-3</v>
      </c>
      <c r="U34" s="14">
        <f t="shared" si="36"/>
        <v>2.4768486004605128E-2</v>
      </c>
      <c r="V34" s="14">
        <f t="shared" si="36"/>
        <v>3.1599515393842204E-2</v>
      </c>
      <c r="W34" s="14">
        <f t="shared" si="36"/>
        <v>5.6248776726410821E-3</v>
      </c>
      <c r="X34" s="14">
        <f t="shared" si="36"/>
        <v>3.6954365581327586E-3</v>
      </c>
      <c r="Y34" s="14">
        <f t="shared" si="36"/>
        <v>1.2250797610098285E-3</v>
      </c>
      <c r="Z34" s="14">
        <f t="shared" si="36"/>
        <v>2.6948928275597694E-2</v>
      </c>
      <c r="AA34" s="14">
        <f t="shared" si="36"/>
        <v>2.7906026276126372E-2</v>
      </c>
      <c r="AB34" s="14">
        <f t="shared" si="36"/>
        <v>1.4148601964915075E-2</v>
      </c>
      <c r="AC34" s="14">
        <f t="shared" si="36"/>
        <v>1.4300870636580143E-2</v>
      </c>
      <c r="AD34" s="14">
        <f t="shared" si="36"/>
        <v>2.7166708706388931E-2</v>
      </c>
      <c r="AE34" s="14">
        <f t="shared" si="36"/>
        <v>1.5433773382969695E-2</v>
      </c>
      <c r="AF34" s="14">
        <f t="shared" si="36"/>
        <v>2.6313076984874506E-2</v>
      </c>
      <c r="AG34" s="14">
        <f t="shared" si="36"/>
        <v>2.5758909279395503E-2</v>
      </c>
      <c r="AH34" s="14">
        <f t="shared" si="36"/>
        <v>2.9333243114913365E-2</v>
      </c>
      <c r="AI34" s="14">
        <f t="shared" si="36"/>
        <v>1.0545999265164641E-2</v>
      </c>
      <c r="AJ34" s="14">
        <f t="shared" si="36"/>
        <v>1.2988908489098616E-2</v>
      </c>
      <c r="AK34" s="14">
        <f t="shared" si="36"/>
        <v>-1.1591873592249335E-2</v>
      </c>
      <c r="AL34" s="14">
        <f t="shared" si="36"/>
        <v>5.1289151559453128E-2</v>
      </c>
      <c r="AM34" s="14">
        <f t="shared" si="36"/>
        <v>5.756559911901582E-2</v>
      </c>
      <c r="AN34" s="14">
        <f t="shared" si="36"/>
        <v>1.9612596460213849E-2</v>
      </c>
      <c r="AO34" s="14">
        <f t="shared" si="36"/>
        <v>2.6257568110449325E-2</v>
      </c>
      <c r="AP34" s="14">
        <f t="shared" si="36"/>
        <v>1.6971151849862975E-2</v>
      </c>
      <c r="AQ34" s="14">
        <f t="shared" si="36"/>
        <v>2.9836137708002086E-2</v>
      </c>
      <c r="AR34" s="14">
        <f t="shared" si="36"/>
        <v>4.5475978639540671E-2</v>
      </c>
      <c r="AS34" s="14">
        <f t="shared" si="36"/>
        <v>3.8865070265936108E-2</v>
      </c>
      <c r="AT34" s="14">
        <f t="shared" si="36"/>
        <v>0</v>
      </c>
      <c r="AU34" s="14">
        <f t="shared" si="36"/>
        <v>0</v>
      </c>
      <c r="AV34" s="14">
        <f t="shared" si="36"/>
        <v>0</v>
      </c>
      <c r="AW34" s="14">
        <f t="shared" si="36"/>
        <v>0</v>
      </c>
      <c r="AX34" s="14">
        <f t="shared" si="36"/>
        <v>0</v>
      </c>
      <c r="AY34" s="14">
        <f t="shared" si="36"/>
        <v>0</v>
      </c>
      <c r="AZ34" s="14">
        <f t="shared" ref="AZ34:BK34" si="39">AZ22+AZ28</f>
        <v>3.0811737038001441E-2</v>
      </c>
      <c r="BA34" s="14">
        <f t="shared" si="39"/>
        <v>3.9107258407898859E-2</v>
      </c>
      <c r="BB34" s="14">
        <f t="shared" si="39"/>
        <v>2.8465240172363071E-2</v>
      </c>
      <c r="BC34" s="14">
        <f t="shared" si="39"/>
        <v>3.0582252364158125E-2</v>
      </c>
      <c r="BD34" s="14">
        <f t="shared" si="39"/>
        <v>2.7041115409844219E-2</v>
      </c>
      <c r="BE34" s="14">
        <f t="shared" si="39"/>
        <v>2.9789417042023869E-2</v>
      </c>
      <c r="BF34" s="14">
        <f t="shared" si="39"/>
        <v>2.6411064596331801E-2</v>
      </c>
      <c r="BG34" s="14">
        <f t="shared" si="39"/>
        <v>2.6883355575144208E-2</v>
      </c>
      <c r="BH34" s="14">
        <f t="shared" si="39"/>
        <v>2.9558127086455332E-2</v>
      </c>
      <c r="BI34" s="14">
        <f t="shared" si="39"/>
        <v>2.597092701427961E-2</v>
      </c>
      <c r="BJ34" s="14">
        <f t="shared" si="39"/>
        <v>2.8198023988786902E-2</v>
      </c>
      <c r="BK34" s="14">
        <f t="shared" si="39"/>
        <v>2.5304617759099646E-2</v>
      </c>
      <c r="BO34" s="28">
        <f t="shared" si="38"/>
        <v>2.0820050187098538E-2</v>
      </c>
      <c r="BP34" s="28">
        <f t="shared" si="38"/>
        <v>3.2611133621254895E-2</v>
      </c>
      <c r="BQ34" s="28">
        <f t="shared" si="38"/>
        <v>2.2736127781270099E-2</v>
      </c>
      <c r="BR34" s="28">
        <f t="shared" si="38"/>
        <v>1.8311072516792315E-2</v>
      </c>
      <c r="BS34" s="28">
        <f t="shared" si="38"/>
        <v>-1.3618846721499933E-2</v>
      </c>
      <c r="BT34" s="28">
        <f t="shared" si="38"/>
        <v>6.5872351308386978E-3</v>
      </c>
    </row>
    <row r="35" spans="1:72" collapsed="1" x14ac:dyDescent="0.25">
      <c r="C35" s="3" t="s">
        <v>63</v>
      </c>
      <c r="D35" s="15">
        <f t="shared" si="36"/>
        <v>0.12489081996707307</v>
      </c>
      <c r="E35" s="15">
        <f t="shared" si="36"/>
        <v>0.12493327478216942</v>
      </c>
      <c r="F35" s="15">
        <f t="shared" si="36"/>
        <v>0.11992432935723896</v>
      </c>
      <c r="G35" s="15">
        <f t="shared" si="36"/>
        <v>0.11077939897112588</v>
      </c>
      <c r="H35" s="15">
        <f t="shared" si="36"/>
        <v>0.12199194655391277</v>
      </c>
      <c r="I35" s="15">
        <f t="shared" si="36"/>
        <v>0.11820980439698925</v>
      </c>
      <c r="J35" s="15">
        <f t="shared" si="36"/>
        <v>0.11773505631375714</v>
      </c>
      <c r="K35" s="15">
        <f t="shared" si="36"/>
        <v>0.11525771082858194</v>
      </c>
      <c r="L35" s="15">
        <f t="shared" si="36"/>
        <v>0.11071966464614991</v>
      </c>
      <c r="M35" s="15">
        <f t="shared" si="36"/>
        <v>0.10847978911201639</v>
      </c>
      <c r="N35" s="15">
        <f t="shared" si="36"/>
        <v>0.10555706868811243</v>
      </c>
      <c r="O35" s="15">
        <f t="shared" si="36"/>
        <v>0.10082474705027655</v>
      </c>
      <c r="P35" s="15">
        <f t="shared" si="36"/>
        <v>9.866711005405171E-2</v>
      </c>
      <c r="Q35" s="15">
        <f t="shared" si="36"/>
        <v>9.45136008644476E-2</v>
      </c>
      <c r="R35" s="15">
        <f t="shared" si="36"/>
        <v>9.5401508484302733E-2</v>
      </c>
      <c r="S35" s="15">
        <f t="shared" si="36"/>
        <v>9.9267935604048008E-2</v>
      </c>
      <c r="T35" s="15">
        <f t="shared" si="36"/>
        <v>0.10115952748731605</v>
      </c>
      <c r="U35" s="15">
        <f t="shared" si="36"/>
        <v>0.10353878536918493</v>
      </c>
      <c r="V35" s="15">
        <f t="shared" si="36"/>
        <v>0.10940133657357398</v>
      </c>
      <c r="W35" s="15">
        <f t="shared" si="36"/>
        <v>0.10688113664339194</v>
      </c>
      <c r="X35" s="15">
        <f t="shared" si="36"/>
        <v>0.10713171657992993</v>
      </c>
      <c r="Y35" s="15">
        <f t="shared" si="36"/>
        <v>0.10727931768342658</v>
      </c>
      <c r="Z35" s="15">
        <f t="shared" si="36"/>
        <v>0.10557011657857784</v>
      </c>
      <c r="AA35" s="15">
        <f t="shared" si="36"/>
        <v>0.10547880440416724</v>
      </c>
      <c r="AB35" s="15">
        <f t="shared" si="36"/>
        <v>0.10517521631591076</v>
      </c>
      <c r="AC35" s="15">
        <f t="shared" si="36"/>
        <v>0.10296671388994461</v>
      </c>
      <c r="AD35" s="15">
        <f t="shared" si="36"/>
        <v>0.10691657833622137</v>
      </c>
      <c r="AE35" s="15">
        <f t="shared" si="36"/>
        <v>0.10672622180710745</v>
      </c>
      <c r="AF35" s="15">
        <f t="shared" si="36"/>
        <v>0.1081033737605821</v>
      </c>
      <c r="AG35" s="15">
        <f t="shared" si="36"/>
        <v>0.10795155583692573</v>
      </c>
      <c r="AH35" s="15">
        <f t="shared" si="36"/>
        <v>0.11003568072015435</v>
      </c>
      <c r="AI35" s="15">
        <f t="shared" si="36"/>
        <v>0.10948564514280879</v>
      </c>
      <c r="AJ35" s="15">
        <f t="shared" si="36"/>
        <v>0.11154425516630484</v>
      </c>
      <c r="AK35" s="15">
        <f t="shared" si="36"/>
        <v>0.11100615431320549</v>
      </c>
      <c r="AL35" s="15">
        <f t="shared" si="36"/>
        <v>0.11414624698251119</v>
      </c>
      <c r="AM35" s="15">
        <f t="shared" si="36"/>
        <v>0.11941725412951221</v>
      </c>
      <c r="AN35" s="15">
        <f t="shared" si="36"/>
        <v>0.11859373530019846</v>
      </c>
      <c r="AO35" s="15">
        <f t="shared" si="36"/>
        <v>0.12066167501663005</v>
      </c>
      <c r="AP35" s="15">
        <f t="shared" si="36"/>
        <v>0.12056124334248164</v>
      </c>
      <c r="AQ35" s="15">
        <f t="shared" si="36"/>
        <v>0.12010618217419999</v>
      </c>
      <c r="AR35" s="15">
        <f t="shared" si="36"/>
        <v>0.12073159344438911</v>
      </c>
      <c r="AS35" s="15">
        <f t="shared" si="36"/>
        <v>0.12079577704390365</v>
      </c>
      <c r="AT35" s="15">
        <f t="shared" si="36"/>
        <v>0</v>
      </c>
      <c r="AU35" s="15">
        <f t="shared" si="36"/>
        <v>0</v>
      </c>
      <c r="AV35" s="15">
        <f t="shared" si="36"/>
        <v>0</v>
      </c>
      <c r="AW35" s="15">
        <f t="shared" si="36"/>
        <v>0</v>
      </c>
      <c r="AX35" s="15">
        <f t="shared" si="36"/>
        <v>0</v>
      </c>
      <c r="AY35" s="15">
        <f t="shared" si="36"/>
        <v>0</v>
      </c>
      <c r="AZ35" s="15">
        <f t="shared" ref="AZ35:BK35" si="40">AZ23+AZ29</f>
        <v>0.11402102964595517</v>
      </c>
      <c r="BA35" s="15">
        <f t="shared" si="40"/>
        <v>0.1139846859450675</v>
      </c>
      <c r="BB35" s="15">
        <f t="shared" si="40"/>
        <v>0.11592033254147838</v>
      </c>
      <c r="BC35" s="15">
        <f t="shared" si="40"/>
        <v>0.11708941794728989</v>
      </c>
      <c r="BD35" s="15">
        <f t="shared" si="40"/>
        <v>0.11867227546597525</v>
      </c>
      <c r="BE35" s="15">
        <f t="shared" si="40"/>
        <v>0.12086698496620807</v>
      </c>
      <c r="BF35" s="15">
        <f t="shared" si="40"/>
        <v>0.12220406620808966</v>
      </c>
      <c r="BG35" s="15">
        <f t="shared" si="40"/>
        <v>0.12387097963362304</v>
      </c>
      <c r="BH35" s="15">
        <f t="shared" si="40"/>
        <v>0.12489287061219412</v>
      </c>
      <c r="BI35" s="15">
        <f t="shared" si="40"/>
        <v>0.12697722635223441</v>
      </c>
      <c r="BJ35" s="15">
        <f t="shared" si="40"/>
        <v>0.12828431265524753</v>
      </c>
      <c r="BK35" s="15">
        <f t="shared" si="40"/>
        <v>0.13068086151334479</v>
      </c>
      <c r="BO35" s="29">
        <f t="shared" si="38"/>
        <v>0.11992136140245724</v>
      </c>
      <c r="BP35" s="29">
        <f t="shared" si="38"/>
        <v>0.11467061193129791</v>
      </c>
      <c r="BQ35" s="29">
        <f t="shared" si="38"/>
        <v>0.11954756545746537</v>
      </c>
      <c r="BR35" s="29">
        <f t="shared" si="38"/>
        <v>0.10508574024550943</v>
      </c>
      <c r="BS35" s="29">
        <f t="shared" si="38"/>
        <v>9.6257671875763506E-2</v>
      </c>
      <c r="BT35" s="29">
        <f t="shared" si="38"/>
        <v>0.12316580935250721</v>
      </c>
    </row>
    <row r="38" spans="1:72" hidden="1" outlineLevel="1" x14ac:dyDescent="0.25">
      <c r="A38" s="11" t="s">
        <v>55</v>
      </c>
      <c r="C38" s="2" t="s">
        <v>0</v>
      </c>
      <c r="D38" s="8">
        <f>IFERROR(
GETPIVOTDATA(
"[Base].[Importe]",
TDinamica_R!$A$5,
"[Calendario].[AñoMes]",
"[Calendario].[AñoMes].&amp;[" &amp; TEXT(D$6,"yyyymm") &amp; "]",
"[Base].[Metrica]",
"[Base].[Metrica].&amp;[" &amp; $A38 &amp; "]",
"[Base].[SEGMENTO_DESCRIP]",
"[Base].[SEGMENTO_DESCRIP].&amp;[" &amp; $C$6 &amp; "]",
"[Base].[SITUACION]",
"[Base].[SITUACION].&amp;[" &amp; $C38 &amp; "]"
),0)/1000</f>
        <v>36822.616994250006</v>
      </c>
      <c r="E38" s="8">
        <f>IFERROR(
GETPIVOTDATA(
"[Base].[Importe]",
TDinamica_R!$A$5,
"[Calendario].[AñoMes]",
"[Calendario].[AñoMes].&amp;[" &amp; TEXT(E$6,"yyyymm") &amp; "]",
"[Base].[Metrica]",
"[Base].[Metrica].&amp;[" &amp; $A38 &amp; "]",
"[Base].[SEGMENTO_DESCRIP]",
"[Base].[SEGMENTO_DESCRIP].&amp;[" &amp; $C$6 &amp; "]",
"[Base].[SITUACION]",
"[Base].[SITUACION].&amp;[" &amp; $C38 &amp; "]"
),0)/1000</f>
        <v>34532.614000730006</v>
      </c>
      <c r="F38" s="8">
        <f>IFERROR(
GETPIVOTDATA(
"[Base].[Importe]",
TDinamica_R!$A$5,
"[Calendario].[AñoMes]",
"[Calendario].[AñoMes].&amp;[" &amp; TEXT(F$6,"yyyymm") &amp; "]",
"[Base].[Metrica]",
"[Base].[Metrica].&amp;[" &amp; $A38 &amp; "]",
"[Base].[SEGMENTO_DESCRIP]",
"[Base].[SEGMENTO_DESCRIP].&amp;[" &amp; $C$6 &amp; "]",
"[Base].[SITUACION]",
"[Base].[SITUACION].&amp;[" &amp; $C38 &amp; "]"
),0)/1000</f>
        <v>38964.105715439997</v>
      </c>
      <c r="G38" s="8">
        <f>IFERROR(
GETPIVOTDATA(
"[Base].[Importe]",
TDinamica_R!$A$5,
"[Calendario].[AñoMes]",
"[Calendario].[AñoMes].&amp;[" &amp; TEXT(G$6,"yyyymm") &amp; "]",
"[Base].[Metrica]",
"[Base].[Metrica].&amp;[" &amp; $A38 &amp; "]",
"[Base].[SEGMENTO_DESCRIP]",
"[Base].[SEGMENTO_DESCRIP].&amp;[" &amp; $C$6 &amp; "]",
"[Base].[SITUACION]",
"[Base].[SITUACION].&amp;[" &amp; $C38 &amp; "]"
),0)/1000</f>
        <v>37336.898538190006</v>
      </c>
      <c r="H38" s="8">
        <f>IFERROR(
GETPIVOTDATA(
"[Base].[Importe]",
TDinamica_R!$A$5,
"[Calendario].[AñoMes]",
"[Calendario].[AñoMes].&amp;[" &amp; TEXT(H$6,"yyyymm") &amp; "]",
"[Base].[Metrica]",
"[Base].[Metrica].&amp;[" &amp; $A38 &amp; "]",
"[Base].[SEGMENTO_DESCRIP]",
"[Base].[SEGMENTO_DESCRIP].&amp;[" &amp; $C$6 &amp; "]",
"[Base].[SITUACION]",
"[Base].[SITUACION].&amp;[" &amp; $C38 &amp; "]"
),0)/1000</f>
        <v>41543.875866239992</v>
      </c>
      <c r="I38" s="8">
        <f>IFERROR(
GETPIVOTDATA(
"[Base].[Importe]",
TDinamica_R!$A$5,
"[Calendario].[AñoMes]",
"[Calendario].[AñoMes].&amp;[" &amp; TEXT(I$6,"yyyymm") &amp; "]",
"[Base].[Metrica]",
"[Base].[Metrica].&amp;[" &amp; $A38 &amp; "]",
"[Base].[SEGMENTO_DESCRIP]",
"[Base].[SEGMENTO_DESCRIP].&amp;[" &amp; $C$6 &amp; "]",
"[Base].[SITUACION]",
"[Base].[SITUACION].&amp;[" &amp; $C38 &amp; "]"
),0)/1000</f>
        <v>40510.46270081</v>
      </c>
      <c r="J38" s="8">
        <f>IFERROR(
GETPIVOTDATA(
"[Base].[Importe]",
TDinamica_R!$A$5,
"[Calendario].[AñoMes]",
"[Calendario].[AñoMes].&amp;[" &amp; TEXT(J$6,"yyyymm") &amp; "]",
"[Base].[Metrica]",
"[Base].[Metrica].&amp;[" &amp; $A38 &amp; "]",
"[Base].[SEGMENTO_DESCRIP]",
"[Base].[SEGMENTO_DESCRIP].&amp;[" &amp; $C$6 &amp; "]",
"[Base].[SITUACION]",
"[Base].[SITUACION].&amp;[" &amp; $C38 &amp; "]"
),0)/1000</f>
        <v>41990.34167052</v>
      </c>
      <c r="K38" s="8">
        <f>IFERROR(
GETPIVOTDATA(
"[Base].[Importe]",
TDinamica_R!$A$5,
"[Calendario].[AñoMes]",
"[Calendario].[AñoMes].&amp;[" &amp; TEXT(K$6,"yyyymm") &amp; "]",
"[Base].[Metrica]",
"[Base].[Metrica].&amp;[" &amp; $A38 &amp; "]",
"[Base].[SEGMENTO_DESCRIP]",
"[Base].[SEGMENTO_DESCRIP].&amp;[" &amp; $C$6 &amp; "]",
"[Base].[SITUACION]",
"[Base].[SITUACION].&amp;[" &amp; $C38 &amp; "]"
),0)/1000</f>
        <v>42334.827915679998</v>
      </c>
      <c r="L38" s="8">
        <f>IFERROR(
GETPIVOTDATA(
"[Base].[Importe]",
TDinamica_R!$A$5,
"[Calendario].[AñoMes]",
"[Calendario].[AñoMes].&amp;[" &amp; TEXT(L$6,"yyyymm") &amp; "]",
"[Base].[Metrica]",
"[Base].[Metrica].&amp;[" &amp; $A38 &amp; "]",
"[Base].[SEGMENTO_DESCRIP]",
"[Base].[SEGMENTO_DESCRIP].&amp;[" &amp; $C$6 &amp; "]",
"[Base].[SITUACION]",
"[Base].[SITUACION].&amp;[" &amp; $C38 &amp; "]"
),0)/1000</f>
        <v>41140.26741783</v>
      </c>
      <c r="M38" s="8">
        <f>IFERROR(
GETPIVOTDATA(
"[Base].[Importe]",
TDinamica_R!$A$5,
"[Calendario].[AñoMes]",
"[Calendario].[AñoMes].&amp;[" &amp; TEXT(M$6,"yyyymm") &amp; "]",
"[Base].[Metrica]",
"[Base].[Metrica].&amp;[" &amp; $A38 &amp; "]",
"[Base].[SEGMENTO_DESCRIP]",
"[Base].[SEGMENTO_DESCRIP].&amp;[" &amp; $C$6 &amp; "]",
"[Base].[SITUACION]",
"[Base].[SITUACION].&amp;[" &amp; $C38 &amp; "]"
),0)/1000</f>
        <v>41892.602569740004</v>
      </c>
      <c r="N38" s="8">
        <f>IFERROR(
GETPIVOTDATA(
"[Base].[Importe]",
TDinamica_R!$A$5,
"[Calendario].[AñoMes]",
"[Calendario].[AñoMes].&amp;[" &amp; TEXT(N$6,"yyyymm") &amp; "]",
"[Base].[Metrica]",
"[Base].[Metrica].&amp;[" &amp; $A38 &amp; "]",
"[Base].[SEGMENTO_DESCRIP]",
"[Base].[SEGMENTO_DESCRIP].&amp;[" &amp; $C$6 &amp; "]",
"[Base].[SITUACION]",
"[Base].[SITUACION].&amp;[" &amp; $C38 &amp; "]"
),0)/1000</f>
        <v>39626.31214486</v>
      </c>
      <c r="O38" s="8">
        <f>IFERROR(
GETPIVOTDATA(
"[Base].[Importe]",
TDinamica_R!$A$5,
"[Calendario].[AñoMes]",
"[Calendario].[AñoMes].&amp;[" &amp; TEXT(O$6,"yyyymm") &amp; "]",
"[Base].[Metrica]",
"[Base].[Metrica].&amp;[" &amp; $A38 &amp; "]",
"[Base].[SEGMENTO_DESCRIP]",
"[Base].[SEGMENTO_DESCRIP].&amp;[" &amp; $C$6 &amp; "]",
"[Base].[SITUACION]",
"[Base].[SITUACION].&amp;[" &amp; $C38 &amp; "]"
),0)/1000</f>
        <v>39301.932435569994</v>
      </c>
      <c r="P38" s="8">
        <f>IFERROR(
GETPIVOTDATA(
"[Base].[Importe]",
TDinamica_R!$A$5,
"[Calendario].[AñoMes]",
"[Calendario].[AñoMes].&amp;[" &amp; TEXT(P$6,"yyyymm") &amp; "]",
"[Base].[Metrica]",
"[Base].[Metrica].&amp;[" &amp; $A38 &amp; "]",
"[Base].[SEGMENTO_DESCRIP]",
"[Base].[SEGMENTO_DESCRIP].&amp;[" &amp; $C$6 &amp; "]",
"[Base].[SITUACION]",
"[Base].[SITUACION].&amp;[" &amp; $C38 &amp; "]"
),0)/1000</f>
        <v>38102.814155020002</v>
      </c>
      <c r="Q38" s="8">
        <f>IFERROR(
GETPIVOTDATA(
"[Base].[Importe]",
TDinamica_R!$A$5,
"[Calendario].[AñoMes]",
"[Calendario].[AñoMes].&amp;[" &amp; TEXT(Q$6,"yyyymm") &amp; "]",
"[Base].[Metrica]",
"[Base].[Metrica].&amp;[" &amp; $A38 &amp; "]",
"[Base].[SEGMENTO_DESCRIP]",
"[Base].[SEGMENTO_DESCRIP].&amp;[" &amp; $C$6 &amp; "]",
"[Base].[SITUACION]",
"[Base].[SITUACION].&amp;[" &amp; $C38 &amp; "]"
),0)/1000</f>
        <v>33927.463362139992</v>
      </c>
      <c r="R38" s="8">
        <f>IFERROR(
GETPIVOTDATA(
"[Base].[Importe]",
TDinamica_R!$A$5,
"[Calendario].[AñoMes]",
"[Calendario].[AñoMes].&amp;[" &amp; TEXT(R$6,"yyyymm") &amp; "]",
"[Base].[Metrica]",
"[Base].[Metrica].&amp;[" &amp; $A38 &amp; "]",
"[Base].[SEGMENTO_DESCRIP]",
"[Base].[SEGMENTO_DESCRIP].&amp;[" &amp; $C$6 &amp; "]",
"[Base].[SITUACION]",
"[Base].[SITUACION].&amp;[" &amp; $C38 &amp; "]"
),0)/1000</f>
        <v>35455.21784266</v>
      </c>
      <c r="S38" s="8">
        <f>IFERROR(
GETPIVOTDATA(
"[Base].[Importe]",
TDinamica_R!$A$5,
"[Calendario].[AñoMes]",
"[Calendario].[AñoMes].&amp;[" &amp; TEXT(S$6,"yyyymm") &amp; "]",
"[Base].[Metrica]",
"[Base].[Metrica].&amp;[" &amp; $A38 &amp; "]",
"[Base].[SEGMENTO_DESCRIP]",
"[Base].[SEGMENTO_DESCRIP].&amp;[" &amp; $C$6 &amp; "]",
"[Base].[SITUACION]",
"[Base].[SITUACION].&amp;[" &amp; $C38 &amp; "]"
),0)/1000</f>
        <v>33911.263969689993</v>
      </c>
      <c r="T38" s="8">
        <f>IFERROR(
GETPIVOTDATA(
"[Base].[Importe]",
TDinamica_R!$A$5,
"[Calendario].[AñoMes]",
"[Calendario].[AñoMes].&amp;[" &amp; TEXT(T$6,"yyyymm") &amp; "]",
"[Base].[Metrica]",
"[Base].[Metrica].&amp;[" &amp; $A38 &amp; "]",
"[Base].[SEGMENTO_DESCRIP]",
"[Base].[SEGMENTO_DESCRIP].&amp;[" &amp; $C$6 &amp; "]",
"[Base].[SITUACION]",
"[Base].[SITUACION].&amp;[" &amp; $C38 &amp; "]"
),0)/1000</f>
        <v>34309.796968429997</v>
      </c>
      <c r="U38" s="8">
        <f>IFERROR(
GETPIVOTDATA(
"[Base].[Importe]",
TDinamica_R!$A$5,
"[Calendario].[AñoMes]",
"[Calendario].[AñoMes].&amp;[" &amp; TEXT(U$6,"yyyymm") &amp; "]",
"[Base].[Metrica]",
"[Base].[Metrica].&amp;[" &amp; $A38 &amp; "]",
"[Base].[SEGMENTO_DESCRIP]",
"[Base].[SEGMENTO_DESCRIP].&amp;[" &amp; $C$6 &amp; "]",
"[Base].[SITUACION]",
"[Base].[SITUACION].&amp;[" &amp; $C38 &amp; "]"
),0)/1000</f>
        <v>32033.507252070009</v>
      </c>
      <c r="V38" s="8">
        <f>IFERROR(
GETPIVOTDATA(
"[Base].[Importe]",
TDinamica_R!$A$5,
"[Calendario].[AñoMes]",
"[Calendario].[AñoMes].&amp;[" &amp; TEXT(V$6,"yyyymm") &amp; "]",
"[Base].[Metrica]",
"[Base].[Metrica].&amp;[" &amp; $A38 &amp; "]",
"[Base].[SEGMENTO_DESCRIP]",
"[Base].[SEGMENTO_DESCRIP].&amp;[" &amp; $C$6 &amp; "]",
"[Base].[SITUACION]",
"[Base].[SITUACION].&amp;[" &amp; $C38 &amp; "]"
),0)/1000</f>
        <v>32814.616037909997</v>
      </c>
      <c r="W38" s="8">
        <f>IFERROR(
GETPIVOTDATA(
"[Base].[Importe]",
TDinamica_R!$A$5,
"[Calendario].[AñoMes]",
"[Calendario].[AñoMes].&amp;[" &amp; TEXT(W$6,"yyyymm") &amp; "]",
"[Base].[Metrica]",
"[Base].[Metrica].&amp;[" &amp; $A38 &amp; "]",
"[Base].[SEGMENTO_DESCRIP]",
"[Base].[SEGMENTO_DESCRIP].&amp;[" &amp; $C$6 &amp; "]",
"[Base].[SITUACION]",
"[Base].[SITUACION].&amp;[" &amp; $C38 &amp; "]"
),0)/1000</f>
        <v>31631.740704320007</v>
      </c>
      <c r="X38" s="8">
        <f>IFERROR(
GETPIVOTDATA(
"[Base].[Importe]",
TDinamica_R!$A$5,
"[Calendario].[AñoMes]",
"[Calendario].[AñoMes].&amp;[" &amp; TEXT(X$6,"yyyymm") &amp; "]",
"[Base].[Metrica]",
"[Base].[Metrica].&amp;[" &amp; $A38 &amp; "]",
"[Base].[SEGMENTO_DESCRIP]",
"[Base].[SEGMENTO_DESCRIP].&amp;[" &amp; $C$6 &amp; "]",
"[Base].[SITUACION]",
"[Base].[SITUACION].&amp;[" &amp; $C38 &amp; "]"
),0)/1000</f>
        <v>30061.4940885</v>
      </c>
      <c r="Y38" s="8">
        <f>IFERROR(
GETPIVOTDATA(
"[Base].[Importe]",
TDinamica_R!$A$5,
"[Calendario].[AñoMes]",
"[Calendario].[AñoMes].&amp;[" &amp; TEXT(Y$6,"yyyymm") &amp; "]",
"[Base].[Metrica]",
"[Base].[Metrica].&amp;[" &amp; $A38 &amp; "]",
"[Base].[SEGMENTO_DESCRIP]",
"[Base].[SEGMENTO_DESCRIP].&amp;[" &amp; $C$6 &amp; "]",
"[Base].[SITUACION]",
"[Base].[SITUACION].&amp;[" &amp; $C38 &amp; "]"
),0)/1000</f>
        <v>30451.217795230001</v>
      </c>
      <c r="Z38" s="8">
        <f>IFERROR(
GETPIVOTDATA(
"[Base].[Importe]",
TDinamica_R!$A$5,
"[Calendario].[AñoMes]",
"[Calendario].[AñoMes].&amp;[" &amp; TEXT(Z$6,"yyyymm") &amp; "]",
"[Base].[Metrica]",
"[Base].[Metrica].&amp;[" &amp; $A38 &amp; "]",
"[Base].[SEGMENTO_DESCRIP]",
"[Base].[SEGMENTO_DESCRIP].&amp;[" &amp; $C$6 &amp; "]",
"[Base].[SITUACION]",
"[Base].[SITUACION].&amp;[" &amp; $C38 &amp; "]"
),0)/1000</f>
        <v>28281.428328950002</v>
      </c>
      <c r="AA38" s="8">
        <f>IFERROR(
GETPIVOTDATA(
"[Base].[Importe]",
TDinamica_R!$A$5,
"[Calendario].[AñoMes]",
"[Calendario].[AñoMes].&amp;[" &amp; TEXT(AA$6,"yyyymm") &amp; "]",
"[Base].[Metrica]",
"[Base].[Metrica].&amp;[" &amp; $A38 &amp; "]",
"[Base].[SEGMENTO_DESCRIP]",
"[Base].[SEGMENTO_DESCRIP].&amp;[" &amp; $C$6 &amp; "]",
"[Base].[SITUACION]",
"[Base].[SITUACION].&amp;[" &amp; $C38 &amp; "]"
),0)/1000</f>
        <v>28487.58432247</v>
      </c>
      <c r="AB38" s="8">
        <f>IFERROR(
GETPIVOTDATA(
"[Base].[Importe]",
TDinamica_R!$A$5,
"[Calendario].[AñoMes]",
"[Calendario].[AñoMes].&amp;[" &amp; TEXT(AB$6,"yyyymm") &amp; "]",
"[Base].[Metrica]",
"[Base].[Metrica].&amp;[" &amp; $A38 &amp; "]",
"[Base].[SEGMENTO_DESCRIP]",
"[Base].[SEGMENTO_DESCRIP].&amp;[" &amp; $C$6 &amp; "]",
"[Base].[SITUACION]",
"[Base].[SITUACION].&amp;[" &amp; $C38 &amp; "]"
),0)/1000</f>
        <v>27883.860028969997</v>
      </c>
      <c r="AC38" s="8">
        <f>IFERROR(
GETPIVOTDATA(
"[Base].[Importe]",
TDinamica_R!$A$5,
"[Calendario].[AñoMes]",
"[Calendario].[AñoMes].&amp;[" &amp; TEXT(AC$6,"yyyymm") &amp; "]",
"[Base].[Metrica]",
"[Base].[Metrica].&amp;[" &amp; $A38 &amp; "]",
"[Base].[SEGMENTO_DESCRIP]",
"[Base].[SEGMENTO_DESCRIP].&amp;[" &amp; $C$6 &amp; "]",
"[Base].[SITUACION]",
"[Base].[SITUACION].&amp;[" &amp; $C38 &amp; "]"
),0)/1000</f>
        <v>24496.535301370001</v>
      </c>
      <c r="AD38" s="8">
        <f>IFERROR(
GETPIVOTDATA(
"[Base].[Importe]",
TDinamica_R!$A$5,
"[Calendario].[AñoMes]",
"[Calendario].[AñoMes].&amp;[" &amp; TEXT(AD$6,"yyyymm") &amp; "]",
"[Base].[Metrica]",
"[Base].[Metrica].&amp;[" &amp; $A38 &amp; "]",
"[Base].[SEGMENTO_DESCRIP]",
"[Base].[SEGMENTO_DESCRIP].&amp;[" &amp; $C$6 &amp; "]",
"[Base].[SITUACION]",
"[Base].[SITUACION].&amp;[" &amp; $C38 &amp; "]"
),0)/1000</f>
        <v>27279.88684214</v>
      </c>
      <c r="AE38" s="8">
        <f>IFERROR(
GETPIVOTDATA(
"[Base].[Importe]",
TDinamica_R!$A$5,
"[Calendario].[AñoMes]",
"[Calendario].[AñoMes].&amp;[" &amp; TEXT(AE$6,"yyyymm") &amp; "]",
"[Base].[Metrica]",
"[Base].[Metrica].&amp;[" &amp; $A38 &amp; "]",
"[Base].[SEGMENTO_DESCRIP]",
"[Base].[SEGMENTO_DESCRIP].&amp;[" &amp; $C$6 &amp; "]",
"[Base].[SITUACION]",
"[Base].[SITUACION].&amp;[" &amp; $C38 &amp; "]"
),0)/1000</f>
        <v>26216.499861689997</v>
      </c>
      <c r="AF38" s="8">
        <f>IFERROR(
GETPIVOTDATA(
"[Base].[Importe]",
TDinamica_R!$A$5,
"[Calendario].[AñoMes]",
"[Calendario].[AñoMes].&amp;[" &amp; TEXT(AF$6,"yyyymm") &amp; "]",
"[Base].[Metrica]",
"[Base].[Metrica].&amp;[" &amp; $A38 &amp; "]",
"[Base].[SEGMENTO_DESCRIP]",
"[Base].[SEGMENTO_DESCRIP].&amp;[" &amp; $C$6 &amp; "]",
"[Base].[SITUACION]",
"[Base].[SITUACION].&amp;[" &amp; $C38 &amp; "]"
),0)/1000</f>
        <v>26797.581295080003</v>
      </c>
      <c r="AG38" s="8">
        <f>IFERROR(
GETPIVOTDATA(
"[Base].[Importe]",
TDinamica_R!$A$5,
"[Calendario].[AñoMes]",
"[Calendario].[AñoMes].&amp;[" &amp; TEXT(AG$6,"yyyymm") &amp; "]",
"[Base].[Metrica]",
"[Base].[Metrica].&amp;[" &amp; $A38 &amp; "]",
"[Base].[SEGMENTO_DESCRIP]",
"[Base].[SEGMENTO_DESCRIP].&amp;[" &amp; $C$6 &amp; "]",
"[Base].[SITUACION]",
"[Base].[SITUACION].&amp;[" &amp; $C38 &amp; "]"
),0)/1000</f>
        <v>25527.589895270001</v>
      </c>
      <c r="AH38" s="8">
        <f>IFERROR(
GETPIVOTDATA(
"[Base].[Importe]",
TDinamica_R!$A$5,
"[Calendario].[AñoMes]",
"[Calendario].[AñoMes].&amp;[" &amp; TEXT(AH$6,"yyyymm") &amp; "]",
"[Base].[Metrica]",
"[Base].[Metrica].&amp;[" &amp; $A38 &amp; "]",
"[Base].[SEGMENTO_DESCRIP]",
"[Base].[SEGMENTO_DESCRIP].&amp;[" &amp; $C$6 &amp; "]",
"[Base].[SITUACION]",
"[Base].[SITUACION].&amp;[" &amp; $C38 &amp; "]"
),0)/1000</f>
        <v>26382.170055630002</v>
      </c>
      <c r="AI38" s="8">
        <f>IFERROR(
GETPIVOTDATA(
"[Base].[Importe]",
TDinamica_R!$A$5,
"[Calendario].[AñoMes]",
"[Calendario].[AñoMes].&amp;[" &amp; TEXT(AI$6,"yyyymm") &amp; "]",
"[Base].[Metrica]",
"[Base].[Metrica].&amp;[" &amp; $A38 &amp; "]",
"[Base].[SEGMENTO_DESCRIP]",
"[Base].[SEGMENTO_DESCRIP].&amp;[" &amp; $C$6 &amp; "]",
"[Base].[SITUACION]",
"[Base].[SITUACION].&amp;[" &amp; $C38 &amp; "]"
),0)/1000</f>
        <v>26503.997174239998</v>
      </c>
      <c r="AJ38" s="8">
        <f>IFERROR(
GETPIVOTDATA(
"[Base].[Importe]",
TDinamica_R!$A$5,
"[Calendario].[AñoMes]",
"[Calendario].[AñoMes].&amp;[" &amp; TEXT(AJ$6,"yyyymm") &amp; "]",
"[Base].[Metrica]",
"[Base].[Metrica].&amp;[" &amp; $A38 &amp; "]",
"[Base].[SEGMENTO_DESCRIP]",
"[Base].[SEGMENTO_DESCRIP].&amp;[" &amp; $C$6 &amp; "]",
"[Base].[SITUACION]",
"[Base].[SITUACION].&amp;[" &amp; $C38 &amp; "]"
),0)/1000</f>
        <v>25763.84915342</v>
      </c>
      <c r="AK38" s="8">
        <f>IFERROR(
GETPIVOTDATA(
"[Base].[Importe]",
TDinamica_R!$A$5,
"[Calendario].[AñoMes]",
"[Calendario].[AñoMes].&amp;[" &amp; TEXT(AK$6,"yyyymm") &amp; "]",
"[Base].[Metrica]",
"[Base].[Metrica].&amp;[" &amp; $A38 &amp; "]",
"[Base].[SEGMENTO_DESCRIP]",
"[Base].[SEGMENTO_DESCRIP].&amp;[" &amp; $C$6 &amp; "]",
"[Base].[SITUACION]",
"[Base].[SITUACION].&amp;[" &amp; $C38 &amp; "]"
),0)/1000</f>
        <v>26736.908683329999</v>
      </c>
      <c r="AL38" s="8">
        <f>IFERROR(
GETPIVOTDATA(
"[Base].[Importe]",
TDinamica_R!$A$5,
"[Calendario].[AñoMes]",
"[Calendario].[AñoMes].&amp;[" &amp; TEXT(AL$6,"yyyymm") &amp; "]",
"[Base].[Metrica]",
"[Base].[Metrica].&amp;[" &amp; $A38 &amp; "]",
"[Base].[SEGMENTO_DESCRIP]",
"[Base].[SEGMENTO_DESCRIP].&amp;[" &amp; $C$6 &amp; "]",
"[Base].[SITUACION]",
"[Base].[SITUACION].&amp;[" &amp; $C38 &amp; "]"
),0)/1000</f>
        <v>25889.225602440005</v>
      </c>
      <c r="AM38" s="8">
        <f>IFERROR(
GETPIVOTDATA(
"[Base].[Importe]",
TDinamica_R!$A$5,
"[Calendario].[AñoMes]",
"[Calendario].[AñoMes].&amp;[" &amp; TEXT(AM$6,"yyyymm") &amp; "]",
"[Base].[Metrica]",
"[Base].[Metrica].&amp;[" &amp; $A38 &amp; "]",
"[Base].[SEGMENTO_DESCRIP]",
"[Base].[SEGMENTO_DESCRIP].&amp;[" &amp; $C$6 &amp; "]",
"[Base].[SITUACION]",
"[Base].[SITUACION].&amp;[" &amp; $C38 &amp; "]"
),0)/1000</f>
        <v>27212.033625730004</v>
      </c>
      <c r="AN38" s="8">
        <f>IFERROR(
GETPIVOTDATA(
"[Base].[Importe]",
TDinamica_R!$A$5,
"[Calendario].[AñoMes]",
"[Calendario].[AñoMes].&amp;[" &amp; TEXT(AN$6,"yyyymm") &amp; "]",
"[Base].[Metrica]",
"[Base].[Metrica].&amp;[" &amp; $A38 &amp; "]",
"[Base].[SEGMENTO_DESCRIP]",
"[Base].[SEGMENTO_DESCRIP].&amp;[" &amp; $C$6 &amp; "]",
"[Base].[SITUACION]",
"[Base].[SITUACION].&amp;[" &amp; $C38 &amp; "]"
),0)/1000</f>
        <v>27305.945703020003</v>
      </c>
      <c r="AO38" s="8">
        <f>IFERROR(
GETPIVOTDATA(
"[Base].[Importe]",
TDinamica_R!$A$5,
"[Calendario].[AñoMes]",
"[Calendario].[AñoMes].&amp;[" &amp; TEXT(AO$6,"yyyymm") &amp; "]",
"[Base].[Metrica]",
"[Base].[Metrica].&amp;[" &amp; $A38 &amp; "]",
"[Base].[SEGMENTO_DESCRIP]",
"[Base].[SEGMENTO_DESCRIP].&amp;[" &amp; $C$6 &amp; "]",
"[Base].[SITUACION]",
"[Base].[SITUACION].&amp;[" &amp; $C38 &amp; "]"
),0)/1000</f>
        <v>25046.767986739997</v>
      </c>
      <c r="AP38" s="8">
        <f>IFERROR(
GETPIVOTDATA(
"[Base].[Importe]",
TDinamica_R!$A$5,
"[Calendario].[AñoMes]",
"[Calendario].[AñoMes].&amp;[" &amp; TEXT(AP$6,"yyyymm") &amp; "]",
"[Base].[Metrica]",
"[Base].[Metrica].&amp;[" &amp; $A38 &amp; "]",
"[Base].[SEGMENTO_DESCRIP]",
"[Base].[SEGMENTO_DESCRIP].&amp;[" &amp; $C$6 &amp; "]",
"[Base].[SITUACION]",
"[Base].[SITUACION].&amp;[" &amp; $C38 &amp; "]"
),0)/1000</f>
        <v>27982.366787449995</v>
      </c>
      <c r="AQ38" s="8">
        <f>IFERROR(
GETPIVOTDATA(
"[Base].[Importe]",
TDinamica_R!$A$5,
"[Calendario].[AñoMes]",
"[Calendario].[AñoMes].&amp;[" &amp; TEXT(AQ$6,"yyyymm") &amp; "]",
"[Base].[Metrica]",
"[Base].[Metrica].&amp;[" &amp; $A38 &amp; "]",
"[Base].[SEGMENTO_DESCRIP]",
"[Base].[SEGMENTO_DESCRIP].&amp;[" &amp; $C$6 &amp; "]",
"[Base].[SITUACION]",
"[Base].[SITUACION].&amp;[" &amp; $C38 &amp; "]"
),0)/1000</f>
        <v>27061.781483580002</v>
      </c>
      <c r="AR38" s="8">
        <f>IFERROR(
GETPIVOTDATA(
"[Base].[Importe]",
TDinamica_R!$A$5,
"[Calendario].[AñoMes]",
"[Calendario].[AñoMes].&amp;[" &amp; TEXT(AR$6,"yyyymm") &amp; "]",
"[Base].[Metrica]",
"[Base].[Metrica].&amp;[" &amp; $A38 &amp; "]",
"[Base].[SEGMENTO_DESCRIP]",
"[Base].[SEGMENTO_DESCRIP].&amp;[" &amp; $C$6 &amp; "]",
"[Base].[SITUACION]",
"[Base].[SITUACION].&amp;[" &amp; $C38 &amp; "]"
),0)/1000</f>
        <v>28353.052714219997</v>
      </c>
      <c r="AS38" s="8">
        <f>IFERROR(
GETPIVOTDATA(
"[Base].[Importe]",
TDinamica_R!$A$5,
"[Calendario].[AñoMes]",
"[Calendario].[AñoMes].&amp;[" &amp; TEXT(AS$6,"yyyymm") &amp; "]",
"[Base].[Metrica]",
"[Base].[Metrica].&amp;[" &amp; $A38 &amp; "]",
"[Base].[SEGMENTO_DESCRIP]",
"[Base].[SEGMENTO_DESCRIP].&amp;[" &amp; $C$6 &amp; "]",
"[Base].[SITUACION]",
"[Base].[SITUACION].&amp;[" &amp; $C38 &amp; "]"
),0)/1000</f>
        <v>27898.970723020004</v>
      </c>
      <c r="AT38" s="8">
        <f>IFERROR(
GETPIVOTDATA(
"[Base].[Importe]",
TDinamica_R!$A$5,
"[Calendario].[AñoMes]",
"[Calendario].[AñoMes].&amp;[" &amp; TEXT(AT$6,"yyyymm")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U38" s="8">
        <f>IFERROR(
GETPIVOTDATA(
"[Base].[Importe]",
TDinamica_R!$A$5,
"[Calendario].[AñoMes]",
"[Calendario].[AñoMes].&amp;[" &amp; TEXT(AU$6,"yyyymm")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V38" s="8">
        <f>IFERROR(
GETPIVOTDATA(
"[Base].[Importe]",
TDinamica_R!$A$5,
"[Calendario].[AñoMes]",
"[Calendario].[AñoMes].&amp;[" &amp; TEXT(AV$6,"yyyymm")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W38" s="8">
        <f>IFERROR(
GETPIVOTDATA(
"[Base].[Importe]",
TDinamica_R!$A$5,
"[Calendario].[AñoMes]",
"[Calendario].[AñoMes].&amp;[" &amp; TEXT(AW$6,"yyyymm")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X38" s="8">
        <f>IFERROR(
GETPIVOTDATA(
"[Base].[Importe]",
TDinamica_R!$A$5,
"[Calendario].[AñoMes]",
"[Calendario].[AñoMes].&amp;[" &amp; TEXT(AX$6,"yyyymm")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Y38" s="8">
        <f>IFERROR(
GETPIVOTDATA(
"[Base].[Importe]",
TDinamica_R!$A$5,
"[Calendario].[AñoMes]",
"[Calendario].[AñoMes].&amp;[" &amp; TEXT(AY$6,"yyyymm")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Z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TEXT(AZ$6,"yyyymm") &amp; "]"
),
0
)</f>
        <v>26750.052056226414</v>
      </c>
      <c r="BA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TEXT(BA$6,"yyyymm") &amp; "]"
),
0
)</f>
        <v>23904.644281415189</v>
      </c>
      <c r="BB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TEXT(BB$6,"yyyymm") &amp; "]"
),
0
)</f>
        <v>26749.276953118399</v>
      </c>
      <c r="BC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TEXT(BC$6,"yyyymm") &amp; "]"
),
0
)</f>
        <v>26115.280917354339</v>
      </c>
      <c r="BD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TEXT(BD$6,"yyyymm") &amp; "]"
),
0
)</f>
        <v>27444.726308902606</v>
      </c>
      <c r="BE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TEXT(BE$6,"yyyymm") &amp; "]"
),
0
)</f>
        <v>26997.271753395489</v>
      </c>
      <c r="BF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TEXT(BF$6,"yyyymm") &amp; "]"
),
0
)</f>
        <v>28150.02134005761</v>
      </c>
      <c r="BG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TEXT(BG$6,"yyyymm") &amp; "]"
),
0
)</f>
        <v>28493.119732415558</v>
      </c>
      <c r="BH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TEXT(BH$6,"yyyymm") &amp; "]"
),
0
)</f>
        <v>27951.294959411382</v>
      </c>
      <c r="BI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TEXT(BI$6,"yyyymm") &amp; "]"
),
0
)</f>
        <v>29582.31213992029</v>
      </c>
      <c r="BJ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TEXT(BJ$6,"yyyymm") &amp; "]"
),
0
)</f>
        <v>29033.082816227878</v>
      </c>
      <c r="BK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TEXT(BK$6,"yyyymm") &amp; "]"
),
0
)</f>
        <v>30479.130444325849</v>
      </c>
      <c r="BO38" s="24">
        <f t="shared" ref="BO38:BT40" si="41">SUMIFS($D38:$BM38,$D$6:$BM$6,"&gt;="&amp;BO$2,$D$6:$BM$6,"&lt;="&amp;BO$6,$D$5:$BM$5,BO$5)</f>
        <v>80335.080477209995</v>
      </c>
      <c r="BP38" s="24">
        <f t="shared" si="41"/>
        <v>77403.973290759997</v>
      </c>
      <c r="BQ38" s="24">
        <f t="shared" si="41"/>
        <v>52352.713689759999</v>
      </c>
      <c r="BR38" s="24">
        <f t="shared" si="41"/>
        <v>79660.282172480001</v>
      </c>
      <c r="BS38" s="24">
        <f t="shared" si="41"/>
        <v>107485.49535981999</v>
      </c>
      <c r="BT38" s="24">
        <f t="shared" si="41"/>
        <v>110319.33671042</v>
      </c>
    </row>
    <row r="39" spans="1:72" hidden="1" outlineLevel="1" x14ac:dyDescent="0.25">
      <c r="A39" s="11" t="s">
        <v>55</v>
      </c>
      <c r="C39" s="2" t="s">
        <v>1</v>
      </c>
      <c r="D39" s="8">
        <f>IFERROR(
GETPIVOTDATA(
"[Base].[Importe]",
TDinamica_R!$A$5,
"[Calendario].[AñoMes]",
"[Calendario].[AñoMes].&amp;[" &amp; TEXT(D$6,"yyyymm") &amp; "]",
"[Base].[Metrica]",
"[Base].[Metrica].&amp;[" &amp; $A39 &amp; "]",
"[Base].[SEGMENTO_DESCRIP]",
"[Base].[SEGMENTO_DESCRIP].&amp;[" &amp; $C$6 &amp; "]",
"[Base].[SITUACION]",
"[Base].[SITUACION].&amp;[" &amp; $C39 &amp; "]"
),0)/1000</f>
        <v>63.778979970000002</v>
      </c>
      <c r="E39" s="8">
        <f>IFERROR(
GETPIVOTDATA(
"[Base].[Importe]",
TDinamica_R!$A$5,
"[Calendario].[AñoMes]",
"[Calendario].[AñoMes].&amp;[" &amp; TEXT(E$6,"yyyymm") &amp; "]",
"[Base].[Metrica]",
"[Base].[Metrica].&amp;[" &amp; $A39 &amp; "]",
"[Base].[SEGMENTO_DESCRIP]",
"[Base].[SEGMENTO_DESCRIP].&amp;[" &amp; $C$6 &amp; "]",
"[Base].[SITUACION]",
"[Base].[SITUACION].&amp;[" &amp; $C39 &amp; "]"
),0)/1000</f>
        <v>66.588138839999999</v>
      </c>
      <c r="F39" s="8">
        <f>IFERROR(
GETPIVOTDATA(
"[Base].[Importe]",
TDinamica_R!$A$5,
"[Calendario].[AñoMes]",
"[Calendario].[AñoMes].&amp;[" &amp; TEXT(F$6,"yyyymm") &amp; "]",
"[Base].[Metrica]",
"[Base].[Metrica].&amp;[" &amp; $A39 &amp; "]",
"[Base].[SEGMENTO_DESCRIP]",
"[Base].[SEGMENTO_DESCRIP].&amp;[" &amp; $C$6 &amp; "]",
"[Base].[SITUACION]",
"[Base].[SITUACION].&amp;[" &amp; $C39 &amp; "]"
),0)/1000</f>
        <v>55.549404529999997</v>
      </c>
      <c r="G39" s="8">
        <f>IFERROR(
GETPIVOTDATA(
"[Base].[Importe]",
TDinamica_R!$A$5,
"[Calendario].[AñoMes]",
"[Calendario].[AñoMes].&amp;[" &amp; TEXT(G$6,"yyyymm") &amp; "]",
"[Base].[Metrica]",
"[Base].[Metrica].&amp;[" &amp; $A39 &amp; "]",
"[Base].[SEGMENTO_DESCRIP]",
"[Base].[SEGMENTO_DESCRIP].&amp;[" &amp; $C$6 &amp; "]",
"[Base].[SITUACION]",
"[Base].[SITUACION].&amp;[" &amp; $C39 &amp; "]"
),0)/1000</f>
        <v>44.283620859999992</v>
      </c>
      <c r="H39" s="8">
        <f>IFERROR(
GETPIVOTDATA(
"[Base].[Importe]",
TDinamica_R!$A$5,
"[Calendario].[AñoMes]",
"[Calendario].[AñoMes].&amp;[" &amp; TEXT(H$6,"yyyymm") &amp; "]",
"[Base].[Metrica]",
"[Base].[Metrica].&amp;[" &amp; $A39 &amp; "]",
"[Base].[SEGMENTO_DESCRIP]",
"[Base].[SEGMENTO_DESCRIP].&amp;[" &amp; $C$6 &amp; "]",
"[Base].[SITUACION]",
"[Base].[SITUACION].&amp;[" &amp; $C39 &amp; "]"
),0)/1000</f>
        <v>47.41985665</v>
      </c>
      <c r="I39" s="8">
        <f>IFERROR(
GETPIVOTDATA(
"[Base].[Importe]",
TDinamica_R!$A$5,
"[Calendario].[AñoMes]",
"[Calendario].[AñoMes].&amp;[" &amp; TEXT(I$6,"yyyymm") &amp; "]",
"[Base].[Metrica]",
"[Base].[Metrica].&amp;[" &amp; $A39 &amp; "]",
"[Base].[SEGMENTO_DESCRIP]",
"[Base].[SEGMENTO_DESCRIP].&amp;[" &amp; $C$6 &amp; "]",
"[Base].[SITUACION]",
"[Base].[SITUACION].&amp;[" &amp; $C39 &amp; "]"
),0)/1000</f>
        <v>43.224476929999994</v>
      </c>
      <c r="J39" s="8">
        <f>IFERROR(
GETPIVOTDATA(
"[Base].[Importe]",
TDinamica_R!$A$5,
"[Calendario].[AñoMes]",
"[Calendario].[AñoMes].&amp;[" &amp; TEXT(J$6,"yyyymm") &amp; "]",
"[Base].[Metrica]",
"[Base].[Metrica].&amp;[" &amp; $A39 &amp; "]",
"[Base].[SEGMENTO_DESCRIP]",
"[Base].[SEGMENTO_DESCRIP].&amp;[" &amp; $C$6 &amp; "]",
"[Base].[SITUACION]",
"[Base].[SITUACION].&amp;[" &amp; $C39 &amp; "]"
),0)/1000</f>
        <v>46.487298319999994</v>
      </c>
      <c r="K39" s="8">
        <f>IFERROR(
GETPIVOTDATA(
"[Base].[Importe]",
TDinamica_R!$A$5,
"[Calendario].[AñoMes]",
"[Calendario].[AñoMes].&amp;[" &amp; TEXT(K$6,"yyyymm") &amp; "]",
"[Base].[Metrica]",
"[Base].[Metrica].&amp;[" &amp; $A39 &amp; "]",
"[Base].[SEGMENTO_DESCRIP]",
"[Base].[SEGMENTO_DESCRIP].&amp;[" &amp; $C$6 &amp; "]",
"[Base].[SITUACION]",
"[Base].[SITUACION].&amp;[" &amp; $C39 &amp; "]"
),0)/1000</f>
        <v>45.396898419999999</v>
      </c>
      <c r="L39" s="8">
        <f>IFERROR(
GETPIVOTDATA(
"[Base].[Importe]",
TDinamica_R!$A$5,
"[Calendario].[AñoMes]",
"[Calendario].[AñoMes].&amp;[" &amp; TEXT(L$6,"yyyymm") &amp; "]",
"[Base].[Metrica]",
"[Base].[Metrica].&amp;[" &amp; $A39 &amp; "]",
"[Base].[SEGMENTO_DESCRIP]",
"[Base].[SEGMENTO_DESCRIP].&amp;[" &amp; $C$6 &amp; "]",
"[Base].[SITUACION]",
"[Base].[SITUACION].&amp;[" &amp; $C39 &amp; "]"
),0)/1000</f>
        <v>45.188152049999999</v>
      </c>
      <c r="M39" s="8">
        <f>IFERROR(
GETPIVOTDATA(
"[Base].[Importe]",
TDinamica_R!$A$5,
"[Calendario].[AñoMes]",
"[Calendario].[AñoMes].&amp;[" &amp; TEXT(M$6,"yyyymm") &amp; "]",
"[Base].[Metrica]",
"[Base].[Metrica].&amp;[" &amp; $A39 &amp; "]",
"[Base].[SEGMENTO_DESCRIP]",
"[Base].[SEGMENTO_DESCRIP].&amp;[" &amp; $C$6 &amp; "]",
"[Base].[SITUACION]",
"[Base].[SITUACION].&amp;[" &amp; $C39 &amp; "]"
),0)/1000</f>
        <v>37.52177768</v>
      </c>
      <c r="N39" s="8">
        <f>IFERROR(
GETPIVOTDATA(
"[Base].[Importe]",
TDinamica_R!$A$5,
"[Calendario].[AñoMes]",
"[Calendario].[AñoMes].&amp;[" &amp; TEXT(N$6,"yyyymm") &amp; "]",
"[Base].[Metrica]",
"[Base].[Metrica].&amp;[" &amp; $A39 &amp; "]",
"[Base].[SEGMENTO_DESCRIP]",
"[Base].[SEGMENTO_DESCRIP].&amp;[" &amp; $C$6 &amp; "]",
"[Base].[SITUACION]",
"[Base].[SITUACION].&amp;[" &amp; $C39 &amp; "]"
),0)/1000</f>
        <v>37.057041429999998</v>
      </c>
      <c r="O39" s="8">
        <f>IFERROR(
GETPIVOTDATA(
"[Base].[Importe]",
TDinamica_R!$A$5,
"[Calendario].[AñoMes]",
"[Calendario].[AñoMes].&amp;[" &amp; TEXT(O$6,"yyyymm") &amp; "]",
"[Base].[Metrica]",
"[Base].[Metrica].&amp;[" &amp; $A39 &amp; "]",
"[Base].[SEGMENTO_DESCRIP]",
"[Base].[SEGMENTO_DESCRIP].&amp;[" &amp; $C$6 &amp; "]",
"[Base].[SITUACION]",
"[Base].[SITUACION].&amp;[" &amp; $C39 &amp; "]"
),0)/1000</f>
        <v>33.031984510000001</v>
      </c>
      <c r="P39" s="8">
        <f>IFERROR(
GETPIVOTDATA(
"[Base].[Importe]",
TDinamica_R!$A$5,
"[Calendario].[AñoMes]",
"[Calendario].[AñoMes].&amp;[" &amp; TEXT(P$6,"yyyymm") &amp; "]",
"[Base].[Metrica]",
"[Base].[Metrica].&amp;[" &amp; $A39 &amp; "]",
"[Base].[SEGMENTO_DESCRIP]",
"[Base].[SEGMENTO_DESCRIP].&amp;[" &amp; $C$6 &amp; "]",
"[Base].[SITUACION]",
"[Base].[SITUACION].&amp;[" &amp; $C39 &amp; "]"
),0)/1000</f>
        <v>32.22994662</v>
      </c>
      <c r="Q39" s="8">
        <f>IFERROR(
GETPIVOTDATA(
"[Base].[Importe]",
TDinamica_R!$A$5,
"[Calendario].[AñoMes]",
"[Calendario].[AñoMes].&amp;[" &amp; TEXT(Q$6,"yyyymm") &amp; "]",
"[Base].[Metrica]",
"[Base].[Metrica].&amp;[" &amp; $A39 &amp; "]",
"[Base].[SEGMENTO_DESCRIP]",
"[Base].[SEGMENTO_DESCRIP].&amp;[" &amp; $C$6 &amp; "]",
"[Base].[SITUACION]",
"[Base].[SITUACION].&amp;[" &amp; $C39 &amp; "]"
),0)/1000</f>
        <v>29.3550252</v>
      </c>
      <c r="R39" s="8">
        <f>IFERROR(
GETPIVOTDATA(
"[Base].[Importe]",
TDinamica_R!$A$5,
"[Calendario].[AñoMes]",
"[Calendario].[AñoMes].&amp;[" &amp; TEXT(R$6,"yyyymm") &amp; "]",
"[Base].[Metrica]",
"[Base].[Metrica].&amp;[" &amp; $A39 &amp; "]",
"[Base].[SEGMENTO_DESCRIP]",
"[Base].[SEGMENTO_DESCRIP].&amp;[" &amp; $C$6 &amp; "]",
"[Base].[SITUACION]",
"[Base].[SITUACION].&amp;[" &amp; $C39 &amp; "]"
),0)/1000</f>
        <v>29.84207812</v>
      </c>
      <c r="S39" s="8">
        <f>IFERROR(
GETPIVOTDATA(
"[Base].[Importe]",
TDinamica_R!$A$5,
"[Calendario].[AñoMes]",
"[Calendario].[AñoMes].&amp;[" &amp; TEXT(S$6,"yyyymm") &amp; "]",
"[Base].[Metrica]",
"[Base].[Metrica].&amp;[" &amp; $A39 &amp; "]",
"[Base].[SEGMENTO_DESCRIP]",
"[Base].[SEGMENTO_DESCRIP].&amp;[" &amp; $C$6 &amp; "]",
"[Base].[SITUACION]",
"[Base].[SITUACION].&amp;[" &amp; $C39 &amp; "]"
),0)/1000</f>
        <v>58.048990840000002</v>
      </c>
      <c r="T39" s="8">
        <f>IFERROR(
GETPIVOTDATA(
"[Base].[Importe]",
TDinamica_R!$A$5,
"[Calendario].[AñoMes]",
"[Calendario].[AñoMes].&amp;[" &amp; TEXT(T$6,"yyyymm") &amp; "]",
"[Base].[Metrica]",
"[Base].[Metrica].&amp;[" &amp; $A39 &amp; "]",
"[Base].[SEGMENTO_DESCRIP]",
"[Base].[SEGMENTO_DESCRIP].&amp;[" &amp; $C$6 &amp; "]",
"[Base].[SITUACION]",
"[Base].[SITUACION].&amp;[" &amp; $C39 &amp; "]"
),0)/1000</f>
        <v>91.752677599999998</v>
      </c>
      <c r="U39" s="8">
        <f>IFERROR(
GETPIVOTDATA(
"[Base].[Importe]",
TDinamica_R!$A$5,
"[Calendario].[AñoMes]",
"[Calendario].[AñoMes].&amp;[" &amp; TEXT(U$6,"yyyymm") &amp; "]",
"[Base].[Metrica]",
"[Base].[Metrica].&amp;[" &amp; $A39 &amp; "]",
"[Base].[SEGMENTO_DESCRIP]",
"[Base].[SEGMENTO_DESCRIP].&amp;[" &amp; $C$6 &amp; "]",
"[Base].[SITUACION]",
"[Base].[SITUACION].&amp;[" &amp; $C39 &amp; "]"
),0)/1000</f>
        <v>162.808864</v>
      </c>
      <c r="V39" s="8">
        <f>IFERROR(
GETPIVOTDATA(
"[Base].[Importe]",
TDinamica_R!$A$5,
"[Calendario].[AñoMes]",
"[Calendario].[AñoMes].&amp;[" &amp; TEXT(V$6,"yyyymm") &amp; "]",
"[Base].[Metrica]",
"[Base].[Metrica].&amp;[" &amp; $A39 &amp; "]",
"[Base].[SEGMENTO_DESCRIP]",
"[Base].[SEGMENTO_DESCRIP].&amp;[" &amp; $C$6 &amp; "]",
"[Base].[SITUACION]",
"[Base].[SITUACION].&amp;[" &amp; $C39 &amp; "]"
),0)/1000</f>
        <v>217.9459986</v>
      </c>
      <c r="W39" s="8">
        <f>IFERROR(
GETPIVOTDATA(
"[Base].[Importe]",
TDinamica_R!$A$5,
"[Calendario].[AñoMes]",
"[Calendario].[AñoMes].&amp;[" &amp; TEXT(W$6,"yyyymm") &amp; "]",
"[Base].[Metrica]",
"[Base].[Metrica].&amp;[" &amp; $A39 &amp; "]",
"[Base].[SEGMENTO_DESCRIP]",
"[Base].[SEGMENTO_DESCRIP].&amp;[" &amp; $C$6 &amp; "]",
"[Base].[SITUACION]",
"[Base].[SITUACION].&amp;[" &amp; $C39 &amp; "]"
),0)/1000</f>
        <v>209.4275203</v>
      </c>
      <c r="X39" s="8">
        <f>IFERROR(
GETPIVOTDATA(
"[Base].[Importe]",
TDinamica_R!$A$5,
"[Calendario].[AñoMes]",
"[Calendario].[AñoMes].&amp;[" &amp; TEXT(X$6,"yyyymm") &amp; "]",
"[Base].[Metrica]",
"[Base].[Metrica].&amp;[" &amp; $A39 &amp; "]",
"[Base].[SEGMENTO_DESCRIP]",
"[Base].[SEGMENTO_DESCRIP].&amp;[" &amp; $C$6 &amp; "]",
"[Base].[SITUACION]",
"[Base].[SITUACION].&amp;[" &amp; $C39 &amp; "]"
),0)/1000</f>
        <v>223.5649708</v>
      </c>
      <c r="Y39" s="8">
        <f>IFERROR(
GETPIVOTDATA(
"[Base].[Importe]",
TDinamica_R!$A$5,
"[Calendario].[AñoMes]",
"[Calendario].[AñoMes].&amp;[" &amp; TEXT(Y$6,"yyyymm") &amp; "]",
"[Base].[Metrica]",
"[Base].[Metrica].&amp;[" &amp; $A39 &amp; "]",
"[Base].[SEGMENTO_DESCRIP]",
"[Base].[SEGMENTO_DESCRIP].&amp;[" &amp; $C$6 &amp; "]",
"[Base].[SITUACION]",
"[Base].[SITUACION].&amp;[" &amp; $C39 &amp; "]"
),0)/1000</f>
        <v>193.03554810000003</v>
      </c>
      <c r="Z39" s="8">
        <f>IFERROR(
GETPIVOTDATA(
"[Base].[Importe]",
TDinamica_R!$A$5,
"[Calendario].[AñoMes]",
"[Calendario].[AñoMes].&amp;[" &amp; TEXT(Z$6,"yyyymm") &amp; "]",
"[Base].[Metrica]",
"[Base].[Metrica].&amp;[" &amp; $A39 &amp; "]",
"[Base].[SEGMENTO_DESCRIP]",
"[Base].[SEGMENTO_DESCRIP].&amp;[" &amp; $C$6 &amp; "]",
"[Base].[SITUACION]",
"[Base].[SITUACION].&amp;[" &amp; $C39 &amp; "]"
),0)/1000</f>
        <v>189.83144620000002</v>
      </c>
      <c r="AA39" s="8">
        <f>IFERROR(
GETPIVOTDATA(
"[Base].[Importe]",
TDinamica_R!$A$5,
"[Calendario].[AñoMes]",
"[Calendario].[AñoMes].&amp;[" &amp; TEXT(AA$6,"yyyymm") &amp; "]",
"[Base].[Metrica]",
"[Base].[Metrica].&amp;[" &amp; $A39 &amp; "]",
"[Base].[SEGMENTO_DESCRIP]",
"[Base].[SEGMENTO_DESCRIP].&amp;[" &amp; $C$6 &amp; "]",
"[Base].[SITUACION]",
"[Base].[SITUACION].&amp;[" &amp; $C39 &amp; "]"
),0)/1000</f>
        <v>205.2686549</v>
      </c>
      <c r="AB39" s="8">
        <f>IFERROR(
GETPIVOTDATA(
"[Base].[Importe]",
TDinamica_R!$A$5,
"[Calendario].[AñoMes]",
"[Calendario].[AñoMes].&amp;[" &amp; TEXT(AB$6,"yyyymm") &amp; "]",
"[Base].[Metrica]",
"[Base].[Metrica].&amp;[" &amp; $A39 &amp; "]",
"[Base].[SEGMENTO_DESCRIP]",
"[Base].[SEGMENTO_DESCRIP].&amp;[" &amp; $C$6 &amp; "]",
"[Base].[SITUACION]",
"[Base].[SITUACION].&amp;[" &amp; $C39 &amp; "]"
),0)/1000</f>
        <v>232.3726355</v>
      </c>
      <c r="AC39" s="8">
        <f>IFERROR(
GETPIVOTDATA(
"[Base].[Importe]",
TDinamica_R!$A$5,
"[Calendario].[AñoMes]",
"[Calendario].[AñoMes].&amp;[" &amp; TEXT(AC$6,"yyyymm") &amp; "]",
"[Base].[Metrica]",
"[Base].[Metrica].&amp;[" &amp; $A39 &amp; "]",
"[Base].[SEGMENTO_DESCRIP]",
"[Base].[SEGMENTO_DESCRIP].&amp;[" &amp; $C$6 &amp; "]",
"[Base].[SITUACION]",
"[Base].[SITUACION].&amp;[" &amp; $C39 &amp; "]"
),0)/1000</f>
        <v>219.35606140000002</v>
      </c>
      <c r="AD39" s="8">
        <f>IFERROR(
GETPIVOTDATA(
"[Base].[Importe]",
TDinamica_R!$A$5,
"[Calendario].[AñoMes]",
"[Calendario].[AñoMes].&amp;[" &amp; TEXT(AD$6,"yyyymm") &amp; "]",
"[Base].[Metrica]",
"[Base].[Metrica].&amp;[" &amp; $A39 &amp; "]",
"[Base].[SEGMENTO_DESCRIP]",
"[Base].[SEGMENTO_DESCRIP].&amp;[" &amp; $C$6 &amp; "]",
"[Base].[SITUACION]",
"[Base].[SITUACION].&amp;[" &amp; $C39 &amp; "]"
),0)/1000</f>
        <v>203.3132512</v>
      </c>
      <c r="AE39" s="8">
        <f>IFERROR(
GETPIVOTDATA(
"[Base].[Importe]",
TDinamica_R!$A$5,
"[Calendario].[AñoMes]",
"[Calendario].[AñoMes].&amp;[" &amp; TEXT(AE$6,"yyyymm") &amp; "]",
"[Base].[Metrica]",
"[Base].[Metrica].&amp;[" &amp; $A39 &amp; "]",
"[Base].[SEGMENTO_DESCRIP]",
"[Base].[SEGMENTO_DESCRIP].&amp;[" &amp; $C$6 &amp; "]",
"[Base].[SITUACION]",
"[Base].[SITUACION].&amp;[" &amp; $C39 &amp; "]"
),0)/1000</f>
        <v>218.54439579999999</v>
      </c>
      <c r="AF39" s="8">
        <f>IFERROR(
GETPIVOTDATA(
"[Base].[Importe]",
TDinamica_R!$A$5,
"[Calendario].[AñoMes]",
"[Calendario].[AñoMes].&amp;[" &amp; TEXT(AF$6,"yyyymm") &amp; "]",
"[Base].[Metrica]",
"[Base].[Metrica].&amp;[" &amp; $A39 &amp; "]",
"[Base].[SEGMENTO_DESCRIP]",
"[Base].[SEGMENTO_DESCRIP].&amp;[" &amp; $C$6 &amp; "]",
"[Base].[SITUACION]",
"[Base].[SITUACION].&amp;[" &amp; $C39 &amp; "]"
),0)/1000</f>
        <v>223.65795009999999</v>
      </c>
      <c r="AG39" s="8">
        <f>IFERROR(
GETPIVOTDATA(
"[Base].[Importe]",
TDinamica_R!$A$5,
"[Calendario].[AñoMes]",
"[Calendario].[AñoMes].&amp;[" &amp; TEXT(AG$6,"yyyymm") &amp; "]",
"[Base].[Metrica]",
"[Base].[Metrica].&amp;[" &amp; $A39 &amp; "]",
"[Base].[SEGMENTO_DESCRIP]",
"[Base].[SEGMENTO_DESCRIP].&amp;[" &amp; $C$6 &amp; "]",
"[Base].[SITUACION]",
"[Base].[SITUACION].&amp;[" &amp; $C39 &amp; "]"
),0)/1000</f>
        <v>211.46070680000003</v>
      </c>
      <c r="AH39" s="8">
        <f>IFERROR(
GETPIVOTDATA(
"[Base].[Importe]",
TDinamica_R!$A$5,
"[Calendario].[AñoMes]",
"[Calendario].[AñoMes].&amp;[" &amp; TEXT(AH$6,"yyyymm") &amp; "]",
"[Base].[Metrica]",
"[Base].[Metrica].&amp;[" &amp; $A39 &amp; "]",
"[Base].[SEGMENTO_DESCRIP]",
"[Base].[SEGMENTO_DESCRIP].&amp;[" &amp; $C$6 &amp; "]",
"[Base].[SITUACION]",
"[Base].[SITUACION].&amp;[" &amp; $C39 &amp; "]"
),0)/1000</f>
        <v>243.96506669999999</v>
      </c>
      <c r="AI39" s="8">
        <f>IFERROR(
GETPIVOTDATA(
"[Base].[Importe]",
TDinamica_R!$A$5,
"[Calendario].[AñoMes]",
"[Calendario].[AñoMes].&amp;[" &amp; TEXT(AI$6,"yyyymm") &amp; "]",
"[Base].[Metrica]",
"[Base].[Metrica].&amp;[" &amp; $A39 &amp; "]",
"[Base].[SEGMENTO_DESCRIP]",
"[Base].[SEGMENTO_DESCRIP].&amp;[" &amp; $C$6 &amp; "]",
"[Base].[SITUACION]",
"[Base].[SITUACION].&amp;[" &amp; $C39 &amp; "]"
),0)/1000</f>
        <v>200.22324309999999</v>
      </c>
      <c r="AJ39" s="8">
        <f>IFERROR(
GETPIVOTDATA(
"[Base].[Importe]",
TDinamica_R!$A$5,
"[Calendario].[AñoMes]",
"[Calendario].[AñoMes].&amp;[" &amp; TEXT(AJ$6,"yyyymm") &amp; "]",
"[Base].[Metrica]",
"[Base].[Metrica].&amp;[" &amp; $A39 &amp; "]",
"[Base].[SEGMENTO_DESCRIP]",
"[Base].[SEGMENTO_DESCRIP].&amp;[" &amp; $C$6 &amp; "]",
"[Base].[SITUACION]",
"[Base].[SITUACION].&amp;[" &amp; $C39 &amp; "]"
),0)/1000</f>
        <v>222.60298019999999</v>
      </c>
      <c r="AK39" s="8">
        <f>IFERROR(
GETPIVOTDATA(
"[Base].[Importe]",
TDinamica_R!$A$5,
"[Calendario].[AñoMes]",
"[Calendario].[AñoMes].&amp;[" &amp; TEXT(AK$6,"yyyymm") &amp; "]",
"[Base].[Metrica]",
"[Base].[Metrica].&amp;[" &amp; $A39 &amp; "]",
"[Base].[SEGMENTO_DESCRIP]",
"[Base].[SEGMENTO_DESCRIP].&amp;[" &amp; $C$6 &amp; "]",
"[Base].[SITUACION]",
"[Base].[SITUACION].&amp;[" &amp; $C39 &amp; "]"
),0)/1000</f>
        <v>216.2135423</v>
      </c>
      <c r="AL39" s="8">
        <f>IFERROR(
GETPIVOTDATA(
"[Base].[Importe]",
TDinamica_R!$A$5,
"[Calendario].[AñoMes]",
"[Calendario].[AñoMes].&amp;[" &amp; TEXT(AL$6,"yyyymm") &amp; "]",
"[Base].[Metrica]",
"[Base].[Metrica].&amp;[" &amp; $A39 &amp; "]",
"[Base].[SEGMENTO_DESCRIP]",
"[Base].[SEGMENTO_DESCRIP].&amp;[" &amp; $C$6 &amp; "]",
"[Base].[SITUACION]",
"[Base].[SITUACION].&amp;[" &amp; $C39 &amp; "]"
),0)/1000</f>
        <v>194.3299591</v>
      </c>
      <c r="AM39" s="8">
        <f>IFERROR(
GETPIVOTDATA(
"[Base].[Importe]",
TDinamica_R!$A$5,
"[Calendario].[AñoMes]",
"[Calendario].[AñoMes].&amp;[" &amp; TEXT(AM$6,"yyyymm") &amp; "]",
"[Base].[Metrica]",
"[Base].[Metrica].&amp;[" &amp; $A39 &amp; "]",
"[Base].[SEGMENTO_DESCRIP]",
"[Base].[SEGMENTO_DESCRIP].&amp;[" &amp; $C$6 &amp; "]",
"[Base].[SITUACION]",
"[Base].[SITUACION].&amp;[" &amp; $C39 &amp; "]"
),0)/1000</f>
        <v>239.363044</v>
      </c>
      <c r="AN39" s="8">
        <f>IFERROR(
GETPIVOTDATA(
"[Base].[Importe]",
TDinamica_R!$A$5,
"[Calendario].[AñoMes]",
"[Calendario].[AñoMes].&amp;[" &amp; TEXT(AN$6,"yyyymm") &amp; "]",
"[Base].[Metrica]",
"[Base].[Metrica].&amp;[" &amp; $A39 &amp; "]",
"[Base].[SEGMENTO_DESCRIP]",
"[Base].[SEGMENTO_DESCRIP].&amp;[" &amp; $C$6 &amp; "]",
"[Base].[SITUACION]",
"[Base].[SITUACION].&amp;[" &amp; $C39 &amp; "]"
),0)/1000</f>
        <v>218.55095386000002</v>
      </c>
      <c r="AO39" s="8">
        <f>IFERROR(
GETPIVOTDATA(
"[Base].[Importe]",
TDinamica_R!$A$5,
"[Calendario].[AñoMes]",
"[Calendario].[AñoMes].&amp;[" &amp; TEXT(AO$6,"yyyymm") &amp; "]",
"[Base].[Metrica]",
"[Base].[Metrica].&amp;[" &amp; $A39 &amp; "]",
"[Base].[SEGMENTO_DESCRIP]",
"[Base].[SEGMENTO_DESCRIP].&amp;[" &amp; $C$6 &amp; "]",
"[Base].[SITUACION]",
"[Base].[SITUACION].&amp;[" &amp; $C39 &amp; "]"
),0)/1000</f>
        <v>202.75575982999999</v>
      </c>
      <c r="AP39" s="8">
        <f>IFERROR(
GETPIVOTDATA(
"[Base].[Importe]",
TDinamica_R!$A$5,
"[Calendario].[AñoMes]",
"[Calendario].[AñoMes].&amp;[" &amp; TEXT(AP$6,"yyyymm") &amp; "]",
"[Base].[Metrica]",
"[Base].[Metrica].&amp;[" &amp; $A39 &amp; "]",
"[Base].[SEGMENTO_DESCRIP]",
"[Base].[SEGMENTO_DESCRIP].&amp;[" &amp; $C$6 &amp; "]",
"[Base].[SITUACION]",
"[Base].[SITUACION].&amp;[" &amp; $C39 &amp; "]"
),0)/1000</f>
        <v>214.44313450999999</v>
      </c>
      <c r="AQ39" s="8">
        <f>IFERROR(
GETPIVOTDATA(
"[Base].[Importe]",
TDinamica_R!$A$5,
"[Calendario].[AñoMes]",
"[Calendario].[AñoMes].&amp;[" &amp; TEXT(AQ$6,"yyyymm") &amp; "]",
"[Base].[Metrica]",
"[Base].[Metrica].&amp;[" &amp; $A39 &amp; "]",
"[Base].[SEGMENTO_DESCRIP]",
"[Base].[SEGMENTO_DESCRIP].&amp;[" &amp; $C$6 &amp; "]",
"[Base].[SITUACION]",
"[Base].[SITUACION].&amp;[" &amp; $C39 &amp; "]"
),0)/1000</f>
        <v>208.37825154000001</v>
      </c>
      <c r="AR39" s="8">
        <f>IFERROR(
GETPIVOTDATA(
"[Base].[Importe]",
TDinamica_R!$A$5,
"[Calendario].[AñoMes]",
"[Calendario].[AñoMes].&amp;[" &amp; TEXT(AR$6,"yyyymm") &amp; "]",
"[Base].[Metrica]",
"[Base].[Metrica].&amp;[" &amp; $A39 &amp; "]",
"[Base].[SEGMENTO_DESCRIP]",
"[Base].[SEGMENTO_DESCRIP].&amp;[" &amp; $C$6 &amp; "]",
"[Base].[SITUACION]",
"[Base].[SITUACION].&amp;[" &amp; $C39 &amp; "]"
),0)/1000</f>
        <v>191.98242751999999</v>
      </c>
      <c r="AS39" s="8">
        <f>IFERROR(
GETPIVOTDATA(
"[Base].[Importe]",
TDinamica_R!$A$5,
"[Calendario].[AñoMes]",
"[Calendario].[AñoMes].&amp;[" &amp; TEXT(AS$6,"yyyymm") &amp; "]",
"[Base].[Metrica]",
"[Base].[Metrica].&amp;[" &amp; $A39 &amp; "]",
"[Base].[SEGMENTO_DESCRIP]",
"[Base].[SEGMENTO_DESCRIP].&amp;[" &amp; $C$6 &amp; "]",
"[Base].[SITUACION]",
"[Base].[SITUACION].&amp;[" &amp; $C39 &amp; "]"
),0)/1000</f>
        <v>206.91854029999999</v>
      </c>
      <c r="AT39" s="8">
        <f>IFERROR(
GETPIVOTDATA(
"[Base].[Importe]",
TDinamica_R!$A$5,
"[Calendario].[AñoMes]",
"[Calendario].[AñoMes].&amp;[" &amp; TEXT(AT$6,"yyyymm")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U39" s="8">
        <f>IFERROR(
GETPIVOTDATA(
"[Base].[Importe]",
TDinamica_R!$A$5,
"[Calendario].[AñoMes]",
"[Calendario].[AñoMes].&amp;[" &amp; TEXT(AU$6,"yyyymm")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V39" s="8">
        <f>IFERROR(
GETPIVOTDATA(
"[Base].[Importe]",
TDinamica_R!$A$5,
"[Calendario].[AñoMes]",
"[Calendario].[AñoMes].&amp;[" &amp; TEXT(AV$6,"yyyymm")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W39" s="8">
        <f>IFERROR(
GETPIVOTDATA(
"[Base].[Importe]",
TDinamica_R!$A$5,
"[Calendario].[AñoMes]",
"[Calendario].[AñoMes].&amp;[" &amp; TEXT(AW$6,"yyyymm")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X39" s="8">
        <f>IFERROR(
GETPIVOTDATA(
"[Base].[Importe]",
TDinamica_R!$A$5,
"[Calendario].[AñoMes]",
"[Calendario].[AñoMes].&amp;[" &amp; TEXT(AX$6,"yyyymm")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Y39" s="8">
        <f>IFERROR(
GETPIVOTDATA(
"[Base].[Importe]",
TDinamica_R!$A$5,
"[Calendario].[AñoMes]",
"[Calendario].[AñoMes].&amp;[" &amp; TEXT(AY$6,"yyyymm")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Z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TEXT(AZ$6,"yyyymm") &amp; "]"
),
0
)</f>
        <v>190.19148477896414</v>
      </c>
      <c r="BA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TEXT(BA$6,"yyyymm") &amp; "]"
),
0
)</f>
        <v>162.93882357779725</v>
      </c>
      <c r="BB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TEXT(BB$6,"yyyymm") &amp; "]"
),
0
)</f>
        <v>172.3791005469117</v>
      </c>
      <c r="BC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TEXT(BC$6,"yyyymm") &amp; "]"
),
0
)</f>
        <v>160.01126680257343</v>
      </c>
      <c r="BD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TEXT(BD$6,"yyyymm") &amp; "]"
),
0
)</f>
        <v>160.26336893947112</v>
      </c>
      <c r="BE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TEXT(BE$6,"yyyymm") &amp; "]"
),
0
)</f>
        <v>149.14340847225205</v>
      </c>
      <c r="BF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TEXT(BF$6,"yyyymm") &amp; "]"
),
0
)</f>
        <v>148.91658797132871</v>
      </c>
      <c r="BG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TEXT(BG$6,"yyyymm") &amp; "]"
),
0
)</f>
        <v>144.65638983054248</v>
      </c>
      <c r="BH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TEXT(BH$6,"yyyymm") &amp; "]"
),
0
)</f>
        <v>134.75014716426838</v>
      </c>
      <c r="BI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TEXT(BI$6,"yyyymm") &amp; "]"
),
0
)</f>
        <v>134.6588220497772</v>
      </c>
      <c r="BJ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TEXT(BJ$6,"yyyymm") &amp; "]"
),
0
)</f>
        <v>126.81527642475668</v>
      </c>
      <c r="BK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TEXT(BK$6,"yyyymm") &amp; "]"
),
0
)</f>
        <v>128.20888169990934</v>
      </c>
      <c r="BO39" s="24">
        <f t="shared" si="41"/>
        <v>635.74984820000009</v>
      </c>
      <c r="BP39" s="24">
        <f t="shared" si="41"/>
        <v>525.50940890367303</v>
      </c>
      <c r="BQ39" s="24">
        <f t="shared" si="41"/>
        <v>421.30671369000004</v>
      </c>
      <c r="BR39" s="24">
        <f t="shared" si="41"/>
        <v>655.04194810000001</v>
      </c>
      <c r="BS39" s="24">
        <f t="shared" si="41"/>
        <v>91.427049940000003</v>
      </c>
      <c r="BT39" s="24">
        <f t="shared" si="41"/>
        <v>185.91652334</v>
      </c>
    </row>
    <row r="40" spans="1:72" hidden="1" outlineLevel="1" x14ac:dyDescent="0.25">
      <c r="A40" s="11" t="s">
        <v>55</v>
      </c>
      <c r="C40" s="2" t="s">
        <v>45</v>
      </c>
      <c r="D40" s="8">
        <f>IFERROR(
GETPIVOTDATA(
"[Base].[Importe]",
TDinamica_R!$A$5,
"[Calendario].[AñoMes]",
"[Calendario].[AñoMes].&amp;[" &amp; TEXT(D$6,"yyyymm") &amp; "]",
"[Base].[Metrica]",
"[Base].[Metrica].&amp;[" &amp; $A40 &amp; "]",
"[Base].[SEGMENTO_DESCRIP]",
"[Base].[SEGMENTO_DESCRIP].&amp;[" &amp; $C$6 &amp; "]",
"[Base].[SITUACION]",
"[Base].[SITUACION].&amp;[" &amp; $C40 &amp; "]"
),0)/1000</f>
        <v>423.73170749000002</v>
      </c>
      <c r="E40" s="8">
        <f>IFERROR(
GETPIVOTDATA(
"[Base].[Importe]",
TDinamica_R!$A$5,
"[Calendario].[AñoMes]",
"[Calendario].[AñoMes].&amp;[" &amp; TEXT(E$6,"yyyymm") &amp; "]",
"[Base].[Metrica]",
"[Base].[Metrica].&amp;[" &amp; $A40 &amp; "]",
"[Base].[SEGMENTO_DESCRIP]",
"[Base].[SEGMENTO_DESCRIP].&amp;[" &amp; $C$6 &amp; "]",
"[Base].[SITUACION]",
"[Base].[SITUACION].&amp;[" &amp; $C40 &amp; "]"
),0)/1000</f>
        <v>233.90615379000002</v>
      </c>
      <c r="F40" s="8">
        <f>IFERROR(
GETPIVOTDATA(
"[Base].[Importe]",
TDinamica_R!$A$5,
"[Calendario].[AñoMes]",
"[Calendario].[AñoMes].&amp;[" &amp; TEXT(F$6,"yyyymm") &amp; "]",
"[Base].[Metrica]",
"[Base].[Metrica].&amp;[" &amp; $A40 &amp; "]",
"[Base].[SEGMENTO_DESCRIP]",
"[Base].[SEGMENTO_DESCRIP].&amp;[" &amp; $C$6 &amp; "]",
"[Base].[SITUACION]",
"[Base].[SITUACION].&amp;[" &amp; $C40 &amp; "]"
),0)/1000</f>
        <v>330.84906195999997</v>
      </c>
      <c r="G40" s="8">
        <f>IFERROR(
GETPIVOTDATA(
"[Base].[Importe]",
TDinamica_R!$A$5,
"[Calendario].[AñoMes]",
"[Calendario].[AñoMes].&amp;[" &amp; TEXT(G$6,"yyyymm") &amp; "]",
"[Base].[Metrica]",
"[Base].[Metrica].&amp;[" &amp; $A40 &amp; "]",
"[Base].[SEGMENTO_DESCRIP]",
"[Base].[SEGMENTO_DESCRIP].&amp;[" &amp; $C$6 &amp; "]",
"[Base].[SITUACION]",
"[Base].[SITUACION].&amp;[" &amp; $C40 &amp; "]"
),0)/1000</f>
        <v>332.2169432500001</v>
      </c>
      <c r="H40" s="8">
        <f>IFERROR(
GETPIVOTDATA(
"[Base].[Importe]",
TDinamica_R!$A$5,
"[Calendario].[AñoMes]",
"[Calendario].[AñoMes].&amp;[" &amp; TEXT(H$6,"yyyymm") &amp; "]",
"[Base].[Metrica]",
"[Base].[Metrica].&amp;[" &amp; $A40 &amp; "]",
"[Base].[SEGMENTO_DESCRIP]",
"[Base].[SEGMENTO_DESCRIP].&amp;[" &amp; $C$6 &amp; "]",
"[Base].[SITUACION]",
"[Base].[SITUACION].&amp;[" &amp; $C40 &amp; "]"
),0)/1000</f>
        <v>513.49785237000003</v>
      </c>
      <c r="I40" s="8">
        <f>IFERROR(
GETPIVOTDATA(
"[Base].[Importe]",
TDinamica_R!$A$5,
"[Calendario].[AñoMes]",
"[Calendario].[AñoMes].&amp;[" &amp; TEXT(I$6,"yyyymm") &amp; "]",
"[Base].[Metrica]",
"[Base].[Metrica].&amp;[" &amp; $A40 &amp; "]",
"[Base].[SEGMENTO_DESCRIP]",
"[Base].[SEGMENTO_DESCRIP].&amp;[" &amp; $C$6 &amp; "]",
"[Base].[SITUACION]",
"[Base].[SITUACION].&amp;[" &amp; $C40 &amp; "]"
),0)/1000</f>
        <v>433.17140051999996</v>
      </c>
      <c r="J40" s="8">
        <f>IFERROR(
GETPIVOTDATA(
"[Base].[Importe]",
TDinamica_R!$A$5,
"[Calendario].[AñoMes]",
"[Calendario].[AñoMes].&amp;[" &amp; TEXT(J$6,"yyyymm") &amp; "]",
"[Base].[Metrica]",
"[Base].[Metrica].&amp;[" &amp; $A40 &amp; "]",
"[Base].[SEGMENTO_DESCRIP]",
"[Base].[SEGMENTO_DESCRIP].&amp;[" &amp; $C$6 &amp; "]",
"[Base].[SITUACION]",
"[Base].[SITUACION].&amp;[" &amp; $C40 &amp; "]"
),0)/1000</f>
        <v>619.88746597000011</v>
      </c>
      <c r="K40" s="8">
        <f>IFERROR(
GETPIVOTDATA(
"[Base].[Importe]",
TDinamica_R!$A$5,
"[Calendario].[AñoMes]",
"[Calendario].[AñoMes].&amp;[" &amp; TEXT(K$6,"yyyymm") &amp; "]",
"[Base].[Metrica]",
"[Base].[Metrica].&amp;[" &amp; $A40 &amp; "]",
"[Base].[SEGMENTO_DESCRIP]",
"[Base].[SEGMENTO_DESCRIP].&amp;[" &amp; $C$6 &amp; "]",
"[Base].[SITUACION]",
"[Base].[SITUACION].&amp;[" &amp; $C40 &amp; "]"
),0)/1000</f>
        <v>668.14510078999979</v>
      </c>
      <c r="L40" s="8">
        <f>IFERROR(
GETPIVOTDATA(
"[Base].[Importe]",
TDinamica_R!$A$5,
"[Calendario].[AñoMes]",
"[Calendario].[AñoMes].&amp;[" &amp; TEXT(L$6,"yyyymm") &amp; "]",
"[Base].[Metrica]",
"[Base].[Metrica].&amp;[" &amp; $A40 &amp; "]",
"[Base].[SEGMENTO_DESCRIP]",
"[Base].[SEGMENTO_DESCRIP].&amp;[" &amp; $C$6 &amp; "]",
"[Base].[SITUACION]",
"[Base].[SITUACION].&amp;[" &amp; $C40 &amp; "]"
),0)/1000</f>
        <v>560.45798065000008</v>
      </c>
      <c r="M40" s="8">
        <f>IFERROR(
GETPIVOTDATA(
"[Base].[Importe]",
TDinamica_R!$A$5,
"[Calendario].[AñoMes]",
"[Calendario].[AñoMes].&amp;[" &amp; TEXT(M$6,"yyyymm") &amp; "]",
"[Base].[Metrica]",
"[Base].[Metrica].&amp;[" &amp; $A40 &amp; "]",
"[Base].[SEGMENTO_DESCRIP]",
"[Base].[SEGMENTO_DESCRIP].&amp;[" &amp; $C$6 &amp; "]",
"[Base].[SITUACION]",
"[Base].[SITUACION].&amp;[" &amp; $C40 &amp; "]"
),0)/1000</f>
        <v>620.82383030000005</v>
      </c>
      <c r="N40" s="8">
        <f>IFERROR(
GETPIVOTDATA(
"[Base].[Importe]",
TDinamica_R!$A$5,
"[Calendario].[AñoMes]",
"[Calendario].[AñoMes].&amp;[" &amp; TEXT(N$6,"yyyymm") &amp; "]",
"[Base].[Metrica]",
"[Base].[Metrica].&amp;[" &amp; $A40 &amp; "]",
"[Base].[SEGMENTO_DESCRIP]",
"[Base].[SEGMENTO_DESCRIP].&amp;[" &amp; $C$6 &amp; "]",
"[Base].[SITUACION]",
"[Base].[SITUACION].&amp;[" &amp; $C40 &amp; "]"
),0)/1000</f>
        <v>715.5466816500001</v>
      </c>
      <c r="O40" s="8">
        <f>IFERROR(
GETPIVOTDATA(
"[Base].[Importe]",
TDinamica_R!$A$5,
"[Calendario].[AñoMes]",
"[Calendario].[AñoMes].&amp;[" &amp; TEXT(O$6,"yyyymm") &amp; "]",
"[Base].[Metrica]",
"[Base].[Metrica].&amp;[" &amp; $A40 &amp; "]",
"[Base].[SEGMENTO_DESCRIP]",
"[Base].[SEGMENTO_DESCRIP].&amp;[" &amp; $C$6 &amp; "]",
"[Base].[SITUACION]",
"[Base].[SITUACION].&amp;[" &amp; $C40 &amp; "]"
),0)/1000</f>
        <v>719.56828615000006</v>
      </c>
      <c r="P40" s="8">
        <f>IFERROR(
GETPIVOTDATA(
"[Base].[Importe]",
TDinamica_R!$A$5,
"[Calendario].[AñoMes]",
"[Calendario].[AñoMes].&amp;[" &amp; TEXT(P$6,"yyyymm") &amp; "]",
"[Base].[Metrica]",
"[Base].[Metrica].&amp;[" &amp; $A40 &amp; "]",
"[Base].[SEGMENTO_DESCRIP]",
"[Base].[SEGMENTO_DESCRIP].&amp;[" &amp; $C$6 &amp; "]",
"[Base].[SITUACION]",
"[Base].[SITUACION].&amp;[" &amp; $C40 &amp; "]"
),0)/1000</f>
        <v>805.81946730999994</v>
      </c>
      <c r="Q40" s="8">
        <f>IFERROR(
GETPIVOTDATA(
"[Base].[Importe]",
TDinamica_R!$A$5,
"[Calendario].[AñoMes]",
"[Calendario].[AñoMes].&amp;[" &amp; TEXT(Q$6,"yyyymm") &amp; "]",
"[Base].[Metrica]",
"[Base].[Metrica].&amp;[" &amp; $A40 &amp; "]",
"[Base].[SEGMENTO_DESCRIP]",
"[Base].[SEGMENTO_DESCRIP].&amp;[" &amp; $C$6 &amp; "]",
"[Base].[SITUACION]",
"[Base].[SITUACION].&amp;[" &amp; $C40 &amp; "]"
),0)/1000</f>
        <v>785.56749628999989</v>
      </c>
      <c r="R40" s="8">
        <f>IFERROR(
GETPIVOTDATA(
"[Base].[Importe]",
TDinamica_R!$A$5,
"[Calendario].[AñoMes]",
"[Calendario].[AñoMes].&amp;[" &amp; TEXT(R$6,"yyyymm") &amp; "]",
"[Base].[Metrica]",
"[Base].[Metrica].&amp;[" &amp; $A40 &amp; "]",
"[Base].[SEGMENTO_DESCRIP]",
"[Base].[SEGMENTO_DESCRIP].&amp;[" &amp; $C$6 &amp; "]",
"[Base].[SITUACION]",
"[Base].[SITUACION].&amp;[" &amp; $C40 &amp; "]"
),0)/1000</f>
        <v>862.35838842999988</v>
      </c>
      <c r="S40" s="8">
        <f>IFERROR(
GETPIVOTDATA(
"[Base].[Importe]",
TDinamica_R!$A$5,
"[Calendario].[AñoMes]",
"[Calendario].[AñoMes].&amp;[" &amp; TEXT(S$6,"yyyymm") &amp; "]",
"[Base].[Metrica]",
"[Base].[Metrica].&amp;[" &amp; $A40 &amp; "]",
"[Base].[SEGMENTO_DESCRIP]",
"[Base].[SEGMENTO_DESCRIP].&amp;[" &amp; $C$6 &amp; "]",
"[Base].[SITUACION]",
"[Base].[SITUACION].&amp;[" &amp; $C40 &amp; "]"
),0)/1000</f>
        <v>1308.6868343400001</v>
      </c>
      <c r="T40" s="8">
        <f>IFERROR(
GETPIVOTDATA(
"[Base].[Importe]",
TDinamica_R!$A$5,
"[Calendario].[AñoMes]",
"[Calendario].[AñoMes].&amp;[" &amp; TEXT(T$6,"yyyymm") &amp; "]",
"[Base].[Metrica]",
"[Base].[Metrica].&amp;[" &amp; $A40 &amp; "]",
"[Base].[SEGMENTO_DESCRIP]",
"[Base].[SEGMENTO_DESCRIP].&amp;[" &amp; $C$6 &amp; "]",
"[Base].[SITUACION]",
"[Base].[SITUACION].&amp;[" &amp; $C40 &amp; "]"
),0)/1000</f>
        <v>1292.2564431500002</v>
      </c>
      <c r="U40" s="8">
        <f>IFERROR(
GETPIVOTDATA(
"[Base].[Importe]",
TDinamica_R!$A$5,
"[Calendario].[AñoMes]",
"[Calendario].[AñoMes].&amp;[" &amp; TEXT(U$6,"yyyymm") &amp; "]",
"[Base].[Metrica]",
"[Base].[Metrica].&amp;[" &amp; $A40 &amp; "]",
"[Base].[SEGMENTO_DESCRIP]",
"[Base].[SEGMENTO_DESCRIP].&amp;[" &amp; $C$6 &amp; "]",
"[Base].[SITUACION]",
"[Base].[SITUACION].&amp;[" &amp; $C40 &amp; "]"
),0)/1000</f>
        <v>1526.6901453400001</v>
      </c>
      <c r="V40" s="8">
        <f>IFERROR(
GETPIVOTDATA(
"[Base].[Importe]",
TDinamica_R!$A$5,
"[Calendario].[AñoMes]",
"[Calendario].[AñoMes].&amp;[" &amp; TEXT(V$6,"yyyymm") &amp; "]",
"[Base].[Metrica]",
"[Base].[Metrica].&amp;[" &amp; $A40 &amp; "]",
"[Base].[SEGMENTO_DESCRIP]",
"[Base].[SEGMENTO_DESCRIP].&amp;[" &amp; $C$6 &amp; "]",
"[Base].[SITUACION]",
"[Base].[SITUACION].&amp;[" &amp; $C40 &amp; "]"
),0)/1000</f>
        <v>1504.2309163900004</v>
      </c>
      <c r="W40" s="8">
        <f>IFERROR(
GETPIVOTDATA(
"[Base].[Importe]",
TDinamica_R!$A$5,
"[Calendario].[AñoMes]",
"[Calendario].[AñoMes].&amp;[" &amp; TEXT(W$6,"yyyymm") &amp; "]",
"[Base].[Metrica]",
"[Base].[Metrica].&amp;[" &amp; $A40 &amp; "]",
"[Base].[SEGMENTO_DESCRIP]",
"[Base].[SEGMENTO_DESCRIP].&amp;[" &amp; $C$6 &amp; "]",
"[Base].[SITUACION]",
"[Base].[SITUACION].&amp;[" &amp; $C40 &amp; "]"
),0)/1000</f>
        <v>1024.6106368199999</v>
      </c>
      <c r="X40" s="8">
        <f>IFERROR(
GETPIVOTDATA(
"[Base].[Importe]",
TDinamica_R!$A$5,
"[Calendario].[AñoMes]",
"[Calendario].[AñoMes].&amp;[" &amp; TEXT(X$6,"yyyymm") &amp; "]",
"[Base].[Metrica]",
"[Base].[Metrica].&amp;[" &amp; $A40 &amp; "]",
"[Base].[SEGMENTO_DESCRIP]",
"[Base].[SEGMENTO_DESCRIP].&amp;[" &amp; $C$6 &amp; "]",
"[Base].[SITUACION]",
"[Base].[SITUACION].&amp;[" &amp; $C40 &amp; "]"
),0)/1000</f>
        <v>967.05826609000007</v>
      </c>
      <c r="Y40" s="8">
        <f>IFERROR(
GETPIVOTDATA(
"[Base].[Importe]",
TDinamica_R!$A$5,
"[Calendario].[AñoMes]",
"[Calendario].[AñoMes].&amp;[" &amp; TEXT(Y$6,"yyyymm") &amp; "]",
"[Base].[Metrica]",
"[Base].[Metrica].&amp;[" &amp; $A40 &amp; "]",
"[Base].[SEGMENTO_DESCRIP]",
"[Base].[SEGMENTO_DESCRIP].&amp;[" &amp; $C$6 &amp; "]",
"[Base].[SITUACION]",
"[Base].[SITUACION].&amp;[" &amp; $C40 &amp; "]"
),0)/1000</f>
        <v>838.1069773700001</v>
      </c>
      <c r="Z40" s="8">
        <f>IFERROR(
GETPIVOTDATA(
"[Base].[Importe]",
TDinamica_R!$A$5,
"[Calendario].[AñoMes]",
"[Calendario].[AñoMes].&amp;[" &amp; TEXT(Z$6,"yyyymm") &amp; "]",
"[Base].[Metrica]",
"[Base].[Metrica].&amp;[" &amp; $A40 &amp; "]",
"[Base].[SEGMENTO_DESCRIP]",
"[Base].[SEGMENTO_DESCRIP].&amp;[" &amp; $C$6 &amp; "]",
"[Base].[SITUACION]",
"[Base].[SITUACION].&amp;[" &amp; $C40 &amp; "]"
),0)/1000</f>
        <v>947.94405167999992</v>
      </c>
      <c r="AA40" s="8">
        <f>IFERROR(
GETPIVOTDATA(
"[Base].[Importe]",
TDinamica_R!$A$5,
"[Calendario].[AñoMes]",
"[Calendario].[AñoMes].&amp;[" &amp; TEXT(AA$6,"yyyymm") &amp; "]",
"[Base].[Metrica]",
"[Base].[Metrica].&amp;[" &amp; $A40 &amp; "]",
"[Base].[SEGMENTO_DESCRIP]",
"[Base].[SEGMENTO_DESCRIP].&amp;[" &amp; $C$6 &amp; "]",
"[Base].[SITUACION]",
"[Base].[SITUACION].&amp;[" &amp; $C40 &amp; "]"
),0)/1000</f>
        <v>895.42236595000008</v>
      </c>
      <c r="AB40" s="8">
        <f>IFERROR(
GETPIVOTDATA(
"[Base].[Importe]",
TDinamica_R!$A$5,
"[Calendario].[AñoMes]",
"[Calendario].[AñoMes].&amp;[" &amp; TEXT(AB$6,"yyyymm") &amp; "]",
"[Base].[Metrica]",
"[Base].[Metrica].&amp;[" &amp; $A40 &amp; "]",
"[Base].[SEGMENTO_DESCRIP]",
"[Base].[SEGMENTO_DESCRIP].&amp;[" &amp; $C$6 &amp; "]",
"[Base].[SITUACION]",
"[Base].[SITUACION].&amp;[" &amp; $C40 &amp; "]"
),0)/1000</f>
        <v>913.55874003999998</v>
      </c>
      <c r="AC40" s="8">
        <f>IFERROR(
GETPIVOTDATA(
"[Base].[Importe]",
TDinamica_R!$A$5,
"[Calendario].[AñoMes]",
"[Calendario].[AñoMes].&amp;[" &amp; TEXT(AC$6,"yyyymm") &amp; "]",
"[Base].[Metrica]",
"[Base].[Metrica].&amp;[" &amp; $A40 &amp; "]",
"[Base].[SEGMENTO_DESCRIP]",
"[Base].[SEGMENTO_DESCRIP].&amp;[" &amp; $C$6 &amp; "]",
"[Base].[SITUACION]",
"[Base].[SITUACION].&amp;[" &amp; $C40 &amp; "]"
),0)/1000</f>
        <v>833.66083248000007</v>
      </c>
      <c r="AD40" s="8">
        <f>IFERROR(
GETPIVOTDATA(
"[Base].[Importe]",
TDinamica_R!$A$5,
"[Calendario].[AñoMes]",
"[Calendario].[AñoMes].&amp;[" &amp; TEXT(AD$6,"yyyymm") &amp; "]",
"[Base].[Metrica]",
"[Base].[Metrica].&amp;[" &amp; $A40 &amp; "]",
"[Base].[SEGMENTO_DESCRIP]",
"[Base].[SEGMENTO_DESCRIP].&amp;[" &amp; $C$6 &amp; "]",
"[Base].[SITUACION]",
"[Base].[SITUACION].&amp;[" &amp; $C40 &amp; "]"
),0)/1000</f>
        <v>990.00156819000006</v>
      </c>
      <c r="AE40" s="8">
        <f>IFERROR(
GETPIVOTDATA(
"[Base].[Importe]",
TDinamica_R!$A$5,
"[Calendario].[AñoMes]",
"[Calendario].[AñoMes].&amp;[" &amp; TEXT(AE$6,"yyyymm") &amp; "]",
"[Base].[Metrica]",
"[Base].[Metrica].&amp;[" &amp; $A40 &amp; "]",
"[Base].[SEGMENTO_DESCRIP]",
"[Base].[SEGMENTO_DESCRIP].&amp;[" &amp; $C$6 &amp; "]",
"[Base].[SITUACION]",
"[Base].[SITUACION].&amp;[" &amp; $C40 &amp; "]"
),0)/1000</f>
        <v>824.69032188000006</v>
      </c>
      <c r="AF40" s="8">
        <f>IFERROR(
GETPIVOTDATA(
"[Base].[Importe]",
TDinamica_R!$A$5,
"[Calendario].[AñoMes]",
"[Calendario].[AñoMes].&amp;[" &amp; TEXT(AF$6,"yyyymm") &amp; "]",
"[Base].[Metrica]",
"[Base].[Metrica].&amp;[" &amp; $A40 &amp; "]",
"[Base].[SEGMENTO_DESCRIP]",
"[Base].[SEGMENTO_DESCRIP].&amp;[" &amp; $C$6 &amp; "]",
"[Base].[SITUACION]",
"[Base].[SITUACION].&amp;[" &amp; $C40 &amp; "]"
),0)/1000</f>
        <v>946.19348107999997</v>
      </c>
      <c r="AG40" s="8">
        <f>IFERROR(
GETPIVOTDATA(
"[Base].[Importe]",
TDinamica_R!$A$5,
"[Calendario].[AñoMes]",
"[Calendario].[AñoMes].&amp;[" &amp; TEXT(AG$6,"yyyymm") &amp; "]",
"[Base].[Metrica]",
"[Base].[Metrica].&amp;[" &amp; $A40 &amp; "]",
"[Base].[SEGMENTO_DESCRIP]",
"[Base].[SEGMENTO_DESCRIP].&amp;[" &amp; $C$6 &amp; "]",
"[Base].[SITUACION]",
"[Base].[SITUACION].&amp;[" &amp; $C40 &amp; "]"
),0)/1000</f>
        <v>931.77152932000001</v>
      </c>
      <c r="AH40" s="8">
        <f>IFERROR(
GETPIVOTDATA(
"[Base].[Importe]",
TDinamica_R!$A$5,
"[Calendario].[AñoMes]",
"[Calendario].[AñoMes].&amp;[" &amp; TEXT(AH$6,"yyyymm") &amp; "]",
"[Base].[Metrica]",
"[Base].[Metrica].&amp;[" &amp; $A40 &amp; "]",
"[Base].[SEGMENTO_DESCRIP]",
"[Base].[SEGMENTO_DESCRIP].&amp;[" &amp; $C$6 &amp; "]",
"[Base].[SITUACION]",
"[Base].[SITUACION].&amp;[" &amp; $C40 &amp; "]"
),0)/1000</f>
        <v>923.06307769000023</v>
      </c>
      <c r="AI40" s="8">
        <f>IFERROR(
GETPIVOTDATA(
"[Base].[Importe]",
TDinamica_R!$A$5,
"[Calendario].[AñoMes]",
"[Calendario].[AñoMes].&amp;[" &amp; TEXT(AI$6,"yyyymm") &amp; "]",
"[Base].[Metrica]",
"[Base].[Metrica].&amp;[" &amp; $A40 &amp; "]",
"[Base].[SEGMENTO_DESCRIP]",
"[Base].[SEGMENTO_DESCRIP].&amp;[" &amp; $C$6 &amp; "]",
"[Base].[SITUACION]",
"[Base].[SITUACION].&amp;[" &amp; $C40 &amp; "]"
),0)/1000</f>
        <v>752.35847944999989</v>
      </c>
      <c r="AJ40" s="8">
        <f>IFERROR(
GETPIVOTDATA(
"[Base].[Importe]",
TDinamica_R!$A$5,
"[Calendario].[AñoMes]",
"[Calendario].[AñoMes].&amp;[" &amp; TEXT(AJ$6,"yyyymm") &amp; "]",
"[Base].[Metrica]",
"[Base].[Metrica].&amp;[" &amp; $A40 &amp; "]",
"[Base].[SEGMENTO_DESCRIP]",
"[Base].[SEGMENTO_DESCRIP].&amp;[" &amp; $C$6 &amp; "]",
"[Base].[SITUACION]",
"[Base].[SITUACION].&amp;[" &amp; $C40 &amp; "]"
),0)/1000</f>
        <v>714.75953650999998</v>
      </c>
      <c r="AK40" s="8">
        <f>IFERROR(
GETPIVOTDATA(
"[Base].[Importe]",
TDinamica_R!$A$5,
"[Calendario].[AñoMes]",
"[Calendario].[AñoMes].&amp;[" &amp; TEXT(AK$6,"yyyymm") &amp; "]",
"[Base].[Metrica]",
"[Base].[Metrica].&amp;[" &amp; $A40 &amp; "]",
"[Base].[SEGMENTO_DESCRIP]",
"[Base].[SEGMENTO_DESCRIP].&amp;[" &amp; $C$6 &amp; "]",
"[Base].[SITUACION]",
"[Base].[SITUACION].&amp;[" &amp; $C40 &amp; "]"
),0)/1000</f>
        <v>726.16121494000004</v>
      </c>
      <c r="AL40" s="8">
        <f>IFERROR(
GETPIVOTDATA(
"[Base].[Importe]",
TDinamica_R!$A$5,
"[Calendario].[AñoMes]",
"[Calendario].[AñoMes].&amp;[" &amp; TEXT(AL$6,"yyyymm") &amp; "]",
"[Base].[Metrica]",
"[Base].[Metrica].&amp;[" &amp; $A40 &amp; "]",
"[Base].[SEGMENTO_DESCRIP]",
"[Base].[SEGMENTO_DESCRIP].&amp;[" &amp; $C$6 &amp; "]",
"[Base].[SITUACION]",
"[Base].[SITUACION].&amp;[" &amp; $C40 &amp; "]"
),0)/1000</f>
        <v>853.78389490999996</v>
      </c>
      <c r="AM40" s="8">
        <f>IFERROR(
GETPIVOTDATA(
"[Base].[Importe]",
TDinamica_R!$A$5,
"[Calendario].[AñoMes]",
"[Calendario].[AñoMes].&amp;[" &amp; TEXT(AM$6,"yyyymm") &amp; "]",
"[Base].[Metrica]",
"[Base].[Metrica].&amp;[" &amp; $A40 &amp; "]",
"[Base].[SEGMENTO_DESCRIP]",
"[Base].[SEGMENTO_DESCRIP].&amp;[" &amp; $C$6 &amp; "]",
"[Base].[SITUACION]",
"[Base].[SITUACION].&amp;[" &amp; $C40 &amp; "]"
),0)/1000</f>
        <v>853.26107269000011</v>
      </c>
      <c r="AN40" s="8">
        <f>IFERROR(
GETPIVOTDATA(
"[Base].[Importe]",
TDinamica_R!$A$5,
"[Calendario].[AñoMes]",
"[Calendario].[AñoMes].&amp;[" &amp; TEXT(AN$6,"yyyymm") &amp; "]",
"[Base].[Metrica]",
"[Base].[Metrica].&amp;[" &amp; $A40 &amp; "]",
"[Base].[SEGMENTO_DESCRIP]",
"[Base].[SEGMENTO_DESCRIP].&amp;[" &amp; $C$6 &amp; "]",
"[Base].[SITUACION]",
"[Base].[SITUACION].&amp;[" &amp; $C40 &amp; "]"
),0)/1000</f>
        <v>656.47447908999993</v>
      </c>
      <c r="AO40" s="8">
        <f>IFERROR(
GETPIVOTDATA(
"[Base].[Importe]",
TDinamica_R!$A$5,
"[Calendario].[AñoMes]",
"[Calendario].[AñoMes].&amp;[" &amp; TEXT(AO$6,"yyyymm") &amp; "]",
"[Base].[Metrica]",
"[Base].[Metrica].&amp;[" &amp; $A40 &amp; "]",
"[Base].[SEGMENTO_DESCRIP]",
"[Base].[SEGMENTO_DESCRIP].&amp;[" &amp; $C$6 &amp; "]",
"[Base].[SITUACION]",
"[Base].[SITUACION].&amp;[" &amp; $C40 &amp; "]"
),0)/1000</f>
        <v>616.40523699000005</v>
      </c>
      <c r="AP40" s="8">
        <f>IFERROR(
GETPIVOTDATA(
"[Base].[Importe]",
TDinamica_R!$A$5,
"[Calendario].[AñoMes]",
"[Calendario].[AñoMes].&amp;[" &amp; TEXT(AP$6,"yyyymm") &amp; "]",
"[Base].[Metrica]",
"[Base].[Metrica].&amp;[" &amp; $A40 &amp; "]",
"[Base].[SEGMENTO_DESCRIP]",
"[Base].[SEGMENTO_DESCRIP].&amp;[" &amp; $C$6 &amp; "]",
"[Base].[SITUACION]",
"[Base].[SITUACION].&amp;[" &amp; $C40 &amp; "]"
),0)/1000</f>
        <v>579.47909094000011</v>
      </c>
      <c r="AQ40" s="8">
        <f>IFERROR(
GETPIVOTDATA(
"[Base].[Importe]",
TDinamica_R!$A$5,
"[Calendario].[AñoMes]",
"[Calendario].[AñoMes].&amp;[" &amp; TEXT(AQ$6,"yyyymm") &amp; "]",
"[Base].[Metrica]",
"[Base].[Metrica].&amp;[" &amp; $A40 &amp; "]",
"[Base].[SEGMENTO_DESCRIP]",
"[Base].[SEGMENTO_DESCRIP].&amp;[" &amp; $C$6 &amp; "]",
"[Base].[SITUACION]",
"[Base].[SITUACION].&amp;[" &amp; $C40 &amp; "]"
),0)/1000</f>
        <v>588.00772841000003</v>
      </c>
      <c r="AR40" s="8">
        <f>IFERROR(
GETPIVOTDATA(
"[Base].[Importe]",
TDinamica_R!$A$5,
"[Calendario].[AñoMes]",
"[Calendario].[AñoMes].&amp;[" &amp; TEXT(AR$6,"yyyymm") &amp; "]",
"[Base].[Metrica]",
"[Base].[Metrica].&amp;[" &amp; $A40 &amp; "]",
"[Base].[SEGMENTO_DESCRIP]",
"[Base].[SEGMENTO_DESCRIP].&amp;[" &amp; $C$6 &amp; "]",
"[Base].[SITUACION]",
"[Base].[SITUACION].&amp;[" &amp; $C40 &amp; "]"
),0)/1000</f>
        <v>655.33473230999994</v>
      </c>
      <c r="AS40" s="8">
        <f>IFERROR(
GETPIVOTDATA(
"[Base].[Importe]",
TDinamica_R!$A$5,
"[Calendario].[AñoMes]",
"[Calendario].[AñoMes].&amp;[" &amp; TEXT(AS$6,"yyyymm") &amp; "]",
"[Base].[Metrica]",
"[Base].[Metrica].&amp;[" &amp; $A40 &amp; "]",
"[Base].[SEGMENTO_DESCRIP]",
"[Base].[SEGMENTO_DESCRIP].&amp;[" &amp; $C$6 &amp; "]",
"[Base].[SITUACION]",
"[Base].[SITUACION].&amp;[" &amp; $C40 &amp; "]"
),0)/1000</f>
        <v>612.9305029100002</v>
      </c>
      <c r="AT40" s="8">
        <f>IFERROR(
GETPIVOTDATA(
"[Base].[Importe]",
TDinamica_R!$A$5,
"[Calendario].[AñoMes]",
"[Calendario].[AñoMes].&amp;[" &amp; TEXT(AT$6,"yyyymm")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U40" s="8">
        <f>IFERROR(
GETPIVOTDATA(
"[Base].[Importe]",
TDinamica_R!$A$5,
"[Calendario].[AñoMes]",
"[Calendario].[AñoMes].&amp;[" &amp; TEXT(AU$6,"yyyymm")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V40" s="8">
        <f>IFERROR(
GETPIVOTDATA(
"[Base].[Importe]",
TDinamica_R!$A$5,
"[Calendario].[AñoMes]",
"[Calendario].[AñoMes].&amp;[" &amp; TEXT(AV$6,"yyyymm")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W40" s="8">
        <f>IFERROR(
GETPIVOTDATA(
"[Base].[Importe]",
TDinamica_R!$A$5,
"[Calendario].[AñoMes]",
"[Calendario].[AñoMes].&amp;[" &amp; TEXT(AW$6,"yyyymm")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X40" s="8">
        <f>IFERROR(
GETPIVOTDATA(
"[Base].[Importe]",
TDinamica_R!$A$5,
"[Calendario].[AñoMes]",
"[Calendario].[AñoMes].&amp;[" &amp; TEXT(AX$6,"yyyymm")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Y40" s="8">
        <f>IFERROR(
GETPIVOTDATA(
"[Base].[Importe]",
TDinamica_R!$A$5,
"[Calendario].[AñoMes]",
"[Calendario].[AñoMes].&amp;[" &amp; TEXT(AY$6,"yyyymm")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Z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TEXT(AZ$6,"yyyymm") &amp; "]"
),
0
)</f>
        <v>695.53982382350011</v>
      </c>
      <c r="BA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TEXT(BA$6,"yyyymm") &amp; "]"
),
0
)</f>
        <v>678.42469756057142</v>
      </c>
      <c r="BB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TEXT(BB$6,"yyyymm") &amp; "]"
),
0
)</f>
        <v>655.41615782013491</v>
      </c>
      <c r="BC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TEXT(BC$6,"yyyymm") &amp; "]"
),
0
)</f>
        <v>644.70084834003615</v>
      </c>
      <c r="BD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TEXT(BD$6,"yyyymm") &amp; "]"
),
0
)</f>
        <v>639.7455237536044</v>
      </c>
      <c r="BE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TEXT(BE$6,"yyyymm") &amp; "]"
),
0
)</f>
        <v>638.39117563682862</v>
      </c>
      <c r="BF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TEXT(BF$6,"yyyymm") &amp; "]"
),
0
)</f>
        <v>630.89660870524108</v>
      </c>
      <c r="BG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TEXT(BG$6,"yyyymm") &amp; "]"
),
0
)</f>
        <v>635.59993913506673</v>
      </c>
      <c r="BH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TEXT(BH$6,"yyyymm") &amp; "]"
),
0
)</f>
        <v>635.86532485812336</v>
      </c>
      <c r="BI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TEXT(BI$6,"yyyymm") &amp; "]"
),
0
)</f>
        <v>633.46969753774681</v>
      </c>
      <c r="BJ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TEXT(BJ$6,"yyyymm") &amp; "]"
),
0
)</f>
        <v>629.16546553261469</v>
      </c>
      <c r="BK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TEXT(BK$6,"yyyymm") &amp; "]"
),
0
)</f>
        <v>628.97732640965773</v>
      </c>
      <c r="BO40" s="24">
        <f t="shared" si="41"/>
        <v>1852.3588070200001</v>
      </c>
      <c r="BP40" s="24">
        <f t="shared" si="41"/>
        <v>2029.3806792042064</v>
      </c>
      <c r="BQ40" s="24">
        <f t="shared" si="41"/>
        <v>1272.87971608</v>
      </c>
      <c r="BR40" s="24">
        <f t="shared" si="41"/>
        <v>2737.2211407099999</v>
      </c>
      <c r="BS40" s="24">
        <f t="shared" si="41"/>
        <v>2453.7453520299996</v>
      </c>
      <c r="BT40" s="24">
        <f t="shared" si="41"/>
        <v>988.48692324000001</v>
      </c>
    </row>
    <row r="41" spans="1:72" collapsed="1" x14ac:dyDescent="0.25">
      <c r="C41" s="3" t="s">
        <v>57</v>
      </c>
      <c r="D41" s="10">
        <f>SUM(D38:D40)</f>
        <v>37310.127681710001</v>
      </c>
      <c r="E41" s="10">
        <f t="shared" ref="E41:AY41" si="42">SUM(E38:E40)</f>
        <v>34833.108293360005</v>
      </c>
      <c r="F41" s="10">
        <f t="shared" si="42"/>
        <v>39350.504181929995</v>
      </c>
      <c r="G41" s="10">
        <f t="shared" si="42"/>
        <v>37713.399102300005</v>
      </c>
      <c r="H41" s="10">
        <f t="shared" si="42"/>
        <v>42104.793575259988</v>
      </c>
      <c r="I41" s="10">
        <f t="shared" si="42"/>
        <v>40986.858578259998</v>
      </c>
      <c r="J41" s="10">
        <f t="shared" si="42"/>
        <v>42656.716434809998</v>
      </c>
      <c r="K41" s="10">
        <f t="shared" si="42"/>
        <v>43048.369914889998</v>
      </c>
      <c r="L41" s="10">
        <f t="shared" si="42"/>
        <v>41745.91355053</v>
      </c>
      <c r="M41" s="10">
        <f t="shared" si="42"/>
        <v>42550.948177720005</v>
      </c>
      <c r="N41" s="10">
        <f t="shared" si="42"/>
        <v>40378.915867939999</v>
      </c>
      <c r="O41" s="10">
        <f t="shared" si="42"/>
        <v>40054.532706229998</v>
      </c>
      <c r="P41" s="10">
        <f t="shared" si="42"/>
        <v>38940.863568950001</v>
      </c>
      <c r="Q41" s="10">
        <f t="shared" si="42"/>
        <v>34742.385883629991</v>
      </c>
      <c r="R41" s="10">
        <f t="shared" si="42"/>
        <v>36347.418309209999</v>
      </c>
      <c r="S41" s="10">
        <f t="shared" si="42"/>
        <v>35277.999794869989</v>
      </c>
      <c r="T41" s="10">
        <f t="shared" si="42"/>
        <v>35693.806089179998</v>
      </c>
      <c r="U41" s="10">
        <f t="shared" si="42"/>
        <v>33723.00626141001</v>
      </c>
      <c r="V41" s="10">
        <f t="shared" si="42"/>
        <v>34536.792952899996</v>
      </c>
      <c r="W41" s="10">
        <f t="shared" si="42"/>
        <v>32865.778861440005</v>
      </c>
      <c r="X41" s="10">
        <f t="shared" si="42"/>
        <v>31252.117325389998</v>
      </c>
      <c r="Y41" s="10">
        <f t="shared" si="42"/>
        <v>31482.360320700001</v>
      </c>
      <c r="Z41" s="10">
        <f t="shared" si="42"/>
        <v>29419.203826830002</v>
      </c>
      <c r="AA41" s="10">
        <f t="shared" si="42"/>
        <v>29588.275343319998</v>
      </c>
      <c r="AB41" s="10">
        <f t="shared" si="42"/>
        <v>29029.791404509997</v>
      </c>
      <c r="AC41" s="10">
        <f t="shared" si="42"/>
        <v>25549.552195250002</v>
      </c>
      <c r="AD41" s="10">
        <f t="shared" si="42"/>
        <v>28473.201661530002</v>
      </c>
      <c r="AE41" s="10">
        <f t="shared" si="42"/>
        <v>27259.734579369997</v>
      </c>
      <c r="AF41" s="10">
        <f t="shared" si="42"/>
        <v>27967.432726260005</v>
      </c>
      <c r="AG41" s="10">
        <f t="shared" si="42"/>
        <v>26670.822131390003</v>
      </c>
      <c r="AH41" s="10">
        <f t="shared" si="42"/>
        <v>27549.198200020001</v>
      </c>
      <c r="AI41" s="10">
        <f t="shared" si="42"/>
        <v>27456.578896789997</v>
      </c>
      <c r="AJ41" s="10">
        <f t="shared" si="42"/>
        <v>26701.21167013</v>
      </c>
      <c r="AK41" s="10">
        <f t="shared" si="42"/>
        <v>27679.283440569998</v>
      </c>
      <c r="AL41" s="10">
        <f t="shared" si="42"/>
        <v>26937.339456450005</v>
      </c>
      <c r="AM41" s="10">
        <f t="shared" si="42"/>
        <v>28304.657742420004</v>
      </c>
      <c r="AN41" s="10">
        <f t="shared" si="42"/>
        <v>28180.971135970005</v>
      </c>
      <c r="AO41" s="10">
        <f t="shared" si="42"/>
        <v>25865.928983559999</v>
      </c>
      <c r="AP41" s="10">
        <f t="shared" si="42"/>
        <v>28776.289012899993</v>
      </c>
      <c r="AQ41" s="10">
        <f t="shared" si="42"/>
        <v>27858.167463530004</v>
      </c>
      <c r="AR41" s="10">
        <f t="shared" si="42"/>
        <v>29200.369874049997</v>
      </c>
      <c r="AS41" s="10">
        <f t="shared" si="42"/>
        <v>28718.819766230004</v>
      </c>
      <c r="AT41" s="10">
        <f t="shared" si="42"/>
        <v>0</v>
      </c>
      <c r="AU41" s="10">
        <f t="shared" si="42"/>
        <v>0</v>
      </c>
      <c r="AV41" s="10">
        <f t="shared" si="42"/>
        <v>0</v>
      </c>
      <c r="AW41" s="10">
        <f t="shared" si="42"/>
        <v>0</v>
      </c>
      <c r="AX41" s="10">
        <f t="shared" si="42"/>
        <v>0</v>
      </c>
      <c r="AY41" s="10">
        <f t="shared" si="42"/>
        <v>0</v>
      </c>
      <c r="AZ41" s="10">
        <f t="shared" ref="AZ41:BK41" si="43">SUM(AZ38:AZ40)</f>
        <v>27635.783364828876</v>
      </c>
      <c r="BA41" s="10">
        <f t="shared" si="43"/>
        <v>24746.007802553559</v>
      </c>
      <c r="BB41" s="10">
        <f t="shared" si="43"/>
        <v>27577.072211485443</v>
      </c>
      <c r="BC41" s="10">
        <f t="shared" si="43"/>
        <v>26919.993032496946</v>
      </c>
      <c r="BD41" s="10">
        <f t="shared" si="43"/>
        <v>28244.735201595682</v>
      </c>
      <c r="BE41" s="10">
        <f t="shared" si="43"/>
        <v>27784.806337504571</v>
      </c>
      <c r="BF41" s="10">
        <f t="shared" si="43"/>
        <v>28929.834536734179</v>
      </c>
      <c r="BG41" s="10">
        <f t="shared" si="43"/>
        <v>29273.376061381168</v>
      </c>
      <c r="BH41" s="10">
        <f t="shared" si="43"/>
        <v>28721.910431433775</v>
      </c>
      <c r="BI41" s="10">
        <f t="shared" si="43"/>
        <v>30350.440659507814</v>
      </c>
      <c r="BJ41" s="10">
        <f t="shared" si="43"/>
        <v>29789.063558185248</v>
      </c>
      <c r="BK41" s="10">
        <f t="shared" si="43"/>
        <v>31236.316652435416</v>
      </c>
      <c r="BO41" s="23">
        <f>SUM(BO38:BO40)</f>
        <v>82823.189132429994</v>
      </c>
      <c r="BP41" s="23">
        <f t="shared" ref="BP41:BT41" si="44">SUM(BP38:BP40)</f>
        <v>79958.863378867871</v>
      </c>
      <c r="BQ41" s="23">
        <f t="shared" si="44"/>
        <v>54046.900119530001</v>
      </c>
      <c r="BR41" s="23">
        <f t="shared" si="44"/>
        <v>83052.545261289997</v>
      </c>
      <c r="BS41" s="23">
        <f t="shared" si="44"/>
        <v>110030.66776179</v>
      </c>
      <c r="BT41" s="23">
        <f t="shared" si="44"/>
        <v>111493.74015699999</v>
      </c>
    </row>
    <row r="44" spans="1:72" hidden="1" outlineLevel="1" x14ac:dyDescent="0.25">
      <c r="A44" s="11" t="s">
        <v>50</v>
      </c>
      <c r="C44" s="2" t="s">
        <v>0</v>
      </c>
      <c r="D44" s="8">
        <f>-IFERROR(
GETPIVOTDATA(
"[Base].[Importe]",
TDinamica_R!$A$5,
"[Calendario].[AñoMes]",
"[Calendario].[AñoMes].&amp;[" &amp; TEXT(D$6,"yyyymm") &amp; "]",
"[Base].[Metrica]",
"[Base].[Metrica].&amp;[" &amp; $A44 &amp; "]",
"[Base].[SEGMENTO_DESCRIP]",
"[Base].[SEGMENTO_DESCRIP].&amp;[" &amp; $C$6 &amp; "]",
"[Base].[SITUACION]",
"[Base].[SITUACION].&amp;[" &amp; $C44 &amp; "]"
),0)/1000</f>
        <v>-13563.74246723</v>
      </c>
      <c r="E44" s="8">
        <f>-IFERROR(
GETPIVOTDATA(
"[Base].[Importe]",
TDinamica_R!$A$5,
"[Calendario].[AñoMes]",
"[Calendario].[AñoMes].&amp;[" &amp; TEXT(E$6,"yyyymm") &amp; "]",
"[Base].[Metrica]",
"[Base].[Metrica].&amp;[" &amp; $A44 &amp; "]",
"[Base].[SEGMENTO_DESCRIP]",
"[Base].[SEGMENTO_DESCRIP].&amp;[" &amp; $C$6 &amp; "]",
"[Base].[SITUACION]",
"[Base].[SITUACION].&amp;[" &amp; $C44 &amp; "]"
),0)/1000</f>
        <v>-12981.967108340001</v>
      </c>
      <c r="F44" s="8">
        <f>-IFERROR(
GETPIVOTDATA(
"[Base].[Importe]",
TDinamica_R!$A$5,
"[Calendario].[AñoMes]",
"[Calendario].[AñoMes].&amp;[" &amp; TEXT(F$6,"yyyymm") &amp; "]",
"[Base].[Metrica]",
"[Base].[Metrica].&amp;[" &amp; $A44 &amp; "]",
"[Base].[SEGMENTO_DESCRIP]",
"[Base].[SEGMENTO_DESCRIP].&amp;[" &amp; $C$6 &amp; "]",
"[Base].[SITUACION]",
"[Base].[SITUACION].&amp;[" &amp; $C44 &amp; "]"
),0)/1000</f>
        <v>-15322.136365199998</v>
      </c>
      <c r="G44" s="8">
        <f>-IFERROR(
GETPIVOTDATA(
"[Base].[Importe]",
TDinamica_R!$A$5,
"[Calendario].[AñoMes]",
"[Calendario].[AñoMes].&amp;[" &amp; TEXT(G$6,"yyyymm") &amp; "]",
"[Base].[Metrica]",
"[Base].[Metrica].&amp;[" &amp; $A44 &amp; "]",
"[Base].[SEGMENTO_DESCRIP]",
"[Base].[SEGMENTO_DESCRIP].&amp;[" &amp; $C$6 &amp; "]",
"[Base].[SITUACION]",
"[Base].[SITUACION].&amp;[" &amp; $C44 &amp; "]"
),0)/1000</f>
        <v>-15546.008642960003</v>
      </c>
      <c r="H44" s="8">
        <f>-IFERROR(
GETPIVOTDATA(
"[Base].[Importe]",
TDinamica_R!$A$5,
"[Calendario].[AñoMes]",
"[Calendario].[AñoMes].&amp;[" &amp; TEXT(H$6,"yyyymm") &amp; "]",
"[Base].[Metrica]",
"[Base].[Metrica].&amp;[" &amp; $A44 &amp; "]",
"[Base].[SEGMENTO_DESCRIP]",
"[Base].[SEGMENTO_DESCRIP].&amp;[" &amp; $C$6 &amp; "]",
"[Base].[SITUACION]",
"[Base].[SITUACION].&amp;[" &amp; $C44 &amp; "]"
),0)/1000</f>
        <v>-16578.96113032</v>
      </c>
      <c r="I44" s="8">
        <f>-IFERROR(
GETPIVOTDATA(
"[Base].[Importe]",
TDinamica_R!$A$5,
"[Calendario].[AñoMes]",
"[Calendario].[AñoMes].&amp;[" &amp; TEXT(I$6,"yyyymm") &amp; "]",
"[Base].[Metrica]",
"[Base].[Metrica].&amp;[" &amp; $A44 &amp; "]",
"[Base].[SEGMENTO_DESCRIP]",
"[Base].[SEGMENTO_DESCRIP].&amp;[" &amp; $C$6 &amp; "]",
"[Base].[SITUACION]",
"[Base].[SITUACION].&amp;[" &amp; $C44 &amp; "]"
),0)/1000</f>
        <v>-16523.514792999998</v>
      </c>
      <c r="J44" s="8">
        <f>-IFERROR(
GETPIVOTDATA(
"[Base].[Importe]",
TDinamica_R!$A$5,
"[Calendario].[AñoMes]",
"[Calendario].[AñoMes].&amp;[" &amp; TEXT(J$6,"yyyymm") &amp; "]",
"[Base].[Metrica]",
"[Base].[Metrica].&amp;[" &amp; $A44 &amp; "]",
"[Base].[SEGMENTO_DESCRIP]",
"[Base].[SEGMENTO_DESCRIP].&amp;[" &amp; $C$6 &amp; "]",
"[Base].[SITUACION]",
"[Base].[SITUACION].&amp;[" &amp; $C44 &amp; "]"
),0)/1000</f>
        <v>-17163.623193099997</v>
      </c>
      <c r="K44" s="8">
        <f>-IFERROR(
GETPIVOTDATA(
"[Base].[Importe]",
TDinamica_R!$A$5,
"[Calendario].[AñoMes]",
"[Calendario].[AñoMes].&amp;[" &amp; TEXT(K$6,"yyyymm") &amp; "]",
"[Base].[Metrica]",
"[Base].[Metrica].&amp;[" &amp; $A44 &amp; "]",
"[Base].[SEGMENTO_DESCRIP]",
"[Base].[SEGMENTO_DESCRIP].&amp;[" &amp; $C$6 &amp; "]",
"[Base].[SITUACION]",
"[Base].[SITUACION].&amp;[" &amp; $C44 &amp; "]"
),0)/1000</f>
        <v>-17184.488932720004</v>
      </c>
      <c r="L44" s="8">
        <f>-IFERROR(
GETPIVOTDATA(
"[Base].[Importe]",
TDinamica_R!$A$5,
"[Calendario].[AñoMes]",
"[Calendario].[AñoMes].&amp;[" &amp; TEXT(L$6,"yyyymm") &amp; "]",
"[Base].[Metrica]",
"[Base].[Metrica].&amp;[" &amp; $A44 &amp; "]",
"[Base].[SEGMENTO_DESCRIP]",
"[Base].[SEGMENTO_DESCRIP].&amp;[" &amp; $C$6 &amp; "]",
"[Base].[SITUACION]",
"[Base].[SITUACION].&amp;[" &amp; $C44 &amp; "]"
),0)/1000</f>
        <v>-17052.454850344999</v>
      </c>
      <c r="M44" s="8">
        <f>-IFERROR(
GETPIVOTDATA(
"[Base].[Importe]",
TDinamica_R!$A$5,
"[Calendario].[AñoMes]",
"[Calendario].[AñoMes].&amp;[" &amp; TEXT(M$6,"yyyymm") &amp; "]",
"[Base].[Metrica]",
"[Base].[Metrica].&amp;[" &amp; $A44 &amp; "]",
"[Base].[SEGMENTO_DESCRIP]",
"[Base].[SEGMENTO_DESCRIP].&amp;[" &amp; $C$6 &amp; "]",
"[Base].[SITUACION]",
"[Base].[SITUACION].&amp;[" &amp; $C44 &amp; "]"
),0)/1000</f>
        <v>-17646.463480049995</v>
      </c>
      <c r="N44" s="8">
        <f>-IFERROR(
GETPIVOTDATA(
"[Base].[Importe]",
TDinamica_R!$A$5,
"[Calendario].[AñoMes]",
"[Calendario].[AñoMes].&amp;[" &amp; TEXT(N$6,"yyyymm") &amp; "]",
"[Base].[Metrica]",
"[Base].[Metrica].&amp;[" &amp; $A44 &amp; "]",
"[Base].[SEGMENTO_DESCRIP]",
"[Base].[SEGMENTO_DESCRIP].&amp;[" &amp; $C$6 &amp; "]",
"[Base].[SITUACION]",
"[Base].[SITUACION].&amp;[" &amp; $C44 &amp; "]"
),0)/1000</f>
        <v>-17071.343834339994</v>
      </c>
      <c r="O44" s="8">
        <f>-IFERROR(
GETPIVOTDATA(
"[Base].[Importe]",
TDinamica_R!$A$5,
"[Calendario].[AñoMes]",
"[Calendario].[AñoMes].&amp;[" &amp; TEXT(O$6,"yyyymm") &amp; "]",
"[Base].[Metrica]",
"[Base].[Metrica].&amp;[" &amp; $A44 &amp; "]",
"[Base].[SEGMENTO_DESCRIP]",
"[Base].[SEGMENTO_DESCRIP].&amp;[" &amp; $C$6 &amp; "]",
"[Base].[SITUACION]",
"[Base].[SITUACION].&amp;[" &amp; $C44 &amp; "]"
),0)/1000</f>
        <v>-17364.412373720003</v>
      </c>
      <c r="P44" s="8">
        <f>-IFERROR(
GETPIVOTDATA(
"[Base].[Importe]",
TDinamica_R!$A$5,
"[Calendario].[AñoMes]",
"[Calendario].[AñoMes].&amp;[" &amp; TEXT(P$6,"yyyymm") &amp; "]",
"[Base].[Metrica]",
"[Base].[Metrica].&amp;[" &amp; $A44 &amp; "]",
"[Base].[SEGMENTO_DESCRIP]",
"[Base].[SEGMENTO_DESCRIP].&amp;[" &amp; $C$6 &amp; "]",
"[Base].[SITUACION]",
"[Base].[SITUACION].&amp;[" &amp; $C44 &amp; "]"
),0)/1000</f>
        <v>-16858.408986240003</v>
      </c>
      <c r="Q44" s="8">
        <f>-IFERROR(
GETPIVOTDATA(
"[Base].[Importe]",
TDinamica_R!$A$5,
"[Calendario].[AñoMes]",
"[Calendario].[AñoMes].&amp;[" &amp; TEXT(Q$6,"yyyymm") &amp; "]",
"[Base].[Metrica]",
"[Base].[Metrica].&amp;[" &amp; $A44 &amp; "]",
"[Base].[SEGMENTO_DESCRIP]",
"[Base].[SEGMENTO_DESCRIP].&amp;[" &amp; $C$6 &amp; "]",
"[Base].[SITUACION]",
"[Base].[SITUACION].&amp;[" &amp; $C44 &amp; "]"
),0)/1000</f>
        <v>-15283.328430000001</v>
      </c>
      <c r="R44" s="8">
        <f>-IFERROR(
GETPIVOTDATA(
"[Base].[Importe]",
TDinamica_R!$A$5,
"[Calendario].[AñoMes]",
"[Calendario].[AñoMes].&amp;[" &amp; TEXT(R$6,"yyyymm") &amp; "]",
"[Base].[Metrica]",
"[Base].[Metrica].&amp;[" &amp; $A44 &amp; "]",
"[Base].[SEGMENTO_DESCRIP]",
"[Base].[SEGMENTO_DESCRIP].&amp;[" &amp; $C$6 &amp; "]",
"[Base].[SITUACION]",
"[Base].[SITUACION].&amp;[" &amp; $C44 &amp; "]"
),0)/1000</f>
        <v>-15854.632685929999</v>
      </c>
      <c r="S44" s="8">
        <f>-IFERROR(
GETPIVOTDATA(
"[Base].[Importe]",
TDinamica_R!$A$5,
"[Calendario].[AñoMes]",
"[Calendario].[AñoMes].&amp;[" &amp; TEXT(S$6,"yyyymm") &amp; "]",
"[Base].[Metrica]",
"[Base].[Metrica].&amp;[" &amp; $A44 &amp; "]",
"[Base].[SEGMENTO_DESCRIP]",
"[Base].[SEGMENTO_DESCRIP].&amp;[" &amp; $C$6 &amp; "]",
"[Base].[SITUACION]",
"[Base].[SITUACION].&amp;[" &amp; $C44 &amp; "]"
),0)/1000</f>
        <v>-14772.046865040002</v>
      </c>
      <c r="T44" s="8">
        <f>-IFERROR(
GETPIVOTDATA(
"[Base].[Importe]",
TDinamica_R!$A$5,
"[Calendario].[AñoMes]",
"[Calendario].[AñoMes].&amp;[" &amp; TEXT(T$6,"yyyymm") &amp; "]",
"[Base].[Metrica]",
"[Base].[Metrica].&amp;[" &amp; $A44 &amp; "]",
"[Base].[SEGMENTO_DESCRIP]",
"[Base].[SEGMENTO_DESCRIP].&amp;[" &amp; $C$6 &amp; "]",
"[Base].[SITUACION]",
"[Base].[SITUACION].&amp;[" &amp; $C44 &amp; "]"
),0)/1000</f>
        <v>-14680.2698736</v>
      </c>
      <c r="U44" s="8">
        <f>-IFERROR(
GETPIVOTDATA(
"[Base].[Importe]",
TDinamica_R!$A$5,
"[Calendario].[AñoMes]",
"[Calendario].[AñoMes].&amp;[" &amp; TEXT(U$6,"yyyymm") &amp; "]",
"[Base].[Metrica]",
"[Base].[Metrica].&amp;[" &amp; $A44 &amp; "]",
"[Base].[SEGMENTO_DESCRIP]",
"[Base].[SEGMENTO_DESCRIP].&amp;[" &amp; $C$6 &amp; "]",
"[Base].[SITUACION]",
"[Base].[SITUACION].&amp;[" &amp; $C44 &amp; "]"
),0)/1000</f>
        <v>-13577.285623290003</v>
      </c>
      <c r="V44" s="8">
        <f>-IFERROR(
GETPIVOTDATA(
"[Base].[Importe]",
TDinamica_R!$A$5,
"[Calendario].[AñoMes]",
"[Calendario].[AñoMes].&amp;[" &amp; TEXT(V$6,"yyyymm") &amp; "]",
"[Base].[Metrica]",
"[Base].[Metrica].&amp;[" &amp; $A44 &amp; "]",
"[Base].[SEGMENTO_DESCRIP]",
"[Base].[SEGMENTO_DESCRIP].&amp;[" &amp; $C$6 &amp; "]",
"[Base].[SITUACION]",
"[Base].[SITUACION].&amp;[" &amp; $C44 &amp; "]"
),0)/1000</f>
        <v>-13474.072434259999</v>
      </c>
      <c r="W44" s="8">
        <f>-IFERROR(
GETPIVOTDATA(
"[Base].[Importe]",
TDinamica_R!$A$5,
"[Calendario].[AñoMes]",
"[Calendario].[AñoMes].&amp;[" &amp; TEXT(W$6,"yyyymm") &amp; "]",
"[Base].[Metrica]",
"[Base].[Metrica].&amp;[" &amp; $A44 &amp; "]",
"[Base].[SEGMENTO_DESCRIP]",
"[Base].[SEGMENTO_DESCRIP].&amp;[" &amp; $C$6 &amp; "]",
"[Base].[SITUACION]",
"[Base].[SITUACION].&amp;[" &amp; $C44 &amp; "]"
),0)/1000</f>
        <v>-12972.29726732</v>
      </c>
      <c r="X44" s="8">
        <f>-IFERROR(
GETPIVOTDATA(
"[Base].[Importe]",
TDinamica_R!$A$5,
"[Calendario].[AñoMes]",
"[Calendario].[AñoMes].&amp;[" &amp; TEXT(X$6,"yyyymm") &amp; "]",
"[Base].[Metrica]",
"[Base].[Metrica].&amp;[" &amp; $A44 &amp; "]",
"[Base].[SEGMENTO_DESCRIP]",
"[Base].[SEGMENTO_DESCRIP].&amp;[" &amp; $C$6 &amp; "]",
"[Base].[SITUACION]",
"[Base].[SITUACION].&amp;[" &amp; $C44 &amp; "]"
),0)/1000</f>
        <v>-12226.702948719998</v>
      </c>
      <c r="Y44" s="8">
        <f>-IFERROR(
GETPIVOTDATA(
"[Base].[Importe]",
TDinamica_R!$A$5,
"[Calendario].[AñoMes]",
"[Calendario].[AñoMes].&amp;[" &amp; TEXT(Y$6,"yyyymm") &amp; "]",
"[Base].[Metrica]",
"[Base].[Metrica].&amp;[" &amp; $A44 &amp; "]",
"[Base].[SEGMENTO_DESCRIP]",
"[Base].[SEGMENTO_DESCRIP].&amp;[" &amp; $C$6 &amp; "]",
"[Base].[SITUACION]",
"[Base].[SITUACION].&amp;[" &amp; $C44 &amp; "]"
),0)/1000</f>
        <v>-12325.812098720002</v>
      </c>
      <c r="Z44" s="8">
        <f>-IFERROR(
GETPIVOTDATA(
"[Base].[Importe]",
TDinamica_R!$A$5,
"[Calendario].[AñoMes]",
"[Calendario].[AñoMes].&amp;[" &amp; TEXT(Z$6,"yyyymm") &amp; "]",
"[Base].[Metrica]",
"[Base].[Metrica].&amp;[" &amp; $A44 &amp; "]",
"[Base].[SEGMENTO_DESCRIP]",
"[Base].[SEGMENTO_DESCRIP].&amp;[" &amp; $C$6 &amp; "]",
"[Base].[SITUACION]",
"[Base].[SITUACION].&amp;[" &amp; $C44 &amp; "]"
),0)/1000</f>
        <v>-11624.367033680001</v>
      </c>
      <c r="AA44" s="8">
        <f>-IFERROR(
GETPIVOTDATA(
"[Base].[Importe]",
TDinamica_R!$A$5,
"[Calendario].[AñoMes]",
"[Calendario].[AñoMes].&amp;[" &amp; TEXT(AA$6,"yyyymm") &amp; "]",
"[Base].[Metrica]",
"[Base].[Metrica].&amp;[" &amp; $A44 &amp; "]",
"[Base].[SEGMENTO_DESCRIP]",
"[Base].[SEGMENTO_DESCRIP].&amp;[" &amp; $C$6 &amp; "]",
"[Base].[SITUACION]",
"[Base].[SITUACION].&amp;[" &amp; $C44 &amp; "]"
),0)/1000</f>
        <v>-11669.542825599998</v>
      </c>
      <c r="AB44" s="8">
        <f>-IFERROR(
GETPIVOTDATA(
"[Base].[Importe]",
TDinamica_R!$A$5,
"[Calendario].[AñoMes]",
"[Calendario].[AñoMes].&amp;[" &amp; TEXT(AB$6,"yyyymm") &amp; "]",
"[Base].[Metrica]",
"[Base].[Metrica].&amp;[" &amp; $A44 &amp; "]",
"[Base].[SEGMENTO_DESCRIP]",
"[Base].[SEGMENTO_DESCRIP].&amp;[" &amp; $C$6 &amp; "]",
"[Base].[SITUACION]",
"[Base].[SITUACION].&amp;[" &amp; $C44 &amp; "]"
),0)/1000</f>
        <v>-11288.52460647</v>
      </c>
      <c r="AC44" s="8">
        <f>-IFERROR(
GETPIVOTDATA(
"[Base].[Importe]",
TDinamica_R!$A$5,
"[Calendario].[AñoMes]",
"[Calendario].[AñoMes].&amp;[" &amp; TEXT(AC$6,"yyyymm") &amp; "]",
"[Base].[Metrica]",
"[Base].[Metrica].&amp;[" &amp; $A44 &amp; "]",
"[Base].[SEGMENTO_DESCRIP]",
"[Base].[SEGMENTO_DESCRIP].&amp;[" &amp; $C$6 &amp; "]",
"[Base].[SITUACION]",
"[Base].[SITUACION].&amp;[" &amp; $C44 &amp; "]"
),0)/1000</f>
        <v>-9971.5171790000022</v>
      </c>
      <c r="AD44" s="8">
        <f>-IFERROR(
GETPIVOTDATA(
"[Base].[Importe]",
TDinamica_R!$A$5,
"[Calendario].[AñoMes]",
"[Calendario].[AñoMes].&amp;[" &amp; TEXT(AD$6,"yyyymm") &amp; "]",
"[Base].[Metrica]",
"[Base].[Metrica].&amp;[" &amp; $A44 &amp; "]",
"[Base].[SEGMENTO_DESCRIP]",
"[Base].[SEGMENTO_DESCRIP].&amp;[" &amp; $C$6 &amp; "]",
"[Base].[SITUACION]",
"[Base].[SITUACION].&amp;[" &amp; $C44 &amp; "]"
),0)/1000</f>
        <v>-10782.509798049998</v>
      </c>
      <c r="AE44" s="8">
        <f>-IFERROR(
GETPIVOTDATA(
"[Base].[Importe]",
TDinamica_R!$A$5,
"[Calendario].[AñoMes]",
"[Calendario].[AñoMes].&amp;[" &amp; TEXT(AE$6,"yyyymm") &amp; "]",
"[Base].[Metrica]",
"[Base].[Metrica].&amp;[" &amp; $A44 &amp; "]",
"[Base].[SEGMENTO_DESCRIP]",
"[Base].[SEGMENTO_DESCRIP].&amp;[" &amp; $C$6 &amp; "]",
"[Base].[SITUACION]",
"[Base].[SITUACION].&amp;[" &amp; $C44 &amp; "]"
),0)/1000</f>
        <v>-10278.173285910001</v>
      </c>
      <c r="AF44" s="8">
        <f>-IFERROR(
GETPIVOTDATA(
"[Base].[Importe]",
TDinamica_R!$A$5,
"[Calendario].[AñoMes]",
"[Calendario].[AñoMes].&amp;[" &amp; TEXT(AF$6,"yyyymm") &amp; "]",
"[Base].[Metrica]",
"[Base].[Metrica].&amp;[" &amp; $A44 &amp; "]",
"[Base].[SEGMENTO_DESCRIP]",
"[Base].[SEGMENTO_DESCRIP].&amp;[" &amp; $C$6 &amp; "]",
"[Base].[SITUACION]",
"[Base].[SITUACION].&amp;[" &amp; $C44 &amp; "]"
),0)/1000</f>
        <v>-10393.339993199999</v>
      </c>
      <c r="AG44" s="8">
        <f>-IFERROR(
GETPIVOTDATA(
"[Base].[Importe]",
TDinamica_R!$A$5,
"[Calendario].[AñoMes]",
"[Calendario].[AñoMes].&amp;[" &amp; TEXT(AG$6,"yyyymm") &amp; "]",
"[Base].[Metrica]",
"[Base].[Metrica].&amp;[" &amp; $A44 &amp; "]",
"[Base].[SEGMENTO_DESCRIP]",
"[Base].[SEGMENTO_DESCRIP].&amp;[" &amp; $C$6 &amp; "]",
"[Base].[SITUACION]",
"[Base].[SITUACION].&amp;[" &amp; $C44 &amp; "]"
),0)/1000</f>
        <v>-9825.2760462000006</v>
      </c>
      <c r="AH44" s="8">
        <f>-IFERROR(
GETPIVOTDATA(
"[Base].[Importe]",
TDinamica_R!$A$5,
"[Calendario].[AñoMes]",
"[Calendario].[AñoMes].&amp;[" &amp; TEXT(AH$6,"yyyymm") &amp; "]",
"[Base].[Metrica]",
"[Base].[Metrica].&amp;[" &amp; $A44 &amp; "]",
"[Base].[SEGMENTO_DESCRIP]",
"[Base].[SEGMENTO_DESCRIP].&amp;[" &amp; $C$6 &amp; "]",
"[Base].[SITUACION]",
"[Base].[SITUACION].&amp;[" &amp; $C44 &amp; "]"
),0)/1000</f>
        <v>-9996.801533140002</v>
      </c>
      <c r="AI44" s="8">
        <f>-IFERROR(
GETPIVOTDATA(
"[Base].[Importe]",
TDinamica_R!$A$5,
"[Calendario].[AñoMes]",
"[Calendario].[AñoMes].&amp;[" &amp; TEXT(AI$6,"yyyymm") &amp; "]",
"[Base].[Metrica]",
"[Base].[Metrica].&amp;[" &amp; $A44 &amp; "]",
"[Base].[SEGMENTO_DESCRIP]",
"[Base].[SEGMENTO_DESCRIP].&amp;[" &amp; $C$6 &amp; "]",
"[Base].[SITUACION]",
"[Base].[SITUACION].&amp;[" &amp; $C44 &amp; "]"
),0)/1000</f>
        <v>-9919.1606668000022</v>
      </c>
      <c r="AJ44" s="8">
        <f>-IFERROR(
GETPIVOTDATA(
"[Base].[Importe]",
TDinamica_R!$A$5,
"[Calendario].[AñoMes]",
"[Calendario].[AñoMes].&amp;[" &amp; TEXT(AJ$6,"yyyymm") &amp; "]",
"[Base].[Metrica]",
"[Base].[Metrica].&amp;[" &amp; $A44 &amp; "]",
"[Base].[SEGMENTO_DESCRIP]",
"[Base].[SEGMENTO_DESCRIP].&amp;[" &amp; $C$6 &amp; "]",
"[Base].[SITUACION]",
"[Base].[SITUACION].&amp;[" &amp; $C44 &amp; "]"
),0)/1000</f>
        <v>-9507.9609253300023</v>
      </c>
      <c r="AK44" s="8">
        <f>-IFERROR(
GETPIVOTDATA(
"[Base].[Importe]",
TDinamica_R!$A$5,
"[Calendario].[AñoMes]",
"[Calendario].[AñoMes].&amp;[" &amp; TEXT(AK$6,"yyyymm") &amp; "]",
"[Base].[Metrica]",
"[Base].[Metrica].&amp;[" &amp; $A44 &amp; "]",
"[Base].[SEGMENTO_DESCRIP]",
"[Base].[SEGMENTO_DESCRIP].&amp;[" &amp; $C$6 &amp; "]",
"[Base].[SITUACION]",
"[Base].[SITUACION].&amp;[" &amp; $C44 &amp; "]"
),0)/1000</f>
        <v>-9790.4738520799983</v>
      </c>
      <c r="AL44" s="8">
        <f>-IFERROR(
GETPIVOTDATA(
"[Base].[Importe]",
TDinamica_R!$A$5,
"[Calendario].[AñoMes]",
"[Calendario].[AñoMes].&amp;[" &amp; TEXT(AL$6,"yyyymm") &amp; "]",
"[Base].[Metrica]",
"[Base].[Metrica].&amp;[" &amp; $A44 &amp; "]",
"[Base].[SEGMENTO_DESCRIP]",
"[Base].[SEGMENTO_DESCRIP].&amp;[" &amp; $C$6 &amp; "]",
"[Base].[SITUACION]",
"[Base].[SITUACION].&amp;[" &amp; $C44 &amp; "]"
),0)/1000</f>
        <v>-9485.78898424</v>
      </c>
      <c r="AM44" s="8">
        <f>-IFERROR(
GETPIVOTDATA(
"[Base].[Importe]",
TDinamica_R!$A$5,
"[Calendario].[AñoMes]",
"[Calendario].[AñoMes].&amp;[" &amp; TEXT(AM$6,"yyyymm") &amp; "]",
"[Base].[Metrica]",
"[Base].[Metrica].&amp;[" &amp; $A44 &amp; "]",
"[Base].[SEGMENTO_DESCRIP]",
"[Base].[SEGMENTO_DESCRIP].&amp;[" &amp; $C$6 &amp; "]",
"[Base].[SITUACION]",
"[Base].[SITUACION].&amp;[" &amp; $C44 &amp; "]"
),0)/1000</f>
        <v>-9679.5563446399992</v>
      </c>
      <c r="AN44" s="8">
        <f>-IFERROR(
GETPIVOTDATA(
"[Base].[Importe]",
TDinamica_R!$A$5,
"[Calendario].[AñoMes]",
"[Calendario].[AñoMes].&amp;[" &amp; TEXT(AN$6,"yyyymm") &amp; "]",
"[Base].[Metrica]",
"[Base].[Metrica].&amp;[" &amp; $A44 &amp; "]",
"[Base].[SEGMENTO_DESCRIP]",
"[Base].[SEGMENTO_DESCRIP].&amp;[" &amp; $C$6 &amp; "]",
"[Base].[SITUACION]",
"[Base].[SITUACION].&amp;[" &amp; $C44 &amp; "]"
),0)/1000</f>
        <v>-9593.5863980800004</v>
      </c>
      <c r="AO44" s="8">
        <f>-IFERROR(
GETPIVOTDATA(
"[Base].[Importe]",
TDinamica_R!$A$5,
"[Calendario].[AñoMes]",
"[Calendario].[AñoMes].&amp;[" &amp; TEXT(AO$6,"yyyymm") &amp; "]",
"[Base].[Metrica]",
"[Base].[Metrica].&amp;[" &amp; $A44 &amp; "]",
"[Base].[SEGMENTO_DESCRIP]",
"[Base].[SEGMENTO_DESCRIP].&amp;[" &amp; $C$6 &amp; "]",
"[Base].[SITUACION]",
"[Base].[SITUACION].&amp;[" &amp; $C44 &amp; "]"
),0)/1000</f>
        <v>-8659.8825811000006</v>
      </c>
      <c r="AP44" s="8">
        <f>-IFERROR(
GETPIVOTDATA(
"[Base].[Importe]",
TDinamica_R!$A$5,
"[Calendario].[AñoMes]",
"[Calendario].[AñoMes].&amp;[" &amp; TEXT(AP$6,"yyyymm") &amp; "]",
"[Base].[Metrica]",
"[Base].[Metrica].&amp;[" &amp; $A44 &amp; "]",
"[Base].[SEGMENTO_DESCRIP]",
"[Base].[SEGMENTO_DESCRIP].&amp;[" &amp; $C$6 &amp; "]",
"[Base].[SITUACION]",
"[Base].[SITUACION].&amp;[" &amp; $C44 &amp; "]"
),0)/1000</f>
        <v>-9590.2303140000004</v>
      </c>
      <c r="AQ44" s="8">
        <f>-IFERROR(
GETPIVOTDATA(
"[Base].[Importe]",
TDinamica_R!$A$5,
"[Calendario].[AñoMes]",
"[Calendario].[AñoMes].&amp;[" &amp; TEXT(AQ$6,"yyyymm") &amp; "]",
"[Base].[Metrica]",
"[Base].[Metrica].&amp;[" &amp; $A44 &amp; "]",
"[Base].[SEGMENTO_DESCRIP]",
"[Base].[SEGMENTO_DESCRIP].&amp;[" &amp; $C$6 &amp; "]",
"[Base].[SITUACION]",
"[Base].[SITUACION].&amp;[" &amp; $C44 &amp; "]"
),0)/1000</f>
        <v>-9307.9612538699985</v>
      </c>
      <c r="AR44" s="8">
        <f>-IFERROR(
GETPIVOTDATA(
"[Base].[Importe]",
TDinamica_R!$A$5,
"[Calendario].[AñoMes]",
"[Calendario].[AñoMes].&amp;[" &amp; TEXT(AR$6,"yyyymm") &amp; "]",
"[Base].[Metrica]",
"[Base].[Metrica].&amp;[" &amp; $A44 &amp; "]",
"[Base].[SEGMENTO_DESCRIP]",
"[Base].[SEGMENTO_DESCRIP].&amp;[" &amp; $C$6 &amp; "]",
"[Base].[SITUACION]",
"[Base].[SITUACION].&amp;[" &amp; $C44 &amp; "]"
),0)/1000</f>
        <v>-9731.5090126800005</v>
      </c>
      <c r="AS44" s="8">
        <f>-IFERROR(
GETPIVOTDATA(
"[Base].[Importe]",
TDinamica_R!$A$5,
"[Calendario].[AñoMes]",
"[Calendario].[AñoMes].&amp;[" &amp; TEXT(AS$6,"yyyymm") &amp; "]",
"[Base].[Metrica]",
"[Base].[Metrica].&amp;[" &amp; $A44 &amp; "]",
"[Base].[SEGMENTO_DESCRIP]",
"[Base].[SEGMENTO_DESCRIP].&amp;[" &amp; $C$6 &amp; "]",
"[Base].[SITUACION]",
"[Base].[SITUACION].&amp;[" &amp; $C44 &amp; "]"
),0)/1000</f>
        <v>-9518.8486043499997</v>
      </c>
      <c r="AT44" s="8">
        <f>-IFERROR(
GETPIVOTDATA(
"[Base].[Importe]",
TDinamica_R!$A$5,
"[Calendario].[AñoMes]",
"[Calendario].[AñoMes].&amp;[" &amp; TEXT(AT$6,"yyyymm")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U44" s="8">
        <f>-IFERROR(
GETPIVOTDATA(
"[Base].[Importe]",
TDinamica_R!$A$5,
"[Calendario].[AñoMes]",
"[Calendario].[AñoMes].&amp;[" &amp; TEXT(AU$6,"yyyymm")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V44" s="8">
        <f>-IFERROR(
GETPIVOTDATA(
"[Base].[Importe]",
TDinamica_R!$A$5,
"[Calendario].[AñoMes]",
"[Calendario].[AñoMes].&amp;[" &amp; TEXT(AV$6,"yyyymm")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W44" s="8">
        <f>-IFERROR(
GETPIVOTDATA(
"[Base].[Importe]",
TDinamica_R!$A$5,
"[Calendario].[AñoMes]",
"[Calendario].[AñoMes].&amp;[" &amp; TEXT(AW$6,"yyyymm")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X44" s="8">
        <f>-IFERROR(
GETPIVOTDATA(
"[Base].[Importe]",
TDinamica_R!$A$5,
"[Calendario].[AñoMes]",
"[Calendario].[AñoMes].&amp;[" &amp; TEXT(AX$6,"yyyymm")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Y44" s="8">
        <f>-IFERROR(
GETPIVOTDATA(
"[Base].[Importe]",
TDinamica_R!$A$5,
"[Calendario].[AñoMes]",
"[Calendario].[AñoMes].&amp;[" &amp; TEXT(AY$6,"yyyymm")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Z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TEXT(AZ$6,"yyyymm") &amp; "]"
),
0
)</f>
        <v>-9863.5942160358572</v>
      </c>
      <c r="BA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TEXT(BA$6,"yyyymm") &amp; "]"
),
0
)</f>
        <v>-8803.2592896088972</v>
      </c>
      <c r="BB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TEXT(BB$6,"yyyymm") &amp; "]"
),
0
)</f>
        <v>-9656.7033823112397</v>
      </c>
      <c r="BC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TEXT(BC$6,"yyyymm") &amp; "]"
),
0
)</f>
        <v>-9327.4051402633359</v>
      </c>
      <c r="BD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TEXT(BD$6,"yyyymm") &amp; "]"
),
0
)</f>
        <v>-9661.4244411572581</v>
      </c>
      <c r="BE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TEXT(BE$6,"yyyymm") &amp; "]"
),
0
)</f>
        <v>-9357.8660697203031</v>
      </c>
      <c r="BF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TEXT(BF$6,"yyyymm") &amp; "]"
),
0
)</f>
        <v>-9635.4411190749797</v>
      </c>
      <c r="BG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TEXT(BG$6,"yyyymm") &amp; "]"
),
0
)</f>
        <v>-9627.5447147762861</v>
      </c>
      <c r="BH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TEXT(BH$6,"yyyymm") &amp; "]"
),
0
)</f>
        <v>-9357.7380543786148</v>
      </c>
      <c r="BI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TEXT(BI$6,"yyyymm") &amp; "]"
),
0
)</f>
        <v>-9746.5672150928585</v>
      </c>
      <c r="BJ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TEXT(BJ$6,"yyyymm") &amp; "]"
),
0
)</f>
        <v>-9474.3142978539581</v>
      </c>
      <c r="BK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TEXT(BK$6,"yyyymm") &amp; "]"
),
0
)</f>
        <v>-9786.4202360758318</v>
      </c>
      <c r="BO44" s="24">
        <f t="shared" ref="BO44:BT46" si="45">SUMIFS($D44:$BM44,$D$6:$BM$6,"&gt;="&amp;BO$2,$D$6:$BM$6,"&lt;="&amp;BO$6,$D$5:$BM$5,BO$5)</f>
        <v>-27843.699293180001</v>
      </c>
      <c r="BP44" s="24">
        <f t="shared" si="45"/>
        <v>-28323.556887955994</v>
      </c>
      <c r="BQ44" s="24">
        <f t="shared" si="45"/>
        <v>-18253.468979180001</v>
      </c>
      <c r="BR44" s="24">
        <f t="shared" si="45"/>
        <v>-32042.551583519999</v>
      </c>
      <c r="BS44" s="24">
        <f t="shared" si="45"/>
        <v>-47996.370102170004</v>
      </c>
      <c r="BT44" s="24">
        <f t="shared" si="45"/>
        <v>-41867.845940769999</v>
      </c>
    </row>
    <row r="45" spans="1:72" hidden="1" outlineLevel="1" x14ac:dyDescent="0.25">
      <c r="A45" s="11" t="s">
        <v>50</v>
      </c>
      <c r="C45" s="2" t="s">
        <v>1</v>
      </c>
      <c r="D45" s="8">
        <f>-IFERROR(
GETPIVOTDATA(
"[Base].[Importe]",
TDinamica_R!$A$5,
"[Calendario].[AñoMes]",
"[Calendario].[AñoMes].&amp;[" &amp; TEXT(D$6,"yyyymm") &amp; "]",
"[Base].[Metrica]",
"[Base].[Metrica].&amp;[" &amp; $A45 &amp; "]",
"[Base].[SEGMENTO_DESCRIP]",
"[Base].[SEGMENTO_DESCRIP].&amp;[" &amp; $C$6 &amp; "]",
"[Base].[SITUACION]",
"[Base].[SITUACION].&amp;[" &amp; $C45 &amp; "]"
),0)/1000</f>
        <v>-66.187389999999994</v>
      </c>
      <c r="E45" s="8">
        <f>-IFERROR(
GETPIVOTDATA(
"[Base].[Importe]",
TDinamica_R!$A$5,
"[Calendario].[AñoMes]",
"[Calendario].[AñoMes].&amp;[" &amp; TEXT(E$6,"yyyymm") &amp; "]",
"[Base].[Metrica]",
"[Base].[Metrica].&amp;[" &amp; $A45 &amp; "]",
"[Base].[SEGMENTO_DESCRIP]",
"[Base].[SEGMENTO_DESCRIP].&amp;[" &amp; $C$6 &amp; "]",
"[Base].[SITUACION]",
"[Base].[SITUACION].&amp;[" &amp; $C45 &amp; "]"
),0)/1000</f>
        <v>-64.456769999999992</v>
      </c>
      <c r="F45" s="8">
        <f>-IFERROR(
GETPIVOTDATA(
"[Base].[Importe]",
TDinamica_R!$A$5,
"[Calendario].[AñoMes]",
"[Calendario].[AñoMes].&amp;[" &amp; TEXT(F$6,"yyyymm") &amp; "]",
"[Base].[Metrica]",
"[Base].[Metrica].&amp;[" &amp; $A45 &amp; "]",
"[Base].[SEGMENTO_DESCRIP]",
"[Base].[SEGMENTO_DESCRIP].&amp;[" &amp; $C$6 &amp; "]",
"[Base].[SITUACION]",
"[Base].[SITUACION].&amp;[" &amp; $C45 &amp; "]"
),0)/1000</f>
        <v>-75.856126800000013</v>
      </c>
      <c r="G45" s="8">
        <f>-IFERROR(
GETPIVOTDATA(
"[Base].[Importe]",
TDinamica_R!$A$5,
"[Calendario].[AñoMes]",
"[Calendario].[AñoMes].&amp;[" &amp; TEXT(G$6,"yyyymm") &amp; "]",
"[Base].[Metrica]",
"[Base].[Metrica].&amp;[" &amp; $A45 &amp; "]",
"[Base].[SEGMENTO_DESCRIP]",
"[Base].[SEGMENTO_DESCRIP].&amp;[" &amp; $C$6 &amp; "]",
"[Base].[SITUACION]",
"[Base].[SITUACION].&amp;[" &amp; $C45 &amp; "]"
),0)/1000</f>
        <v>-70.328838680000004</v>
      </c>
      <c r="H45" s="8">
        <f>-IFERROR(
GETPIVOTDATA(
"[Base].[Importe]",
TDinamica_R!$A$5,
"[Calendario].[AñoMes]",
"[Calendario].[AñoMes].&amp;[" &amp; TEXT(H$6,"yyyymm") &amp; "]",
"[Base].[Metrica]",
"[Base].[Metrica].&amp;[" &amp; $A45 &amp; "]",
"[Base].[SEGMENTO_DESCRIP]",
"[Base].[SEGMENTO_DESCRIP].&amp;[" &amp; $C$6 &amp; "]",
"[Base].[SITUACION]",
"[Base].[SITUACION].&amp;[" &amp; $C45 &amp; "]"
),0)/1000</f>
        <v>-67.146875120000018</v>
      </c>
      <c r="I45" s="8">
        <f>-IFERROR(
GETPIVOTDATA(
"[Base].[Importe]",
TDinamica_R!$A$5,
"[Calendario].[AñoMes]",
"[Calendario].[AñoMes].&amp;[" &amp; TEXT(I$6,"yyyymm") &amp; "]",
"[Base].[Metrica]",
"[Base].[Metrica].&amp;[" &amp; $A45 &amp; "]",
"[Base].[SEGMENTO_DESCRIP]",
"[Base].[SEGMENTO_DESCRIP].&amp;[" &amp; $C$6 &amp; "]",
"[Base].[SITUACION]",
"[Base].[SITUACION].&amp;[" &amp; $C45 &amp; "]"
),0)/1000</f>
        <v>-59.679810500000002</v>
      </c>
      <c r="J45" s="8">
        <f>-IFERROR(
GETPIVOTDATA(
"[Base].[Importe]",
TDinamica_R!$A$5,
"[Calendario].[AñoMes]",
"[Calendario].[AñoMes].&amp;[" &amp; TEXT(J$6,"yyyymm") &amp; "]",
"[Base].[Metrica]",
"[Base].[Metrica].&amp;[" &amp; $A45 &amp; "]",
"[Base].[SEGMENTO_DESCRIP]",
"[Base].[SEGMENTO_DESCRIP].&amp;[" &amp; $C$6 &amp; "]",
"[Base].[SITUACION]",
"[Base].[SITUACION].&amp;[" &amp; $C45 &amp; "]"
),0)/1000</f>
        <v>-57.224642610000004</v>
      </c>
      <c r="K45" s="8">
        <f>-IFERROR(
GETPIVOTDATA(
"[Base].[Importe]",
TDinamica_R!$A$5,
"[Calendario].[AñoMes]",
"[Calendario].[AñoMes].&amp;[" &amp; TEXT(K$6,"yyyymm") &amp; "]",
"[Base].[Metrica]",
"[Base].[Metrica].&amp;[" &amp; $A45 &amp; "]",
"[Base].[SEGMENTO_DESCRIP]",
"[Base].[SEGMENTO_DESCRIP].&amp;[" &amp; $C$6 &amp; "]",
"[Base].[SITUACION]",
"[Base].[SITUACION].&amp;[" &amp; $C45 &amp; "]"
),0)/1000</f>
        <v>-50.738086639999999</v>
      </c>
      <c r="L45" s="8">
        <f>-IFERROR(
GETPIVOTDATA(
"[Base].[Importe]",
TDinamica_R!$A$5,
"[Calendario].[AñoMes]",
"[Calendario].[AñoMes].&amp;[" &amp; TEXT(L$6,"yyyymm") &amp; "]",
"[Base].[Metrica]",
"[Base].[Metrica].&amp;[" &amp; $A45 &amp; "]",
"[Base].[SEGMENTO_DESCRIP]",
"[Base].[SEGMENTO_DESCRIP].&amp;[" &amp; $C$6 &amp; "]",
"[Base].[SITUACION]",
"[Base].[SITUACION].&amp;[" &amp; $C45 &amp; "]"
),0)/1000</f>
        <v>-47.731843090000005</v>
      </c>
      <c r="M45" s="8">
        <f>-IFERROR(
GETPIVOTDATA(
"[Base].[Importe]",
TDinamica_R!$A$5,
"[Calendario].[AñoMes]",
"[Calendario].[AñoMes].&amp;[" &amp; TEXT(M$6,"yyyymm") &amp; "]",
"[Base].[Metrica]",
"[Base].[Metrica].&amp;[" &amp; $A45 &amp; "]",
"[Base].[SEGMENTO_DESCRIP]",
"[Base].[SEGMENTO_DESCRIP].&amp;[" &amp; $C$6 &amp; "]",
"[Base].[SITUACION]",
"[Base].[SITUACION].&amp;[" &amp; $C45 &amp; "]"
),0)/1000</f>
        <v>-45.074845000000003</v>
      </c>
      <c r="N45" s="8">
        <f>-IFERROR(
GETPIVOTDATA(
"[Base].[Importe]",
TDinamica_R!$A$5,
"[Calendario].[AñoMes]",
"[Calendario].[AñoMes].&amp;[" &amp; TEXT(N$6,"yyyymm") &amp; "]",
"[Base].[Metrica]",
"[Base].[Metrica].&amp;[" &amp; $A45 &amp; "]",
"[Base].[SEGMENTO_DESCRIP]",
"[Base].[SEGMENTO_DESCRIP].&amp;[" &amp; $C$6 &amp; "]",
"[Base].[SITUACION]",
"[Base].[SITUACION].&amp;[" &amp; $C45 &amp; "]"
),0)/1000</f>
        <v>-37.749628880000003</v>
      </c>
      <c r="O45" s="8">
        <f>-IFERROR(
GETPIVOTDATA(
"[Base].[Importe]",
TDinamica_R!$A$5,
"[Calendario].[AñoMes]",
"[Calendario].[AñoMes].&amp;[" &amp; TEXT(O$6,"yyyymm") &amp; "]",
"[Base].[Metrica]",
"[Base].[Metrica].&amp;[" &amp; $A45 &amp; "]",
"[Base].[SEGMENTO_DESCRIP]",
"[Base].[SEGMENTO_DESCRIP].&amp;[" &amp; $C$6 &amp; "]",
"[Base].[SITUACION]",
"[Base].[SITUACION].&amp;[" &amp; $C45 &amp; "]"
),0)/1000</f>
        <v>-36.553854019999996</v>
      </c>
      <c r="P45" s="8">
        <f>-IFERROR(
GETPIVOTDATA(
"[Base].[Importe]",
TDinamica_R!$A$5,
"[Calendario].[AñoMes]",
"[Calendario].[AñoMes].&amp;[" &amp; TEXT(P$6,"yyyymm") &amp; "]",
"[Base].[Metrica]",
"[Base].[Metrica].&amp;[" &amp; $A45 &amp; "]",
"[Base].[SEGMENTO_DESCRIP]",
"[Base].[SEGMENTO_DESCRIP].&amp;[" &amp; $C$6 &amp; "]",
"[Base].[SITUACION]",
"[Base].[SITUACION].&amp;[" &amp; $C45 &amp; "]"
),0)/1000</f>
        <v>-32.429949999999998</v>
      </c>
      <c r="Q45" s="8">
        <f>-IFERROR(
GETPIVOTDATA(
"[Base].[Importe]",
TDinamica_R!$A$5,
"[Calendario].[AñoMes]",
"[Calendario].[AñoMes].&amp;[" &amp; TEXT(Q$6,"yyyymm") &amp; "]",
"[Base].[Metrica]",
"[Base].[Metrica].&amp;[" &amp; $A45 &amp; "]",
"[Base].[SEGMENTO_DESCRIP]",
"[Base].[SEGMENTO_DESCRIP].&amp;[" &amp; $C$6 &amp; "]",
"[Base].[SITUACION]",
"[Base].[SITUACION].&amp;[" &amp; $C45 &amp; "]"
),0)/1000</f>
        <v>-28.108439999999998</v>
      </c>
      <c r="R45" s="8">
        <f>-IFERROR(
GETPIVOTDATA(
"[Base].[Importe]",
TDinamica_R!$A$5,
"[Calendario].[AñoMes]",
"[Calendario].[AñoMes].&amp;[" &amp; TEXT(R$6,"yyyymm") &amp; "]",
"[Base].[Metrica]",
"[Base].[Metrica].&amp;[" &amp; $A45 &amp; "]",
"[Base].[SEGMENTO_DESCRIP]",
"[Base].[SEGMENTO_DESCRIP].&amp;[" &amp; $C$6 &amp; "]",
"[Base].[SITUACION]",
"[Base].[SITUACION].&amp;[" &amp; $C45 &amp; "]"
),0)/1000</f>
        <v>-35.493160000000003</v>
      </c>
      <c r="S45" s="8">
        <f>-IFERROR(
GETPIVOTDATA(
"[Base].[Importe]",
TDinamica_R!$A$5,
"[Calendario].[AñoMes]",
"[Calendario].[AñoMes].&amp;[" &amp; TEXT(S$6,"yyyymm") &amp; "]",
"[Base].[Metrica]",
"[Base].[Metrica].&amp;[" &amp; $A45 &amp; "]",
"[Base].[SEGMENTO_DESCRIP]",
"[Base].[SEGMENTO_DESCRIP].&amp;[" &amp; $C$6 &amp; "]",
"[Base].[SITUACION]",
"[Base].[SITUACION].&amp;[" &amp; $C45 &amp; "]"
),0)/1000</f>
        <v>-54.782260000000001</v>
      </c>
      <c r="T45" s="8">
        <f>-IFERROR(
GETPIVOTDATA(
"[Base].[Importe]",
TDinamica_R!$A$5,
"[Calendario].[AñoMes]",
"[Calendario].[AñoMes].&amp;[" &amp; TEXT(T$6,"yyyymm") &amp; "]",
"[Base].[Metrica]",
"[Base].[Metrica].&amp;[" &amp; $A45 &amp; "]",
"[Base].[SEGMENTO_DESCRIP]",
"[Base].[SEGMENTO_DESCRIP].&amp;[" &amp; $C$6 &amp; "]",
"[Base].[SITUACION]",
"[Base].[SITUACION].&amp;[" &amp; $C45 &amp; "]"
),0)/1000</f>
        <v>-111.86084</v>
      </c>
      <c r="U45" s="8">
        <f>-IFERROR(
GETPIVOTDATA(
"[Base].[Importe]",
TDinamica_R!$A$5,
"[Calendario].[AñoMes]",
"[Calendario].[AñoMes].&amp;[" &amp; TEXT(U$6,"yyyymm") &amp; "]",
"[Base].[Metrica]",
"[Base].[Metrica].&amp;[" &amp; $A45 &amp; "]",
"[Base].[SEGMENTO_DESCRIP]",
"[Base].[SEGMENTO_DESCRIP].&amp;[" &amp; $C$6 &amp; "]",
"[Base].[SITUACION]",
"[Base].[SITUACION].&amp;[" &amp; $C45 &amp; "]"
),0)/1000</f>
        <v>-174.87112999999999</v>
      </c>
      <c r="V45" s="8">
        <f>-IFERROR(
GETPIVOTDATA(
"[Base].[Importe]",
TDinamica_R!$A$5,
"[Calendario].[AñoMes]",
"[Calendario].[AñoMes].&amp;[" &amp; TEXT(V$6,"yyyymm") &amp; "]",
"[Base].[Metrica]",
"[Base].[Metrica].&amp;[" &amp; $A45 &amp; "]",
"[Base].[SEGMENTO_DESCRIP]",
"[Base].[SEGMENTO_DESCRIP].&amp;[" &amp; $C$6 &amp; "]",
"[Base].[SITUACION]",
"[Base].[SITUACION].&amp;[" &amp; $C45 &amp; "]"
),0)/1000</f>
        <v>-219.19295000000002</v>
      </c>
      <c r="W45" s="8">
        <f>-IFERROR(
GETPIVOTDATA(
"[Base].[Importe]",
TDinamica_R!$A$5,
"[Calendario].[AñoMes]",
"[Calendario].[AñoMes].&amp;[" &amp; TEXT(W$6,"yyyymm") &amp; "]",
"[Base].[Metrica]",
"[Base].[Metrica].&amp;[" &amp; $A45 &amp; "]",
"[Base].[SEGMENTO_DESCRIP]",
"[Base].[SEGMENTO_DESCRIP].&amp;[" &amp; $C$6 &amp; "]",
"[Base].[SITUACION]",
"[Base].[SITUACION].&amp;[" &amp; $C45 &amp; "]"
),0)/1000</f>
        <v>-240.33443</v>
      </c>
      <c r="X45" s="8">
        <f>-IFERROR(
GETPIVOTDATA(
"[Base].[Importe]",
TDinamica_R!$A$5,
"[Calendario].[AñoMes]",
"[Calendario].[AñoMes].&amp;[" &amp; TEXT(X$6,"yyyymm") &amp; "]",
"[Base].[Metrica]",
"[Base].[Metrica].&amp;[" &amp; $A45 &amp; "]",
"[Base].[SEGMENTO_DESCRIP]",
"[Base].[SEGMENTO_DESCRIP].&amp;[" &amp; $C$6 &amp; "]",
"[Base].[SITUACION]",
"[Base].[SITUACION].&amp;[" &amp; $C45 &amp; "]"
),0)/1000</f>
        <v>-236.41873999999999</v>
      </c>
      <c r="Y45" s="8">
        <f>-IFERROR(
GETPIVOTDATA(
"[Base].[Importe]",
TDinamica_R!$A$5,
"[Calendario].[AñoMes]",
"[Calendario].[AñoMes].&amp;[" &amp; TEXT(Y$6,"yyyymm") &amp; "]",
"[Base].[Metrica]",
"[Base].[Metrica].&amp;[" &amp; $A45 &amp; "]",
"[Base].[SEGMENTO_DESCRIP]",
"[Base].[SEGMENTO_DESCRIP].&amp;[" &amp; $C$6 &amp; "]",
"[Base].[SITUACION]",
"[Base].[SITUACION].&amp;[" &amp; $C45 &amp; "]"
),0)/1000</f>
        <v>-235.35221999999999</v>
      </c>
      <c r="Z45" s="8">
        <f>-IFERROR(
GETPIVOTDATA(
"[Base].[Importe]",
TDinamica_R!$A$5,
"[Calendario].[AñoMes]",
"[Calendario].[AñoMes].&amp;[" &amp; TEXT(Z$6,"yyyymm") &amp; "]",
"[Base].[Metrica]",
"[Base].[Metrica].&amp;[" &amp; $A45 &amp; "]",
"[Base].[SEGMENTO_DESCRIP]",
"[Base].[SEGMENTO_DESCRIP].&amp;[" &amp; $C$6 &amp; "]",
"[Base].[SITUACION]",
"[Base].[SITUACION].&amp;[" &amp; $C45 &amp; "]"
),0)/1000</f>
        <v>-225.81644</v>
      </c>
      <c r="AA45" s="8">
        <f>-IFERROR(
GETPIVOTDATA(
"[Base].[Importe]",
TDinamica_R!$A$5,
"[Calendario].[AñoMes]",
"[Calendario].[AñoMes].&amp;[" &amp; TEXT(AA$6,"yyyymm") &amp; "]",
"[Base].[Metrica]",
"[Base].[Metrica].&amp;[" &amp; $A45 &amp; "]",
"[Base].[SEGMENTO_DESCRIP]",
"[Base].[SEGMENTO_DESCRIP].&amp;[" &amp; $C$6 &amp; "]",
"[Base].[SITUACION]",
"[Base].[SITUACION].&amp;[" &amp; $C45 &amp; "]"
),0)/1000</f>
        <v>-234.07023000000001</v>
      </c>
      <c r="AB45" s="8">
        <f>-IFERROR(
GETPIVOTDATA(
"[Base].[Importe]",
TDinamica_R!$A$5,
"[Calendario].[AñoMes]",
"[Calendario].[AñoMes].&amp;[" &amp; TEXT(AB$6,"yyyymm") &amp; "]",
"[Base].[Metrica]",
"[Base].[Metrica].&amp;[" &amp; $A45 &amp; "]",
"[Base].[SEGMENTO_DESCRIP]",
"[Base].[SEGMENTO_DESCRIP].&amp;[" &amp; $C$6 &amp; "]",
"[Base].[SITUACION]",
"[Base].[SITUACION].&amp;[" &amp; $C45 &amp; "]"
),0)/1000</f>
        <v>-234.22501</v>
      </c>
      <c r="AC45" s="8">
        <f>-IFERROR(
GETPIVOTDATA(
"[Base].[Importe]",
TDinamica_R!$A$5,
"[Calendario].[AñoMes]",
"[Calendario].[AñoMes].&amp;[" &amp; TEXT(AC$6,"yyyymm") &amp; "]",
"[Base].[Metrica]",
"[Base].[Metrica].&amp;[" &amp; $A45 &amp; "]",
"[Base].[SEGMENTO_DESCRIP]",
"[Base].[SEGMENTO_DESCRIP].&amp;[" &amp; $C$6 &amp; "]",
"[Base].[SITUACION]",
"[Base].[SITUACION].&amp;[" &amp; $C45 &amp; "]"
),0)/1000</f>
        <v>-206.36649</v>
      </c>
      <c r="AD45" s="8">
        <f>-IFERROR(
GETPIVOTDATA(
"[Base].[Importe]",
TDinamica_R!$A$5,
"[Calendario].[AñoMes]",
"[Calendario].[AñoMes].&amp;[" &amp; TEXT(AD$6,"yyyymm") &amp; "]",
"[Base].[Metrica]",
"[Base].[Metrica].&amp;[" &amp; $A45 &amp; "]",
"[Base].[SEGMENTO_DESCRIP]",
"[Base].[SEGMENTO_DESCRIP].&amp;[" &amp; $C$6 &amp; "]",
"[Base].[SITUACION]",
"[Base].[SITUACION].&amp;[" &amp; $C45 &amp; "]"
),0)/1000</f>
        <v>-226.47701999999998</v>
      </c>
      <c r="AE45" s="8">
        <f>-IFERROR(
GETPIVOTDATA(
"[Base].[Importe]",
TDinamica_R!$A$5,
"[Calendario].[AñoMes]",
"[Calendario].[AñoMes].&amp;[" &amp; TEXT(AE$6,"yyyymm") &amp; "]",
"[Base].[Metrica]",
"[Base].[Metrica].&amp;[" &amp; $A45 &amp; "]",
"[Base].[SEGMENTO_DESCRIP]",
"[Base].[SEGMENTO_DESCRIP].&amp;[" &amp; $C$6 &amp; "]",
"[Base].[SITUACION]",
"[Base].[SITUACION].&amp;[" &amp; $C45 &amp; "]"
),0)/1000</f>
        <v>-226.19018</v>
      </c>
      <c r="AF45" s="8">
        <f>-IFERROR(
GETPIVOTDATA(
"[Base].[Importe]",
TDinamica_R!$A$5,
"[Calendario].[AñoMes]",
"[Calendario].[AñoMes].&amp;[" &amp; TEXT(AF$6,"yyyymm") &amp; "]",
"[Base].[Metrica]",
"[Base].[Metrica].&amp;[" &amp; $A45 &amp; "]",
"[Base].[SEGMENTO_DESCRIP]",
"[Base].[SEGMENTO_DESCRIP].&amp;[" &amp; $C$6 &amp; "]",
"[Base].[SITUACION]",
"[Base].[SITUACION].&amp;[" &amp; $C45 &amp; "]"
),0)/1000</f>
        <v>-224.46719000000002</v>
      </c>
      <c r="AG45" s="8">
        <f>-IFERROR(
GETPIVOTDATA(
"[Base].[Importe]",
TDinamica_R!$A$5,
"[Calendario].[AñoMes]",
"[Calendario].[AñoMes].&amp;[" &amp; TEXT(AG$6,"yyyymm") &amp; "]",
"[Base].[Metrica]",
"[Base].[Metrica].&amp;[" &amp; $A45 &amp; "]",
"[Base].[SEGMENTO_DESCRIP]",
"[Base].[SEGMENTO_DESCRIP].&amp;[" &amp; $C$6 &amp; "]",
"[Base].[SITUACION]",
"[Base].[SITUACION].&amp;[" &amp; $C45 &amp; "]"
),0)/1000</f>
        <v>-208.14089000000001</v>
      </c>
      <c r="AH45" s="8">
        <f>-IFERROR(
GETPIVOTDATA(
"[Base].[Importe]",
TDinamica_R!$A$5,
"[Calendario].[AñoMes]",
"[Calendario].[AñoMes].&amp;[" &amp; TEXT(AH$6,"yyyymm") &amp; "]",
"[Base].[Metrica]",
"[Base].[Metrica].&amp;[" &amp; $A45 &amp; "]",
"[Base].[SEGMENTO_DESCRIP]",
"[Base].[SEGMENTO_DESCRIP].&amp;[" &amp; $C$6 &amp; "]",
"[Base].[SITUACION]",
"[Base].[SITUACION].&amp;[" &amp; $C45 &amp; "]"
),0)/1000</f>
        <v>-208.08645000000001</v>
      </c>
      <c r="AI45" s="8">
        <f>-IFERROR(
GETPIVOTDATA(
"[Base].[Importe]",
TDinamica_R!$A$5,
"[Calendario].[AñoMes]",
"[Calendario].[AñoMes].&amp;[" &amp; TEXT(AI$6,"yyyymm") &amp; "]",
"[Base].[Metrica]",
"[Base].[Metrica].&amp;[" &amp; $A45 &amp; "]",
"[Base].[SEGMENTO_DESCRIP]",
"[Base].[SEGMENTO_DESCRIP].&amp;[" &amp; $C$6 &amp; "]",
"[Base].[SITUACION]",
"[Base].[SITUACION].&amp;[" &amp; $C45 &amp; "]"
),0)/1000</f>
        <v>-199.16426999999999</v>
      </c>
      <c r="AJ45" s="8">
        <f>-IFERROR(
GETPIVOTDATA(
"[Base].[Importe]",
TDinamica_R!$A$5,
"[Calendario].[AñoMes]",
"[Calendario].[AñoMes].&amp;[" &amp; TEXT(AJ$6,"yyyymm") &amp; "]",
"[Base].[Metrica]",
"[Base].[Metrica].&amp;[" &amp; $A45 &amp; "]",
"[Base].[SEGMENTO_DESCRIP]",
"[Base].[SEGMENTO_DESCRIP].&amp;[" &amp; $C$6 &amp; "]",
"[Base].[SITUACION]",
"[Base].[SITUACION].&amp;[" &amp; $C45 &amp; "]"
),0)/1000</f>
        <v>-188.85219000000001</v>
      </c>
      <c r="AK45" s="8">
        <f>-IFERROR(
GETPIVOTDATA(
"[Base].[Importe]",
TDinamica_R!$A$5,
"[Calendario].[AñoMes]",
"[Calendario].[AñoMes].&amp;[" &amp; TEXT(AK$6,"yyyymm") &amp; "]",
"[Base].[Metrica]",
"[Base].[Metrica].&amp;[" &amp; $A45 &amp; "]",
"[Base].[SEGMENTO_DESCRIP]",
"[Base].[SEGMENTO_DESCRIP].&amp;[" &amp; $C$6 &amp; "]",
"[Base].[SITUACION]",
"[Base].[SITUACION].&amp;[" &amp; $C45 &amp; "]"
),0)/1000</f>
        <v>-190.01764</v>
      </c>
      <c r="AL45" s="8">
        <f>-IFERROR(
GETPIVOTDATA(
"[Base].[Importe]",
TDinamica_R!$A$5,
"[Calendario].[AñoMes]",
"[Calendario].[AñoMes].&amp;[" &amp; TEXT(AL$6,"yyyymm") &amp; "]",
"[Base].[Metrica]",
"[Base].[Metrica].&amp;[" &amp; $A45 &amp; "]",
"[Base].[SEGMENTO_DESCRIP]",
"[Base].[SEGMENTO_DESCRIP].&amp;[" &amp; $C$6 &amp; "]",
"[Base].[SITUACION]",
"[Base].[SITUACION].&amp;[" &amp; $C45 &amp; "]"
),0)/1000</f>
        <v>-179.01721000000001</v>
      </c>
      <c r="AM45" s="8">
        <f>-IFERROR(
GETPIVOTDATA(
"[Base].[Importe]",
TDinamica_R!$A$5,
"[Calendario].[AñoMes]",
"[Calendario].[AñoMes].&amp;[" &amp; TEXT(AM$6,"yyyymm") &amp; "]",
"[Base].[Metrica]",
"[Base].[Metrica].&amp;[" &amp; $A45 &amp; "]",
"[Base].[SEGMENTO_DESCRIP]",
"[Base].[SEGMENTO_DESCRIP].&amp;[" &amp; $C$6 &amp; "]",
"[Base].[SITUACION]",
"[Base].[SITUACION].&amp;[" &amp; $C45 &amp; "]"
),0)/1000</f>
        <v>-185.20526000000001</v>
      </c>
      <c r="AN45" s="8">
        <f>-IFERROR(
GETPIVOTDATA(
"[Base].[Importe]",
TDinamica_R!$A$5,
"[Calendario].[AñoMes]",
"[Calendario].[AñoMes].&amp;[" &amp; TEXT(AN$6,"yyyymm") &amp; "]",
"[Base].[Metrica]",
"[Base].[Metrica].&amp;[" &amp; $A45 &amp; "]",
"[Base].[SEGMENTO_DESCRIP]",
"[Base].[SEGMENTO_DESCRIP].&amp;[" &amp; $C$6 &amp; "]",
"[Base].[SITUACION]",
"[Base].[SITUACION].&amp;[" &amp; $C45 &amp; "]"
),0)/1000</f>
        <v>-180.82909000000001</v>
      </c>
      <c r="AO45" s="8">
        <f>-IFERROR(
GETPIVOTDATA(
"[Base].[Importe]",
TDinamica_R!$A$5,
"[Calendario].[AñoMes]",
"[Calendario].[AñoMes].&amp;[" &amp; TEXT(AO$6,"yyyymm") &amp; "]",
"[Base].[Metrica]",
"[Base].[Metrica].&amp;[" &amp; $A45 &amp; "]",
"[Base].[SEGMENTO_DESCRIP]",
"[Base].[SEGMENTO_DESCRIP].&amp;[" &amp; $C$6 &amp; "]",
"[Base].[SITUACION]",
"[Base].[SITUACION].&amp;[" &amp; $C45 &amp; "]"
),0)/1000</f>
        <v>-158.8664</v>
      </c>
      <c r="AP45" s="8">
        <f>-IFERROR(
GETPIVOTDATA(
"[Base].[Importe]",
TDinamica_R!$A$5,
"[Calendario].[AñoMes]",
"[Calendario].[AñoMes].&amp;[" &amp; TEXT(AP$6,"yyyymm") &amp; "]",
"[Base].[Metrica]",
"[Base].[Metrica].&amp;[" &amp; $A45 &amp; "]",
"[Base].[SEGMENTO_DESCRIP]",
"[Base].[SEGMENTO_DESCRIP].&amp;[" &amp; $C$6 &amp; "]",
"[Base].[SITUACION]",
"[Base].[SITUACION].&amp;[" &amp; $C45 &amp; "]"
),0)/1000</f>
        <v>-171.29638</v>
      </c>
      <c r="AQ45" s="8">
        <f>-IFERROR(
GETPIVOTDATA(
"[Base].[Importe]",
TDinamica_R!$A$5,
"[Calendario].[AñoMes]",
"[Calendario].[AñoMes].&amp;[" &amp; TEXT(AQ$6,"yyyymm") &amp; "]",
"[Base].[Metrica]",
"[Base].[Metrica].&amp;[" &amp; $A45 &amp; "]",
"[Base].[SEGMENTO_DESCRIP]",
"[Base].[SEGMENTO_DESCRIP].&amp;[" &amp; $C$6 &amp; "]",
"[Base].[SITUACION]",
"[Base].[SITUACION].&amp;[" &amp; $C45 &amp; "]"
),0)/1000</f>
        <v>-161.22478000000001</v>
      </c>
      <c r="AR45" s="8">
        <f>-IFERROR(
GETPIVOTDATA(
"[Base].[Importe]",
TDinamica_R!$A$5,
"[Calendario].[AñoMes]",
"[Calendario].[AñoMes].&amp;[" &amp; TEXT(AR$6,"yyyymm") &amp; "]",
"[Base].[Metrica]",
"[Base].[Metrica].&amp;[" &amp; $A45 &amp; "]",
"[Base].[SEGMENTO_DESCRIP]",
"[Base].[SEGMENTO_DESCRIP].&amp;[" &amp; $C$6 &amp; "]",
"[Base].[SITUACION]",
"[Base].[SITUACION].&amp;[" &amp; $C45 &amp; "]"
),0)/1000</f>
        <v>-162.77601999999999</v>
      </c>
      <c r="AS45" s="8">
        <f>-IFERROR(
GETPIVOTDATA(
"[Base].[Importe]",
TDinamica_R!$A$5,
"[Calendario].[AñoMes]",
"[Calendario].[AñoMes].&amp;[" &amp; TEXT(AS$6,"yyyymm") &amp; "]",
"[Base].[Metrica]",
"[Base].[Metrica].&amp;[" &amp; $A45 &amp; "]",
"[Base].[SEGMENTO_DESCRIP]",
"[Base].[SEGMENTO_DESCRIP].&amp;[" &amp; $C$6 &amp; "]",
"[Base].[SITUACION]",
"[Base].[SITUACION].&amp;[" &amp; $C45 &amp; "]"
),0)/1000</f>
        <v>-154.00982000000002</v>
      </c>
      <c r="AT45" s="8">
        <f>-IFERROR(
GETPIVOTDATA(
"[Base].[Importe]",
TDinamica_R!$A$5,
"[Calendario].[AñoMes]",
"[Calendario].[AñoMes].&amp;[" &amp; TEXT(AT$6,"yyyymm")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U45" s="8">
        <f>-IFERROR(
GETPIVOTDATA(
"[Base].[Importe]",
TDinamica_R!$A$5,
"[Calendario].[AñoMes]",
"[Calendario].[AñoMes].&amp;[" &amp; TEXT(AU$6,"yyyymm")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V45" s="8">
        <f>-IFERROR(
GETPIVOTDATA(
"[Base].[Importe]",
TDinamica_R!$A$5,
"[Calendario].[AñoMes]",
"[Calendario].[AñoMes].&amp;[" &amp; TEXT(AV$6,"yyyymm")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W45" s="8">
        <f>-IFERROR(
GETPIVOTDATA(
"[Base].[Importe]",
TDinamica_R!$A$5,
"[Calendario].[AñoMes]",
"[Calendario].[AñoMes].&amp;[" &amp; TEXT(AW$6,"yyyymm")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X45" s="8">
        <f>-IFERROR(
GETPIVOTDATA(
"[Base].[Importe]",
TDinamica_R!$A$5,
"[Calendario].[AñoMes]",
"[Calendario].[AñoMes].&amp;[" &amp; TEXT(AX$6,"yyyymm")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Y45" s="8">
        <f>-IFERROR(
GETPIVOTDATA(
"[Base].[Importe]",
TDinamica_R!$A$5,
"[Calendario].[AñoMes]",
"[Calendario].[AñoMes].&amp;[" &amp; TEXT(AY$6,"yyyymm")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Z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TEXT(AZ$6,"yyyymm") &amp; "]"
),
0
)</f>
        <v>-25.163287249057827</v>
      </c>
      <c r="BA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TEXT(BA$6,"yyyymm") &amp; "]"
),
0
)</f>
        <v>-22.458237573503212</v>
      </c>
      <c r="BB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TEXT(BB$6,"yyyymm") &amp; "]"
),
0
)</f>
        <v>-24.635482336955324</v>
      </c>
      <c r="BC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TEXT(BC$6,"yyyymm") &amp; "]"
),
0
)</f>
        <v>-23.795400509401045</v>
      </c>
      <c r="BD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TEXT(BD$6,"yyyymm") &amp; "]"
),
0
)</f>
        <v>-24.64752636038736</v>
      </c>
      <c r="BE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TEXT(BE$6,"yyyymm") &amp; "]"
),
0
)</f>
        <v>-23.873110226671532</v>
      </c>
      <c r="BF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TEXT(BF$6,"yyyymm") &amp; "]"
),
0
)</f>
        <v>-24.581239590785849</v>
      </c>
      <c r="BG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TEXT(BG$6,"yyyymm") &amp; "]"
),
0
)</f>
        <v>-24.561094855991335</v>
      </c>
      <c r="BH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TEXT(BH$6,"yyyymm") &amp; "]"
),
0
)</f>
        <v>-23.872783643202599</v>
      </c>
      <c r="BI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TEXT(BI$6,"yyyymm") &amp; "]"
),
0
)</f>
        <v>-24.864736439269144</v>
      </c>
      <c r="BJ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TEXT(BJ$6,"yyyymm") &amp; "]"
),
0
)</f>
        <v>-24.170184513183347</v>
      </c>
      <c r="BK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TEXT(BK$6,"yyyymm") &amp; "]"
),
0
)</f>
        <v>-24.966406580271794</v>
      </c>
      <c r="BO45" s="24">
        <f t="shared" si="45"/>
        <v>-510.99187000000001</v>
      </c>
      <c r="BP45" s="24">
        <f t="shared" si="45"/>
        <v>-72.257007159516363</v>
      </c>
      <c r="BQ45" s="24">
        <f t="shared" si="45"/>
        <v>-339.69549000000001</v>
      </c>
      <c r="BR45" s="24">
        <f t="shared" si="45"/>
        <v>-667.06852000000003</v>
      </c>
      <c r="BS45" s="24">
        <f t="shared" si="45"/>
        <v>-96.031549999999996</v>
      </c>
      <c r="BT45" s="24">
        <f t="shared" si="45"/>
        <v>-206.50028680000003</v>
      </c>
    </row>
    <row r="46" spans="1:72" hidden="1" outlineLevel="1" x14ac:dyDescent="0.25">
      <c r="A46" s="11" t="s">
        <v>50</v>
      </c>
      <c r="C46" s="2" t="s">
        <v>45</v>
      </c>
      <c r="D46" s="8">
        <f>-IFERROR(
GETPIVOTDATA(
"[Base].[Importe]",
TDinamica_R!$A$5,
"[Calendario].[AñoMes]",
"[Calendario].[AñoMes].&amp;[" &amp; TEXT(D$6,"yyyymm") &amp; "]",
"[Base].[Metrica]",
"[Base].[Metrica].&amp;[" &amp; $A46 &amp; "]",
"[Base].[SEGMENTO_DESCRIP]",
"[Base].[SEGMENTO_DESCRIP].&amp;[" &amp; $C$6 &amp; "]",
"[Base].[SITUACION]",
"[Base].[SITUACION].&amp;[" &amp; $C46 &amp; "]"
),0)/1000</f>
        <v>-302.94080816000002</v>
      </c>
      <c r="E46" s="8">
        <f>-IFERROR(
GETPIVOTDATA(
"[Base].[Importe]",
TDinamica_R!$A$5,
"[Calendario].[AñoMes]",
"[Calendario].[AñoMes].&amp;[" &amp; TEXT(E$6,"yyyymm") &amp; "]",
"[Base].[Metrica]",
"[Base].[Metrica].&amp;[" &amp; $A46 &amp; "]",
"[Base].[SEGMENTO_DESCRIP]",
"[Base].[SEGMENTO_DESCRIP].&amp;[" &amp; $C$6 &amp; "]",
"[Base].[SITUACION]",
"[Base].[SITUACION].&amp;[" &amp; $C46 &amp; "]"
),0)/1000</f>
        <v>-277.03261499999996</v>
      </c>
      <c r="F46" s="8">
        <f>-IFERROR(
GETPIVOTDATA(
"[Base].[Importe]",
TDinamica_R!$A$5,
"[Calendario].[AñoMes]",
"[Calendario].[AñoMes].&amp;[" &amp; TEXT(F$6,"yyyymm") &amp; "]",
"[Base].[Metrica]",
"[Base].[Metrica].&amp;[" &amp; $A46 &amp; "]",
"[Base].[SEGMENTO_DESCRIP]",
"[Base].[SEGMENTO_DESCRIP].&amp;[" &amp; $C$6 &amp; "]",
"[Base].[SITUACION]",
"[Base].[SITUACION].&amp;[" &amp; $C46 &amp; "]"
),0)/1000</f>
        <v>-281.36285480000004</v>
      </c>
      <c r="G46" s="8">
        <f>-IFERROR(
GETPIVOTDATA(
"[Base].[Importe]",
TDinamica_R!$A$5,
"[Calendario].[AñoMes]",
"[Calendario].[AñoMes].&amp;[" &amp; TEXT(G$6,"yyyymm") &amp; "]",
"[Base].[Metrica]",
"[Base].[Metrica].&amp;[" &amp; $A46 &amp; "]",
"[Base].[SEGMENTO_DESCRIP]",
"[Base].[SEGMENTO_DESCRIP].&amp;[" &amp; $C$6 &amp; "]",
"[Base].[SITUACION]",
"[Base].[SITUACION].&amp;[" &amp; $C46 &amp; "]"
),0)/1000</f>
        <v>-268.97243043999998</v>
      </c>
      <c r="H46" s="8">
        <f>-IFERROR(
GETPIVOTDATA(
"[Base].[Importe]",
TDinamica_R!$A$5,
"[Calendario].[AñoMes]",
"[Calendario].[AñoMes].&amp;[" &amp; TEXT(H$6,"yyyymm") &amp; "]",
"[Base].[Metrica]",
"[Base].[Metrica].&amp;[" &amp; $A46 &amp; "]",
"[Base].[SEGMENTO_DESCRIP]",
"[Base].[SEGMENTO_DESCRIP].&amp;[" &amp; $C$6 &amp; "]",
"[Base].[SITUACION]",
"[Base].[SITUACION].&amp;[" &amp; $C46 &amp; "]"
),0)/1000</f>
        <v>-268.20487336000002</v>
      </c>
      <c r="I46" s="8">
        <f>-IFERROR(
GETPIVOTDATA(
"[Base].[Importe]",
TDinamica_R!$A$5,
"[Calendario].[AñoMes]",
"[Calendario].[AñoMes].&amp;[" &amp; TEXT(I$6,"yyyymm") &amp; "]",
"[Base].[Metrica]",
"[Base].[Metrica].&amp;[" &amp; $A46 &amp; "]",
"[Base].[SEGMENTO_DESCRIP]",
"[Base].[SEGMENTO_DESCRIP].&amp;[" &amp; $C$6 &amp; "]",
"[Base].[SITUACION]",
"[Base].[SITUACION].&amp;[" &amp; $C46 &amp; "]"
),0)/1000</f>
        <v>-438.059506</v>
      </c>
      <c r="J46" s="8">
        <f>-IFERROR(
GETPIVOTDATA(
"[Base].[Importe]",
TDinamica_R!$A$5,
"[Calendario].[AñoMes]",
"[Calendario].[AñoMes].&amp;[" &amp; TEXT(J$6,"yyyymm") &amp; "]",
"[Base].[Metrica]",
"[Base].[Metrica].&amp;[" &amp; $A46 &amp; "]",
"[Base].[SEGMENTO_DESCRIP]",
"[Base].[SEGMENTO_DESCRIP].&amp;[" &amp; $C$6 &amp; "]",
"[Base].[SITUACION]",
"[Base].[SITUACION].&amp;[" &amp; $C46 &amp; "]"
),0)/1000</f>
        <v>-431.28373462000002</v>
      </c>
      <c r="K46" s="8">
        <f>-IFERROR(
GETPIVOTDATA(
"[Base].[Importe]",
TDinamica_R!$A$5,
"[Calendario].[AñoMes]",
"[Calendario].[AñoMes].&amp;[" &amp; TEXT(K$6,"yyyymm") &amp; "]",
"[Base].[Metrica]",
"[Base].[Metrica].&amp;[" &amp; $A46 &amp; "]",
"[Base].[SEGMENTO_DESCRIP]",
"[Base].[SEGMENTO_DESCRIP].&amp;[" &amp; $C$6 &amp; "]",
"[Base].[SITUACION]",
"[Base].[SITUACION].&amp;[" &amp; $C46 &amp; "]"
),0)/1000</f>
        <v>-856.99863392000009</v>
      </c>
      <c r="L46" s="8">
        <f>-IFERROR(
GETPIVOTDATA(
"[Base].[Importe]",
TDinamica_R!$A$5,
"[Calendario].[AñoMes]",
"[Calendario].[AñoMes].&amp;[" &amp; TEXT(L$6,"yyyymm") &amp; "]",
"[Base].[Metrica]",
"[Base].[Metrica].&amp;[" &amp; $A46 &amp; "]",
"[Base].[SEGMENTO_DESCRIP]",
"[Base].[SEGMENTO_DESCRIP].&amp;[" &amp; $C$6 &amp; "]",
"[Base].[SITUACION]",
"[Base].[SITUACION].&amp;[" &amp; $C46 &amp; "]"
),0)/1000</f>
        <v>-756.92682615000001</v>
      </c>
      <c r="M46" s="8">
        <f>-IFERROR(
GETPIVOTDATA(
"[Base].[Importe]",
TDinamica_R!$A$5,
"[Calendario].[AñoMes]",
"[Calendario].[AñoMes].&amp;[" &amp; TEXT(M$6,"yyyymm") &amp; "]",
"[Base].[Metrica]",
"[Base].[Metrica].&amp;[" &amp; $A46 &amp; "]",
"[Base].[SEGMENTO_DESCRIP]",
"[Base].[SEGMENTO_DESCRIP].&amp;[" &amp; $C$6 &amp; "]",
"[Base].[SITUACION]",
"[Base].[SITUACION].&amp;[" &amp; $C46 &amp; "]"
),0)/1000</f>
        <v>-799.71931775000007</v>
      </c>
      <c r="N46" s="8">
        <f>-IFERROR(
GETPIVOTDATA(
"[Base].[Importe]",
TDinamica_R!$A$5,
"[Calendario].[AñoMes]",
"[Calendario].[AñoMes].&amp;[" &amp; TEXT(N$6,"yyyymm") &amp; "]",
"[Base].[Metrica]",
"[Base].[Metrica].&amp;[" &amp; $A46 &amp; "]",
"[Base].[SEGMENTO_DESCRIP]",
"[Base].[SEGMENTO_DESCRIP].&amp;[" &amp; $C$6 &amp; "]",
"[Base].[SITUACION]",
"[Base].[SITUACION].&amp;[" &amp; $C46 &amp; "]"
),0)/1000</f>
        <v>-762.23687233999999</v>
      </c>
      <c r="O46" s="8">
        <f>-IFERROR(
GETPIVOTDATA(
"[Base].[Importe]",
TDinamica_R!$A$5,
"[Calendario].[AñoMes]",
"[Calendario].[AñoMes].&amp;[" &amp; TEXT(O$6,"yyyymm") &amp; "]",
"[Base].[Metrica]",
"[Base].[Metrica].&amp;[" &amp; $A46 &amp; "]",
"[Base].[SEGMENTO_DESCRIP]",
"[Base].[SEGMENTO_DESCRIP].&amp;[" &amp; $C$6 &amp; "]",
"[Base].[SITUACION]",
"[Base].[SITUACION].&amp;[" &amp; $C46 &amp; "]"
),0)/1000</f>
        <v>-794.04667789999985</v>
      </c>
      <c r="P46" s="8">
        <f>-IFERROR(
GETPIVOTDATA(
"[Base].[Importe]",
TDinamica_R!$A$5,
"[Calendario].[AñoMes]",
"[Calendario].[AñoMes].&amp;[" &amp; TEXT(P$6,"yyyymm") &amp; "]",
"[Base].[Metrica]",
"[Base].[Metrica].&amp;[" &amp; $A46 &amp; "]",
"[Base].[SEGMENTO_DESCRIP]",
"[Base].[SEGMENTO_DESCRIP].&amp;[" &amp; $C$6 &amp; "]",
"[Base].[SITUACION]",
"[Base].[SITUACION].&amp;[" &amp; $C46 &amp; "]"
),0)/1000</f>
        <v>-992.79890855999997</v>
      </c>
      <c r="Q46" s="8">
        <f>-IFERROR(
GETPIVOTDATA(
"[Base].[Importe]",
TDinamica_R!$A$5,
"[Calendario].[AñoMes]",
"[Calendario].[AñoMes].&amp;[" &amp; TEXT(Q$6,"yyyymm") &amp; "]",
"[Base].[Metrica]",
"[Base].[Metrica].&amp;[" &amp; $A46 &amp; "]",
"[Base].[SEGMENTO_DESCRIP]",
"[Base].[SEGMENTO_DESCRIP].&amp;[" &amp; $C$6 &amp; "]",
"[Base].[SITUACION]",
"[Base].[SITUACION].&amp;[" &amp; $C46 &amp; "]"
),0)/1000</f>
        <v>-984.02479599999992</v>
      </c>
      <c r="R46" s="8">
        <f>-IFERROR(
GETPIVOTDATA(
"[Base].[Importe]",
TDinamica_R!$A$5,
"[Calendario].[AñoMes]",
"[Calendario].[AñoMes].&amp;[" &amp; TEXT(R$6,"yyyymm") &amp; "]",
"[Base].[Metrica]",
"[Base].[Metrica].&amp;[" &amp; $A46 &amp; "]",
"[Base].[SEGMENTO_DESCRIP]",
"[Base].[SEGMENTO_DESCRIP].&amp;[" &amp; $C$6 &amp; "]",
"[Base].[SITUACION]",
"[Base].[SITUACION].&amp;[" &amp; $C46 &amp; "]"
),0)/1000</f>
        <v>-1024.5745403000001</v>
      </c>
      <c r="S46" s="8">
        <f>-IFERROR(
GETPIVOTDATA(
"[Base].[Importe]",
TDinamica_R!$A$5,
"[Calendario].[AñoMes]",
"[Calendario].[AñoMes].&amp;[" &amp; TEXT(S$6,"yyyymm") &amp; "]",
"[Base].[Metrica]",
"[Base].[Metrica].&amp;[" &amp; $A46 &amp; "]",
"[Base].[SEGMENTO_DESCRIP]",
"[Base].[SEGMENTO_DESCRIP].&amp;[" &amp; $C$6 &amp; "]",
"[Base].[SITUACION]",
"[Base].[SITUACION].&amp;[" &amp; $C46 &amp; "]"
),0)/1000</f>
        <v>-1224.6706057599999</v>
      </c>
      <c r="T46" s="8">
        <f>-IFERROR(
GETPIVOTDATA(
"[Base].[Importe]",
TDinamica_R!$A$5,
"[Calendario].[AñoMes]",
"[Calendario].[AñoMes].&amp;[" &amp; TEXT(T$6,"yyyymm") &amp; "]",
"[Base].[Metrica]",
"[Base].[Metrica].&amp;[" &amp; $A46 &amp; "]",
"[Base].[SEGMENTO_DESCRIP]",
"[Base].[SEGMENTO_DESCRIP].&amp;[" &amp; $C$6 &amp; "]",
"[Base].[SITUACION]",
"[Base].[SITUACION].&amp;[" &amp; $C46 &amp; "]"
),0)/1000</f>
        <v>-1243.8410100999999</v>
      </c>
      <c r="U46" s="8">
        <f>-IFERROR(
GETPIVOTDATA(
"[Base].[Importe]",
TDinamica_R!$A$5,
"[Calendario].[AñoMes]",
"[Calendario].[AñoMes].&amp;[" &amp; TEXT(U$6,"yyyymm") &amp; "]",
"[Base].[Metrica]",
"[Base].[Metrica].&amp;[" &amp; $A46 &amp; "]",
"[Base].[SEGMENTO_DESCRIP]",
"[Base].[SEGMENTO_DESCRIP].&amp;[" &amp; $C$6 &amp; "]",
"[Base].[SITUACION]",
"[Base].[SITUACION].&amp;[" &amp; $C46 &amp; "]"
),0)/1000</f>
        <v>-1163.2806011800001</v>
      </c>
      <c r="V46" s="8">
        <f>-IFERROR(
GETPIVOTDATA(
"[Base].[Importe]",
TDinamica_R!$A$5,
"[Calendario].[AñoMes]",
"[Calendario].[AñoMes].&amp;[" &amp; TEXT(V$6,"yyyymm") &amp; "]",
"[Base].[Metrica]",
"[Base].[Metrica].&amp;[" &amp; $A46 &amp; "]",
"[Base].[SEGMENTO_DESCRIP]",
"[Base].[SEGMENTO_DESCRIP].&amp;[" &amp; $C$6 &amp; "]",
"[Base].[SITUACION]",
"[Base].[SITUACION].&amp;[" &amp; $C46 &amp; "]"
),0)/1000</f>
        <v>-1076.8366300599998</v>
      </c>
      <c r="W46" s="8">
        <f>-IFERROR(
GETPIVOTDATA(
"[Base].[Importe]",
TDinamica_R!$A$5,
"[Calendario].[AñoMes]",
"[Calendario].[AñoMes].&amp;[" &amp; TEXT(W$6,"yyyymm") &amp; "]",
"[Base].[Metrica]",
"[Base].[Metrica].&amp;[" &amp; $A46 &amp; "]",
"[Base].[SEGMENTO_DESCRIP]",
"[Base].[SEGMENTO_DESCRIP].&amp;[" &amp; $C$6 &amp; "]",
"[Base].[SITUACION]",
"[Base].[SITUACION].&amp;[" &amp; $C46 &amp; "]"
),0)/1000</f>
        <v>-955.87356161000002</v>
      </c>
      <c r="X46" s="8">
        <f>-IFERROR(
GETPIVOTDATA(
"[Base].[Importe]",
TDinamica_R!$A$5,
"[Calendario].[AñoMes]",
"[Calendario].[AñoMes].&amp;[" &amp; TEXT(X$6,"yyyymm") &amp; "]",
"[Base].[Metrica]",
"[Base].[Metrica].&amp;[" &amp; $A46 &amp; "]",
"[Base].[SEGMENTO_DESCRIP]",
"[Base].[SEGMENTO_DESCRIP].&amp;[" &amp; $C$6 &amp; "]",
"[Base].[SITUACION]",
"[Base].[SITUACION].&amp;[" &amp; $C46 &amp; "]"
),0)/1000</f>
        <v>-923.50819115999991</v>
      </c>
      <c r="Y46" s="8">
        <f>-IFERROR(
GETPIVOTDATA(
"[Base].[Importe]",
TDinamica_R!$A$5,
"[Calendario].[AñoMes]",
"[Calendario].[AñoMes].&amp;[" &amp; TEXT(Y$6,"yyyymm") &amp; "]",
"[Base].[Metrica]",
"[Base].[Metrica].&amp;[" &amp; $A46 &amp; "]",
"[Base].[SEGMENTO_DESCRIP]",
"[Base].[SEGMENTO_DESCRIP].&amp;[" &amp; $C$6 &amp; "]",
"[Base].[SITUACION]",
"[Base].[SITUACION].&amp;[" &amp; $C46 &amp; "]"
),0)/1000</f>
        <v>-825.12734856000009</v>
      </c>
      <c r="Z46" s="8">
        <f>-IFERROR(
GETPIVOTDATA(
"[Base].[Importe]",
TDinamica_R!$A$5,
"[Calendario].[AñoMes]",
"[Calendario].[AñoMes].&amp;[" &amp; TEXT(Z$6,"yyyymm") &amp; "]",
"[Base].[Metrica]",
"[Base].[Metrica].&amp;[" &amp; $A46 &amp; "]",
"[Base].[SEGMENTO_DESCRIP]",
"[Base].[SEGMENTO_DESCRIP].&amp;[" &amp; $C$6 &amp; "]",
"[Base].[SITUACION]",
"[Base].[SITUACION].&amp;[" &amp; $C46 &amp; "]"
),0)/1000</f>
        <v>-704.62377703999994</v>
      </c>
      <c r="AA46" s="8">
        <f>-IFERROR(
GETPIVOTDATA(
"[Base].[Importe]",
TDinamica_R!$A$5,
"[Calendario].[AñoMes]",
"[Calendario].[AñoMes].&amp;[" &amp; TEXT(AA$6,"yyyymm") &amp; "]",
"[Base].[Metrica]",
"[Base].[Metrica].&amp;[" &amp; $A46 &amp; "]",
"[Base].[SEGMENTO_DESCRIP]",
"[Base].[SEGMENTO_DESCRIP].&amp;[" &amp; $C$6 &amp; "]",
"[Base].[SITUACION]",
"[Base].[SITUACION].&amp;[" &amp; $C46 &amp; "]"
),0)/1000</f>
        <v>-658.71551104999992</v>
      </c>
      <c r="AB46" s="8">
        <f>-IFERROR(
GETPIVOTDATA(
"[Base].[Importe]",
TDinamica_R!$A$5,
"[Calendario].[AñoMes]",
"[Calendario].[AñoMes].&amp;[" &amp; TEXT(AB$6,"yyyymm") &amp; "]",
"[Base].[Metrica]",
"[Base].[Metrica].&amp;[" &amp; $A46 &amp; "]",
"[Base].[SEGMENTO_DESCRIP]",
"[Base].[SEGMENTO_DESCRIP].&amp;[" &amp; $C$6 &amp; "]",
"[Base].[SITUACION]",
"[Base].[SITUACION].&amp;[" &amp; $C46 &amp; "]"
),0)/1000</f>
        <v>-773.25448276999998</v>
      </c>
      <c r="AC46" s="8">
        <f>-IFERROR(
GETPIVOTDATA(
"[Base].[Importe]",
TDinamica_R!$A$5,
"[Calendario].[AñoMes]",
"[Calendario].[AñoMes].&amp;[" &amp; TEXT(AC$6,"yyyymm") &amp; "]",
"[Base].[Metrica]",
"[Base].[Metrica].&amp;[" &amp; $A46 &amp; "]",
"[Base].[SEGMENTO_DESCRIP]",
"[Base].[SEGMENTO_DESCRIP].&amp;[" &amp; $C$6 &amp; "]",
"[Base].[SITUACION]",
"[Base].[SITUACION].&amp;[" &amp; $C46 &amp; "]"
),0)/1000</f>
        <v>-703.69993199999999</v>
      </c>
      <c r="AD46" s="8">
        <f>-IFERROR(
GETPIVOTDATA(
"[Base].[Importe]",
TDinamica_R!$A$5,
"[Calendario].[AñoMes]",
"[Calendario].[AñoMes].&amp;[" &amp; TEXT(AD$6,"yyyymm") &amp; "]",
"[Base].[Metrica]",
"[Base].[Metrica].&amp;[" &amp; $A46 &amp; "]",
"[Base].[SEGMENTO_DESCRIP]",
"[Base].[SEGMENTO_DESCRIP].&amp;[" &amp; $C$6 &amp; "]",
"[Base].[SITUACION]",
"[Base].[SITUACION].&amp;[" &amp; $C46 &amp; "]"
),0)/1000</f>
        <v>-749.18192999999997</v>
      </c>
      <c r="AE46" s="8">
        <f>-IFERROR(
GETPIVOTDATA(
"[Base].[Importe]",
TDinamica_R!$A$5,
"[Calendario].[AñoMes]",
"[Calendario].[AñoMes].&amp;[" &amp; TEXT(AE$6,"yyyymm") &amp; "]",
"[Base].[Metrica]",
"[Base].[Metrica].&amp;[" &amp; $A46 &amp; "]",
"[Base].[SEGMENTO_DESCRIP]",
"[Base].[SEGMENTO_DESCRIP].&amp;[" &amp; $C$6 &amp; "]",
"[Base].[SITUACION]",
"[Base].[SITUACION].&amp;[" &amp; $C46 &amp; "]"
),0)/1000</f>
        <v>-687.56050945999993</v>
      </c>
      <c r="AF46" s="8">
        <f>-IFERROR(
GETPIVOTDATA(
"[Base].[Importe]",
TDinamica_R!$A$5,
"[Calendario].[AñoMes]",
"[Calendario].[AñoMes].&amp;[" &amp; TEXT(AF$6,"yyyymm") &amp; "]",
"[Base].[Metrica]",
"[Base].[Metrica].&amp;[" &amp; $A46 &amp; "]",
"[Base].[SEGMENTO_DESCRIP]",
"[Base].[SEGMENTO_DESCRIP].&amp;[" &amp; $C$6 &amp; "]",
"[Base].[SITUACION]",
"[Base].[SITUACION].&amp;[" &amp; $C46 &amp; "]"
),0)/1000</f>
        <v>-706.19766540000001</v>
      </c>
      <c r="AG46" s="8">
        <f>-IFERROR(
GETPIVOTDATA(
"[Base].[Importe]",
TDinamica_R!$A$5,
"[Calendario].[AñoMes]",
"[Calendario].[AñoMes].&amp;[" &amp; TEXT(AG$6,"yyyymm") &amp; "]",
"[Base].[Metrica]",
"[Base].[Metrica].&amp;[" &amp; $A46 &amp; "]",
"[Base].[SEGMENTO_DESCRIP]",
"[Base].[SEGMENTO_DESCRIP].&amp;[" &amp; $C$6 &amp; "]",
"[Base].[SITUACION]",
"[Base].[SITUACION].&amp;[" &amp; $C46 &amp; "]"
),0)/1000</f>
        <v>-698.15396720000001</v>
      </c>
      <c r="AH46" s="8">
        <f>-IFERROR(
GETPIVOTDATA(
"[Base].[Importe]",
TDinamica_R!$A$5,
"[Calendario].[AñoMes]",
"[Calendario].[AñoMes].&amp;[" &amp; TEXT(AH$6,"yyyymm") &amp; "]",
"[Base].[Metrica]",
"[Base].[Metrica].&amp;[" &amp; $A46 &amp; "]",
"[Base].[SEGMENTO_DESCRIP]",
"[Base].[SEGMENTO_DESCRIP].&amp;[" &amp; $C$6 &amp; "]",
"[Base].[SITUACION]",
"[Base].[SITUACION].&amp;[" &amp; $C46 &amp; "]"
),0)/1000</f>
        <v>-667.49995853999997</v>
      </c>
      <c r="AI46" s="8">
        <f>-IFERROR(
GETPIVOTDATA(
"[Base].[Importe]",
TDinamica_R!$A$5,
"[Calendario].[AñoMes]",
"[Calendario].[AñoMes].&amp;[" &amp; TEXT(AI$6,"yyyymm") &amp; "]",
"[Base].[Metrica]",
"[Base].[Metrica].&amp;[" &amp; $A46 &amp; "]",
"[Base].[SEGMENTO_DESCRIP]",
"[Base].[SEGMENTO_DESCRIP].&amp;[" &amp; $C$6 &amp; "]",
"[Base].[SITUACION]",
"[Base].[SITUACION].&amp;[" &amp; $C46 &amp; "]"
),0)/1000</f>
        <v>-660.01305759999991</v>
      </c>
      <c r="AJ46" s="8">
        <f>-IFERROR(
GETPIVOTDATA(
"[Base].[Importe]",
TDinamica_R!$A$5,
"[Calendario].[AñoMes]",
"[Calendario].[AñoMes].&amp;[" &amp; TEXT(AJ$6,"yyyymm") &amp; "]",
"[Base].[Metrica]",
"[Base].[Metrica].&amp;[" &amp; $A46 &amp; "]",
"[Base].[SEGMENTO_DESCRIP]",
"[Base].[SEGMENTO_DESCRIP].&amp;[" &amp; $C$6 &amp; "]",
"[Base].[SITUACION]",
"[Base].[SITUACION].&amp;[" &amp; $C46 &amp; "]"
),0)/1000</f>
        <v>-609.02280618000009</v>
      </c>
      <c r="AK46" s="8">
        <f>-IFERROR(
GETPIVOTDATA(
"[Base].[Importe]",
TDinamica_R!$A$5,
"[Calendario].[AñoMes]",
"[Calendario].[AñoMes].&amp;[" &amp; TEXT(AK$6,"yyyymm") &amp; "]",
"[Base].[Metrica]",
"[Base].[Metrica].&amp;[" &amp; $A46 &amp; "]",
"[Base].[SEGMENTO_DESCRIP]",
"[Base].[SEGMENTO_DESCRIP].&amp;[" &amp; $C$6 &amp; "]",
"[Base].[SITUACION]",
"[Base].[SITUACION].&amp;[" &amp; $C46 &amp; "]"
),0)/1000</f>
        <v>-819.78282144000002</v>
      </c>
      <c r="AL46" s="8">
        <f>-IFERROR(
GETPIVOTDATA(
"[Base].[Importe]",
TDinamica_R!$A$5,
"[Calendario].[AñoMes]",
"[Calendario].[AñoMes].&amp;[" &amp; TEXT(AL$6,"yyyymm") &amp; "]",
"[Base].[Metrica]",
"[Base].[Metrica].&amp;[" &amp; $A46 &amp; "]",
"[Base].[SEGMENTO_DESCRIP]",
"[Base].[SEGMENTO_DESCRIP].&amp;[" &amp; $C$6 &amp; "]",
"[Base].[SITUACION]",
"[Base].[SITUACION].&amp;[" &amp; $C46 &amp; "]"
),0)/1000</f>
        <v>-508.04879259000001</v>
      </c>
      <c r="AM46" s="8">
        <f>-IFERROR(
GETPIVOTDATA(
"[Base].[Importe]",
TDinamica_R!$A$5,
"[Calendario].[AñoMes]",
"[Calendario].[AñoMes].&amp;[" &amp; TEXT(AM$6,"yyyymm") &amp; "]",
"[Base].[Metrica]",
"[Base].[Metrica].&amp;[" &amp; $A46 &amp; "]",
"[Base].[SEGMENTO_DESCRIP]",
"[Base].[SEGMENTO_DESCRIP].&amp;[" &amp; $C$6 &amp; "]",
"[Base].[SITUACION]",
"[Base].[SITUACION].&amp;[" &amp; $C46 &amp; "]"
),0)/1000</f>
        <v>-483.82903665999999</v>
      </c>
      <c r="AN46" s="8">
        <f>-IFERROR(
GETPIVOTDATA(
"[Base].[Importe]",
TDinamica_R!$A$5,
"[Calendario].[AñoMes]",
"[Calendario].[AñoMes].&amp;[" &amp; TEXT(AN$6,"yyyymm") &amp; "]",
"[Base].[Metrica]",
"[Base].[Metrica].&amp;[" &amp; $A46 &amp; "]",
"[Base].[SEGMENTO_DESCRIP]",
"[Base].[SEGMENTO_DESCRIP].&amp;[" &amp; $C$6 &amp; "]",
"[Base].[SITUACION]",
"[Base].[SITUACION].&amp;[" &amp; $C46 &amp; "]"
),0)/1000</f>
        <v>-517.71595050999997</v>
      </c>
      <c r="AO46" s="8">
        <f>-IFERROR(
GETPIVOTDATA(
"[Base].[Importe]",
TDinamica_R!$A$5,
"[Calendario].[AñoMes]",
"[Calendario].[AñoMes].&amp;[" &amp; TEXT(AO$6,"yyyymm") &amp; "]",
"[Base].[Metrica]",
"[Base].[Metrica].&amp;[" &amp; $A46 &amp; "]",
"[Base].[SEGMENTO_DESCRIP]",
"[Base].[SEGMENTO_DESCRIP].&amp;[" &amp; $C$6 &amp; "]",
"[Base].[SITUACION]",
"[Base].[SITUACION].&amp;[" &amp; $C46 &amp; "]"
),0)/1000</f>
        <v>-453.16222295</v>
      </c>
      <c r="AP46" s="8">
        <f>-IFERROR(
GETPIVOTDATA(
"[Base].[Importe]",
TDinamica_R!$A$5,
"[Calendario].[AñoMes]",
"[Calendario].[AñoMes].&amp;[" &amp; TEXT(AP$6,"yyyymm") &amp; "]",
"[Base].[Metrica]",
"[Base].[Metrica].&amp;[" &amp; $A46 &amp; "]",
"[Base].[SEGMENTO_DESCRIP]",
"[Base].[SEGMENTO_DESCRIP].&amp;[" &amp; $C$6 &amp; "]",
"[Base].[SITUACION]",
"[Base].[SITUACION].&amp;[" &amp; $C46 &amp; "]"
),0)/1000</f>
        <v>-468.78680399999996</v>
      </c>
      <c r="AQ46" s="8">
        <f>-IFERROR(
GETPIVOTDATA(
"[Base].[Importe]",
TDinamica_R!$A$5,
"[Calendario].[AñoMes]",
"[Calendario].[AñoMes].&amp;[" &amp; TEXT(AQ$6,"yyyymm") &amp; "]",
"[Base].[Metrica]",
"[Base].[Metrica].&amp;[" &amp; $A46 &amp; "]",
"[Base].[SEGMENTO_DESCRIP]",
"[Base].[SEGMENTO_DESCRIP].&amp;[" &amp; $C$6 &amp; "]",
"[Base].[SITUACION]",
"[Base].[SITUACION].&amp;[" &amp; $C46 &amp; "]"
),0)/1000</f>
        <v>-415.50502941999997</v>
      </c>
      <c r="AR46" s="8">
        <f>-IFERROR(
GETPIVOTDATA(
"[Base].[Importe]",
TDinamica_R!$A$5,
"[Calendario].[AñoMes]",
"[Calendario].[AñoMes].&amp;[" &amp; TEXT(AR$6,"yyyymm") &amp; "]",
"[Base].[Metrica]",
"[Base].[Metrica].&amp;[" &amp; $A46 &amp; "]",
"[Base].[SEGMENTO_DESCRIP]",
"[Base].[SEGMENTO_DESCRIP].&amp;[" &amp; $C$6 &amp; "]",
"[Base].[SITUACION]",
"[Base].[SITUACION].&amp;[" &amp; $C46 &amp; "]"
),0)/1000</f>
        <v>-400.09420649999998</v>
      </c>
      <c r="AS46" s="8">
        <f>-IFERROR(
GETPIVOTDATA(
"[Base].[Importe]",
TDinamica_R!$A$5,
"[Calendario].[AñoMes]",
"[Calendario].[AñoMes].&amp;[" &amp; TEXT(AS$6,"yyyymm") &amp; "]",
"[Base].[Metrica]",
"[Base].[Metrica].&amp;[" &amp; $A46 &amp; "]",
"[Base].[SEGMENTO_DESCRIP]",
"[Base].[SEGMENTO_DESCRIP].&amp;[" &amp; $C$6 &amp; "]",
"[Base].[SITUACION]",
"[Base].[SITUACION].&amp;[" &amp; $C46 &amp; "]"
),0)/1000</f>
        <v>-394.35191214999998</v>
      </c>
      <c r="AT46" s="8">
        <f>-IFERROR(
GETPIVOTDATA(
"[Base].[Importe]",
TDinamica_R!$A$5,
"[Calendario].[AñoMes]",
"[Calendario].[AñoMes].&amp;[" &amp; TEXT(AT$6,"yyyymm")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U46" s="8">
        <f>-IFERROR(
GETPIVOTDATA(
"[Base].[Importe]",
TDinamica_R!$A$5,
"[Calendario].[AñoMes]",
"[Calendario].[AñoMes].&amp;[" &amp; TEXT(AU$6,"yyyymm")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V46" s="8">
        <f>-IFERROR(
GETPIVOTDATA(
"[Base].[Importe]",
TDinamica_R!$A$5,
"[Calendario].[AñoMes]",
"[Calendario].[AñoMes].&amp;[" &amp; TEXT(AV$6,"yyyymm")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W46" s="8">
        <f>-IFERROR(
GETPIVOTDATA(
"[Base].[Importe]",
TDinamica_R!$A$5,
"[Calendario].[AñoMes]",
"[Calendario].[AñoMes].&amp;[" &amp; TEXT(AW$6,"yyyymm")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X46" s="8">
        <f>-IFERROR(
GETPIVOTDATA(
"[Base].[Importe]",
TDinamica_R!$A$5,
"[Calendario].[AñoMes]",
"[Calendario].[AñoMes].&amp;[" &amp; TEXT(AX$6,"yyyymm")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Y46" s="8">
        <f>-IFERROR(
GETPIVOTDATA(
"[Base].[Importe]",
TDinamica_R!$A$5,
"[Calendario].[AñoMes]",
"[Calendario].[AñoMes].&amp;[" &amp; TEXT(AY$6,"yyyymm")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Z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TEXT(AZ$6,"yyyymm") &amp; "]"
),
0
)</f>
        <v>-446.92002698029438</v>
      </c>
      <c r="BA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TEXT(BA$6,"yyyymm") &amp; "]"
),
0
)</f>
        <v>-398.87618986091439</v>
      </c>
      <c r="BB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TEXT(BB$6,"yyyymm") &amp; "]"
),
0
)</f>
        <v>-437.54579128435944</v>
      </c>
      <c r="BC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TEXT(BC$6,"yyyymm") &amp; "]"
),
0
)</f>
        <v>-422.62526880571266</v>
      </c>
      <c r="BD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TEXT(BD$6,"yyyymm") &amp; "]"
),
0
)</f>
        <v>-437.75970273495494</v>
      </c>
      <c r="BE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TEXT(BE$6,"yyyymm") &amp; "]"
),
0
)</f>
        <v>-424.00545528911647</v>
      </c>
      <c r="BF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TEXT(BF$6,"yyyymm") &amp; "]"
),
0
)</f>
        <v>-436.58239690183672</v>
      </c>
      <c r="BG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TEXT(BG$6,"yyyymm") &amp; "]"
),
0
)</f>
        <v>-436.2246103643003</v>
      </c>
      <c r="BH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TEXT(BH$6,"yyyymm") &amp; "]"
),
0
)</f>
        <v>-423.99965490654711</v>
      </c>
      <c r="BI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TEXT(BI$6,"yyyymm") &amp; "]"
),
0
)</f>
        <v>-441.61752676857253</v>
      </c>
      <c r="BJ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TEXT(BJ$6,"yyyymm") &amp; "]"
),
0
)</f>
        <v>-429.28173127122142</v>
      </c>
      <c r="BK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TEXT(BK$6,"yyyymm") &amp; "]"
),
0
)</f>
        <v>-443.42326946467819</v>
      </c>
      <c r="BO46" s="24">
        <f t="shared" si="45"/>
        <v>-1439.66497746</v>
      </c>
      <c r="BP46" s="24">
        <f t="shared" si="45"/>
        <v>-1283.3420081255681</v>
      </c>
      <c r="BQ46" s="24">
        <f t="shared" si="45"/>
        <v>-970.87817345999997</v>
      </c>
      <c r="BR46" s="24">
        <f t="shared" si="45"/>
        <v>-2226.1363447699996</v>
      </c>
      <c r="BS46" s="24">
        <f t="shared" si="45"/>
        <v>-3001.39824486</v>
      </c>
      <c r="BT46" s="24">
        <f t="shared" si="45"/>
        <v>-861.33627796000007</v>
      </c>
    </row>
    <row r="47" spans="1:72" collapsed="1" x14ac:dyDescent="0.25">
      <c r="C47" s="3" t="s">
        <v>58</v>
      </c>
      <c r="D47" s="10">
        <f>SUM(D44:D46)</f>
        <v>-13932.870665389999</v>
      </c>
      <c r="E47" s="10">
        <f t="shared" ref="E47:AY47" si="46">SUM(E44:E46)</f>
        <v>-13323.456493340002</v>
      </c>
      <c r="F47" s="10">
        <f t="shared" si="46"/>
        <v>-15679.355346799997</v>
      </c>
      <c r="G47" s="10">
        <f t="shared" si="46"/>
        <v>-15885.309912080003</v>
      </c>
      <c r="H47" s="10">
        <f t="shared" si="46"/>
        <v>-16914.312878799999</v>
      </c>
      <c r="I47" s="10">
        <f t="shared" si="46"/>
        <v>-17021.254109500002</v>
      </c>
      <c r="J47" s="10">
        <f t="shared" si="46"/>
        <v>-17652.131570329995</v>
      </c>
      <c r="K47" s="10">
        <f t="shared" si="46"/>
        <v>-18092.225653280006</v>
      </c>
      <c r="L47" s="10">
        <f t="shared" si="46"/>
        <v>-17857.113519585</v>
      </c>
      <c r="M47" s="10">
        <f t="shared" si="46"/>
        <v>-18491.257642799996</v>
      </c>
      <c r="N47" s="10">
        <f t="shared" si="46"/>
        <v>-17871.330335559993</v>
      </c>
      <c r="O47" s="10">
        <f t="shared" si="46"/>
        <v>-18195.012905640004</v>
      </c>
      <c r="P47" s="10">
        <f t="shared" si="46"/>
        <v>-17883.637844800003</v>
      </c>
      <c r="Q47" s="10">
        <f t="shared" si="46"/>
        <v>-16295.461666000001</v>
      </c>
      <c r="R47" s="10">
        <f t="shared" si="46"/>
        <v>-16914.700386229997</v>
      </c>
      <c r="S47" s="10">
        <f t="shared" si="46"/>
        <v>-16051.499730800002</v>
      </c>
      <c r="T47" s="10">
        <f t="shared" si="46"/>
        <v>-16035.9717237</v>
      </c>
      <c r="U47" s="10">
        <f t="shared" si="46"/>
        <v>-14915.437354470003</v>
      </c>
      <c r="V47" s="10">
        <f t="shared" si="46"/>
        <v>-14770.102014319998</v>
      </c>
      <c r="W47" s="10">
        <f t="shared" si="46"/>
        <v>-14168.505258930001</v>
      </c>
      <c r="X47" s="10">
        <f t="shared" si="46"/>
        <v>-13386.629879879996</v>
      </c>
      <c r="Y47" s="10">
        <f t="shared" si="46"/>
        <v>-13386.291667280002</v>
      </c>
      <c r="Z47" s="10">
        <f t="shared" si="46"/>
        <v>-12554.807250720001</v>
      </c>
      <c r="AA47" s="10">
        <f t="shared" si="46"/>
        <v>-12562.328566649998</v>
      </c>
      <c r="AB47" s="10">
        <f t="shared" si="46"/>
        <v>-12296.004099240001</v>
      </c>
      <c r="AC47" s="10">
        <f t="shared" si="46"/>
        <v>-10881.583601000002</v>
      </c>
      <c r="AD47" s="10">
        <f t="shared" si="46"/>
        <v>-11758.168748049999</v>
      </c>
      <c r="AE47" s="10">
        <f t="shared" si="46"/>
        <v>-11191.92397537</v>
      </c>
      <c r="AF47" s="10">
        <f t="shared" si="46"/>
        <v>-11324.004848599998</v>
      </c>
      <c r="AG47" s="10">
        <f t="shared" si="46"/>
        <v>-10731.570903400001</v>
      </c>
      <c r="AH47" s="10">
        <f t="shared" si="46"/>
        <v>-10872.387941680003</v>
      </c>
      <c r="AI47" s="10">
        <f t="shared" si="46"/>
        <v>-10778.337994400001</v>
      </c>
      <c r="AJ47" s="10">
        <f t="shared" si="46"/>
        <v>-10305.835921510003</v>
      </c>
      <c r="AK47" s="10">
        <f t="shared" si="46"/>
        <v>-10800.274313519998</v>
      </c>
      <c r="AL47" s="10">
        <f t="shared" si="46"/>
        <v>-10172.85498683</v>
      </c>
      <c r="AM47" s="10">
        <f t="shared" si="46"/>
        <v>-10348.590641299999</v>
      </c>
      <c r="AN47" s="10">
        <f t="shared" si="46"/>
        <v>-10292.13143859</v>
      </c>
      <c r="AO47" s="10">
        <f t="shared" si="46"/>
        <v>-9271.9112040500022</v>
      </c>
      <c r="AP47" s="10">
        <f t="shared" si="46"/>
        <v>-10230.313498</v>
      </c>
      <c r="AQ47" s="10">
        <f t="shared" si="46"/>
        <v>-9884.6910632899981</v>
      </c>
      <c r="AR47" s="10">
        <f t="shared" si="46"/>
        <v>-10294.37923918</v>
      </c>
      <c r="AS47" s="10">
        <f t="shared" si="46"/>
        <v>-10067.210336499998</v>
      </c>
      <c r="AT47" s="10">
        <f t="shared" si="46"/>
        <v>0</v>
      </c>
      <c r="AU47" s="10">
        <f t="shared" si="46"/>
        <v>0</v>
      </c>
      <c r="AV47" s="10">
        <f t="shared" si="46"/>
        <v>0</v>
      </c>
      <c r="AW47" s="10">
        <f t="shared" si="46"/>
        <v>0</v>
      </c>
      <c r="AX47" s="10">
        <f t="shared" si="46"/>
        <v>0</v>
      </c>
      <c r="AY47" s="10">
        <f t="shared" si="46"/>
        <v>0</v>
      </c>
      <c r="AZ47" s="10">
        <f t="shared" ref="AZ47:BK47" si="47">SUM(AZ44:AZ46)</f>
        <v>-10335.677530265209</v>
      </c>
      <c r="BA47" s="10">
        <f t="shared" si="47"/>
        <v>-9224.5937170433135</v>
      </c>
      <c r="BB47" s="10">
        <f t="shared" si="47"/>
        <v>-10118.884655932554</v>
      </c>
      <c r="BC47" s="10">
        <f t="shared" si="47"/>
        <v>-9773.8258095784495</v>
      </c>
      <c r="BD47" s="10">
        <f t="shared" si="47"/>
        <v>-10123.831670252601</v>
      </c>
      <c r="BE47" s="10">
        <f t="shared" si="47"/>
        <v>-9805.7446352360912</v>
      </c>
      <c r="BF47" s="10">
        <f t="shared" si="47"/>
        <v>-10096.604755567601</v>
      </c>
      <c r="BG47" s="10">
        <f t="shared" si="47"/>
        <v>-10088.330419996579</v>
      </c>
      <c r="BH47" s="10">
        <f t="shared" si="47"/>
        <v>-9805.6104929283647</v>
      </c>
      <c r="BI47" s="10">
        <f t="shared" si="47"/>
        <v>-10213.0494783007</v>
      </c>
      <c r="BJ47" s="10">
        <f t="shared" si="47"/>
        <v>-9927.7662136383624</v>
      </c>
      <c r="BK47" s="10">
        <f t="shared" si="47"/>
        <v>-10254.809912120782</v>
      </c>
      <c r="BO47" s="23">
        <f>SUM(BO44:BO46)</f>
        <v>-29794.356140640004</v>
      </c>
      <c r="BP47" s="23">
        <f t="shared" ref="BP47:BT47" si="48">SUM(BP44:BP46)</f>
        <v>-29679.155903241077</v>
      </c>
      <c r="BQ47" s="23">
        <f t="shared" si="48"/>
        <v>-19564.042642640001</v>
      </c>
      <c r="BR47" s="23">
        <f t="shared" si="48"/>
        <v>-34935.756448289998</v>
      </c>
      <c r="BS47" s="23">
        <f t="shared" si="48"/>
        <v>-51093.799897030003</v>
      </c>
      <c r="BT47" s="23">
        <f t="shared" si="48"/>
        <v>-42935.68250553</v>
      </c>
    </row>
    <row r="50" spans="1:72" hidden="1" outlineLevel="1" x14ac:dyDescent="0.25">
      <c r="A50" s="11"/>
      <c r="C50" s="2" t="s">
        <v>0</v>
      </c>
      <c r="D50" s="8">
        <f>D38+D44</f>
        <v>23258.874527020005</v>
      </c>
      <c r="E50" s="8">
        <f t="shared" ref="E50:AY50" si="49">E38+E44</f>
        <v>21550.646892390003</v>
      </c>
      <c r="F50" s="8">
        <f t="shared" si="49"/>
        <v>23641.969350239997</v>
      </c>
      <c r="G50" s="8">
        <f t="shared" si="49"/>
        <v>21790.889895230001</v>
      </c>
      <c r="H50" s="8">
        <f t="shared" si="49"/>
        <v>24964.914735919992</v>
      </c>
      <c r="I50" s="8">
        <f t="shared" si="49"/>
        <v>23986.947907810001</v>
      </c>
      <c r="J50" s="8">
        <f t="shared" si="49"/>
        <v>24826.718477420003</v>
      </c>
      <c r="K50" s="8">
        <f t="shared" si="49"/>
        <v>25150.338982959995</v>
      </c>
      <c r="L50" s="8">
        <f t="shared" si="49"/>
        <v>24087.812567485002</v>
      </c>
      <c r="M50" s="8">
        <f t="shared" si="49"/>
        <v>24246.139089690008</v>
      </c>
      <c r="N50" s="8">
        <f t="shared" si="49"/>
        <v>22554.968310520006</v>
      </c>
      <c r="O50" s="8">
        <f t="shared" si="49"/>
        <v>21937.520061849991</v>
      </c>
      <c r="P50" s="8">
        <f t="shared" si="49"/>
        <v>21244.405168779998</v>
      </c>
      <c r="Q50" s="8">
        <f t="shared" si="49"/>
        <v>18644.13493213999</v>
      </c>
      <c r="R50" s="8">
        <f t="shared" si="49"/>
        <v>19600.585156730001</v>
      </c>
      <c r="S50" s="8">
        <f t="shared" si="49"/>
        <v>19139.217104649993</v>
      </c>
      <c r="T50" s="8">
        <f t="shared" si="49"/>
        <v>19629.527094829995</v>
      </c>
      <c r="U50" s="8">
        <f t="shared" si="49"/>
        <v>18456.221628780004</v>
      </c>
      <c r="V50" s="8">
        <f t="shared" si="49"/>
        <v>19340.543603649996</v>
      </c>
      <c r="W50" s="8">
        <f t="shared" si="49"/>
        <v>18659.443437000009</v>
      </c>
      <c r="X50" s="8">
        <f t="shared" si="49"/>
        <v>17834.791139780002</v>
      </c>
      <c r="Y50" s="8">
        <f t="shared" si="49"/>
        <v>18125.405696509999</v>
      </c>
      <c r="Z50" s="8">
        <f t="shared" si="49"/>
        <v>16657.061295270003</v>
      </c>
      <c r="AA50" s="8">
        <f t="shared" si="49"/>
        <v>16818.041496870002</v>
      </c>
      <c r="AB50" s="8">
        <f t="shared" si="49"/>
        <v>16595.335422499997</v>
      </c>
      <c r="AC50" s="8">
        <f t="shared" si="49"/>
        <v>14525.018122369998</v>
      </c>
      <c r="AD50" s="8">
        <f t="shared" si="49"/>
        <v>16497.377044090004</v>
      </c>
      <c r="AE50" s="8">
        <f t="shared" si="49"/>
        <v>15938.326575779996</v>
      </c>
      <c r="AF50" s="8">
        <f t="shared" si="49"/>
        <v>16404.241301880003</v>
      </c>
      <c r="AG50" s="8">
        <f t="shared" si="49"/>
        <v>15702.31384907</v>
      </c>
      <c r="AH50" s="8">
        <f t="shared" si="49"/>
        <v>16385.36852249</v>
      </c>
      <c r="AI50" s="8">
        <f t="shared" si="49"/>
        <v>16584.836507439995</v>
      </c>
      <c r="AJ50" s="8">
        <f t="shared" si="49"/>
        <v>16255.888228089998</v>
      </c>
      <c r="AK50" s="8">
        <f t="shared" si="49"/>
        <v>16946.434831250001</v>
      </c>
      <c r="AL50" s="8">
        <f t="shared" si="49"/>
        <v>16403.436618200005</v>
      </c>
      <c r="AM50" s="8">
        <f t="shared" si="49"/>
        <v>17532.477281090003</v>
      </c>
      <c r="AN50" s="8">
        <f t="shared" si="49"/>
        <v>17712.359304940001</v>
      </c>
      <c r="AO50" s="8">
        <f t="shared" si="49"/>
        <v>16386.885405639994</v>
      </c>
      <c r="AP50" s="8">
        <f t="shared" si="49"/>
        <v>18392.136473449995</v>
      </c>
      <c r="AQ50" s="8">
        <f t="shared" si="49"/>
        <v>17753.820229710003</v>
      </c>
      <c r="AR50" s="8">
        <f t="shared" si="49"/>
        <v>18621.543701539995</v>
      </c>
      <c r="AS50" s="8">
        <f t="shared" si="49"/>
        <v>18380.122118670006</v>
      </c>
      <c r="AT50" s="8">
        <f t="shared" si="49"/>
        <v>0</v>
      </c>
      <c r="AU50" s="8">
        <f t="shared" si="49"/>
        <v>0</v>
      </c>
      <c r="AV50" s="8">
        <f t="shared" si="49"/>
        <v>0</v>
      </c>
      <c r="AW50" s="8">
        <f t="shared" si="49"/>
        <v>0</v>
      </c>
      <c r="AX50" s="8">
        <f t="shared" si="49"/>
        <v>0</v>
      </c>
      <c r="AY50" s="8">
        <f t="shared" si="49"/>
        <v>0</v>
      </c>
      <c r="AZ50" s="8">
        <f t="shared" ref="AZ50:BK50" si="50">AZ38+AZ44</f>
        <v>16886.457840190556</v>
      </c>
      <c r="BA50" s="8">
        <f t="shared" si="50"/>
        <v>15101.384991806292</v>
      </c>
      <c r="BB50" s="8">
        <f t="shared" si="50"/>
        <v>17092.573570807159</v>
      </c>
      <c r="BC50" s="8">
        <f t="shared" si="50"/>
        <v>16787.875777091002</v>
      </c>
      <c r="BD50" s="8">
        <f t="shared" si="50"/>
        <v>17783.301867745347</v>
      </c>
      <c r="BE50" s="8">
        <f t="shared" si="50"/>
        <v>17639.405683675184</v>
      </c>
      <c r="BF50" s="8">
        <f t="shared" si="50"/>
        <v>18514.580220982629</v>
      </c>
      <c r="BG50" s="8">
        <f t="shared" si="50"/>
        <v>18865.575017639272</v>
      </c>
      <c r="BH50" s="8">
        <f t="shared" si="50"/>
        <v>18593.556905032769</v>
      </c>
      <c r="BI50" s="8">
        <f t="shared" si="50"/>
        <v>19835.744924827432</v>
      </c>
      <c r="BJ50" s="8">
        <f t="shared" si="50"/>
        <v>19558.76851837392</v>
      </c>
      <c r="BK50" s="8">
        <f t="shared" si="50"/>
        <v>20692.710208250017</v>
      </c>
      <c r="BO50" s="24">
        <f>BO38+BO44</f>
        <v>52491.38118402999</v>
      </c>
      <c r="BP50" s="24">
        <f t="shared" ref="BP50:BT50" si="51">BP38+BP44</f>
        <v>49080.416402804003</v>
      </c>
      <c r="BQ50" s="24">
        <f t="shared" si="51"/>
        <v>34099.244710579995</v>
      </c>
      <c r="BR50" s="24">
        <f t="shared" si="51"/>
        <v>47617.730588960003</v>
      </c>
      <c r="BS50" s="24">
        <f t="shared" si="51"/>
        <v>59489.12525764999</v>
      </c>
      <c r="BT50" s="24">
        <f t="shared" si="51"/>
        <v>68451.490769650001</v>
      </c>
    </row>
    <row r="51" spans="1:72" hidden="1" outlineLevel="1" x14ac:dyDescent="0.25">
      <c r="A51" s="11"/>
      <c r="C51" s="2" t="s">
        <v>1</v>
      </c>
      <c r="D51" s="8">
        <f t="shared" ref="D51:AY53" si="52">D39+D45</f>
        <v>-2.4084100299999918</v>
      </c>
      <c r="E51" s="8">
        <f t="shared" si="52"/>
        <v>2.1313688400000075</v>
      </c>
      <c r="F51" s="8">
        <f t="shared" si="52"/>
        <v>-20.306722270000016</v>
      </c>
      <c r="G51" s="8">
        <f t="shared" si="52"/>
        <v>-26.045217820000012</v>
      </c>
      <c r="H51" s="8">
        <f t="shared" si="52"/>
        <v>-19.727018470000019</v>
      </c>
      <c r="I51" s="8">
        <f t="shared" si="52"/>
        <v>-16.455333570000008</v>
      </c>
      <c r="J51" s="8">
        <f t="shared" si="52"/>
        <v>-10.73734429000001</v>
      </c>
      <c r="K51" s="8">
        <f t="shared" si="52"/>
        <v>-5.3411882199999994</v>
      </c>
      <c r="L51" s="8">
        <f t="shared" si="52"/>
        <v>-2.5436910400000059</v>
      </c>
      <c r="M51" s="8">
        <f t="shared" si="52"/>
        <v>-7.5530673200000038</v>
      </c>
      <c r="N51" s="8">
        <f t="shared" si="52"/>
        <v>-0.69258745000000488</v>
      </c>
      <c r="O51" s="8">
        <f t="shared" si="52"/>
        <v>-3.5218695099999948</v>
      </c>
      <c r="P51" s="8">
        <f t="shared" si="52"/>
        <v>-0.20000337999999829</v>
      </c>
      <c r="Q51" s="8">
        <f t="shared" si="52"/>
        <v>1.2465852000000019</v>
      </c>
      <c r="R51" s="8">
        <f t="shared" si="52"/>
        <v>-5.6510818800000031</v>
      </c>
      <c r="S51" s="8">
        <f t="shared" si="52"/>
        <v>3.266730840000001</v>
      </c>
      <c r="T51" s="8">
        <f t="shared" si="52"/>
        <v>-20.108162399999998</v>
      </c>
      <c r="U51" s="8">
        <f t="shared" si="52"/>
        <v>-12.062265999999994</v>
      </c>
      <c r="V51" s="8">
        <f t="shared" si="52"/>
        <v>-1.2469514000000288</v>
      </c>
      <c r="W51" s="8">
        <f t="shared" si="52"/>
        <v>-30.9069097</v>
      </c>
      <c r="X51" s="8">
        <f t="shared" si="52"/>
        <v>-12.853769199999988</v>
      </c>
      <c r="Y51" s="8">
        <f t="shared" si="52"/>
        <v>-42.31667189999996</v>
      </c>
      <c r="Z51" s="8">
        <f t="shared" si="52"/>
        <v>-35.984993799999984</v>
      </c>
      <c r="AA51" s="8">
        <f t="shared" si="52"/>
        <v>-28.801575100000008</v>
      </c>
      <c r="AB51" s="8">
        <f t="shared" si="52"/>
        <v>-1.8523744999999963</v>
      </c>
      <c r="AC51" s="8">
        <f t="shared" si="52"/>
        <v>12.989571400000017</v>
      </c>
      <c r="AD51" s="8">
        <f t="shared" si="52"/>
        <v>-23.163768799999986</v>
      </c>
      <c r="AE51" s="8">
        <f t="shared" si="52"/>
        <v>-7.6457842000000085</v>
      </c>
      <c r="AF51" s="8">
        <f t="shared" si="52"/>
        <v>-0.80923990000002277</v>
      </c>
      <c r="AG51" s="8">
        <f t="shared" si="52"/>
        <v>3.3198168000000123</v>
      </c>
      <c r="AH51" s="8">
        <f t="shared" si="52"/>
        <v>35.878616699999981</v>
      </c>
      <c r="AI51" s="8">
        <f t="shared" si="52"/>
        <v>1.0589731000000029</v>
      </c>
      <c r="AJ51" s="8">
        <f t="shared" si="52"/>
        <v>33.750790199999983</v>
      </c>
      <c r="AK51" s="8">
        <f t="shared" si="52"/>
        <v>26.1959023</v>
      </c>
      <c r="AL51" s="8">
        <f t="shared" si="52"/>
        <v>15.312749099999991</v>
      </c>
      <c r="AM51" s="8">
        <f t="shared" si="52"/>
        <v>54.157783999999992</v>
      </c>
      <c r="AN51" s="8">
        <f t="shared" si="52"/>
        <v>37.721863860000013</v>
      </c>
      <c r="AO51" s="8">
        <f t="shared" si="52"/>
        <v>43.889359829999989</v>
      </c>
      <c r="AP51" s="8">
        <f t="shared" si="52"/>
        <v>43.146754509999994</v>
      </c>
      <c r="AQ51" s="8">
        <f t="shared" si="52"/>
        <v>47.153471539999998</v>
      </c>
      <c r="AR51" s="8">
        <f t="shared" si="52"/>
        <v>29.206407519999999</v>
      </c>
      <c r="AS51" s="8">
        <f t="shared" si="52"/>
        <v>52.90872029999997</v>
      </c>
      <c r="AT51" s="8">
        <f t="shared" si="52"/>
        <v>0</v>
      </c>
      <c r="AU51" s="8">
        <f t="shared" si="52"/>
        <v>0</v>
      </c>
      <c r="AV51" s="8">
        <f t="shared" si="52"/>
        <v>0</v>
      </c>
      <c r="AW51" s="8">
        <f t="shared" si="52"/>
        <v>0</v>
      </c>
      <c r="AX51" s="8">
        <f t="shared" si="52"/>
        <v>0</v>
      </c>
      <c r="AY51" s="8">
        <f t="shared" si="52"/>
        <v>0</v>
      </c>
      <c r="AZ51" s="8">
        <f t="shared" ref="AZ51:BK51" si="53">AZ39+AZ45</f>
        <v>165.02819752990632</v>
      </c>
      <c r="BA51" s="8">
        <f t="shared" si="53"/>
        <v>140.48058600429403</v>
      </c>
      <c r="BB51" s="8">
        <f t="shared" si="53"/>
        <v>147.74361820995637</v>
      </c>
      <c r="BC51" s="8">
        <f t="shared" si="53"/>
        <v>136.21586629317238</v>
      </c>
      <c r="BD51" s="8">
        <f t="shared" si="53"/>
        <v>135.61584257908376</v>
      </c>
      <c r="BE51" s="8">
        <f t="shared" si="53"/>
        <v>125.27029824558052</v>
      </c>
      <c r="BF51" s="8">
        <f t="shared" si="53"/>
        <v>124.33534838054285</v>
      </c>
      <c r="BG51" s="8">
        <f t="shared" si="53"/>
        <v>120.09529497455114</v>
      </c>
      <c r="BH51" s="8">
        <f t="shared" si="53"/>
        <v>110.87736352106579</v>
      </c>
      <c r="BI51" s="8">
        <f t="shared" si="53"/>
        <v>109.79408561050806</v>
      </c>
      <c r="BJ51" s="8">
        <f t="shared" si="53"/>
        <v>102.64509191157333</v>
      </c>
      <c r="BK51" s="8">
        <f t="shared" si="53"/>
        <v>103.24247511963755</v>
      </c>
      <c r="BO51" s="24">
        <f t="shared" ref="BO51:BT52" si="54">BO39+BO45</f>
        <v>124.75797820000008</v>
      </c>
      <c r="BP51" s="24">
        <f t="shared" si="54"/>
        <v>453.25240174415666</v>
      </c>
      <c r="BQ51" s="24">
        <f t="shared" si="54"/>
        <v>81.611223690000031</v>
      </c>
      <c r="BR51" s="24">
        <f t="shared" si="54"/>
        <v>-12.026571900000022</v>
      </c>
      <c r="BS51" s="24">
        <f t="shared" si="54"/>
        <v>-4.6045000599999923</v>
      </c>
      <c r="BT51" s="24">
        <f t="shared" si="54"/>
        <v>-20.583763460000029</v>
      </c>
    </row>
    <row r="52" spans="1:72" hidden="1" outlineLevel="1" x14ac:dyDescent="0.25">
      <c r="A52" s="11"/>
      <c r="C52" s="2" t="s">
        <v>45</v>
      </c>
      <c r="D52" s="8">
        <f t="shared" si="52"/>
        <v>120.79089933</v>
      </c>
      <c r="E52" s="8">
        <f t="shared" si="52"/>
        <v>-43.126461209999945</v>
      </c>
      <c r="F52" s="8">
        <f t="shared" si="52"/>
        <v>49.486207159999935</v>
      </c>
      <c r="G52" s="8">
        <f t="shared" si="52"/>
        <v>63.244512810000117</v>
      </c>
      <c r="H52" s="8">
        <f t="shared" si="52"/>
        <v>245.29297901000001</v>
      </c>
      <c r="I52" s="8">
        <f t="shared" si="52"/>
        <v>-4.8881054800000356</v>
      </c>
      <c r="J52" s="8">
        <f t="shared" si="52"/>
        <v>188.60373135000009</v>
      </c>
      <c r="K52" s="8">
        <f t="shared" si="52"/>
        <v>-188.8535331300003</v>
      </c>
      <c r="L52" s="8">
        <f t="shared" si="52"/>
        <v>-196.46884549999993</v>
      </c>
      <c r="M52" s="8">
        <f t="shared" si="52"/>
        <v>-178.89548745000002</v>
      </c>
      <c r="N52" s="8">
        <f t="shared" si="52"/>
        <v>-46.690190689999895</v>
      </c>
      <c r="O52" s="8">
        <f t="shared" si="52"/>
        <v>-74.478391749999787</v>
      </c>
      <c r="P52" s="8">
        <f t="shared" si="52"/>
        <v>-186.97944125000004</v>
      </c>
      <c r="Q52" s="8">
        <f t="shared" si="52"/>
        <v>-198.45729971000003</v>
      </c>
      <c r="R52" s="8">
        <f t="shared" si="52"/>
        <v>-162.2161518700002</v>
      </c>
      <c r="S52" s="8">
        <f t="shared" si="52"/>
        <v>84.016228580000188</v>
      </c>
      <c r="T52" s="8">
        <f t="shared" si="52"/>
        <v>48.415433050000274</v>
      </c>
      <c r="U52" s="8">
        <f t="shared" si="52"/>
        <v>363.40954416</v>
      </c>
      <c r="V52" s="8">
        <f t="shared" si="52"/>
        <v>427.39428633000057</v>
      </c>
      <c r="W52" s="8">
        <f t="shared" si="52"/>
        <v>68.73707520999983</v>
      </c>
      <c r="X52" s="8">
        <f t="shared" si="52"/>
        <v>43.550074930000164</v>
      </c>
      <c r="Y52" s="8">
        <f t="shared" si="52"/>
        <v>12.979628810000008</v>
      </c>
      <c r="Z52" s="8">
        <f t="shared" si="52"/>
        <v>243.32027463999998</v>
      </c>
      <c r="AA52" s="8">
        <f t="shared" si="52"/>
        <v>236.70685490000017</v>
      </c>
      <c r="AB52" s="8">
        <f t="shared" si="52"/>
        <v>140.30425726999999</v>
      </c>
      <c r="AC52" s="8">
        <f t="shared" si="52"/>
        <v>129.96090048000008</v>
      </c>
      <c r="AD52" s="8">
        <f t="shared" si="52"/>
        <v>240.81963819000009</v>
      </c>
      <c r="AE52" s="8">
        <f t="shared" si="52"/>
        <v>137.12981242000012</v>
      </c>
      <c r="AF52" s="8">
        <f t="shared" si="52"/>
        <v>239.99581567999996</v>
      </c>
      <c r="AG52" s="8">
        <f t="shared" si="52"/>
        <v>233.61756212</v>
      </c>
      <c r="AH52" s="8">
        <f t="shared" si="52"/>
        <v>255.56311915000026</v>
      </c>
      <c r="AI52" s="8">
        <f t="shared" si="52"/>
        <v>92.34542184999998</v>
      </c>
      <c r="AJ52" s="8">
        <f t="shared" si="52"/>
        <v>105.73673032999989</v>
      </c>
      <c r="AK52" s="8">
        <f t="shared" si="52"/>
        <v>-93.621606499999984</v>
      </c>
      <c r="AL52" s="8">
        <f t="shared" si="52"/>
        <v>345.73510231999995</v>
      </c>
      <c r="AM52" s="8">
        <f t="shared" si="52"/>
        <v>369.43203603000012</v>
      </c>
      <c r="AN52" s="8">
        <f t="shared" si="52"/>
        <v>138.75852857999996</v>
      </c>
      <c r="AO52" s="8">
        <f t="shared" si="52"/>
        <v>163.24301404000005</v>
      </c>
      <c r="AP52" s="8">
        <f t="shared" si="52"/>
        <v>110.69228694000014</v>
      </c>
      <c r="AQ52" s="8">
        <f t="shared" si="52"/>
        <v>172.50269899000006</v>
      </c>
      <c r="AR52" s="8">
        <f t="shared" si="52"/>
        <v>255.24052580999995</v>
      </c>
      <c r="AS52" s="8">
        <f t="shared" si="52"/>
        <v>218.57859076000022</v>
      </c>
      <c r="AT52" s="8">
        <f t="shared" si="52"/>
        <v>0</v>
      </c>
      <c r="AU52" s="8">
        <f t="shared" si="52"/>
        <v>0</v>
      </c>
      <c r="AV52" s="8">
        <f t="shared" si="52"/>
        <v>0</v>
      </c>
      <c r="AW52" s="8">
        <f t="shared" si="52"/>
        <v>0</v>
      </c>
      <c r="AX52" s="8">
        <f t="shared" si="52"/>
        <v>0</v>
      </c>
      <c r="AY52" s="8">
        <f t="shared" si="52"/>
        <v>0</v>
      </c>
      <c r="AZ52" s="8">
        <f t="shared" ref="AZ52:BK52" si="55">AZ40+AZ46</f>
        <v>248.61979684320573</v>
      </c>
      <c r="BA52" s="8">
        <f t="shared" si="55"/>
        <v>279.54850769965702</v>
      </c>
      <c r="BB52" s="8">
        <f t="shared" si="55"/>
        <v>217.87036653577547</v>
      </c>
      <c r="BC52" s="8">
        <f t="shared" si="55"/>
        <v>222.07557953432348</v>
      </c>
      <c r="BD52" s="8">
        <f t="shared" si="55"/>
        <v>201.98582101864946</v>
      </c>
      <c r="BE52" s="8">
        <f t="shared" si="55"/>
        <v>214.38572034771215</v>
      </c>
      <c r="BF52" s="8">
        <f t="shared" si="55"/>
        <v>194.31421180340436</v>
      </c>
      <c r="BG52" s="8">
        <f t="shared" si="55"/>
        <v>199.37532877076643</v>
      </c>
      <c r="BH52" s="8">
        <f t="shared" si="55"/>
        <v>211.86566995157625</v>
      </c>
      <c r="BI52" s="8">
        <f t="shared" si="55"/>
        <v>191.85217076917428</v>
      </c>
      <c r="BJ52" s="8">
        <f t="shared" si="55"/>
        <v>199.88373426139327</v>
      </c>
      <c r="BK52" s="8">
        <f t="shared" si="55"/>
        <v>185.55405694497955</v>
      </c>
      <c r="BO52" s="24">
        <f t="shared" si="54"/>
        <v>412.69382956000004</v>
      </c>
      <c r="BP52" s="24">
        <f t="shared" si="54"/>
        <v>746.03867107863834</v>
      </c>
      <c r="BQ52" s="24">
        <f t="shared" si="54"/>
        <v>302.00154262000001</v>
      </c>
      <c r="BR52" s="24">
        <f t="shared" si="54"/>
        <v>511.08479594000028</v>
      </c>
      <c r="BS52" s="24">
        <f t="shared" si="54"/>
        <v>-547.65289283000038</v>
      </c>
      <c r="BT52" s="24">
        <f t="shared" si="54"/>
        <v>127.15064527999994</v>
      </c>
    </row>
    <row r="53" spans="1:72" collapsed="1" x14ac:dyDescent="0.25">
      <c r="C53" s="3" t="s">
        <v>66</v>
      </c>
      <c r="D53" s="10">
        <f t="shared" si="52"/>
        <v>23377.25701632</v>
      </c>
      <c r="E53" s="10">
        <f t="shared" si="52"/>
        <v>21509.651800020001</v>
      </c>
      <c r="F53" s="10">
        <f t="shared" si="52"/>
        <v>23671.148835129999</v>
      </c>
      <c r="G53" s="10">
        <f t="shared" si="52"/>
        <v>21828.089190220002</v>
      </c>
      <c r="H53" s="10">
        <f t="shared" si="52"/>
        <v>25190.480696459988</v>
      </c>
      <c r="I53" s="10">
        <f t="shared" si="52"/>
        <v>23965.604468759997</v>
      </c>
      <c r="J53" s="10">
        <f t="shared" si="52"/>
        <v>25004.584864480003</v>
      </c>
      <c r="K53" s="10">
        <f t="shared" si="52"/>
        <v>24956.144261609992</v>
      </c>
      <c r="L53" s="10">
        <f t="shared" si="52"/>
        <v>23888.800030945</v>
      </c>
      <c r="M53" s="10">
        <f t="shared" si="52"/>
        <v>24059.69053492001</v>
      </c>
      <c r="N53" s="10">
        <f t="shared" si="52"/>
        <v>22507.585532380006</v>
      </c>
      <c r="O53" s="10">
        <f t="shared" si="52"/>
        <v>21859.519800589995</v>
      </c>
      <c r="P53" s="10">
        <f t="shared" si="52"/>
        <v>21057.225724149997</v>
      </c>
      <c r="Q53" s="10">
        <f t="shared" si="52"/>
        <v>18446.924217629989</v>
      </c>
      <c r="R53" s="10">
        <f t="shared" si="52"/>
        <v>19432.717922980002</v>
      </c>
      <c r="S53" s="10">
        <f t="shared" si="52"/>
        <v>19226.500064069987</v>
      </c>
      <c r="T53" s="10">
        <f t="shared" si="52"/>
        <v>19657.834365479997</v>
      </c>
      <c r="U53" s="10">
        <f t="shared" si="52"/>
        <v>18807.568906940007</v>
      </c>
      <c r="V53" s="10">
        <f t="shared" si="52"/>
        <v>19766.690938579995</v>
      </c>
      <c r="W53" s="10">
        <f t="shared" si="52"/>
        <v>18697.273602510002</v>
      </c>
      <c r="X53" s="10">
        <f t="shared" si="52"/>
        <v>17865.48744551</v>
      </c>
      <c r="Y53" s="10">
        <f t="shared" si="52"/>
        <v>18096.068653419999</v>
      </c>
      <c r="Z53" s="10">
        <f t="shared" si="52"/>
        <v>16864.396576110001</v>
      </c>
      <c r="AA53" s="10">
        <f t="shared" si="52"/>
        <v>17025.94677667</v>
      </c>
      <c r="AB53" s="10">
        <f t="shared" si="52"/>
        <v>16733.787305269994</v>
      </c>
      <c r="AC53" s="10">
        <f t="shared" si="52"/>
        <v>14667.96859425</v>
      </c>
      <c r="AD53" s="10">
        <f t="shared" si="52"/>
        <v>16715.032913480005</v>
      </c>
      <c r="AE53" s="10">
        <f t="shared" si="52"/>
        <v>16067.810603999997</v>
      </c>
      <c r="AF53" s="10">
        <f t="shared" si="52"/>
        <v>16643.427877660008</v>
      </c>
      <c r="AG53" s="10">
        <f t="shared" si="52"/>
        <v>15939.251227990002</v>
      </c>
      <c r="AH53" s="10">
        <f t="shared" si="52"/>
        <v>16676.810258339996</v>
      </c>
      <c r="AI53" s="10">
        <f t="shared" si="52"/>
        <v>16678.240902389996</v>
      </c>
      <c r="AJ53" s="10">
        <f t="shared" si="52"/>
        <v>16395.375748619997</v>
      </c>
      <c r="AK53" s="10">
        <f t="shared" si="52"/>
        <v>16879.009127049998</v>
      </c>
      <c r="AL53" s="10">
        <f t="shared" si="52"/>
        <v>16764.484469620005</v>
      </c>
      <c r="AM53" s="10">
        <f t="shared" si="52"/>
        <v>17956.067101120003</v>
      </c>
      <c r="AN53" s="10">
        <f t="shared" si="52"/>
        <v>17888.839697380005</v>
      </c>
      <c r="AO53" s="10">
        <f t="shared" si="52"/>
        <v>16594.017779509995</v>
      </c>
      <c r="AP53" s="10">
        <f t="shared" si="52"/>
        <v>18545.975514899994</v>
      </c>
      <c r="AQ53" s="10">
        <f t="shared" si="52"/>
        <v>17973.476400240004</v>
      </c>
      <c r="AR53" s="10">
        <f t="shared" si="52"/>
        <v>18905.990634869995</v>
      </c>
      <c r="AS53" s="10">
        <f t="shared" si="52"/>
        <v>18651.609429730008</v>
      </c>
      <c r="AT53" s="10">
        <f t="shared" si="52"/>
        <v>0</v>
      </c>
      <c r="AU53" s="10">
        <f t="shared" si="52"/>
        <v>0</v>
      </c>
      <c r="AV53" s="10">
        <f t="shared" si="52"/>
        <v>0</v>
      </c>
      <c r="AW53" s="10">
        <f t="shared" si="52"/>
        <v>0</v>
      </c>
      <c r="AX53" s="10">
        <f t="shared" si="52"/>
        <v>0</v>
      </c>
      <c r="AY53" s="10">
        <f t="shared" si="52"/>
        <v>0</v>
      </c>
      <c r="AZ53" s="10">
        <f t="shared" ref="AZ53:BK53" si="56">AZ41+AZ47</f>
        <v>17300.105834563667</v>
      </c>
      <c r="BA53" s="10">
        <f t="shared" si="56"/>
        <v>15521.414085510245</v>
      </c>
      <c r="BB53" s="10">
        <f t="shared" si="56"/>
        <v>17458.18755555289</v>
      </c>
      <c r="BC53" s="10">
        <f t="shared" si="56"/>
        <v>17146.167222918499</v>
      </c>
      <c r="BD53" s="10">
        <f t="shared" si="56"/>
        <v>18120.90353134308</v>
      </c>
      <c r="BE53" s="10">
        <f t="shared" si="56"/>
        <v>17979.061702268482</v>
      </c>
      <c r="BF53" s="10">
        <f t="shared" si="56"/>
        <v>18833.229781166578</v>
      </c>
      <c r="BG53" s="10">
        <f t="shared" si="56"/>
        <v>19185.04564138459</v>
      </c>
      <c r="BH53" s="10">
        <f t="shared" si="56"/>
        <v>18916.29993850541</v>
      </c>
      <c r="BI53" s="10">
        <f t="shared" si="56"/>
        <v>20137.391181207116</v>
      </c>
      <c r="BJ53" s="10">
        <f t="shared" si="56"/>
        <v>19861.297344546885</v>
      </c>
      <c r="BK53" s="10">
        <f t="shared" si="56"/>
        <v>20981.506740314635</v>
      </c>
      <c r="BO53" s="23">
        <f t="shared" ref="BO53:BT53" si="57">SUM(BO50:BO52)</f>
        <v>53028.83299178999</v>
      </c>
      <c r="BP53" s="23">
        <f t="shared" si="57"/>
        <v>50279.707475626798</v>
      </c>
      <c r="BQ53" s="23">
        <f t="shared" si="57"/>
        <v>34482.857476889993</v>
      </c>
      <c r="BR53" s="23">
        <f t="shared" si="57"/>
        <v>48116.788812999999</v>
      </c>
      <c r="BS53" s="23">
        <f t="shared" si="57"/>
        <v>58936.867864759988</v>
      </c>
      <c r="BT53" s="23">
        <f t="shared" si="57"/>
        <v>68558.057651469993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11" t="s">
        <v>64</v>
      </c>
      <c r="C56" s="2" t="s">
        <v>67</v>
      </c>
      <c r="D56" s="8">
        <f>IFERROR(
GETPIVOTDATA(
"[Base].[Importe]",
TDinamica_R!$A$5,
"[Calendario].[AñoMes]",
"[Calendario].[AñoMes].&amp;[" &amp; TEXT(D$6,"yyyymm") &amp; "]",
"[Base].[Metrica]",
"[Base].[Metrica].&amp;[" &amp; $A56 &amp; "]",
"[Base].[SEGMENTO_DESCRIP]",
"[Base].[SEGMENTO_DESCRIP].&amp;[" &amp; $C$6 &amp; "]",
"[Base].[SITUACION]",
"[Base].[SITUACION].&amp;[" &amp; $C56 &amp; "]"
),0)/1000</f>
        <v>-23766.1370595595</v>
      </c>
      <c r="E56" s="8">
        <f>IFERROR(
GETPIVOTDATA(
"[Base].[Importe]",
TDinamica_R!$A$5,
"[Calendario].[AñoMes]",
"[Calendario].[AñoMes].&amp;[" &amp; TEXT(E$6,"yyyymm") &amp; "]",
"[Base].[Metrica]",
"[Base].[Metrica].&amp;[" &amp; $A56 &amp; "]",
"[Base].[SEGMENTO_DESCRIP]",
"[Base].[SEGMENTO_DESCRIP].&amp;[" &amp; $C$6 &amp; "]",
"[Base].[SITUACION]",
"[Base].[SITUACION].&amp;[" &amp; $C56 &amp; "]"
),0)/1000</f>
        <v>-13957.780306527675</v>
      </c>
      <c r="F56" s="8">
        <f>IFERROR(
GETPIVOTDATA(
"[Base].[Importe]",
TDinamica_R!$A$5,
"[Calendario].[AñoMes]",
"[Calendario].[AñoMes].&amp;[" &amp; TEXT(F$6,"yyyymm") &amp; "]",
"[Base].[Metrica]",
"[Base].[Metrica].&amp;[" &amp; $A56 &amp; "]",
"[Base].[SEGMENTO_DESCRIP]",
"[Base].[SEGMENTO_DESCRIP].&amp;[" &amp; $C$6 &amp; "]",
"[Base].[SITUACION]",
"[Base].[SITUACION].&amp;[" &amp; $C56 &amp; "]"
),0)/1000</f>
        <v>-24731.266202562245</v>
      </c>
      <c r="G56" s="8">
        <f>IFERROR(
GETPIVOTDATA(
"[Base].[Importe]",
TDinamica_R!$A$5,
"[Calendario].[AñoMes]",
"[Calendario].[AñoMes].&amp;[" &amp; TEXT(G$6,"yyyymm") &amp; "]",
"[Base].[Metrica]",
"[Base].[Metrica].&amp;[" &amp; $A56 &amp; "]",
"[Base].[SEGMENTO_DESCRIP]",
"[Base].[SEGMENTO_DESCRIP].&amp;[" &amp; $C$6 &amp; "]",
"[Base].[SITUACION]",
"[Base].[SITUACION].&amp;[" &amp; $C56 &amp; "]"
),0)/1000</f>
        <v>-22579.891868457773</v>
      </c>
      <c r="H56" s="8">
        <f>IFERROR(
GETPIVOTDATA(
"[Base].[Importe]",
TDinamica_R!$A$5,
"[Calendario].[AñoMes]",
"[Calendario].[AñoMes].&amp;[" &amp; TEXT(H$6,"yyyymm") &amp; "]",
"[Base].[Metrica]",
"[Base].[Metrica].&amp;[" &amp; $A56 &amp; "]",
"[Base].[SEGMENTO_DESCRIP]",
"[Base].[SEGMENTO_DESCRIP].&amp;[" &amp; $C$6 &amp; "]",
"[Base].[SITUACION]",
"[Base].[SITUACION].&amp;[" &amp; $C56 &amp; "]"
),0)/1000</f>
        <v>-36332.670377442722</v>
      </c>
      <c r="I56" s="8">
        <f>IFERROR(
GETPIVOTDATA(
"[Base].[Importe]",
TDinamica_R!$A$5,
"[Calendario].[AñoMes]",
"[Calendario].[AñoMes].&amp;[" &amp; TEXT(I$6,"yyyymm") &amp; "]",
"[Base].[Metrica]",
"[Base].[Metrica].&amp;[" &amp; $A56 &amp; "]",
"[Base].[SEGMENTO_DESCRIP]",
"[Base].[SEGMENTO_DESCRIP].&amp;[" &amp; $C$6 &amp; "]",
"[Base].[SITUACION]",
"[Base].[SITUACION].&amp;[" &amp; $C56 &amp; "]"
),0)/1000</f>
        <v>-43561.674818938358</v>
      </c>
      <c r="J56" s="8">
        <f>IFERROR(
GETPIVOTDATA(
"[Base].[Importe]",
TDinamica_R!$A$5,
"[Calendario].[AñoMes]",
"[Calendario].[AñoMes].&amp;[" &amp; TEXT(J$6,"yyyymm") &amp; "]",
"[Base].[Metrica]",
"[Base].[Metrica].&amp;[" &amp; $A56 &amp; "]",
"[Base].[SEGMENTO_DESCRIP]",
"[Base].[SEGMENTO_DESCRIP].&amp;[" &amp; $C$6 &amp; "]",
"[Base].[SITUACION]",
"[Base].[SITUACION].&amp;[" &amp; $C56 &amp; "]"
),0)/1000</f>
        <v>-46371.360414887618</v>
      </c>
      <c r="K56" s="8">
        <f>IFERROR(
GETPIVOTDATA(
"[Base].[Importe]",
TDinamica_R!$A$5,
"[Calendario].[AñoMes]",
"[Calendario].[AñoMes].&amp;[" &amp; TEXT(K$6,"yyyymm") &amp; "]",
"[Base].[Metrica]",
"[Base].[Metrica].&amp;[" &amp; $A56 &amp; "]",
"[Base].[SEGMENTO_DESCRIP]",
"[Base].[SEGMENTO_DESCRIP].&amp;[" &amp; $C$6 &amp; "]",
"[Base].[SITUACION]",
"[Base].[SITUACION].&amp;[" &amp; $C56 &amp; "]"
),0)/1000</f>
        <v>-63691.975832978671</v>
      </c>
      <c r="L56" s="8">
        <f>IFERROR(
GETPIVOTDATA(
"[Base].[Importe]",
TDinamica_R!$A$5,
"[Calendario].[AñoMes]",
"[Calendario].[AñoMes].&amp;[" &amp; TEXT(L$6,"yyyymm") &amp; "]",
"[Base].[Metrica]",
"[Base].[Metrica].&amp;[" &amp; $A56 &amp; "]",
"[Base].[SEGMENTO_DESCRIP]",
"[Base].[SEGMENTO_DESCRIP].&amp;[" &amp; $C$6 &amp; "]",
"[Base].[SITUACION]",
"[Base].[SITUACION].&amp;[" &amp; $C56 &amp; "]"
),0)/1000</f>
        <v>-43805.625911517651</v>
      </c>
      <c r="M56" s="8">
        <f>IFERROR(
GETPIVOTDATA(
"[Base].[Importe]",
TDinamica_R!$A$5,
"[Calendario].[AñoMes]",
"[Calendario].[AñoMes].&amp;[" &amp; TEXT(M$6,"yyyymm") &amp; "]",
"[Base].[Metrica]",
"[Base].[Metrica].&amp;[" &amp; $A56 &amp; "]",
"[Base].[SEGMENTO_DESCRIP]",
"[Base].[SEGMENTO_DESCRIP].&amp;[" &amp; $C$6 &amp; "]",
"[Base].[SITUACION]",
"[Base].[SITUACION].&amp;[" &amp; $C56 &amp; "]"
),0)/1000</f>
        <v>-68881.405717109985</v>
      </c>
      <c r="N56" s="8">
        <f>IFERROR(
GETPIVOTDATA(
"[Base].[Importe]",
TDinamica_R!$A$5,
"[Calendario].[AñoMes]",
"[Calendario].[AñoMes].&amp;[" &amp; TEXT(N$6,"yyyymm") &amp; "]",
"[Base].[Metrica]",
"[Base].[Metrica].&amp;[" &amp; $A56 &amp; "]",
"[Base].[SEGMENTO_DESCRIP]",
"[Base].[SEGMENTO_DESCRIP].&amp;[" &amp; $C$6 &amp; "]",
"[Base].[SITUACION]",
"[Base].[SITUACION].&amp;[" &amp; $C56 &amp; "]"
),0)/1000</f>
        <v>-48273.79986608839</v>
      </c>
      <c r="O56" s="8">
        <f>IFERROR(
GETPIVOTDATA(
"[Base].[Importe]",
TDinamica_R!$A$5,
"[Calendario].[AñoMes]",
"[Calendario].[AñoMes].&amp;[" &amp; TEXT(O$6,"yyyymm") &amp; "]",
"[Base].[Metrica]",
"[Base].[Metrica].&amp;[" &amp; $A56 &amp; "]",
"[Base].[SEGMENTO_DESCRIP]",
"[Base].[SEGMENTO_DESCRIP].&amp;[" &amp; $C$6 &amp; "]",
"[Base].[SITUACION]",
"[Base].[SITUACION].&amp;[" &amp; $C56 &amp; "]"
),0)/1000</f>
        <v>-59652.91230869828</v>
      </c>
      <c r="P56" s="8">
        <f>IFERROR(
GETPIVOTDATA(
"[Base].[Importe]",
TDinamica_R!$A$5,
"[Calendario].[AñoMes]",
"[Calendario].[AñoMes].&amp;[" &amp; TEXT(P$6,"yyyymm") &amp; "]",
"[Base].[Metrica]",
"[Base].[Metrica].&amp;[" &amp; $A56 &amp; "]",
"[Base].[SEGMENTO_DESCRIP]",
"[Base].[SEGMENTO_DESCRIP].&amp;[" &amp; $C$6 &amp; "]",
"[Base].[SITUACION]",
"[Base].[SITUACION].&amp;[" &amp; $C56 &amp; "]"
),0)/1000</f>
        <v>-80728.870437749676</v>
      </c>
      <c r="Q56" s="8">
        <f>IFERROR(
GETPIVOTDATA(
"[Base].[Importe]",
TDinamica_R!$A$5,
"[Calendario].[AñoMes]",
"[Calendario].[AñoMes].&amp;[" &amp; TEXT(Q$6,"yyyymm") &amp; "]",
"[Base].[Metrica]",
"[Base].[Metrica].&amp;[" &amp; $A56 &amp; "]",
"[Base].[SEGMENTO_DESCRIP]",
"[Base].[SEGMENTO_DESCRIP].&amp;[" &amp; $C$6 &amp; "]",
"[Base].[SITUACION]",
"[Base].[SITUACION].&amp;[" &amp; $C56 &amp; "]"
),0)/1000</f>
        <v>-53079.066016283134</v>
      </c>
      <c r="R56" s="8">
        <f>IFERROR(
GETPIVOTDATA(
"[Base].[Importe]",
TDinamica_R!$A$5,
"[Calendario].[AñoMes]",
"[Calendario].[AñoMes].&amp;[" &amp; TEXT(R$6,"yyyymm") &amp; "]",
"[Base].[Metrica]",
"[Base].[Metrica].&amp;[" &amp; $A56 &amp; "]",
"[Base].[SEGMENTO_DESCRIP]",
"[Base].[SEGMENTO_DESCRIP].&amp;[" &amp; $C$6 &amp; "]",
"[Base].[SITUACION]",
"[Base].[SITUACION].&amp;[" &amp; $C56 &amp; "]"
),0)/1000</f>
        <v>-70222.273402650681</v>
      </c>
      <c r="S56" s="8">
        <f>IFERROR(
GETPIVOTDATA(
"[Base].[Importe]",
TDinamica_R!$A$5,
"[Calendario].[AñoMes]",
"[Calendario].[AñoMes].&amp;[" &amp; TEXT(S$6,"yyyymm") &amp; "]",
"[Base].[Metrica]",
"[Base].[Metrica].&amp;[" &amp; $A56 &amp; "]",
"[Base].[SEGMENTO_DESCRIP]",
"[Base].[SEGMENTO_DESCRIP].&amp;[" &amp; $C$6 &amp; "]",
"[Base].[SITUACION]",
"[Base].[SITUACION].&amp;[" &amp; $C56 &amp; "]"
),0)/1000</f>
        <v>-65218.346996338507</v>
      </c>
      <c r="T56" s="8">
        <f>IFERROR(
GETPIVOTDATA(
"[Base].[Importe]",
TDinamica_R!$A$5,
"[Calendario].[AñoMes]",
"[Calendario].[AñoMes].&amp;[" &amp; TEXT(T$6,"yyyymm") &amp; "]",
"[Base].[Metrica]",
"[Base].[Metrica].&amp;[" &amp; $A56 &amp; "]",
"[Base].[SEGMENTO_DESCRIP]",
"[Base].[SEGMENTO_DESCRIP].&amp;[" &amp; $C$6 &amp; "]",
"[Base].[SITUACION]",
"[Base].[SITUACION].&amp;[" &amp; $C56 &amp; "]"
),0)/1000</f>
        <v>-59667.638709057625</v>
      </c>
      <c r="U56" s="8">
        <f>IFERROR(
GETPIVOTDATA(
"[Base].[Importe]",
TDinamica_R!$A$5,
"[Calendario].[AñoMes]",
"[Calendario].[AñoMes].&amp;[" &amp; TEXT(U$6,"yyyymm") &amp; "]",
"[Base].[Metrica]",
"[Base].[Metrica].&amp;[" &amp; $A56 &amp; "]",
"[Base].[SEGMENTO_DESCRIP]",
"[Base].[SEGMENTO_DESCRIP].&amp;[" &amp; $C$6 &amp; "]",
"[Base].[SITUACION]",
"[Base].[SITUACION].&amp;[" &amp; $C56 &amp; "]"
),0)/1000</f>
        <v>-50949.38209718142</v>
      </c>
      <c r="V56" s="8">
        <f>IFERROR(
GETPIVOTDATA(
"[Base].[Importe]",
TDinamica_R!$A$5,
"[Calendario].[AñoMes]",
"[Calendario].[AñoMes].&amp;[" &amp; TEXT(V$6,"yyyymm") &amp; "]",
"[Base].[Metrica]",
"[Base].[Metrica].&amp;[" &amp; $A56 &amp; "]",
"[Base].[SEGMENTO_DESCRIP]",
"[Base].[SEGMENTO_DESCRIP].&amp;[" &amp; $C$6 &amp; "]",
"[Base].[SITUACION]",
"[Base].[SITUACION].&amp;[" &amp; $C56 &amp; "]"
),0)/1000</f>
        <v>-43492.689545380665</v>
      </c>
      <c r="W56" s="8">
        <f>IFERROR(
GETPIVOTDATA(
"[Base].[Importe]",
TDinamica_R!$A$5,
"[Calendario].[AñoMes]",
"[Calendario].[AñoMes].&amp;[" &amp; TEXT(W$6,"yyyymm") &amp; "]",
"[Base].[Metrica]",
"[Base].[Metrica].&amp;[" &amp; $A56 &amp; "]",
"[Base].[SEGMENTO_DESCRIP]",
"[Base].[SEGMENTO_DESCRIP].&amp;[" &amp; $C$6 &amp; "]",
"[Base].[SITUACION]",
"[Base].[SITUACION].&amp;[" &amp; $C56 &amp; "]"
),0)/1000</f>
        <v>-35169.224384932582</v>
      </c>
      <c r="X56" s="8">
        <f>IFERROR(
GETPIVOTDATA(
"[Base].[Importe]",
TDinamica_R!$A$5,
"[Calendario].[AñoMes]",
"[Calendario].[AñoMes].&amp;[" &amp; TEXT(X$6,"yyyymm") &amp; "]",
"[Base].[Metrica]",
"[Base].[Metrica].&amp;[" &amp; $A56 &amp; "]",
"[Base].[SEGMENTO_DESCRIP]",
"[Base].[SEGMENTO_DESCRIP].&amp;[" &amp; $C$6 &amp; "]",
"[Base].[SITUACION]",
"[Base].[SITUACION].&amp;[" &amp; $C56 &amp; "]"
),0)/1000</f>
        <v>-33898.300990102187</v>
      </c>
      <c r="Y56" s="8">
        <f>IFERROR(
GETPIVOTDATA(
"[Base].[Importe]",
TDinamica_R!$A$5,
"[Calendario].[AñoMes]",
"[Calendario].[AñoMes].&amp;[" &amp; TEXT(Y$6,"yyyymm") &amp; "]",
"[Base].[Metrica]",
"[Base].[Metrica].&amp;[" &amp; $A56 &amp; "]",
"[Base].[SEGMENTO_DESCRIP]",
"[Base].[SEGMENTO_DESCRIP].&amp;[" &amp; $C$6 &amp; "]",
"[Base].[SITUACION]",
"[Base].[SITUACION].&amp;[" &amp; $C56 &amp; "]"
),0)/1000</f>
        <v>-37735.039691188329</v>
      </c>
      <c r="Z56" s="8">
        <f>IFERROR(
GETPIVOTDATA(
"[Base].[Importe]",
TDinamica_R!$A$5,
"[Calendario].[AñoMes]",
"[Calendario].[AñoMes].&amp;[" &amp; TEXT(Z$6,"yyyymm") &amp; "]",
"[Base].[Metrica]",
"[Base].[Metrica].&amp;[" &amp; $A56 &amp; "]",
"[Base].[SEGMENTO_DESCRIP]",
"[Base].[SEGMENTO_DESCRIP].&amp;[" &amp; $C$6 &amp; "]",
"[Base].[SITUACION]",
"[Base].[SITUACION].&amp;[" &amp; $C56 &amp; "]"
),0)/1000</f>
        <v>-19901.019671145757</v>
      </c>
      <c r="AA56" s="8">
        <f>IFERROR(
GETPIVOTDATA(
"[Base].[Importe]",
TDinamica_R!$A$5,
"[Calendario].[AñoMes]",
"[Calendario].[AñoMes].&amp;[" &amp; TEXT(AA$6,"yyyymm") &amp; "]",
"[Base].[Metrica]",
"[Base].[Metrica].&amp;[" &amp; $A56 &amp; "]",
"[Base].[SEGMENTO_DESCRIP]",
"[Base].[SEGMENTO_DESCRIP].&amp;[" &amp; $C$6 &amp; "]",
"[Base].[SITUACION]",
"[Base].[SITUACION].&amp;[" &amp; $C56 &amp; "]"
),0)/1000</f>
        <v>-27069.740418408044</v>
      </c>
      <c r="AB56" s="8">
        <f>IFERROR(
GETPIVOTDATA(
"[Base].[Importe]",
TDinamica_R!$A$5,
"[Calendario].[AñoMes]",
"[Calendario].[AñoMes].&amp;[" &amp; TEXT(AB$6,"yyyymm") &amp; "]",
"[Base].[Metrica]",
"[Base].[Metrica].&amp;[" &amp; $A56 &amp; "]",
"[Base].[SEGMENTO_DESCRIP]",
"[Base].[SEGMENTO_DESCRIP].&amp;[" &amp; $C$6 &amp; "]",
"[Base].[SITUACION]",
"[Base].[SITUACION].&amp;[" &amp; $C56 &amp; "]"
),0)/1000</f>
        <v>-36110.081848315567</v>
      </c>
      <c r="AC56" s="8">
        <f>IFERROR(
GETPIVOTDATA(
"[Base].[Importe]",
TDinamica_R!$A$5,
"[Calendario].[AñoMes]",
"[Calendario].[AñoMes].&amp;[" &amp; TEXT(AC$6,"yyyymm") &amp; "]",
"[Base].[Metrica]",
"[Base].[Metrica].&amp;[" &amp; $A56 &amp; "]",
"[Base].[SEGMENTO_DESCRIP]",
"[Base].[SEGMENTO_DESCRIP].&amp;[" &amp; $C$6 &amp; "]",
"[Base].[SITUACION]",
"[Base].[SITUACION].&amp;[" &amp; $C56 &amp; "]"
),0)/1000</f>
        <v>-20241.987836380817</v>
      </c>
      <c r="AD56" s="8">
        <f>IFERROR(
GETPIVOTDATA(
"[Base].[Importe]",
TDinamica_R!$A$5,
"[Calendario].[AñoMes]",
"[Calendario].[AñoMes].&amp;[" &amp; TEXT(AD$6,"yyyymm") &amp; "]",
"[Base].[Metrica]",
"[Base].[Metrica].&amp;[" &amp; $A56 &amp; "]",
"[Base].[SEGMENTO_DESCRIP]",
"[Base].[SEGMENTO_DESCRIP].&amp;[" &amp; $C$6 &amp; "]",
"[Base].[SITUACION]",
"[Base].[SITUACION].&amp;[" &amp; $C56 &amp; "]"
),0)/1000</f>
        <v>-26297.830773832138</v>
      </c>
      <c r="AE56" s="8">
        <f>IFERROR(
GETPIVOTDATA(
"[Base].[Importe]",
TDinamica_R!$A$5,
"[Calendario].[AñoMes]",
"[Calendario].[AñoMes].&amp;[" &amp; TEXT(AE$6,"yyyymm") &amp; "]",
"[Base].[Metrica]",
"[Base].[Metrica].&amp;[" &amp; $A56 &amp; "]",
"[Base].[SEGMENTO_DESCRIP]",
"[Base].[SEGMENTO_DESCRIP].&amp;[" &amp; $C$6 &amp; "]",
"[Base].[SITUACION]",
"[Base].[SITUACION].&amp;[" &amp; $C56 &amp; "]"
),0)/1000</f>
        <v>-25604.735817022534</v>
      </c>
      <c r="AF56" s="8">
        <f>IFERROR(
GETPIVOTDATA(
"[Base].[Importe]",
TDinamica_R!$A$5,
"[Calendario].[AñoMes]",
"[Calendario].[AñoMes].&amp;[" &amp; TEXT(AF$6,"yyyymm") &amp; "]",
"[Base].[Metrica]",
"[Base].[Metrica].&amp;[" &amp; $A56 &amp; "]",
"[Base].[SEGMENTO_DESCRIP]",
"[Base].[SEGMENTO_DESCRIP].&amp;[" &amp; $C$6 &amp; "]",
"[Base].[SITUACION]",
"[Base].[SITUACION].&amp;[" &amp; $C56 &amp; "]"
),0)/1000</f>
        <v>-21280.306021611585</v>
      </c>
      <c r="AG56" s="8">
        <f>IFERROR(
GETPIVOTDATA(
"[Base].[Importe]",
TDinamica_R!$A$5,
"[Calendario].[AñoMes]",
"[Calendario].[AñoMes].&amp;[" &amp; TEXT(AG$6,"yyyymm") &amp; "]",
"[Base].[Metrica]",
"[Base].[Metrica].&amp;[" &amp; $A56 &amp; "]",
"[Base].[SEGMENTO_DESCRIP]",
"[Base].[SEGMENTO_DESCRIP].&amp;[" &amp; $C$6 &amp; "]",
"[Base].[SITUACION]",
"[Base].[SITUACION].&amp;[" &amp; $C56 &amp; "]"
),0)/1000</f>
        <v>-22538.60255303805</v>
      </c>
      <c r="AH56" s="8">
        <f>IFERROR(
GETPIVOTDATA(
"[Base].[Importe]",
TDinamica_R!$A$5,
"[Calendario].[AñoMes]",
"[Calendario].[AñoMes].&amp;[" &amp; TEXT(AH$6,"yyyymm") &amp; "]",
"[Base].[Metrica]",
"[Base].[Metrica].&amp;[" &amp; $A56 &amp; "]",
"[Base].[SEGMENTO_DESCRIP]",
"[Base].[SEGMENTO_DESCRIP].&amp;[" &amp; $C$6 &amp; "]",
"[Base].[SITUACION]",
"[Base].[SITUACION].&amp;[" &amp; $C56 &amp; "]"
),0)/1000</f>
        <v>-20231.588163110679</v>
      </c>
      <c r="AI56" s="8">
        <f>IFERROR(
GETPIVOTDATA(
"[Base].[Importe]",
TDinamica_R!$A$5,
"[Calendario].[AñoMes]",
"[Calendario].[AñoMes].&amp;[" &amp; TEXT(AI$6,"yyyymm") &amp; "]",
"[Base].[Metrica]",
"[Base].[Metrica].&amp;[" &amp; $A56 &amp; "]",
"[Base].[SEGMENTO_DESCRIP]",
"[Base].[SEGMENTO_DESCRIP].&amp;[" &amp; $C$6 &amp; "]",
"[Base].[SITUACION]",
"[Base].[SITUACION].&amp;[" &amp; $C56 &amp; "]"
),0)/1000</f>
        <v>-18737.966144001301</v>
      </c>
      <c r="AJ56" s="8">
        <f>IFERROR(
GETPIVOTDATA(
"[Base].[Importe]",
TDinamica_R!$A$5,
"[Calendario].[AñoMes]",
"[Calendario].[AñoMes].&amp;[" &amp; TEXT(AJ$6,"yyyymm") &amp; "]",
"[Base].[Metrica]",
"[Base].[Metrica].&amp;[" &amp; $A56 &amp; "]",
"[Base].[SEGMENTO_DESCRIP]",
"[Base].[SEGMENTO_DESCRIP].&amp;[" &amp; $C$6 &amp; "]",
"[Base].[SITUACION]",
"[Base].[SITUACION].&amp;[" &amp; $C56 &amp; "]"
),0)/1000</f>
        <v>-17548.837882383203</v>
      </c>
      <c r="AK56" s="8">
        <f>IFERROR(
GETPIVOTDATA(
"[Base].[Importe]",
TDinamica_R!$A$5,
"[Calendario].[AñoMes]",
"[Calendario].[AñoMes].&amp;[" &amp; TEXT(AK$6,"yyyymm") &amp; "]",
"[Base].[Metrica]",
"[Base].[Metrica].&amp;[" &amp; $A56 &amp; "]",
"[Base].[SEGMENTO_DESCRIP]",
"[Base].[SEGMENTO_DESCRIP].&amp;[" &amp; $C$6 &amp; "]",
"[Base].[SITUACION]",
"[Base].[SITUACION].&amp;[" &amp; $C56 &amp; "]"
),0)/1000</f>
        <v>-22268.210503455299</v>
      </c>
      <c r="AL56" s="8">
        <f>IFERROR(
GETPIVOTDATA(
"[Base].[Importe]",
TDinamica_R!$A$5,
"[Calendario].[AñoMes]",
"[Calendario].[AñoMes].&amp;[" &amp; TEXT(AL$6,"yyyymm") &amp; "]",
"[Base].[Metrica]",
"[Base].[Metrica].&amp;[" &amp; $A56 &amp; "]",
"[Base].[SEGMENTO_DESCRIP]",
"[Base].[SEGMENTO_DESCRIP].&amp;[" &amp; $C$6 &amp; "]",
"[Base].[SITUACION]",
"[Base].[SITUACION].&amp;[" &amp; $C56 &amp; "]"
),0)/1000</f>
        <v>-10639.6562979511</v>
      </c>
      <c r="AM56" s="8">
        <f>IFERROR(
GETPIVOTDATA(
"[Base].[Importe]",
TDinamica_R!$A$5,
"[Calendario].[AñoMes]",
"[Calendario].[AñoMes].&amp;[" &amp; TEXT(AM$6,"yyyymm") &amp; "]",
"[Base].[Metrica]",
"[Base].[Metrica].&amp;[" &amp; $A56 &amp; "]",
"[Base].[SEGMENTO_DESCRIP]",
"[Base].[SEGMENTO_DESCRIP].&amp;[" &amp; $C$6 &amp; "]",
"[Base].[SITUACION]",
"[Base].[SITUACION].&amp;[" &amp; $C56 &amp; "]"
),0)/1000</f>
        <v>-11383.41998598596</v>
      </c>
      <c r="AN56" s="8">
        <f>IFERROR(
GETPIVOTDATA(
"[Base].[Importe]",
TDinamica_R!$A$5,
"[Calendario].[AñoMes]",
"[Calendario].[AñoMes].&amp;[" &amp; TEXT(AN$6,"yyyymm") &amp; "]",
"[Base].[Metrica]",
"[Base].[Metrica].&amp;[" &amp; $A56 &amp; "]",
"[Base].[SEGMENTO_DESCRIP]",
"[Base].[SEGMENTO_DESCRIP].&amp;[" &amp; $C$6 &amp; "]",
"[Base].[SITUACION]",
"[Base].[SITUACION].&amp;[" &amp; $C56 &amp; "]"
),0)/1000</f>
        <v>-10892.668436015316</v>
      </c>
      <c r="AO56" s="8">
        <f>IFERROR(
GETPIVOTDATA(
"[Base].[Importe]",
TDinamica_R!$A$5,
"[Calendario].[AñoMes]",
"[Calendario].[AñoMes].&amp;[" &amp; TEXT(AO$6,"yyyymm") &amp; "]",
"[Base].[Metrica]",
"[Base].[Metrica].&amp;[" &amp; $A56 &amp; "]",
"[Base].[SEGMENTO_DESCRIP]",
"[Base].[SEGMENTO_DESCRIP].&amp;[" &amp; $C$6 &amp; "]",
"[Base].[SITUACION]",
"[Base].[SITUACION].&amp;[" &amp; $C56 &amp; "]"
),0)/1000</f>
        <v>-11826.460347198838</v>
      </c>
      <c r="AP56" s="8">
        <f>IFERROR(
GETPIVOTDATA(
"[Base].[Importe]",
TDinamica_R!$A$5,
"[Calendario].[AñoMes]",
"[Calendario].[AñoMes].&amp;[" &amp; TEXT(AP$6,"yyyymm") &amp; "]",
"[Base].[Metrica]",
"[Base].[Metrica].&amp;[" &amp; $A56 &amp; "]",
"[Base].[SEGMENTO_DESCRIP]",
"[Base].[SEGMENTO_DESCRIP].&amp;[" &amp; $C$6 &amp; "]",
"[Base].[SITUACION]",
"[Base].[SITUACION].&amp;[" &amp; $C56 &amp; "]"
),0)/1000</f>
        <v>-10660.822269999999</v>
      </c>
      <c r="AQ56" s="8">
        <f>IFERROR(
GETPIVOTDATA(
"[Base].[Importe]",
TDinamica_R!$A$5,
"[Calendario].[AñoMes]",
"[Calendario].[AñoMes].&amp;[" &amp; TEXT(AQ$6,"yyyymm") &amp; "]",
"[Base].[Metrica]",
"[Base].[Metrica].&amp;[" &amp; $A56 &amp; "]",
"[Base].[SEGMENTO_DESCRIP]",
"[Base].[SEGMENTO_DESCRIP].&amp;[" &amp; $C$6 &amp; "]",
"[Base].[SITUACION]",
"[Base].[SITUACION].&amp;[" &amp; $C56 &amp; "]"
),0)/1000</f>
        <v>-11701.653117608876</v>
      </c>
      <c r="AR56" s="8">
        <f>IFERROR(
GETPIVOTDATA(
"[Base].[Importe]",
TDinamica_R!$A$5,
"[Calendario].[AñoMes]",
"[Calendario].[AñoMes].&amp;[" &amp; TEXT(AR$6,"yyyymm") &amp; "]",
"[Base].[Metrica]",
"[Base].[Metrica].&amp;[" &amp; $A56 &amp; "]",
"[Base].[SEGMENTO_DESCRIP]",
"[Base].[SEGMENTO_DESCRIP].&amp;[" &amp; $C$6 &amp; "]",
"[Base].[SITUACION]",
"[Base].[SITUACION].&amp;[" &amp; $C56 &amp; "]"
),0)/1000</f>
        <v>-11802.477699999799</v>
      </c>
      <c r="AS56" s="8">
        <f>IFERROR(
GETPIVOTDATA(
"[Base].[Importe]",
TDinamica_R!$A$5,
"[Calendario].[AñoMes]",
"[Calendario].[AñoMes].&amp;[" &amp; TEXT(AS$6,"yyyymm") &amp; "]",
"[Base].[Metrica]",
"[Base].[Metrica].&amp;[" &amp; $A56 &amp; "]",
"[Base].[SEGMENTO_DESCRIP]",
"[Base].[SEGMENTO_DESCRIP].&amp;[" &amp; $C$6 &amp; "]",
"[Base].[SITUACION]",
"[Base].[SITUACION].&amp;[" &amp; $C56 &amp; "]"
),0)/1000</f>
        <v>-12865.4589399997</v>
      </c>
      <c r="AT56" s="8">
        <f>IFERROR(
GETPIVOTDATA(
"[Base].[Importe]",
TDinamica_R!$A$5,
"[Calendario].[AñoMes]",
"[Calendario].[AñoMes].&amp;[" &amp; TEXT(AT$6,"yyyymm")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U56" s="8">
        <f>IFERROR(
GETPIVOTDATA(
"[Base].[Importe]",
TDinamica_R!$A$5,
"[Calendario].[AñoMes]",
"[Calendario].[AñoMes].&amp;[" &amp; TEXT(AU$6,"yyyymm")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V56" s="8">
        <f>IFERROR(
GETPIVOTDATA(
"[Base].[Importe]",
TDinamica_R!$A$5,
"[Calendario].[AñoMes]",
"[Calendario].[AñoMes].&amp;[" &amp; TEXT(AV$6,"yyyymm")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W56" s="8">
        <f>IFERROR(
GETPIVOTDATA(
"[Base].[Importe]",
TDinamica_R!$A$5,
"[Calendario].[AñoMes]",
"[Calendario].[AñoMes].&amp;[" &amp; TEXT(AW$6,"yyyymm")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X56" s="8">
        <f>IFERROR(
GETPIVOTDATA(
"[Base].[Importe]",
TDinamica_R!$A$5,
"[Calendario].[AñoMes]",
"[Calendario].[AñoMes].&amp;[" &amp; TEXT(AX$6,"yyyymm")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Y56" s="8">
        <f>IFERROR(
GETPIVOTDATA(
"[Base].[Importe]",
TDinamica_R!$A$5,
"[Calendario].[AñoMes]",
"[Calendario].[AñoMes].&amp;[" &amp; TEXT(AY$6,"yyyymm")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Z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TEXT(AZ$6,"yyyymm") &amp; "]"
),
0
)</f>
        <v>-15699.404503392539</v>
      </c>
      <c r="BA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TEXT(BA$6,"yyyymm") &amp; "]"
),
0
)</f>
        <v>-18504.566865474641</v>
      </c>
      <c r="BB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TEXT(BB$6,"yyyymm") &amp; "]"
),
0
)</f>
        <v>-18820.555162457553</v>
      </c>
      <c r="BC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TEXT(BC$6,"yyyymm") &amp; "]"
),
0
)</f>
        <v>-18841.299625327909</v>
      </c>
      <c r="BD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TEXT(BD$6,"yyyymm") &amp; "]"
),
0
)</f>
        <v>-18690.422192331895</v>
      </c>
      <c r="BE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TEXT(BE$6,"yyyymm") &amp; "]"
),
0
)</f>
        <v>-19440.646133666749</v>
      </c>
      <c r="BF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TEXT(BF$6,"yyyymm") &amp; "]"
),
0
)</f>
        <v>-16784.299152246531</v>
      </c>
      <c r="BG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TEXT(BG$6,"yyyymm") &amp; "]"
),
0
)</f>
        <v>-23682.590275668706</v>
      </c>
      <c r="BH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TEXT(BH$6,"yyyymm") &amp; "]"
),
0
)</f>
        <v>-13096.202950568044</v>
      </c>
      <c r="BI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TEXT(BI$6,"yyyymm") &amp; "]"
),
0
)</f>
        <v>-18831.869561304899</v>
      </c>
      <c r="BJ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TEXT(BJ$6,"yyyymm") &amp; "]"
),
0
)</f>
        <v>-18101.110031772099</v>
      </c>
      <c r="BK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TEXT(BK$6,"yyyymm") &amp; "]"
),
0
)</f>
        <v>-16017.708152214947</v>
      </c>
      <c r="BO56" s="24">
        <f t="shared" ref="BO56:BT57" si="58">SUMIFS($D56:$BM56,$D$6:$BM$6,"&gt;="&amp;BO$2,$D$6:$BM$6,"&lt;="&amp;BO$6,$D$5:$BM$5,BO$5)</f>
        <v>-33379.95105321415</v>
      </c>
      <c r="BP56" s="24">
        <f t="shared" si="58"/>
        <v>-53024.526531324729</v>
      </c>
      <c r="BQ56" s="24">
        <f t="shared" si="58"/>
        <v>-22719.128783214153</v>
      </c>
      <c r="BR56" s="24">
        <f t="shared" si="58"/>
        <v>-82649.900458528515</v>
      </c>
      <c r="BS56" s="24">
        <f t="shared" si="58"/>
        <v>-204030.2098566835</v>
      </c>
      <c r="BT56" s="24">
        <f t="shared" si="58"/>
        <v>-62455.183568649416</v>
      </c>
    </row>
    <row r="57" spans="1:72" hidden="1" outlineLevel="1" x14ac:dyDescent="0.25">
      <c r="A57" s="11" t="s">
        <v>65</v>
      </c>
      <c r="C57" s="2" t="s">
        <v>69</v>
      </c>
      <c r="D57" s="8">
        <f>IFERROR(
GETPIVOTDATA(
"[Base].[Importe]",
TDinamica_R!$A$5,
"[Calendario].[AñoMes]",
"[Calendario].[AñoMes].&amp;[" &amp; TEXT(D$6,"yyyymm") &amp; "]",
"[Base].[Metrica]",
"[Base].[Metrica].&amp;[" &amp; $A57 &amp; "]",
"[Base].[SEGMENTO_DESCRIP]",
"[Base].[SEGMENTO_DESCRIP].&amp;[" &amp; $C$6 &amp; "]",
"[Base].[SITUACION]",
"[Base].[SITUACION].&amp;[" &amp; $C57 &amp; "]"
),0)/1000</f>
        <v>1030.6723555712713</v>
      </c>
      <c r="E57" s="8">
        <f>IFERROR(
GETPIVOTDATA(
"[Base].[Importe]",
TDinamica_R!$A$5,
"[Calendario].[AñoMes]",
"[Calendario].[AñoMes].&amp;[" &amp; TEXT(E$6,"yyyymm") &amp; "]",
"[Base].[Metrica]",
"[Base].[Metrica].&amp;[" &amp; $A57 &amp; "]",
"[Base].[SEGMENTO_DESCRIP]",
"[Base].[SEGMENTO_DESCRIP].&amp;[" &amp; $C$6 &amp; "]",
"[Base].[SITUACION]",
"[Base].[SITUACION].&amp;[" &amp; $C57 &amp; "]"
),0)/1000</f>
        <v>1071.4603453590112</v>
      </c>
      <c r="F57" s="8">
        <f>IFERROR(
GETPIVOTDATA(
"[Base].[Importe]",
TDinamica_R!$A$5,
"[Calendario].[AñoMes]",
"[Calendario].[AñoMes].&amp;[" &amp; TEXT(F$6,"yyyymm") &amp; "]",
"[Base].[Metrica]",
"[Base].[Metrica].&amp;[" &amp; $A57 &amp; "]",
"[Base].[SEGMENTO_DESCRIP]",
"[Base].[SEGMENTO_DESCRIP].&amp;[" &amp; $C$6 &amp; "]",
"[Base].[SITUACION]",
"[Base].[SITUACION].&amp;[" &amp; $C57 &amp; "]"
),0)/1000</f>
        <v>1344.0339536650818</v>
      </c>
      <c r="G57" s="8">
        <f>IFERROR(
GETPIVOTDATA(
"[Base].[Importe]",
TDinamica_R!$A$5,
"[Calendario].[AñoMes]",
"[Calendario].[AñoMes].&amp;[" &amp; TEXT(G$6,"yyyymm") &amp; "]",
"[Base].[Metrica]",
"[Base].[Metrica].&amp;[" &amp; $A57 &amp; "]",
"[Base].[SEGMENTO_DESCRIP]",
"[Base].[SEGMENTO_DESCRIP].&amp;[" &amp; $C$6 &amp; "]",
"[Base].[SITUACION]",
"[Base].[SITUACION].&amp;[" &amp; $C57 &amp; "]"
),0)/1000</f>
        <v>861.38801723137976</v>
      </c>
      <c r="H57" s="8">
        <f>IFERROR(
GETPIVOTDATA(
"[Base].[Importe]",
TDinamica_R!$A$5,
"[Calendario].[AñoMes]",
"[Calendario].[AñoMes].&amp;[" &amp; TEXT(H$6,"yyyymm") &amp; "]",
"[Base].[Metrica]",
"[Base].[Metrica].&amp;[" &amp; $A57 &amp; "]",
"[Base].[SEGMENTO_DESCRIP]",
"[Base].[SEGMENTO_DESCRIP].&amp;[" &amp; $C$6 &amp; "]",
"[Base].[SITUACION]",
"[Base].[SITUACION].&amp;[" &amp; $C57 &amp; "]"
),0)/1000</f>
        <v>969.19416970466307</v>
      </c>
      <c r="I57" s="8">
        <f>IFERROR(
GETPIVOTDATA(
"[Base].[Importe]",
TDinamica_R!$A$5,
"[Calendario].[AñoMes]",
"[Calendario].[AñoMes].&amp;[" &amp; TEXT(I$6,"yyyymm") &amp; "]",
"[Base].[Metrica]",
"[Base].[Metrica].&amp;[" &amp; $A57 &amp; "]",
"[Base].[SEGMENTO_DESCRIP]",
"[Base].[SEGMENTO_DESCRIP].&amp;[" &amp; $C$6 &amp; "]",
"[Base].[SITUACION]",
"[Base].[SITUACION].&amp;[" &amp; $C57 &amp; "]"
),0)/1000</f>
        <v>1167.0894351458271</v>
      </c>
      <c r="J57" s="8">
        <f>IFERROR(
GETPIVOTDATA(
"[Base].[Importe]",
TDinamica_R!$A$5,
"[Calendario].[AñoMes]",
"[Calendario].[AñoMes].&amp;[" &amp; TEXT(J$6,"yyyymm") &amp; "]",
"[Base].[Metrica]",
"[Base].[Metrica].&amp;[" &amp; $A57 &amp; "]",
"[Base].[SEGMENTO_DESCRIP]",
"[Base].[SEGMENTO_DESCRIP].&amp;[" &amp; $C$6 &amp; "]",
"[Base].[SITUACION]",
"[Base].[SITUACION].&amp;[" &amp; $C57 &amp; "]"
),0)/1000</f>
        <v>1048.5727035742739</v>
      </c>
      <c r="K57" s="8">
        <f>IFERROR(
GETPIVOTDATA(
"[Base].[Importe]",
TDinamica_R!$A$5,
"[Calendario].[AñoMes]",
"[Calendario].[AñoMes].&amp;[" &amp; TEXT(K$6,"yyyymm") &amp; "]",
"[Base].[Metrica]",
"[Base].[Metrica].&amp;[" &amp; $A57 &amp; "]",
"[Base].[SEGMENTO_DESCRIP]",
"[Base].[SEGMENTO_DESCRIP].&amp;[" &amp; $C$6 &amp; "]",
"[Base].[SITUACION]",
"[Base].[SITUACION].&amp;[" &amp; $C57 &amp; "]"
),0)/1000</f>
        <v>1214.4705401596773</v>
      </c>
      <c r="L57" s="8">
        <f>IFERROR(
GETPIVOTDATA(
"[Base].[Importe]",
TDinamica_R!$A$5,
"[Calendario].[AñoMes]",
"[Calendario].[AñoMes].&amp;[" &amp; TEXT(L$6,"yyyymm") &amp; "]",
"[Base].[Metrica]",
"[Base].[Metrica].&amp;[" &amp; $A57 &amp; "]",
"[Base].[SEGMENTO_DESCRIP]",
"[Base].[SEGMENTO_DESCRIP].&amp;[" &amp; $C$6 &amp; "]",
"[Base].[SITUACION]",
"[Base].[SITUACION].&amp;[" &amp; $C57 &amp; "]"
),0)/1000</f>
        <v>941.80840721841491</v>
      </c>
      <c r="M57" s="8">
        <f>IFERROR(
GETPIVOTDATA(
"[Base].[Importe]",
TDinamica_R!$A$5,
"[Calendario].[AñoMes]",
"[Calendario].[AñoMes].&amp;[" &amp; TEXT(M$6,"yyyymm") &amp; "]",
"[Base].[Metrica]",
"[Base].[Metrica].&amp;[" &amp; $A57 &amp; "]",
"[Base].[SEGMENTO_DESCRIP]",
"[Base].[SEGMENTO_DESCRIP].&amp;[" &amp; $C$6 &amp; "]",
"[Base].[SITUACION]",
"[Base].[SITUACION].&amp;[" &amp; $C57 &amp; "]"
),0)/1000</f>
        <v>1016.2239199115023</v>
      </c>
      <c r="N57" s="8">
        <f>IFERROR(
GETPIVOTDATA(
"[Base].[Importe]",
TDinamica_R!$A$5,
"[Calendario].[AñoMes]",
"[Calendario].[AñoMes].&amp;[" &amp; TEXT(N$6,"yyyymm") &amp; "]",
"[Base].[Metrica]",
"[Base].[Metrica].&amp;[" &amp; $A57 &amp; "]",
"[Base].[SEGMENTO_DESCRIP]",
"[Base].[SEGMENTO_DESCRIP].&amp;[" &amp; $C$6 &amp; "]",
"[Base].[SITUACION]",
"[Base].[SITUACION].&amp;[" &amp; $C57 &amp; "]"
),0)/1000</f>
        <v>1224.6476668456278</v>
      </c>
      <c r="O57" s="8">
        <f>IFERROR(
GETPIVOTDATA(
"[Base].[Importe]",
TDinamica_R!$A$5,
"[Calendario].[AñoMes]",
"[Calendario].[AñoMes].&amp;[" &amp; TEXT(O$6,"yyyymm") &amp; "]",
"[Base].[Metrica]",
"[Base].[Metrica].&amp;[" &amp; $A57 &amp; "]",
"[Base].[SEGMENTO_DESCRIP]",
"[Base].[SEGMENTO_DESCRIP].&amp;[" &amp; $C$6 &amp; "]",
"[Base].[SITUACION]",
"[Base].[SITUACION].&amp;[" &amp; $C57 &amp; "]"
),0)/1000</f>
        <v>1084.6696371133773</v>
      </c>
      <c r="P57" s="8">
        <f>IFERROR(
GETPIVOTDATA(
"[Base].[Importe]",
TDinamica_R!$A$5,
"[Calendario].[AñoMes]",
"[Calendario].[AñoMes].&amp;[" &amp; TEXT(P$6,"yyyymm") &amp; "]",
"[Base].[Metrica]",
"[Base].[Metrica].&amp;[" &amp; $A57 &amp; "]",
"[Base].[SEGMENTO_DESCRIP]",
"[Base].[SEGMENTO_DESCRIP].&amp;[" &amp; $C$6 &amp; "]",
"[Base].[SITUACION]",
"[Base].[SITUACION].&amp;[" &amp; $C57 &amp; "]"
),0)/1000</f>
        <v>1198.3413799999998</v>
      </c>
      <c r="Q57" s="8">
        <f>IFERROR(
GETPIVOTDATA(
"[Base].[Importe]",
TDinamica_R!$A$5,
"[Calendario].[AñoMes]",
"[Calendario].[AñoMes].&amp;[" &amp; TEXT(Q$6,"yyyymm") &amp; "]",
"[Base].[Metrica]",
"[Base].[Metrica].&amp;[" &amp; $A57 &amp; "]",
"[Base].[SEGMENTO_DESCRIP]",
"[Base].[SEGMENTO_DESCRIP].&amp;[" &amp; $C$6 &amp; "]",
"[Base].[SITUACION]",
"[Base].[SITUACION].&amp;[" &amp; $C57 &amp; "]"
),0)/1000</f>
        <v>1417.04963</v>
      </c>
      <c r="R57" s="8">
        <f>IFERROR(
GETPIVOTDATA(
"[Base].[Importe]",
TDinamica_R!$A$5,
"[Calendario].[AñoMes]",
"[Calendario].[AñoMes].&amp;[" &amp; TEXT(R$6,"yyyymm") &amp; "]",
"[Base].[Metrica]",
"[Base].[Metrica].&amp;[" &amp; $A57 &amp; "]",
"[Base].[SEGMENTO_DESCRIP]",
"[Base].[SEGMENTO_DESCRIP].&amp;[" &amp; $C$6 &amp; "]",
"[Base].[SITUACION]",
"[Base].[SITUACION].&amp;[" &amp; $C57 &amp; "]"
),0)/1000</f>
        <v>1321.16103</v>
      </c>
      <c r="S57" s="8">
        <f>IFERROR(
GETPIVOTDATA(
"[Base].[Importe]",
TDinamica_R!$A$5,
"[Calendario].[AñoMes]",
"[Calendario].[AñoMes].&amp;[" &amp; TEXT(S$6,"yyyymm") &amp; "]",
"[Base].[Metrica]",
"[Base].[Metrica].&amp;[" &amp; $A57 &amp; "]",
"[Base].[SEGMENTO_DESCRIP]",
"[Base].[SEGMENTO_DESCRIP].&amp;[" &amp; $C$6 &amp; "]",
"[Base].[SITUACION]",
"[Base].[SITUACION].&amp;[" &amp; $C57 &amp; "]"
),0)/1000</f>
        <v>1550.3732900000002</v>
      </c>
      <c r="T57" s="8">
        <f>IFERROR(
GETPIVOTDATA(
"[Base].[Importe]",
TDinamica_R!$A$5,
"[Calendario].[AñoMes]",
"[Calendario].[AñoMes].&amp;[" &amp; TEXT(T$6,"yyyymm") &amp; "]",
"[Base].[Metrica]",
"[Base].[Metrica].&amp;[" &amp; $A57 &amp; "]",
"[Base].[SEGMENTO_DESCRIP]",
"[Base].[SEGMENTO_DESCRIP].&amp;[" &amp; $C$6 &amp; "]",
"[Base].[SITUACION]",
"[Base].[SITUACION].&amp;[" &amp; $C57 &amp; "]"
),0)/1000</f>
        <v>1883.5319099999999</v>
      </c>
      <c r="U57" s="8">
        <f>IFERROR(
GETPIVOTDATA(
"[Base].[Importe]",
TDinamica_R!$A$5,
"[Calendario].[AñoMes]",
"[Calendario].[AñoMes].&amp;[" &amp; TEXT(U$6,"yyyymm") &amp; "]",
"[Base].[Metrica]",
"[Base].[Metrica].&amp;[" &amp; $A57 &amp; "]",
"[Base].[SEGMENTO_DESCRIP]",
"[Base].[SEGMENTO_DESCRIP].&amp;[" &amp; $C$6 &amp; "]",
"[Base].[SITUACION]",
"[Base].[SITUACION].&amp;[" &amp; $C57 &amp; "]"
),0)/1000</f>
        <v>2111.0505500000004</v>
      </c>
      <c r="V57" s="8">
        <f>IFERROR(
GETPIVOTDATA(
"[Base].[Importe]",
TDinamica_R!$A$5,
"[Calendario].[AñoMes]",
"[Calendario].[AñoMes].&amp;[" &amp; TEXT(V$6,"yyyymm") &amp; "]",
"[Base].[Metrica]",
"[Base].[Metrica].&amp;[" &amp; $A57 &amp; "]",
"[Base].[SEGMENTO_DESCRIP]",
"[Base].[SEGMENTO_DESCRIP].&amp;[" &amp; $C$6 &amp; "]",
"[Base].[SITUACION]",
"[Base].[SITUACION].&amp;[" &amp; $C57 &amp; "]"
),0)/1000</f>
        <v>3063.4267200000008</v>
      </c>
      <c r="W57" s="8">
        <f>IFERROR(
GETPIVOTDATA(
"[Base].[Importe]",
TDinamica_R!$A$5,
"[Calendario].[AñoMes]",
"[Calendario].[AñoMes].&amp;[" &amp; TEXT(W$6,"yyyymm") &amp; "]",
"[Base].[Metrica]",
"[Base].[Metrica].&amp;[" &amp; $A57 &amp; "]",
"[Base].[SEGMENTO_DESCRIP]",
"[Base].[SEGMENTO_DESCRIP].&amp;[" &amp; $C$6 &amp; "]",
"[Base].[SITUACION]",
"[Base].[SITUACION].&amp;[" &amp; $C57 &amp; "]"
),0)/1000</f>
        <v>2708.4527700000026</v>
      </c>
      <c r="X57" s="8">
        <f>IFERROR(
GETPIVOTDATA(
"[Base].[Importe]",
TDinamica_R!$A$5,
"[Calendario].[AñoMes]",
"[Calendario].[AñoMes].&amp;[" &amp; TEXT(X$6,"yyyymm") &amp; "]",
"[Base].[Metrica]",
"[Base].[Metrica].&amp;[" &amp; $A57 &amp; "]",
"[Base].[SEGMENTO_DESCRIP]",
"[Base].[SEGMENTO_DESCRIP].&amp;[" &amp; $C$6 &amp; "]",
"[Base].[SITUACION]",
"[Base].[SITUACION].&amp;[" &amp; $C57 &amp; "]"
),0)/1000</f>
        <v>3384.6780400000002</v>
      </c>
      <c r="Y57" s="8">
        <f>IFERROR(
GETPIVOTDATA(
"[Base].[Importe]",
TDinamica_R!$A$5,
"[Calendario].[AñoMes]",
"[Calendario].[AñoMes].&amp;[" &amp; TEXT(Y$6,"yyyymm") &amp; "]",
"[Base].[Metrica]",
"[Base].[Metrica].&amp;[" &amp; $A57 &amp; "]",
"[Base].[SEGMENTO_DESCRIP]",
"[Base].[SEGMENTO_DESCRIP].&amp;[" &amp; $C$6 &amp; "]",
"[Base].[SITUACION]",
"[Base].[SITUACION].&amp;[" &amp; $C57 &amp; "]"
),0)/1000</f>
        <v>2770.1002810189407</v>
      </c>
      <c r="Z57" s="8">
        <f>IFERROR(
GETPIVOTDATA(
"[Base].[Importe]",
TDinamica_R!$A$5,
"[Calendario].[AñoMes]",
"[Calendario].[AñoMes].&amp;[" &amp; TEXT(Z$6,"yyyymm") &amp; "]",
"[Base].[Metrica]",
"[Base].[Metrica].&amp;[" &amp; $A57 &amp; "]",
"[Base].[SEGMENTO_DESCRIP]",
"[Base].[SEGMENTO_DESCRIP].&amp;[" &amp; $C$6 &amp; "]",
"[Base].[SITUACION]",
"[Base].[SITUACION].&amp;[" &amp; $C57 &amp; "]"
),0)/1000</f>
        <v>2309.6614</v>
      </c>
      <c r="AA57" s="8">
        <f>IFERROR(
GETPIVOTDATA(
"[Base].[Importe]",
TDinamica_R!$A$5,
"[Calendario].[AñoMes]",
"[Calendario].[AñoMes].&amp;[" &amp; TEXT(AA$6,"yyyymm") &amp; "]",
"[Base].[Metrica]",
"[Base].[Metrica].&amp;[" &amp; $A57 &amp; "]",
"[Base].[SEGMENTO_DESCRIP]",
"[Base].[SEGMENTO_DESCRIP].&amp;[" &amp; $C$6 &amp; "]",
"[Base].[SITUACION]",
"[Base].[SITUACION].&amp;[" &amp; $C57 &amp; "]"
),0)/1000</f>
        <v>2891.6047699999963</v>
      </c>
      <c r="AB57" s="8">
        <f>IFERROR(
GETPIVOTDATA(
"[Base].[Importe]",
TDinamica_R!$A$5,
"[Calendario].[AñoMes]",
"[Calendario].[AñoMes].&amp;[" &amp; TEXT(AB$6,"yyyymm") &amp; "]",
"[Base].[Metrica]",
"[Base].[Metrica].&amp;[" &amp; $A57 &amp; "]",
"[Base].[SEGMENTO_DESCRIP]",
"[Base].[SEGMENTO_DESCRIP].&amp;[" &amp; $C$6 &amp; "]",
"[Base].[SITUACION]",
"[Base].[SITUACION].&amp;[" &amp; $C57 &amp; "]"
),0)/1000</f>
        <v>2931.7000500000004</v>
      </c>
      <c r="AC57" s="8">
        <f>IFERROR(
GETPIVOTDATA(
"[Base].[Importe]",
TDinamica_R!$A$5,
"[Calendario].[AñoMes]",
"[Calendario].[AñoMes].&amp;[" &amp; TEXT(AC$6,"yyyymm") &amp; "]",
"[Base].[Metrica]",
"[Base].[Metrica].&amp;[" &amp; $A57 &amp; "]",
"[Base].[SEGMENTO_DESCRIP]",
"[Base].[SEGMENTO_DESCRIP].&amp;[" &amp; $C$6 &amp; "]",
"[Base].[SITUACION]",
"[Base].[SITUACION].&amp;[" &amp; $C57 &amp; "]"
),0)/1000</f>
        <v>2451.8010600000007</v>
      </c>
      <c r="AD57" s="8">
        <f>IFERROR(
GETPIVOTDATA(
"[Base].[Importe]",
TDinamica_R!$A$5,
"[Calendario].[AñoMes]",
"[Calendario].[AñoMes].&amp;[" &amp; TEXT(AD$6,"yyyymm") &amp; "]",
"[Base].[Metrica]",
"[Base].[Metrica].&amp;[" &amp; $A57 &amp; "]",
"[Base].[SEGMENTO_DESCRIP]",
"[Base].[SEGMENTO_DESCRIP].&amp;[" &amp; $C$6 &amp; "]",
"[Base].[SITUACION]",
"[Base].[SITUACION].&amp;[" &amp; $C57 &amp; "]"
),0)/1000</f>
        <v>3143.0770400000001</v>
      </c>
      <c r="AE57" s="8">
        <f>IFERROR(
GETPIVOTDATA(
"[Base].[Importe]",
TDinamica_R!$A$5,
"[Calendario].[AñoMes]",
"[Calendario].[AñoMes].&amp;[" &amp; TEXT(AE$6,"yyyymm") &amp; "]",
"[Base].[Metrica]",
"[Base].[Metrica].&amp;[" &amp; $A57 &amp; "]",
"[Base].[SEGMENTO_DESCRIP]",
"[Base].[SEGMENTO_DESCRIP].&amp;[" &amp; $C$6 &amp; "]",
"[Base].[SITUACION]",
"[Base].[SITUACION].&amp;[" &amp; $C57 &amp; "]"
),0)/1000</f>
        <v>2427.2386899999965</v>
      </c>
      <c r="AF57" s="8">
        <f>IFERROR(
GETPIVOTDATA(
"[Base].[Importe]",
TDinamica_R!$A$5,
"[Calendario].[AñoMes]",
"[Calendario].[AñoMes].&amp;[" &amp; TEXT(AF$6,"yyyymm") &amp; "]",
"[Base].[Metrica]",
"[Base].[Metrica].&amp;[" &amp; $A57 &amp; "]",
"[Base].[SEGMENTO_DESCRIP]",
"[Base].[SEGMENTO_DESCRIP].&amp;[" &amp; $C$6 &amp; "]",
"[Base].[SITUACION]",
"[Base].[SITUACION].&amp;[" &amp; $C57 &amp; "]"
),0)/1000</f>
        <v>2665.8336399999953</v>
      </c>
      <c r="AG57" s="8">
        <f>IFERROR(
GETPIVOTDATA(
"[Base].[Importe]",
TDinamica_R!$A$5,
"[Calendario].[AñoMes]",
"[Calendario].[AñoMes].&amp;[" &amp; TEXT(AG$6,"yyyymm") &amp; "]",
"[Base].[Metrica]",
"[Base].[Metrica].&amp;[" &amp; $A57 &amp; "]",
"[Base].[SEGMENTO_DESCRIP]",
"[Base].[SEGMENTO_DESCRIP].&amp;[" &amp; $C$6 &amp; "]",
"[Base].[SITUACION]",
"[Base].[SITUACION].&amp;[" &amp; $C57 &amp; "]"
),0)/1000</f>
        <v>2488.7002699999994</v>
      </c>
      <c r="AH57" s="8">
        <f>IFERROR(
GETPIVOTDATA(
"[Base].[Importe]",
TDinamica_R!$A$5,
"[Calendario].[AñoMes]",
"[Calendario].[AñoMes].&amp;[" &amp; TEXT(AH$6,"yyyymm") &amp; "]",
"[Base].[Metrica]",
"[Base].[Metrica].&amp;[" &amp; $A57 &amp; "]",
"[Base].[SEGMENTO_DESCRIP]",
"[Base].[SEGMENTO_DESCRIP].&amp;[" &amp; $C$6 &amp; "]",
"[Base].[SITUACION]",
"[Base].[SITUACION].&amp;[" &amp; $C57 &amp; "]"
),0)/1000</f>
        <v>2202.8768900000027</v>
      </c>
      <c r="AI57" s="8">
        <f>IFERROR(
GETPIVOTDATA(
"[Base].[Importe]",
TDinamica_R!$A$5,
"[Calendario].[AñoMes]",
"[Calendario].[AñoMes].&amp;[" &amp; TEXT(AI$6,"yyyymm") &amp; "]",
"[Base].[Metrica]",
"[Base].[Metrica].&amp;[" &amp; $A57 &amp; "]",
"[Base].[SEGMENTO_DESCRIP]",
"[Base].[SEGMENTO_DESCRIP].&amp;[" &amp; $C$6 &amp; "]",
"[Base].[SITUACION]",
"[Base].[SITUACION].&amp;[" &amp; $C57 &amp; "]"
),0)/1000</f>
        <v>2223.3304600000001</v>
      </c>
      <c r="AJ57" s="8">
        <f>IFERROR(
GETPIVOTDATA(
"[Base].[Importe]",
TDinamica_R!$A$5,
"[Calendario].[AñoMes]",
"[Calendario].[AñoMes].&amp;[" &amp; TEXT(AJ$6,"yyyymm") &amp; "]",
"[Base].[Metrica]",
"[Base].[Metrica].&amp;[" &amp; $A57 &amp; "]",
"[Base].[SEGMENTO_DESCRIP]",
"[Base].[SEGMENTO_DESCRIP].&amp;[" &amp; $C$6 &amp; "]",
"[Base].[SITUACION]",
"[Base].[SITUACION].&amp;[" &amp; $C57 &amp; "]"
),0)/1000</f>
        <v>2355.45309</v>
      </c>
      <c r="AK57" s="8">
        <f>IFERROR(
GETPIVOTDATA(
"[Base].[Importe]",
TDinamica_R!$A$5,
"[Calendario].[AñoMes]",
"[Calendario].[AñoMes].&amp;[" &amp; TEXT(AK$6,"yyyymm") &amp; "]",
"[Base].[Metrica]",
"[Base].[Metrica].&amp;[" &amp; $A57 &amp; "]",
"[Base].[SEGMENTO_DESCRIP]",
"[Base].[SEGMENTO_DESCRIP].&amp;[" &amp; $C$6 &amp; "]",
"[Base].[SITUACION]",
"[Base].[SITUACION].&amp;[" &amp; $C57 &amp; "]"
),0)/1000</f>
        <v>1771.20937</v>
      </c>
      <c r="AL57" s="8">
        <f>IFERROR(
GETPIVOTDATA(
"[Base].[Importe]",
TDinamica_R!$A$5,
"[Calendario].[AñoMes]",
"[Calendario].[AñoMes].&amp;[" &amp; TEXT(AL$6,"yyyymm") &amp; "]",
"[Base].[Metrica]",
"[Base].[Metrica].&amp;[" &amp; $A57 &amp; "]",
"[Base].[SEGMENTO_DESCRIP]",
"[Base].[SEGMENTO_DESCRIP].&amp;[" &amp; $C$6 &amp; "]",
"[Base].[SITUACION]",
"[Base].[SITUACION].&amp;[" &amp; $C57 &amp; "]"
),0)/1000</f>
        <v>1827.2343100000001</v>
      </c>
      <c r="AM57" s="8">
        <f>IFERROR(
GETPIVOTDATA(
"[Base].[Importe]",
TDinamica_R!$A$5,
"[Calendario].[AñoMes]",
"[Calendario].[AñoMes].&amp;[" &amp; TEXT(AM$6,"yyyymm") &amp; "]",
"[Base].[Metrica]",
"[Base].[Metrica].&amp;[" &amp; $A57 &amp; "]",
"[Base].[SEGMENTO_DESCRIP]",
"[Base].[SEGMENTO_DESCRIP].&amp;[" &amp; $C$6 &amp; "]",
"[Base].[SITUACION]",
"[Base].[SITUACION].&amp;[" &amp; $C57 &amp; "]"
),0)/1000</f>
        <v>1403.7879100000002</v>
      </c>
      <c r="AN57" s="8">
        <f>IFERROR(
GETPIVOTDATA(
"[Base].[Importe]",
TDinamica_R!$A$5,
"[Calendario].[AñoMes]",
"[Calendario].[AñoMes].&amp;[" &amp; TEXT(AN$6,"yyyymm") &amp; "]",
"[Base].[Metrica]",
"[Base].[Metrica].&amp;[" &amp; $A57 &amp; "]",
"[Base].[SEGMENTO_DESCRIP]",
"[Base].[SEGMENTO_DESCRIP].&amp;[" &amp; $C$6 &amp; "]",
"[Base].[SITUACION]",
"[Base].[SITUACION].&amp;[" &amp; $C57 &amp; "]"
),0)/1000</f>
        <v>1623.9076699999998</v>
      </c>
      <c r="AO57" s="8">
        <f>IFERROR(
GETPIVOTDATA(
"[Base].[Importe]",
TDinamica_R!$A$5,
"[Calendario].[AñoMes]",
"[Calendario].[AñoMes].&amp;[" &amp; TEXT(AO$6,"yyyymm") &amp; "]",
"[Base].[Metrica]",
"[Base].[Metrica].&amp;[" &amp; $A57 &amp; "]",
"[Base].[SEGMENTO_DESCRIP]",
"[Base].[SEGMENTO_DESCRIP].&amp;[" &amp; $C$6 &amp; "]",
"[Base].[SITUACION]",
"[Base].[SITUACION].&amp;[" &amp; $C57 &amp; "]"
),0)/1000</f>
        <v>1628.3168799999999</v>
      </c>
      <c r="AP57" s="8">
        <f>IFERROR(
GETPIVOTDATA(
"[Base].[Importe]",
TDinamica_R!$A$5,
"[Calendario].[AñoMes]",
"[Calendario].[AñoMes].&amp;[" &amp; TEXT(AP$6,"yyyymm") &amp; "]",
"[Base].[Metrica]",
"[Base].[Metrica].&amp;[" &amp; $A57 &amp; "]",
"[Base].[SEGMENTO_DESCRIP]",
"[Base].[SEGMENTO_DESCRIP].&amp;[" &amp; $C$6 &amp; "]",
"[Base].[SITUACION]",
"[Base].[SITUACION].&amp;[" &amp; $C57 &amp; "]"
),0)/1000</f>
        <v>1858.5378000000001</v>
      </c>
      <c r="AQ57" s="8">
        <f>IFERROR(
GETPIVOTDATA(
"[Base].[Importe]",
TDinamica_R!$A$5,
"[Calendario].[AñoMes]",
"[Calendario].[AñoMes].&amp;[" &amp; TEXT(AQ$6,"yyyymm") &amp; "]",
"[Base].[Metrica]",
"[Base].[Metrica].&amp;[" &amp; $A57 &amp; "]",
"[Base].[SEGMENTO_DESCRIP]",
"[Base].[SEGMENTO_DESCRIP].&amp;[" &amp; $C$6 &amp; "]",
"[Base].[SITUACION]",
"[Base].[SITUACION].&amp;[" &amp; $C57 &amp; "]"
),0)/1000</f>
        <v>1718.5615500000001</v>
      </c>
      <c r="AR57" s="8">
        <f>IFERROR(
GETPIVOTDATA(
"[Base].[Importe]",
TDinamica_R!$A$5,
"[Calendario].[AñoMes]",
"[Calendario].[AñoMes].&amp;[" &amp; TEXT(AR$6,"yyyymm") &amp; "]",
"[Base].[Metrica]",
"[Base].[Metrica].&amp;[" &amp; $A57 &amp; "]",
"[Base].[SEGMENTO_DESCRIP]",
"[Base].[SEGMENTO_DESCRIP].&amp;[" &amp; $C$6 &amp; "]",
"[Base].[SITUACION]",
"[Base].[SITUACION].&amp;[" &amp; $C57 &amp; "]"
),0)/1000</f>
        <v>1868.47291</v>
      </c>
      <c r="AS57" s="8">
        <f>IFERROR(
GETPIVOTDATA(
"[Base].[Importe]",
TDinamica_R!$A$5,
"[Calendario].[AñoMes]",
"[Calendario].[AñoMes].&amp;[" &amp; TEXT(AS$6,"yyyymm") &amp; "]",
"[Base].[Metrica]",
"[Base].[Metrica].&amp;[" &amp; $A57 &amp; "]",
"[Base].[SEGMENTO_DESCRIP]",
"[Base].[SEGMENTO_DESCRIP].&amp;[" &amp; $C$6 &amp; "]",
"[Base].[SITUACION]",
"[Base].[SITUACION].&amp;[" &amp; $C57 &amp; "]"
),0)/1000</f>
        <v>1688.80699999999</v>
      </c>
      <c r="AT57" s="8">
        <f>IFERROR(
GETPIVOTDATA(
"[Base].[Importe]",
TDinamica_R!$A$5,
"[Calendario].[AñoMes]",
"[Calendario].[AñoMes].&amp;[" &amp; TEXT(AT$6,"yyyymm")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U57" s="8">
        <f>IFERROR(
GETPIVOTDATA(
"[Base].[Importe]",
TDinamica_R!$A$5,
"[Calendario].[AñoMes]",
"[Calendario].[AñoMes].&amp;[" &amp; TEXT(AU$6,"yyyymm")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V57" s="8">
        <f>IFERROR(
GETPIVOTDATA(
"[Base].[Importe]",
TDinamica_R!$A$5,
"[Calendario].[AñoMes]",
"[Calendario].[AñoMes].&amp;[" &amp; TEXT(AV$6,"yyyymm")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W57" s="8">
        <f>IFERROR(
GETPIVOTDATA(
"[Base].[Importe]",
TDinamica_R!$A$5,
"[Calendario].[AñoMes]",
"[Calendario].[AñoMes].&amp;[" &amp; TEXT(AW$6,"yyyymm")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X57" s="8">
        <f>IFERROR(
GETPIVOTDATA(
"[Base].[Importe]",
TDinamica_R!$A$5,
"[Calendario].[AñoMes]",
"[Calendario].[AñoMes].&amp;[" &amp; TEXT(AX$6,"yyyymm")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Y57" s="8">
        <f>IFERROR(
GETPIVOTDATA(
"[Base].[Importe]",
TDinamica_R!$A$5,
"[Calendario].[AñoMes]",
"[Calendario].[AñoMes].&amp;[" &amp; TEXT(AY$6,"yyyymm")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Z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TEXT(AZ$6,"yyyymm") &amp; "]"
),
0
)</f>
        <v>1133.8748510988817</v>
      </c>
      <c r="BA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TEXT(BA$6,"yyyymm") &amp; "]"
),
0
)</f>
        <v>1016.8172213426428</v>
      </c>
      <c r="BB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TEXT(BB$6,"yyyymm") &amp; "]"
),
0
)</f>
        <v>1061.5511747408316</v>
      </c>
      <c r="BC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TEXT(BC$6,"yyyymm") &amp; "]"
),
0
)</f>
        <v>1151.5279157016812</v>
      </c>
      <c r="BD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TEXT(BD$6,"yyyymm") &amp; "]"
),
0
)</f>
        <v>1355.3477364962766</v>
      </c>
      <c r="BE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TEXT(BE$6,"yyyymm") &amp; "]"
),
0
)</f>
        <v>1409.9052146392928</v>
      </c>
      <c r="BF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TEXT(BF$6,"yyyymm") &amp; "]"
),
0
)</f>
        <v>1219.098749596888</v>
      </c>
      <c r="BG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TEXT(BG$6,"yyyymm") &amp; "]"
),
0
)</f>
        <v>1300.4634236463389</v>
      </c>
      <c r="BH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TEXT(BH$6,"yyyymm") &amp; "]"
),
0
)</f>
        <v>1251.0464484279514</v>
      </c>
      <c r="BI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TEXT(BI$6,"yyyymm") &amp; "]"
),
0
)</f>
        <v>843.44663513896171</v>
      </c>
      <c r="BJ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TEXT(BJ$6,"yyyymm") &amp; "]"
),
0
)</f>
        <v>804.00497245688086</v>
      </c>
      <c r="BK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TEXT(BK$6,"yyyymm") &amp; "]"
),
0
)</f>
        <v>983.65871538930014</v>
      </c>
      <c r="BO57" s="24">
        <f t="shared" si="58"/>
        <v>5110.76235</v>
      </c>
      <c r="BP57" s="24">
        <f t="shared" si="58"/>
        <v>3212.2432471823558</v>
      </c>
      <c r="BQ57" s="24">
        <f t="shared" si="58"/>
        <v>3252.2245499999999</v>
      </c>
      <c r="BR57" s="24">
        <f t="shared" si="58"/>
        <v>8526.5781500000012</v>
      </c>
      <c r="BS57" s="24">
        <f t="shared" si="58"/>
        <v>3936.5520399999996</v>
      </c>
      <c r="BT57" s="24">
        <f t="shared" si="58"/>
        <v>3446.166654595364</v>
      </c>
    </row>
    <row r="58" spans="1:72" collapsed="1" x14ac:dyDescent="0.25">
      <c r="C58" s="3" t="s">
        <v>68</v>
      </c>
      <c r="D58" s="10">
        <f t="shared" ref="D58:AY58" si="59">SUM(D56:D57)</f>
        <v>-22735.464703988229</v>
      </c>
      <c r="E58" s="10">
        <f t="shared" si="59"/>
        <v>-12886.319961168663</v>
      </c>
      <c r="F58" s="10">
        <f t="shared" si="59"/>
        <v>-23387.232248897162</v>
      </c>
      <c r="G58" s="10">
        <f t="shared" si="59"/>
        <v>-21718.503851226393</v>
      </c>
      <c r="H58" s="10">
        <f t="shared" si="59"/>
        <v>-35363.476207738058</v>
      </c>
      <c r="I58" s="10">
        <f t="shared" si="59"/>
        <v>-42394.585383792532</v>
      </c>
      <c r="J58" s="10">
        <f t="shared" si="59"/>
        <v>-45322.787711313344</v>
      </c>
      <c r="K58" s="10">
        <f t="shared" si="59"/>
        <v>-62477.505292818991</v>
      </c>
      <c r="L58" s="10">
        <f t="shared" si="59"/>
        <v>-42863.817504299237</v>
      </c>
      <c r="M58" s="10">
        <f t="shared" si="59"/>
        <v>-67865.181797198486</v>
      </c>
      <c r="N58" s="10">
        <f t="shared" si="59"/>
        <v>-47049.152199242759</v>
      </c>
      <c r="O58" s="10">
        <f t="shared" si="59"/>
        <v>-58568.2426715849</v>
      </c>
      <c r="P58" s="10">
        <f t="shared" si="59"/>
        <v>-79530.529057749678</v>
      </c>
      <c r="Q58" s="10">
        <f t="shared" si="59"/>
        <v>-51662.016386283132</v>
      </c>
      <c r="R58" s="10">
        <f t="shared" si="59"/>
        <v>-68901.112372650678</v>
      </c>
      <c r="S58" s="10">
        <f t="shared" si="59"/>
        <v>-63667.973706338504</v>
      </c>
      <c r="T58" s="10">
        <f t="shared" si="59"/>
        <v>-57784.106799057627</v>
      </c>
      <c r="U58" s="10">
        <f t="shared" si="59"/>
        <v>-48838.33154718142</v>
      </c>
      <c r="V58" s="10">
        <f t="shared" si="59"/>
        <v>-40429.262825380662</v>
      </c>
      <c r="W58" s="10">
        <f t="shared" si="59"/>
        <v>-32460.771614932579</v>
      </c>
      <c r="X58" s="10">
        <f t="shared" si="59"/>
        <v>-30513.622950102188</v>
      </c>
      <c r="Y58" s="10">
        <f t="shared" si="59"/>
        <v>-34964.939410169391</v>
      </c>
      <c r="Z58" s="10">
        <f t="shared" si="59"/>
        <v>-17591.358271145757</v>
      </c>
      <c r="AA58" s="10">
        <f t="shared" si="59"/>
        <v>-24178.135648408046</v>
      </c>
      <c r="AB58" s="10">
        <f t="shared" si="59"/>
        <v>-33178.381798315568</v>
      </c>
      <c r="AC58" s="10">
        <f t="shared" si="59"/>
        <v>-17790.186776380815</v>
      </c>
      <c r="AD58" s="10">
        <f t="shared" si="59"/>
        <v>-23154.753733832138</v>
      </c>
      <c r="AE58" s="10">
        <f t="shared" si="59"/>
        <v>-23177.497127022536</v>
      </c>
      <c r="AF58" s="10">
        <f t="shared" si="59"/>
        <v>-18614.472381611587</v>
      </c>
      <c r="AG58" s="10">
        <f t="shared" si="59"/>
        <v>-20049.902283038049</v>
      </c>
      <c r="AH58" s="10">
        <f t="shared" si="59"/>
        <v>-18028.711273110675</v>
      </c>
      <c r="AI58" s="10">
        <f t="shared" si="59"/>
        <v>-16514.6356840013</v>
      </c>
      <c r="AJ58" s="10">
        <f t="shared" si="59"/>
        <v>-15193.384792383204</v>
      </c>
      <c r="AK58" s="10">
        <f t="shared" si="59"/>
        <v>-20497.001133455298</v>
      </c>
      <c r="AL58" s="10">
        <f t="shared" si="59"/>
        <v>-8812.4219879511002</v>
      </c>
      <c r="AM58" s="10">
        <f t="shared" si="59"/>
        <v>-9979.6320759859591</v>
      </c>
      <c r="AN58" s="10">
        <f t="shared" si="59"/>
        <v>-9268.7607660153153</v>
      </c>
      <c r="AO58" s="10">
        <f t="shared" si="59"/>
        <v>-10198.143467198837</v>
      </c>
      <c r="AP58" s="10">
        <f t="shared" si="59"/>
        <v>-8802.2844699999987</v>
      </c>
      <c r="AQ58" s="10">
        <f t="shared" si="59"/>
        <v>-9983.0915676088753</v>
      </c>
      <c r="AR58" s="10">
        <f t="shared" si="59"/>
        <v>-9934.004789999799</v>
      </c>
      <c r="AS58" s="10">
        <f t="shared" si="59"/>
        <v>-11176.651939999711</v>
      </c>
      <c r="AT58" s="10">
        <f t="shared" si="59"/>
        <v>0</v>
      </c>
      <c r="AU58" s="10">
        <f t="shared" si="59"/>
        <v>0</v>
      </c>
      <c r="AV58" s="10">
        <f t="shared" si="59"/>
        <v>0</v>
      </c>
      <c r="AW58" s="10">
        <f t="shared" si="59"/>
        <v>0</v>
      </c>
      <c r="AX58" s="10">
        <f t="shared" si="59"/>
        <v>0</v>
      </c>
      <c r="AY58" s="10">
        <f t="shared" si="59"/>
        <v>0</v>
      </c>
      <c r="AZ58" s="10">
        <f t="shared" ref="AZ58:BK58" si="60">SUM(AZ56:AZ57)</f>
        <v>-14565.529652293659</v>
      </c>
      <c r="BA58" s="10">
        <f t="shared" si="60"/>
        <v>-17487.749644131996</v>
      </c>
      <c r="BB58" s="10">
        <f t="shared" si="60"/>
        <v>-17759.003987716722</v>
      </c>
      <c r="BC58" s="10">
        <f t="shared" si="60"/>
        <v>-17689.771709626228</v>
      </c>
      <c r="BD58" s="10">
        <f t="shared" si="60"/>
        <v>-17335.074455835616</v>
      </c>
      <c r="BE58" s="10">
        <f t="shared" si="60"/>
        <v>-18030.740919027456</v>
      </c>
      <c r="BF58" s="10">
        <f t="shared" si="60"/>
        <v>-15565.200402649643</v>
      </c>
      <c r="BG58" s="10">
        <f t="shared" si="60"/>
        <v>-22382.126852022368</v>
      </c>
      <c r="BH58" s="10">
        <f t="shared" si="60"/>
        <v>-11845.156502140093</v>
      </c>
      <c r="BI58" s="10">
        <f t="shared" si="60"/>
        <v>-17988.422926165938</v>
      </c>
      <c r="BJ58" s="10">
        <f t="shared" si="60"/>
        <v>-17297.105059315218</v>
      </c>
      <c r="BK58" s="10">
        <f t="shared" si="60"/>
        <v>-15034.049436825648</v>
      </c>
      <c r="BO58" s="23">
        <f>SUM(BO56:BO57)</f>
        <v>-28269.188703214149</v>
      </c>
      <c r="BP58" s="23">
        <f t="shared" ref="BP58:BT58" si="61">SUM(BP56:BP57)</f>
        <v>-49812.283284142373</v>
      </c>
      <c r="BQ58" s="23">
        <f t="shared" si="61"/>
        <v>-19466.904233214154</v>
      </c>
      <c r="BR58" s="23">
        <f t="shared" si="61"/>
        <v>-74123.322308528514</v>
      </c>
      <c r="BS58" s="23">
        <f t="shared" si="61"/>
        <v>-200093.6578166835</v>
      </c>
      <c r="BT58" s="23">
        <f t="shared" si="61"/>
        <v>-59009.016914054053</v>
      </c>
    </row>
    <row r="60" spans="1:72" x14ac:dyDescent="0.25">
      <c r="C60" s="3" t="s">
        <v>70</v>
      </c>
      <c r="D60" s="10">
        <f>D53+D58</f>
        <v>641.79231233177052</v>
      </c>
      <c r="E60" s="10">
        <f t="shared" ref="E60:AY60" si="62">E53+E58</f>
        <v>8623.331838851338</v>
      </c>
      <c r="F60" s="10">
        <f t="shared" si="62"/>
        <v>283.91658623283729</v>
      </c>
      <c r="G60" s="10">
        <f t="shared" si="62"/>
        <v>109.58533899360918</v>
      </c>
      <c r="H60" s="10">
        <f t="shared" si="62"/>
        <v>-10172.99551127807</v>
      </c>
      <c r="I60" s="10">
        <f t="shared" si="62"/>
        <v>-18428.980915032535</v>
      </c>
      <c r="J60" s="10">
        <f t="shared" si="62"/>
        <v>-20318.202846833341</v>
      </c>
      <c r="K60" s="10">
        <f t="shared" si="62"/>
        <v>-37521.361031209002</v>
      </c>
      <c r="L60" s="10">
        <f t="shared" si="62"/>
        <v>-18975.017473354237</v>
      </c>
      <c r="M60" s="10">
        <f t="shared" si="62"/>
        <v>-43805.491262278476</v>
      </c>
      <c r="N60" s="10">
        <f t="shared" si="62"/>
        <v>-24541.566666862753</v>
      </c>
      <c r="O60" s="10">
        <f t="shared" si="62"/>
        <v>-36708.722870994905</v>
      </c>
      <c r="P60" s="10">
        <f t="shared" si="62"/>
        <v>-58473.303333599681</v>
      </c>
      <c r="Q60" s="10">
        <f t="shared" si="62"/>
        <v>-33215.092168653144</v>
      </c>
      <c r="R60" s="10">
        <f t="shared" si="62"/>
        <v>-49468.394449670675</v>
      </c>
      <c r="S60" s="10">
        <f t="shared" si="62"/>
        <v>-44441.473642268516</v>
      </c>
      <c r="T60" s="10">
        <f t="shared" si="62"/>
        <v>-38126.272433577629</v>
      </c>
      <c r="U60" s="10">
        <f t="shared" si="62"/>
        <v>-30030.762640241413</v>
      </c>
      <c r="V60" s="10">
        <f t="shared" si="62"/>
        <v>-20662.571886800666</v>
      </c>
      <c r="W60" s="10">
        <f t="shared" si="62"/>
        <v>-13763.498012422577</v>
      </c>
      <c r="X60" s="10">
        <f t="shared" si="62"/>
        <v>-12648.135504592188</v>
      </c>
      <c r="Y60" s="10">
        <f t="shared" si="62"/>
        <v>-16868.870756749391</v>
      </c>
      <c r="Z60" s="10">
        <f t="shared" si="62"/>
        <v>-726.96169503575584</v>
      </c>
      <c r="AA60" s="10">
        <f t="shared" si="62"/>
        <v>-7152.1888717380461</v>
      </c>
      <c r="AB60" s="10">
        <f t="shared" si="62"/>
        <v>-16444.594493045573</v>
      </c>
      <c r="AC60" s="10">
        <f t="shared" si="62"/>
        <v>-3122.218182130815</v>
      </c>
      <c r="AD60" s="10">
        <f t="shared" si="62"/>
        <v>-6439.7208203521332</v>
      </c>
      <c r="AE60" s="10">
        <f t="shared" si="62"/>
        <v>-7109.6865230225394</v>
      </c>
      <c r="AF60" s="10">
        <f t="shared" si="62"/>
        <v>-1971.0445039515798</v>
      </c>
      <c r="AG60" s="10">
        <f t="shared" si="62"/>
        <v>-4110.6510550480471</v>
      </c>
      <c r="AH60" s="10">
        <f t="shared" si="62"/>
        <v>-1351.9010147706795</v>
      </c>
      <c r="AI60" s="10">
        <f t="shared" si="62"/>
        <v>163.60521838869681</v>
      </c>
      <c r="AJ60" s="10">
        <f t="shared" si="62"/>
        <v>1201.9909562367939</v>
      </c>
      <c r="AK60" s="10">
        <f t="shared" si="62"/>
        <v>-3617.9920064053003</v>
      </c>
      <c r="AL60" s="10">
        <f t="shared" si="62"/>
        <v>7952.0624816689051</v>
      </c>
      <c r="AM60" s="10">
        <f t="shared" si="62"/>
        <v>7976.4350251340438</v>
      </c>
      <c r="AN60" s="10">
        <f t="shared" si="62"/>
        <v>8620.0789313646892</v>
      </c>
      <c r="AO60" s="10">
        <f t="shared" si="62"/>
        <v>6395.8743123111581</v>
      </c>
      <c r="AP60" s="10">
        <f t="shared" si="62"/>
        <v>9743.6910448999952</v>
      </c>
      <c r="AQ60" s="10">
        <f t="shared" si="62"/>
        <v>7990.384832631129</v>
      </c>
      <c r="AR60" s="10">
        <f t="shared" si="62"/>
        <v>8971.9858448701962</v>
      </c>
      <c r="AS60" s="10">
        <f t="shared" si="62"/>
        <v>7474.9574897302973</v>
      </c>
      <c r="AT60" s="10">
        <f t="shared" si="62"/>
        <v>0</v>
      </c>
      <c r="AU60" s="10">
        <f t="shared" si="62"/>
        <v>0</v>
      </c>
      <c r="AV60" s="10">
        <f t="shared" si="62"/>
        <v>0</v>
      </c>
      <c r="AW60" s="10">
        <f t="shared" si="62"/>
        <v>0</v>
      </c>
      <c r="AX60" s="10">
        <f t="shared" si="62"/>
        <v>0</v>
      </c>
      <c r="AY60" s="10">
        <f t="shared" si="62"/>
        <v>0</v>
      </c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O60" s="23">
        <f>BO53+BO58</f>
        <v>24759.644288575841</v>
      </c>
      <c r="BP60" s="23">
        <f t="shared" ref="BP60:BT60" si="63">BP53+BP58</f>
        <v>467.42419148442423</v>
      </c>
      <c r="BQ60" s="23">
        <f t="shared" si="63"/>
        <v>15015.953243675838</v>
      </c>
      <c r="BR60" s="23">
        <f t="shared" si="63"/>
        <v>-26006.533495528514</v>
      </c>
      <c r="BS60" s="23">
        <f t="shared" si="63"/>
        <v>-141156.78995192351</v>
      </c>
      <c r="BT60" s="23">
        <f t="shared" si="63"/>
        <v>9549.0407374159404</v>
      </c>
    </row>
    <row r="63" spans="1:72" hidden="1" outlineLevel="1" x14ac:dyDescent="0.25">
      <c r="A63" s="11" t="s">
        <v>71</v>
      </c>
      <c r="C63" s="2" t="s">
        <v>75</v>
      </c>
      <c r="D63" s="8">
        <f>IFERROR(
GETPIVOTDATA(
"[Base].[Importe]",
TDinamica_R!$A$5,
"[Calendario].[AñoMes]",
"[Calendario].[AñoMes].&amp;[" &amp; TEXT(D$6,"yyyymm") &amp; "]",
"[Base].[Metrica]",
"[Base].[Metrica].&amp;[" &amp; $A63 &amp; "]",
"[Base].[SEGMENTO_DESCRIP]",
"[Base].[SEGMENTO_DESCRIP].&amp;[" &amp; $C$6 &amp; "]",
"[Base].[SITUACION]",
"[Base].[SITUACION].&amp;[" &amp; $C63 &amp; "]"
),0)/1000</f>
        <v>284.88052362100001</v>
      </c>
      <c r="E63" s="8">
        <f>IFERROR(
GETPIVOTDATA(
"[Base].[Importe]",
TDinamica_R!$A$5,
"[Calendario].[AñoMes]",
"[Calendario].[AñoMes].&amp;[" &amp; TEXT(E$6,"yyyymm") &amp; "]",
"[Base].[Metrica]",
"[Base].[Metrica].&amp;[" &amp; $A63 &amp; "]",
"[Base].[SEGMENTO_DESCRIP]",
"[Base].[SEGMENTO_DESCRIP].&amp;[" &amp; $C$6 &amp; "]",
"[Base].[SITUACION]",
"[Base].[SITUACION].&amp;[" &amp; $C63 &amp; "]"
),0)/1000</f>
        <v>265.93774611100002</v>
      </c>
      <c r="F63" s="8">
        <f>IFERROR(
GETPIVOTDATA(
"[Base].[Importe]",
TDinamica_R!$A$5,
"[Calendario].[AñoMes]",
"[Calendario].[AñoMes].&amp;[" &amp; TEXT(F$6,"yyyymm") &amp; "]",
"[Base].[Metrica]",
"[Base].[Metrica].&amp;[" &amp; $A63 &amp; "]",
"[Base].[SEGMENTO_DESCRIP]",
"[Base].[SEGMENTO_DESCRIP].&amp;[" &amp; $C$6 &amp; "]",
"[Base].[SITUACION]",
"[Base].[SITUACION].&amp;[" &amp; $C63 &amp; "]"
),0)/1000</f>
        <v>219.55764613709999</v>
      </c>
      <c r="G63" s="8">
        <f>IFERROR(
GETPIVOTDATA(
"[Base].[Importe]",
TDinamica_R!$A$5,
"[Calendario].[AñoMes]",
"[Calendario].[AñoMes].&amp;[" &amp; TEXT(G$6,"yyyymm") &amp; "]",
"[Base].[Metrica]",
"[Base].[Metrica].&amp;[" &amp; $A63 &amp; "]",
"[Base].[SEGMENTO_DESCRIP]",
"[Base].[SEGMENTO_DESCRIP].&amp;[" &amp; $C$6 &amp; "]",
"[Base].[SITUACION]",
"[Base].[SITUACION].&amp;[" &amp; $C63 &amp; "]"
),0)/1000</f>
        <v>331.739103118</v>
      </c>
      <c r="H63" s="8">
        <f>IFERROR(
GETPIVOTDATA(
"[Base].[Importe]",
TDinamica_R!$A$5,
"[Calendario].[AñoMes]",
"[Calendario].[AñoMes].&amp;[" &amp; TEXT(H$6,"yyyymm") &amp; "]",
"[Base].[Metrica]",
"[Base].[Metrica].&amp;[" &amp; $A63 &amp; "]",
"[Base].[SEGMENTO_DESCRIP]",
"[Base].[SEGMENTO_DESCRIP].&amp;[" &amp; $C$6 &amp; "]",
"[Base].[SITUACION]",
"[Base].[SITUACION].&amp;[" &amp; $C63 &amp; "]"
),0)/1000</f>
        <v>275.4726293192</v>
      </c>
      <c r="I63" s="8">
        <f>IFERROR(
GETPIVOTDATA(
"[Base].[Importe]",
TDinamica_R!$A$5,
"[Calendario].[AñoMes]",
"[Calendario].[AñoMes].&amp;[" &amp; TEXT(I$6,"yyyymm") &amp; "]",
"[Base].[Metrica]",
"[Base].[Metrica].&amp;[" &amp; $A63 &amp; "]",
"[Base].[SEGMENTO_DESCRIP]",
"[Base].[SEGMENTO_DESCRIP].&amp;[" &amp; $C$6 &amp; "]",
"[Base].[SITUACION]",
"[Base].[SITUACION].&amp;[" &amp; $C63 &amp; "]"
),0)/1000</f>
        <v>320.7401471714</v>
      </c>
      <c r="J63" s="8">
        <f>IFERROR(
GETPIVOTDATA(
"[Base].[Importe]",
TDinamica_R!$A$5,
"[Calendario].[AñoMes]",
"[Calendario].[AñoMes].&amp;[" &amp; TEXT(J$6,"yyyymm") &amp; "]",
"[Base].[Metrica]",
"[Base].[Metrica].&amp;[" &amp; $A63 &amp; "]",
"[Base].[SEGMENTO_DESCRIP]",
"[Base].[SEGMENTO_DESCRIP].&amp;[" &amp; $C$6 &amp; "]",
"[Base].[SITUACION]",
"[Base].[SITUACION].&amp;[" &amp; $C63 &amp; "]"
),0)/1000</f>
        <v>301.22744768979999</v>
      </c>
      <c r="K63" s="8">
        <f>IFERROR(
GETPIVOTDATA(
"[Base].[Importe]",
TDinamica_R!$A$5,
"[Calendario].[AñoMes]",
"[Calendario].[AñoMes].&amp;[" &amp; TEXT(K$6,"yyyymm") &amp; "]",
"[Base].[Metrica]",
"[Base].[Metrica].&amp;[" &amp; $A63 &amp; "]",
"[Base].[SEGMENTO_DESCRIP]",
"[Base].[SEGMENTO_DESCRIP].&amp;[" &amp; $C$6 &amp; "]",
"[Base].[SITUACION]",
"[Base].[SITUACION].&amp;[" &amp; $C63 &amp; "]"
),0)/1000</f>
        <v>324.46277907899997</v>
      </c>
      <c r="L63" s="8">
        <f>IFERROR(
GETPIVOTDATA(
"[Base].[Importe]",
TDinamica_R!$A$5,
"[Calendario].[AñoMes]",
"[Calendario].[AñoMes].&amp;[" &amp; TEXT(L$6,"yyyymm") &amp; "]",
"[Base].[Metrica]",
"[Base].[Metrica].&amp;[" &amp; $A63 &amp; "]",
"[Base].[SEGMENTO_DESCRIP]",
"[Base].[SEGMENTO_DESCRIP].&amp;[" &amp; $C$6 &amp; "]",
"[Base].[SITUACION]",
"[Base].[SITUACION].&amp;[" &amp; $C63 &amp; "]"
),0)/1000</f>
        <v>331.28944764600004</v>
      </c>
      <c r="M63" s="8">
        <f>IFERROR(
GETPIVOTDATA(
"[Base].[Importe]",
TDinamica_R!$A$5,
"[Calendario].[AñoMes]",
"[Calendario].[AñoMes].&amp;[" &amp; TEXT(M$6,"yyyymm") &amp; "]",
"[Base].[Metrica]",
"[Base].[Metrica].&amp;[" &amp; $A63 &amp; "]",
"[Base].[SEGMENTO_DESCRIP]",
"[Base].[SEGMENTO_DESCRIP].&amp;[" &amp; $C$6 &amp; "]",
"[Base].[SITUACION]",
"[Base].[SITUACION].&amp;[" &amp; $C63 &amp; "]"
),0)/1000</f>
        <v>290.29741930199998</v>
      </c>
      <c r="N63" s="8">
        <f>IFERROR(
GETPIVOTDATA(
"[Base].[Importe]",
TDinamica_R!$A$5,
"[Calendario].[AñoMes]",
"[Calendario].[AñoMes].&amp;[" &amp; TEXT(N$6,"yyyymm") &amp; "]",
"[Base].[Metrica]",
"[Base].[Metrica].&amp;[" &amp; $A63 &amp; "]",
"[Base].[SEGMENTO_DESCRIP]",
"[Base].[SEGMENTO_DESCRIP].&amp;[" &amp; $C$6 &amp; "]",
"[Base].[SITUACION]",
"[Base].[SITUACION].&amp;[" &amp; $C63 &amp; "]"
),0)/1000</f>
        <v>295.68008498099999</v>
      </c>
      <c r="O63" s="8">
        <f>IFERROR(
GETPIVOTDATA(
"[Base].[Importe]",
TDinamica_R!$A$5,
"[Calendario].[AñoMes]",
"[Calendario].[AñoMes].&amp;[" &amp; TEXT(O$6,"yyyymm") &amp; "]",
"[Base].[Metrica]",
"[Base].[Metrica].&amp;[" &amp; $A63 &amp; "]",
"[Base].[SEGMENTO_DESCRIP]",
"[Base].[SEGMENTO_DESCRIP].&amp;[" &amp; $C$6 &amp; "]",
"[Base].[SITUACION]",
"[Base].[SITUACION].&amp;[" &amp; $C63 &amp; "]"
),0)/1000</f>
        <v>256.130295649</v>
      </c>
      <c r="P63" s="8">
        <f>IFERROR(
GETPIVOTDATA(
"[Base].[Importe]",
TDinamica_R!$A$5,
"[Calendario].[AñoMes]",
"[Calendario].[AñoMes].&amp;[" &amp; TEXT(P$6,"yyyymm") &amp; "]",
"[Base].[Metrica]",
"[Base].[Metrica].&amp;[" &amp; $A63 &amp; "]",
"[Base].[SEGMENTO_DESCRIP]",
"[Base].[SEGMENTO_DESCRIP].&amp;[" &amp; $C$6 &amp; "]",
"[Base].[SITUACION]",
"[Base].[SITUACION].&amp;[" &amp; $C63 &amp; "]"
),0)/1000</f>
        <v>314.64816579000001</v>
      </c>
      <c r="Q63" s="8">
        <f>IFERROR(
GETPIVOTDATA(
"[Base].[Importe]",
TDinamica_R!$A$5,
"[Calendario].[AñoMes]",
"[Calendario].[AñoMes].&amp;[" &amp; TEXT(Q$6,"yyyymm") &amp; "]",
"[Base].[Metrica]",
"[Base].[Metrica].&amp;[" &amp; $A63 &amp; "]",
"[Base].[SEGMENTO_DESCRIP]",
"[Base].[SEGMENTO_DESCRIP].&amp;[" &amp; $C$6 &amp; "]",
"[Base].[SITUACION]",
"[Base].[SITUACION].&amp;[" &amp; $C63 &amp; "]"
),0)/1000</f>
        <v>278.72508814900004</v>
      </c>
      <c r="R63" s="8">
        <f>IFERROR(
GETPIVOTDATA(
"[Base].[Importe]",
TDinamica_R!$A$5,
"[Calendario].[AñoMes]",
"[Calendario].[AñoMes].&amp;[" &amp; TEXT(R$6,"yyyymm") &amp; "]",
"[Base].[Metrica]",
"[Base].[Metrica].&amp;[" &amp; $A63 &amp; "]",
"[Base].[SEGMENTO_DESCRIP]",
"[Base].[SEGMENTO_DESCRIP].&amp;[" &amp; $C$6 &amp; "]",
"[Base].[SITUACION]",
"[Base].[SITUACION].&amp;[" &amp; $C63 &amp; "]"
),0)/1000</f>
        <v>310.06142778099996</v>
      </c>
      <c r="S63" s="8">
        <f>IFERROR(
GETPIVOTDATA(
"[Base].[Importe]",
TDinamica_R!$A$5,
"[Calendario].[AñoMes]",
"[Calendario].[AñoMes].&amp;[" &amp; TEXT(S$6,"yyyymm") &amp; "]",
"[Base].[Metrica]",
"[Base].[Metrica].&amp;[" &amp; $A63 &amp; "]",
"[Base].[SEGMENTO_DESCRIP]",
"[Base].[SEGMENTO_DESCRIP].&amp;[" &amp; $C$6 &amp; "]",
"[Base].[SITUACION]",
"[Base].[SITUACION].&amp;[" &amp; $C63 &amp; "]"
),0)/1000</f>
        <v>238.54341065099999</v>
      </c>
      <c r="T63" s="8">
        <f>IFERROR(
GETPIVOTDATA(
"[Base].[Importe]",
TDinamica_R!$A$5,
"[Calendario].[AñoMes]",
"[Calendario].[AñoMes].&amp;[" &amp; TEXT(T$6,"yyyymm") &amp; "]",
"[Base].[Metrica]",
"[Base].[Metrica].&amp;[" &amp; $A63 &amp; "]",
"[Base].[SEGMENTO_DESCRIP]",
"[Base].[SEGMENTO_DESCRIP].&amp;[" &amp; $C$6 &amp; "]",
"[Base].[SITUACION]",
"[Base].[SITUACION].&amp;[" &amp; $C63 &amp; "]"
),0)/1000</f>
        <v>247.595245662</v>
      </c>
      <c r="U63" s="8">
        <f>IFERROR(
GETPIVOTDATA(
"[Base].[Importe]",
TDinamica_R!$A$5,
"[Calendario].[AñoMes]",
"[Calendario].[AñoMes].&amp;[" &amp; TEXT(U$6,"yyyymm") &amp; "]",
"[Base].[Metrica]",
"[Base].[Metrica].&amp;[" &amp; $A63 &amp; "]",
"[Base].[SEGMENTO_DESCRIP]",
"[Base].[SEGMENTO_DESCRIP].&amp;[" &amp; $C$6 &amp; "]",
"[Base].[SITUACION]",
"[Base].[SITUACION].&amp;[" &amp; $C63 &amp; "]"
),0)/1000</f>
        <v>248.17964468700001</v>
      </c>
      <c r="V63" s="8">
        <f>IFERROR(
GETPIVOTDATA(
"[Base].[Importe]",
TDinamica_R!$A$5,
"[Calendario].[AñoMes]",
"[Calendario].[AñoMes].&amp;[" &amp; TEXT(V$6,"yyyymm") &amp; "]",
"[Base].[Metrica]",
"[Base].[Metrica].&amp;[" &amp; $A63 &amp; "]",
"[Base].[SEGMENTO_DESCRIP]",
"[Base].[SEGMENTO_DESCRIP].&amp;[" &amp; $C$6 &amp; "]",
"[Base].[SITUACION]",
"[Base].[SITUACION].&amp;[" &amp; $C63 &amp; "]"
),0)/1000</f>
        <v>218.241679627</v>
      </c>
      <c r="W63" s="8">
        <f>IFERROR(
GETPIVOTDATA(
"[Base].[Importe]",
TDinamica_R!$A$5,
"[Calendario].[AñoMes]",
"[Calendario].[AñoMes].&amp;[" &amp; TEXT(W$6,"yyyymm") &amp; "]",
"[Base].[Metrica]",
"[Base].[Metrica].&amp;[" &amp; $A63 &amp; "]",
"[Base].[SEGMENTO_DESCRIP]",
"[Base].[SEGMENTO_DESCRIP].&amp;[" &amp; $C$6 &amp; "]",
"[Base].[SITUACION]",
"[Base].[SITUACION].&amp;[" &amp; $C63 &amp; "]"
),0)/1000</f>
        <v>231.697292678</v>
      </c>
      <c r="X63" s="8">
        <f>IFERROR(
GETPIVOTDATA(
"[Base].[Importe]",
TDinamica_R!$A$5,
"[Calendario].[AñoMes]",
"[Calendario].[AñoMes].&amp;[" &amp; TEXT(X$6,"yyyymm") &amp; "]",
"[Base].[Metrica]",
"[Base].[Metrica].&amp;[" &amp; $A63 &amp; "]",
"[Base].[SEGMENTO_DESCRIP]",
"[Base].[SEGMENTO_DESCRIP].&amp;[" &amp; $C$6 &amp; "]",
"[Base].[SITUACION]",
"[Base].[SITUACION].&amp;[" &amp; $C63 &amp; "]"
),0)/1000</f>
        <v>527.90025433299991</v>
      </c>
      <c r="Y63" s="8">
        <f>IFERROR(
GETPIVOTDATA(
"[Base].[Importe]",
TDinamica_R!$A$5,
"[Calendario].[AñoMes]",
"[Calendario].[AñoMes].&amp;[" &amp; TEXT(Y$6,"yyyymm") &amp; "]",
"[Base].[Metrica]",
"[Base].[Metrica].&amp;[" &amp; $A63 &amp; "]",
"[Base].[SEGMENTO_DESCRIP]",
"[Base].[SEGMENTO_DESCRIP].&amp;[" &amp; $C$6 &amp; "]",
"[Base].[SITUACION]",
"[Base].[SITUACION].&amp;[" &amp; $C63 &amp; "]"
),0)/1000</f>
        <v>-69.683030973329991</v>
      </c>
      <c r="Z63" s="8">
        <f>IFERROR(
GETPIVOTDATA(
"[Base].[Importe]",
TDinamica_R!$A$5,
"[Calendario].[AñoMes]",
"[Calendario].[AñoMes].&amp;[" &amp; TEXT(Z$6,"yyyymm") &amp; "]",
"[Base].[Metrica]",
"[Base].[Metrica].&amp;[" &amp; $A63 &amp; "]",
"[Base].[SEGMENTO_DESCRIP]",
"[Base].[SEGMENTO_DESCRIP].&amp;[" &amp; $C$6 &amp; "]",
"[Base].[SITUACION]",
"[Base].[SITUACION].&amp;[" &amp; $C63 &amp; "]"
),0)/1000</f>
        <v>230.67215970800001</v>
      </c>
      <c r="AA63" s="8">
        <f>IFERROR(
GETPIVOTDATA(
"[Base].[Importe]",
TDinamica_R!$A$5,
"[Calendario].[AñoMes]",
"[Calendario].[AñoMes].&amp;[" &amp; TEXT(AA$6,"yyyymm") &amp; "]",
"[Base].[Metrica]",
"[Base].[Metrica].&amp;[" &amp; $A63 &amp; "]",
"[Base].[SEGMENTO_DESCRIP]",
"[Base].[SEGMENTO_DESCRIP].&amp;[" &amp; $C$6 &amp; "]",
"[Base].[SITUACION]",
"[Base].[SITUACION].&amp;[" &amp; $C63 &amp; "]"
),0)/1000</f>
        <v>187.84972245770001</v>
      </c>
      <c r="AB63" s="8">
        <f>IFERROR(
GETPIVOTDATA(
"[Base].[Importe]",
TDinamica_R!$A$5,
"[Calendario].[AñoMes]",
"[Calendario].[AñoMes].&amp;[" &amp; TEXT(AB$6,"yyyymm") &amp; "]",
"[Base].[Metrica]",
"[Base].[Metrica].&amp;[" &amp; $A63 &amp; "]",
"[Base].[SEGMENTO_DESCRIP]",
"[Base].[SEGMENTO_DESCRIP].&amp;[" &amp; $C$6 &amp; "]",
"[Base].[SITUACION]",
"[Base].[SITUACION].&amp;[" &amp; $C63 &amp; "]"
),0)/1000</f>
        <v>254.84441034099999</v>
      </c>
      <c r="AC63" s="8">
        <f>IFERROR(
GETPIVOTDATA(
"[Base].[Importe]",
TDinamica_R!$A$5,
"[Calendario].[AñoMes]",
"[Calendario].[AñoMes].&amp;[" &amp; TEXT(AC$6,"yyyymm") &amp; "]",
"[Base].[Metrica]",
"[Base].[Metrica].&amp;[" &amp; $A63 &amp; "]",
"[Base].[SEGMENTO_DESCRIP]",
"[Base].[SEGMENTO_DESCRIP].&amp;[" &amp; $C$6 &amp; "]",
"[Base].[SITUACION]",
"[Base].[SITUACION].&amp;[" &amp; $C63 &amp; "]"
),0)/1000</f>
        <v>173.66261924</v>
      </c>
      <c r="AD63" s="8">
        <f>IFERROR(
GETPIVOTDATA(
"[Base].[Importe]",
TDinamica_R!$A$5,
"[Calendario].[AñoMes]",
"[Calendario].[AñoMes].&amp;[" &amp; TEXT(AD$6,"yyyymm") &amp; "]",
"[Base].[Metrica]",
"[Base].[Metrica].&amp;[" &amp; $A63 &amp; "]",
"[Base].[SEGMENTO_DESCRIP]",
"[Base].[SEGMENTO_DESCRIP].&amp;[" &amp; $C$6 &amp; "]",
"[Base].[SITUACION]",
"[Base].[SITUACION].&amp;[" &amp; $C63 &amp; "]"
),0)/1000</f>
        <v>100.770681224</v>
      </c>
      <c r="AE63" s="8">
        <f>IFERROR(
GETPIVOTDATA(
"[Base].[Importe]",
TDinamica_R!$A$5,
"[Calendario].[AñoMes]",
"[Calendario].[AñoMes].&amp;[" &amp; TEXT(AE$6,"yyyymm") &amp; "]",
"[Base].[Metrica]",
"[Base].[Metrica].&amp;[" &amp; $A63 &amp; "]",
"[Base].[SEGMENTO_DESCRIP]",
"[Base].[SEGMENTO_DESCRIP].&amp;[" &amp; $C$6 &amp; "]",
"[Base].[SITUACION]",
"[Base].[SITUACION].&amp;[" &amp; $C63 &amp; "]"
),0)/1000</f>
        <v>195.44468726899999</v>
      </c>
      <c r="AF63" s="8">
        <f>IFERROR(
GETPIVOTDATA(
"[Base].[Importe]",
TDinamica_R!$A$5,
"[Calendario].[AñoMes]",
"[Calendario].[AñoMes].&amp;[" &amp; TEXT(AF$6,"yyyymm") &amp; "]",
"[Base].[Metrica]",
"[Base].[Metrica].&amp;[" &amp; $A63 &amp; "]",
"[Base].[SEGMENTO_DESCRIP]",
"[Base].[SEGMENTO_DESCRIP].&amp;[" &amp; $C$6 &amp; "]",
"[Base].[SITUACION]",
"[Base].[SITUACION].&amp;[" &amp; $C63 &amp; "]"
),0)/1000</f>
        <v>185.540033902</v>
      </c>
      <c r="AG63" s="8">
        <f>IFERROR(
GETPIVOTDATA(
"[Base].[Importe]",
TDinamica_R!$A$5,
"[Calendario].[AñoMes]",
"[Calendario].[AñoMes].&amp;[" &amp; TEXT(AG$6,"yyyymm") &amp; "]",
"[Base].[Metrica]",
"[Base].[Metrica].&amp;[" &amp; $A63 &amp; "]",
"[Base].[SEGMENTO_DESCRIP]",
"[Base].[SEGMENTO_DESCRIP].&amp;[" &amp; $C$6 &amp; "]",
"[Base].[SITUACION]",
"[Base].[SITUACION].&amp;[" &amp; $C63 &amp; "]"
),0)/1000</f>
        <v>231.96591251999999</v>
      </c>
      <c r="AH63" s="8">
        <f>IFERROR(
GETPIVOTDATA(
"[Base].[Importe]",
TDinamica_R!$A$5,
"[Calendario].[AñoMes]",
"[Calendario].[AñoMes].&amp;[" &amp; TEXT(AH$6,"yyyymm") &amp; "]",
"[Base].[Metrica]",
"[Base].[Metrica].&amp;[" &amp; $A63 &amp; "]",
"[Base].[SEGMENTO_DESCRIP]",
"[Base].[SEGMENTO_DESCRIP].&amp;[" &amp; $C$6 &amp; "]",
"[Base].[SITUACION]",
"[Base].[SITUACION].&amp;[" &amp; $C63 &amp; "]"
),0)/1000</f>
        <v>193.18928483600001</v>
      </c>
      <c r="AI63" s="8">
        <f>IFERROR(
GETPIVOTDATA(
"[Base].[Importe]",
TDinamica_R!$A$5,
"[Calendario].[AñoMes]",
"[Calendario].[AñoMes].&amp;[" &amp; TEXT(AI$6,"yyyymm") &amp; "]",
"[Base].[Metrica]",
"[Base].[Metrica].&amp;[" &amp; $A63 &amp; "]",
"[Base].[SEGMENTO_DESCRIP]",
"[Base].[SEGMENTO_DESCRIP].&amp;[" &amp; $C$6 &amp; "]",
"[Base].[SITUACION]",
"[Base].[SITUACION].&amp;[" &amp; $C63 &amp; "]"
),0)/1000</f>
        <v>215.15497714</v>
      </c>
      <c r="AJ63" s="8">
        <f>IFERROR(
GETPIVOTDATA(
"[Base].[Importe]",
TDinamica_R!$A$5,
"[Calendario].[AñoMes]",
"[Calendario].[AñoMes].&amp;[" &amp; TEXT(AJ$6,"yyyymm") &amp; "]",
"[Base].[Metrica]",
"[Base].[Metrica].&amp;[" &amp; $A63 &amp; "]",
"[Base].[SEGMENTO_DESCRIP]",
"[Base].[SEGMENTO_DESCRIP].&amp;[" &amp; $C$6 &amp; "]",
"[Base].[SITUACION]",
"[Base].[SITUACION].&amp;[" &amp; $C63 &amp; "]"
),0)/1000</f>
        <v>206.07683229600002</v>
      </c>
      <c r="AK63" s="8">
        <f>IFERROR(
GETPIVOTDATA(
"[Base].[Importe]",
TDinamica_R!$A$5,
"[Calendario].[AñoMes]",
"[Calendario].[AñoMes].&amp;[" &amp; TEXT(AK$6,"yyyymm") &amp; "]",
"[Base].[Metrica]",
"[Base].[Metrica].&amp;[" &amp; $A63 &amp; "]",
"[Base].[SEGMENTO_DESCRIP]",
"[Base].[SEGMENTO_DESCRIP].&amp;[" &amp; $C$6 &amp; "]",
"[Base].[SITUACION]",
"[Base].[SITUACION].&amp;[" &amp; $C63 &amp; "]"
),0)/1000</f>
        <v>184.72381983699998</v>
      </c>
      <c r="AL63" s="8">
        <f>IFERROR(
GETPIVOTDATA(
"[Base].[Importe]",
TDinamica_R!$A$5,
"[Calendario].[AñoMes]",
"[Calendario].[AñoMes].&amp;[" &amp; TEXT(AL$6,"yyyymm") &amp; "]",
"[Base].[Metrica]",
"[Base].[Metrica].&amp;[" &amp; $A63 &amp; "]",
"[Base].[SEGMENTO_DESCRIP]",
"[Base].[SEGMENTO_DESCRIP].&amp;[" &amp; $C$6 &amp; "]",
"[Base].[SITUACION]",
"[Base].[SITUACION].&amp;[" &amp; $C63 &amp; "]"
),0)/1000</f>
        <v>269.73707440500004</v>
      </c>
      <c r="AM63" s="8">
        <f>IFERROR(
GETPIVOTDATA(
"[Base].[Importe]",
TDinamica_R!$A$5,
"[Calendario].[AñoMes]",
"[Calendario].[AñoMes].&amp;[" &amp; TEXT(AM$6,"yyyymm") &amp; "]",
"[Base].[Metrica]",
"[Base].[Metrica].&amp;[" &amp; $A63 &amp; "]",
"[Base].[SEGMENTO_DESCRIP]",
"[Base].[SEGMENTO_DESCRIP].&amp;[" &amp; $C$6 &amp; "]",
"[Base].[SITUACION]",
"[Base].[SITUACION].&amp;[" &amp; $C63 &amp; "]"
),0)/1000</f>
        <v>183.01262781099999</v>
      </c>
      <c r="AN63" s="8">
        <f>IFERROR(
GETPIVOTDATA(
"[Base].[Importe]",
TDinamica_R!$A$5,
"[Calendario].[AñoMes]",
"[Calendario].[AñoMes].&amp;[" &amp; TEXT(AN$6,"yyyymm") &amp; "]",
"[Base].[Metrica]",
"[Base].[Metrica].&amp;[" &amp; $A63 &amp; "]",
"[Base].[SEGMENTO_DESCRIP]",
"[Base].[SEGMENTO_DESCRIP].&amp;[" &amp; $C$6 &amp; "]",
"[Base].[SITUACION]",
"[Base].[SITUACION].&amp;[" &amp; $C63 &amp; "]"
),0)/1000</f>
        <v>217.443253926165</v>
      </c>
      <c r="AO63" s="8">
        <f>IFERROR(
GETPIVOTDATA(
"[Base].[Importe]",
TDinamica_R!$A$5,
"[Calendario].[AñoMes]",
"[Calendario].[AñoMes].&amp;[" &amp; TEXT(AO$6,"yyyymm") &amp; "]",
"[Base].[Metrica]",
"[Base].[Metrica].&amp;[" &amp; $A63 &amp; "]",
"[Base].[SEGMENTO_DESCRIP]",
"[Base].[SEGMENTO_DESCRIP].&amp;[" &amp; $C$6 &amp; "]",
"[Base].[SITUACION]",
"[Base].[SITUACION].&amp;[" &amp; $C63 &amp; "]"
),0)/1000</f>
        <v>165.10827877415852</v>
      </c>
      <c r="AP63" s="8">
        <f>IFERROR(
GETPIVOTDATA(
"[Base].[Importe]",
TDinamica_R!$A$5,
"[Calendario].[AñoMes]",
"[Calendario].[AñoMes].&amp;[" &amp; TEXT(AP$6,"yyyymm") &amp; "]",
"[Base].[Metrica]",
"[Base].[Metrica].&amp;[" &amp; $A63 &amp; "]",
"[Base].[SEGMENTO_DESCRIP]",
"[Base].[SEGMENTO_DESCRIP].&amp;[" &amp; $C$6 &amp; "]",
"[Base].[SITUACION]",
"[Base].[SITUACION].&amp;[" &amp; $C63 &amp; "]"
),0)/1000</f>
        <v>171.87502774644773</v>
      </c>
      <c r="AQ63" s="8">
        <f>IFERROR(
GETPIVOTDATA(
"[Base].[Importe]",
TDinamica_R!$A$5,
"[Calendario].[AñoMes]",
"[Calendario].[AñoMes].&amp;[" &amp; TEXT(AQ$6,"yyyymm") &amp; "]",
"[Base].[Metrica]",
"[Base].[Metrica].&amp;[" &amp; $A63 &amp; "]",
"[Base].[SEGMENTO_DESCRIP]",
"[Base].[SEGMENTO_DESCRIP].&amp;[" &amp; $C$6 &amp; "]",
"[Base].[SITUACION]",
"[Base].[SITUACION].&amp;[" &amp; $C63 &amp; "]"
),0)/1000</f>
        <v>240.1862056128958</v>
      </c>
      <c r="AR63" s="8">
        <f>IFERROR(
GETPIVOTDATA(
"[Base].[Importe]",
TDinamica_R!$A$5,
"[Calendario].[AñoMes]",
"[Calendario].[AñoMes].&amp;[" &amp; TEXT(AR$6,"yyyymm") &amp; "]",
"[Base].[Metrica]",
"[Base].[Metrica].&amp;[" &amp; $A63 &amp; "]",
"[Base].[SEGMENTO_DESCRIP]",
"[Base].[SEGMENTO_DESCRIP].&amp;[" &amp; $C$6 &amp; "]",
"[Base].[SITUACION]",
"[Base].[SITUACION].&amp;[" &amp; $C63 &amp; "]"
),0)/1000</f>
        <v>209.33010364567178</v>
      </c>
      <c r="AS63" s="8">
        <f>IFERROR(
GETPIVOTDATA(
"[Base].[Importe]",
TDinamica_R!$A$5,
"[Calendario].[AñoMes]",
"[Calendario].[AñoMes].&amp;[" &amp; TEXT(AS$6,"yyyymm") &amp; "]",
"[Base].[Metrica]",
"[Base].[Metrica].&amp;[" &amp; $A63 &amp; "]",
"[Base].[SEGMENTO_DESCRIP]",
"[Base].[SEGMENTO_DESCRIP].&amp;[" &amp; $C$6 &amp; "]",
"[Base].[SITUACION]",
"[Base].[SITUACION].&amp;[" &amp; $C63 &amp; "]"
),0)/1000</f>
        <v>230.37079757286483</v>
      </c>
      <c r="AT63" s="8">
        <f>IFERROR(
GETPIVOTDATA(
"[Base].[Importe]",
TDinamica_R!$A$5,
"[Calendario].[AñoMes]",
"[Calendario].[AñoMes].&amp;[" &amp; TEXT(AT$6,"yyyymm")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U63" s="8">
        <f>IFERROR(
GETPIVOTDATA(
"[Base].[Importe]",
TDinamica_R!$A$5,
"[Calendario].[AñoMes]",
"[Calendario].[AñoMes].&amp;[" &amp; TEXT(AU$6,"yyyymm")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V63" s="8">
        <f>IFERROR(
GETPIVOTDATA(
"[Base].[Importe]",
TDinamica_R!$A$5,
"[Calendario].[AñoMes]",
"[Calendario].[AñoMes].&amp;[" &amp; TEXT(AV$6,"yyyymm")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W63" s="8">
        <f>IFERROR(
GETPIVOTDATA(
"[Base].[Importe]",
TDinamica_R!$A$5,
"[Calendario].[AñoMes]",
"[Calendario].[AñoMes].&amp;[" &amp; TEXT(AW$6,"yyyymm")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X63" s="8">
        <f>IFERROR(
GETPIVOTDATA(
"[Base].[Importe]",
TDinamica_R!$A$5,
"[Calendario].[AñoMes]",
"[Calendario].[AñoMes].&amp;[" &amp; TEXT(AX$6,"yyyymm")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Y63" s="8">
        <f>IFERROR(
GETPIVOTDATA(
"[Base].[Importe]",
TDinamica_R!$A$5,
"[Calendario].[AñoMes]",
"[Calendario].[AñoMes].&amp;[" &amp; TEXT(AY$6,"yyyymm")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Z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TEXT(AZ$6,"yyyymm") &amp; "]"
),
0
)</f>
        <v>188.08456028536784</v>
      </c>
      <c r="BA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TEXT(BA$6,"yyyymm") &amp; "]"
),
0
)</f>
        <v>186.94579560963072</v>
      </c>
      <c r="BB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TEXT(BB$6,"yyyymm") &amp; "]"
),
0
)</f>
        <v>186.75289388502429</v>
      </c>
      <c r="BC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TEXT(BC$6,"yyyymm") &amp; "]"
),
0
)</f>
        <v>188.05645572381974</v>
      </c>
      <c r="BD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TEXT(BD$6,"yyyymm") &amp; "]"
),
0
)</f>
        <v>190.24414037385591</v>
      </c>
      <c r="BE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TEXT(BE$6,"yyyymm") &amp; "]"
),
0
)</f>
        <v>192.10157357386697</v>
      </c>
      <c r="BF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TEXT(BF$6,"yyyymm") &amp; "]"
),
0
)</f>
        <v>192.79183818397215</v>
      </c>
      <c r="BG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TEXT(BG$6,"yyyymm") &amp; "]"
),
0
)</f>
        <v>194.12198300316243</v>
      </c>
      <c r="BH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TEXT(BH$6,"yyyymm") &amp; "]"
),
0
)</f>
        <v>196.79966521780096</v>
      </c>
      <c r="BI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TEXT(BI$6,"yyyymm") &amp; "]"
),
0
)</f>
        <v>200.10898533844627</v>
      </c>
      <c r="BJ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TEXT(BJ$6,"yyyymm") &amp; "]"
),
0
)</f>
        <v>202.44271408895744</v>
      </c>
      <c r="BK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TEXT(BK$6,"yyyymm") &amp; "]"
),
0
)</f>
        <v>203.467722199478</v>
      </c>
      <c r="BO63" s="24">
        <f t="shared" ref="BO63:BT72" si="64">SUMIFS($D63:$BM63,$D$6:$BM$6,"&gt;="&amp;BO$2,$D$6:$BM$6,"&lt;="&amp;BO$6,$D$5:$BM$5,BO$5)</f>
        <v>554.42656044677119</v>
      </c>
      <c r="BP63" s="24">
        <f t="shared" si="64"/>
        <v>561.78324978002286</v>
      </c>
      <c r="BQ63" s="24">
        <f t="shared" si="64"/>
        <v>382.55153270032349</v>
      </c>
      <c r="BR63" s="24">
        <f t="shared" si="64"/>
        <v>529.27771080499997</v>
      </c>
      <c r="BS63" s="24">
        <f t="shared" si="64"/>
        <v>903.43468172000007</v>
      </c>
      <c r="BT63" s="24">
        <f t="shared" si="64"/>
        <v>770.37591586910003</v>
      </c>
    </row>
    <row r="64" spans="1:72" hidden="1" outlineLevel="1" x14ac:dyDescent="0.25">
      <c r="A64" s="11" t="s">
        <v>71</v>
      </c>
      <c r="C64" s="2" t="s">
        <v>113</v>
      </c>
      <c r="D64" s="8">
        <f>IFERROR(
GETPIVOTDATA(
"[Base].[Importe]",
TDinamica_R!$A$5,
"[Calendario].[AñoMes]",
"[Calendario].[AñoMes].&amp;[" &amp; TEXT(D$6,"yyyymm") &amp; "]",
"[Base].[Metrica]",
"[Base].[Metrica].&amp;[" &amp; $A64 &amp; "]",
"[Base].[SEGMENTO_DESCRIP]",
"[Base].[SEGMENTO_DESCRIP].&amp;[" &amp; $C$6 &amp; "]",
"[Base].[SITUACION]",
"[Base].[SITUACION].&amp;[" &amp; $C64 &amp; "]"
),0)/1000</f>
        <v>2.4483299999999999</v>
      </c>
      <c r="E64" s="8">
        <f>IFERROR(
GETPIVOTDATA(
"[Base].[Importe]",
TDinamica_R!$A$5,
"[Calendario].[AñoMes]",
"[Calendario].[AñoMes].&amp;[" &amp; TEXT(E$6,"yyyymm") &amp; "]",
"[Base].[Metrica]",
"[Base].[Metrica].&amp;[" &amp; $A64 &amp; "]",
"[Base].[SEGMENTO_DESCRIP]",
"[Base].[SEGMENTO_DESCRIP].&amp;[" &amp; $C$6 &amp; "]",
"[Base].[SITUACION]",
"[Base].[SITUACION].&amp;[" &amp; $C64 &amp; "]"
),0)/1000</f>
        <v>2.08534</v>
      </c>
      <c r="F64" s="8">
        <f>IFERROR(
GETPIVOTDATA(
"[Base].[Importe]",
TDinamica_R!$A$5,
"[Calendario].[AñoMes]",
"[Calendario].[AñoMes].&amp;[" &amp; TEXT(F$6,"yyyymm") &amp; "]",
"[Base].[Metrica]",
"[Base].[Metrica].&amp;[" &amp; $A64 &amp; "]",
"[Base].[SEGMENTO_DESCRIP]",
"[Base].[SEGMENTO_DESCRIP].&amp;[" &amp; $C$6 &amp; "]",
"[Base].[SITUACION]",
"[Base].[SITUACION].&amp;[" &amp; $C64 &amp; "]"
),0)/1000</f>
        <v>2.0366599999999999</v>
      </c>
      <c r="G64" s="8">
        <f>IFERROR(
GETPIVOTDATA(
"[Base].[Importe]",
TDinamica_R!$A$5,
"[Calendario].[AñoMes]",
"[Calendario].[AñoMes].&amp;[" &amp; TEXT(G$6,"yyyymm") &amp; "]",
"[Base].[Metrica]",
"[Base].[Metrica].&amp;[" &amp; $A64 &amp; "]",
"[Base].[SEGMENTO_DESCRIP]",
"[Base].[SEGMENTO_DESCRIP].&amp;[" &amp; $C$6 &amp; "]",
"[Base].[SITUACION]",
"[Base].[SITUACION].&amp;[" &amp; $C64 &amp; "]"
),0)/1000</f>
        <v>1.6129599999999999</v>
      </c>
      <c r="H64" s="8">
        <f>IFERROR(
GETPIVOTDATA(
"[Base].[Importe]",
TDinamica_R!$A$5,
"[Calendario].[AñoMes]",
"[Calendario].[AñoMes].&amp;[" &amp; TEXT(H$6,"yyyymm") &amp; "]",
"[Base].[Metrica]",
"[Base].[Metrica].&amp;[" &amp; $A64 &amp; "]",
"[Base].[SEGMENTO_DESCRIP]",
"[Base].[SEGMENTO_DESCRIP].&amp;[" &amp; $C$6 &amp; "]",
"[Base].[SITUACION]",
"[Base].[SITUACION].&amp;[" &amp; $C64 &amp; "]"
),0)/1000</f>
        <v>1.887</v>
      </c>
      <c r="I64" s="8">
        <f>IFERROR(
GETPIVOTDATA(
"[Base].[Importe]",
TDinamica_R!$A$5,
"[Calendario].[AñoMes]",
"[Calendario].[AñoMes].&amp;[" &amp; TEXT(I$6,"yyyymm") &amp; "]",
"[Base].[Metrica]",
"[Base].[Metrica].&amp;[" &amp; $A64 &amp; "]",
"[Base].[SEGMENTO_DESCRIP]",
"[Base].[SEGMENTO_DESCRIP].&amp;[" &amp; $C$6 &amp; "]",
"[Base].[SITUACION]",
"[Base].[SITUACION].&amp;[" &amp; $C64 &amp; "]"
),0)/1000</f>
        <v>1.585</v>
      </c>
      <c r="J64" s="8">
        <f>IFERROR(
GETPIVOTDATA(
"[Base].[Importe]",
TDinamica_R!$A$5,
"[Calendario].[AñoMes]",
"[Calendario].[AñoMes].&amp;[" &amp; TEXT(J$6,"yyyymm") &amp; "]",
"[Base].[Metrica]",
"[Base].[Metrica].&amp;[" &amp; $A64 &amp; "]",
"[Base].[SEGMENTO_DESCRIP]",
"[Base].[SEGMENTO_DESCRIP].&amp;[" &amp; $C$6 &amp; "]",
"[Base].[SITUACION]",
"[Base].[SITUACION].&amp;[" &amp; $C64 &amp; "]"
),0)/1000</f>
        <v>1.3743299999999998</v>
      </c>
      <c r="K64" s="8">
        <f>IFERROR(
GETPIVOTDATA(
"[Base].[Importe]",
TDinamica_R!$A$5,
"[Calendario].[AñoMes]",
"[Calendario].[AñoMes].&amp;[" &amp; TEXT(K$6,"yyyymm") &amp; "]",
"[Base].[Metrica]",
"[Base].[Metrica].&amp;[" &amp; $A64 &amp; "]",
"[Base].[SEGMENTO_DESCRIP]",
"[Base].[SEGMENTO_DESCRIP].&amp;[" &amp; $C$6 &amp; "]",
"[Base].[SITUACION]",
"[Base].[SITUACION].&amp;[" &amp; $C64 &amp; "]"
),0)/1000</f>
        <v>1.4246700000000001</v>
      </c>
      <c r="L64" s="8">
        <f>IFERROR(
GETPIVOTDATA(
"[Base].[Importe]",
TDinamica_R!$A$5,
"[Calendario].[AñoMes]",
"[Calendario].[AñoMes].&amp;[" &amp; TEXT(L$6,"yyyymm") &amp; "]",
"[Base].[Metrica]",
"[Base].[Metrica].&amp;[" &amp; $A64 &amp; "]",
"[Base].[SEGMENTO_DESCRIP]",
"[Base].[SEGMENTO_DESCRIP].&amp;[" &amp; $C$6 &amp; "]",
"[Base].[SITUACION]",
"[Base].[SITUACION].&amp;[" &amp; $C64 &amp; "]"
),0)/1000</f>
        <v>1.2749999999999999</v>
      </c>
      <c r="M64" s="8">
        <f>IFERROR(
GETPIVOTDATA(
"[Base].[Importe]",
TDinamica_R!$A$5,
"[Calendario].[AñoMes]",
"[Calendario].[AñoMes].&amp;[" &amp; TEXT(M$6,"yyyymm") &amp; "]",
"[Base].[Metrica]",
"[Base].[Metrica].&amp;[" &amp; $A64 &amp; "]",
"[Base].[SEGMENTO_DESCRIP]",
"[Base].[SEGMENTO_DESCRIP].&amp;[" &amp; $C$6 &amp; "]",
"[Base].[SITUACION]",
"[Base].[SITUACION].&amp;[" &amp; $C64 &amp; "]"
),0)/1000</f>
        <v>1.3736599999999999</v>
      </c>
      <c r="N64" s="8">
        <f>IFERROR(
GETPIVOTDATA(
"[Base].[Importe]",
TDinamica_R!$A$5,
"[Calendario].[AñoMes]",
"[Calendario].[AñoMes].&amp;[" &amp; TEXT(N$6,"yyyymm") &amp; "]",
"[Base].[Metrica]",
"[Base].[Metrica].&amp;[" &amp; $A64 &amp; "]",
"[Base].[SEGMENTO_DESCRIP]",
"[Base].[SEGMENTO_DESCRIP].&amp;[" &amp; $C$6 &amp; "]",
"[Base].[SITUACION]",
"[Base].[SITUACION].&amp;[" &amp; $C64 &amp; "]"
),0)/1000</f>
        <v>1.2793299999999999</v>
      </c>
      <c r="O64" s="8">
        <f>IFERROR(
GETPIVOTDATA(
"[Base].[Importe]",
TDinamica_R!$A$5,
"[Calendario].[AñoMes]",
"[Calendario].[AñoMes].&amp;[" &amp; TEXT(O$6,"yyyymm") &amp; "]",
"[Base].[Metrica]",
"[Base].[Metrica].&amp;[" &amp; $A64 &amp; "]",
"[Base].[SEGMENTO_DESCRIP]",
"[Base].[SEGMENTO_DESCRIP].&amp;[" &amp; $C$6 &amp; "]",
"[Base].[SITUACION]",
"[Base].[SITUACION].&amp;[" &amp; $C64 &amp; "]"
),0)/1000</f>
        <v>1.1826699999999999</v>
      </c>
      <c r="P64" s="8">
        <f>IFERROR(
GETPIVOTDATA(
"[Base].[Importe]",
TDinamica_R!$A$5,
"[Calendario].[AñoMes]",
"[Calendario].[AñoMes].&amp;[" &amp; TEXT(P$6,"yyyymm") &amp; "]",
"[Base].[Metrica]",
"[Base].[Metrica].&amp;[" &amp; $A64 &amp; "]",
"[Base].[SEGMENTO_DESCRIP]",
"[Base].[SEGMENTO_DESCRIP].&amp;[" &amp; $C$6 &amp; "]",
"[Base].[SITUACION]",
"[Base].[SITUACION].&amp;[" &amp; $C64 &amp; "]"
),0)/1000</f>
        <v>1.2653299999999998</v>
      </c>
      <c r="Q64" s="8">
        <f>IFERROR(
GETPIVOTDATA(
"[Base].[Importe]",
TDinamica_R!$A$5,
"[Calendario].[AñoMes]",
"[Calendario].[AñoMes].&amp;[" &amp; TEXT(Q$6,"yyyymm") &amp; "]",
"[Base].[Metrica]",
"[Base].[Metrica].&amp;[" &amp; $A64 &amp; "]",
"[Base].[SEGMENTO_DESCRIP]",
"[Base].[SEGMENTO_DESCRIP].&amp;[" &amp; $C$6 &amp; "]",
"[Base].[SITUACION]",
"[Base].[SITUACION].&amp;[" &amp; $C64 &amp; "]"
),0)/1000</f>
        <v>1.1303299999999998</v>
      </c>
      <c r="R64" s="8">
        <f>IFERROR(
GETPIVOTDATA(
"[Base].[Importe]",
TDinamica_R!$A$5,
"[Calendario].[AñoMes]",
"[Calendario].[AñoMes].&amp;[" &amp; TEXT(R$6,"yyyymm") &amp; "]",
"[Base].[Metrica]",
"[Base].[Metrica].&amp;[" &amp; $A64 &amp; "]",
"[Base].[SEGMENTO_DESCRIP]",
"[Base].[SEGMENTO_DESCRIP].&amp;[" &amp; $C$6 &amp; "]",
"[Base].[SITUACION]",
"[Base].[SITUACION].&amp;[" &amp; $C64 &amp; "]"
),0)/1000</f>
        <v>1.06</v>
      </c>
      <c r="S64" s="8">
        <f>IFERROR(
GETPIVOTDATA(
"[Base].[Importe]",
TDinamica_R!$A$5,
"[Calendario].[AñoMes]",
"[Calendario].[AñoMes].&amp;[" &amp; TEXT(S$6,"yyyymm") &amp; "]",
"[Base].[Metrica]",
"[Base].[Metrica].&amp;[" &amp; $A64 &amp; "]",
"[Base].[SEGMENTO_DESCRIP]",
"[Base].[SEGMENTO_DESCRIP].&amp;[" &amp; $C$6 &amp; "]",
"[Base].[SITUACION]",
"[Base].[SITUACION].&amp;[" &amp; $C64 &amp; "]"
),0)/1000</f>
        <v>1.2756700000000001</v>
      </c>
      <c r="T64" s="8">
        <f>IFERROR(
GETPIVOTDATA(
"[Base].[Importe]",
TDinamica_R!$A$5,
"[Calendario].[AñoMes]",
"[Calendario].[AñoMes].&amp;[" &amp; TEXT(T$6,"yyyymm") &amp; "]",
"[Base].[Metrica]",
"[Base].[Metrica].&amp;[" &amp; $A64 &amp; "]",
"[Base].[SEGMENTO_DESCRIP]",
"[Base].[SEGMENTO_DESCRIP].&amp;[" &amp; $C$6 &amp; "]",
"[Base].[SITUACION]",
"[Base].[SITUACION].&amp;[" &amp; $C64 &amp; "]"
),0)/1000</f>
        <v>1.1963299999999999</v>
      </c>
      <c r="U64" s="8">
        <f>IFERROR(
GETPIVOTDATA(
"[Base].[Importe]",
TDinamica_R!$A$5,
"[Calendario].[AñoMes]",
"[Calendario].[AñoMes].&amp;[" &amp; TEXT(U$6,"yyyymm") &amp; "]",
"[Base].[Metrica]",
"[Base].[Metrica].&amp;[" &amp; $A64 &amp; "]",
"[Base].[SEGMENTO_DESCRIP]",
"[Base].[SEGMENTO_DESCRIP].&amp;[" &amp; $C$6 &amp; "]",
"[Base].[SITUACION]",
"[Base].[SITUACION].&amp;[" &amp; $C64 &amp; "]"
),0)/1000</f>
        <v>0.98</v>
      </c>
      <c r="V64" s="8">
        <f>IFERROR(
GETPIVOTDATA(
"[Base].[Importe]",
TDinamica_R!$A$5,
"[Calendario].[AñoMes]",
"[Calendario].[AñoMes].&amp;[" &amp; TEXT(V$6,"yyyymm") &amp; "]",
"[Base].[Metrica]",
"[Base].[Metrica].&amp;[" &amp; $A64 &amp; "]",
"[Base].[SEGMENTO_DESCRIP]",
"[Base].[SEGMENTO_DESCRIP].&amp;[" &amp; $C$6 &amp; "]",
"[Base].[SITUACION]",
"[Base].[SITUACION].&amp;[" &amp; $C64 &amp; "]"
),0)/1000</f>
        <v>1.0976599999999999</v>
      </c>
      <c r="W64" s="8">
        <f>IFERROR(
GETPIVOTDATA(
"[Base].[Importe]",
TDinamica_R!$A$5,
"[Calendario].[AñoMes]",
"[Calendario].[AñoMes].&amp;[" &amp; TEXT(W$6,"yyyymm") &amp; "]",
"[Base].[Metrica]",
"[Base].[Metrica].&amp;[" &amp; $A64 &amp; "]",
"[Base].[SEGMENTO_DESCRIP]",
"[Base].[SEGMENTO_DESCRIP].&amp;[" &amp; $C$6 &amp; "]",
"[Base].[SITUACION]",
"[Base].[SITUACION].&amp;[" &amp; $C64 &amp; "]"
),0)/1000</f>
        <v>0.91</v>
      </c>
      <c r="X64" s="8">
        <f>IFERROR(
GETPIVOTDATA(
"[Base].[Importe]",
TDinamica_R!$A$5,
"[Calendario].[AñoMes]",
"[Calendario].[AñoMes].&amp;[" &amp; TEXT(X$6,"yyyymm") &amp; "]",
"[Base].[Metrica]",
"[Base].[Metrica].&amp;[" &amp; $A64 &amp; "]",
"[Base].[SEGMENTO_DESCRIP]",
"[Base].[SEGMENTO_DESCRIP].&amp;[" &amp; $C$6 &amp; "]",
"[Base].[SITUACION]",
"[Base].[SITUACION].&amp;[" &amp; $C64 &amp; "]"
),0)/1000</f>
        <v>1.06934</v>
      </c>
      <c r="Y64" s="8">
        <f>IFERROR(
GETPIVOTDATA(
"[Base].[Importe]",
TDinamica_R!$A$5,
"[Calendario].[AñoMes]",
"[Calendario].[AñoMes].&amp;[" &amp; TEXT(Y$6,"yyyymm") &amp; "]",
"[Base].[Metrica]",
"[Base].[Metrica].&amp;[" &amp; $A64 &amp; "]",
"[Base].[SEGMENTO_DESCRIP]",
"[Base].[SEGMENTO_DESCRIP].&amp;[" &amp; $C$6 &amp; "]",
"[Base].[SITUACION]",
"[Base].[SITUACION].&amp;[" &amp; $C64 &amp; "]"
),0)/1000</f>
        <v>0.98600999999999994</v>
      </c>
      <c r="Z64" s="8">
        <f>IFERROR(
GETPIVOTDATA(
"[Base].[Importe]",
TDinamica_R!$A$5,
"[Calendario].[AñoMes]",
"[Calendario].[AñoMes].&amp;[" &amp; TEXT(Z$6,"yyyymm") &amp; "]",
"[Base].[Metrica]",
"[Base].[Metrica].&amp;[" &amp; $A64 &amp; "]",
"[Base].[SEGMENTO_DESCRIP]",
"[Base].[SEGMENTO_DESCRIP].&amp;[" &amp; $C$6 &amp; "]",
"[Base].[SITUACION]",
"[Base].[SITUACION].&amp;[" &amp; $C64 &amp; "]"
),0)/1000</f>
        <v>0.89300000000000002</v>
      </c>
      <c r="AA64" s="8">
        <f>IFERROR(
GETPIVOTDATA(
"[Base].[Importe]",
TDinamica_R!$A$5,
"[Calendario].[AñoMes]",
"[Calendario].[AñoMes].&amp;[" &amp; TEXT(AA$6,"yyyymm") &amp; "]",
"[Base].[Metrica]",
"[Base].[Metrica].&amp;[" &amp; $A64 &amp; "]",
"[Base].[SEGMENTO_DESCRIP]",
"[Base].[SEGMENTO_DESCRIP].&amp;[" &amp; $C$6 &amp; "]",
"[Base].[SITUACION]",
"[Base].[SITUACION].&amp;[" &amp; $C64 &amp; "]"
),0)/1000</f>
        <v>0.93532999999999988</v>
      </c>
      <c r="AB64" s="8">
        <f>IFERROR(
GETPIVOTDATA(
"[Base].[Importe]",
TDinamica_R!$A$5,
"[Calendario].[AñoMes]",
"[Calendario].[AñoMes].&amp;[" &amp; TEXT(AB$6,"yyyymm") &amp; "]",
"[Base].[Metrica]",
"[Base].[Metrica].&amp;[" &amp; $A64 &amp; "]",
"[Base].[SEGMENTO_DESCRIP]",
"[Base].[SEGMENTO_DESCRIP].&amp;[" &amp; $C$6 &amp; "]",
"[Base].[SITUACION]",
"[Base].[SITUACION].&amp;[" &amp; $C64 &amp; "]"
),0)/1000</f>
        <v>0.88066999999999995</v>
      </c>
      <c r="AC64" s="8">
        <f>IFERROR(
GETPIVOTDATA(
"[Base].[Importe]",
TDinamica_R!$A$5,
"[Calendario].[AñoMes]",
"[Calendario].[AñoMes].&amp;[" &amp; TEXT(AC$6,"yyyymm") &amp; "]",
"[Base].[Metrica]",
"[Base].[Metrica].&amp;[" &amp; $A64 &amp; "]",
"[Base].[SEGMENTO_DESCRIP]",
"[Base].[SEGMENTO_DESCRIP].&amp;[" &amp; $C$6 &amp; "]",
"[Base].[SITUACION]",
"[Base].[SITUACION].&amp;[" &amp; $C64 &amp; "]"
),0)/1000</f>
        <v>0.71</v>
      </c>
      <c r="AD64" s="8">
        <f>IFERROR(
GETPIVOTDATA(
"[Base].[Importe]",
TDinamica_R!$A$5,
"[Calendario].[AñoMes]",
"[Calendario].[AñoMes].&amp;[" &amp; TEXT(AD$6,"yyyymm") &amp; "]",
"[Base].[Metrica]",
"[Base].[Metrica].&amp;[" &amp; $A64 &amp; "]",
"[Base].[SEGMENTO_DESCRIP]",
"[Base].[SEGMENTO_DESCRIP].&amp;[" &amp; $C$6 &amp; "]",
"[Base].[SITUACION]",
"[Base].[SITUACION].&amp;[" &amp; $C64 &amp; "]"
),0)/1000</f>
        <v>0.83000000000000007</v>
      </c>
      <c r="AE64" s="8">
        <f>IFERROR(
GETPIVOTDATA(
"[Base].[Importe]",
TDinamica_R!$A$5,
"[Calendario].[AñoMes]",
"[Calendario].[AñoMes].&amp;[" &amp; TEXT(AE$6,"yyyymm") &amp; "]",
"[Base].[Metrica]",
"[Base].[Metrica].&amp;[" &amp; $A64 &amp; "]",
"[Base].[SEGMENTO_DESCRIP]",
"[Base].[SEGMENTO_DESCRIP].&amp;[" &amp; $C$6 &amp; "]",
"[Base].[SITUACION]",
"[Base].[SITUACION].&amp;[" &amp; $C64 &amp; "]"
),0)/1000</f>
        <v>0.67500000000000004</v>
      </c>
      <c r="AF64" s="8">
        <f>IFERROR(
GETPIVOTDATA(
"[Base].[Importe]",
TDinamica_R!$A$5,
"[Calendario].[AñoMes]",
"[Calendario].[AñoMes].&amp;[" &amp; TEXT(AF$6,"yyyymm") &amp; "]",
"[Base].[Metrica]",
"[Base].[Metrica].&amp;[" &amp; $A64 &amp; "]",
"[Base].[SEGMENTO_DESCRIP]",
"[Base].[SEGMENTO_DESCRIP].&amp;[" &amp; $C$6 &amp; "]",
"[Base].[SITUACION]",
"[Base].[SITUACION].&amp;[" &amp; $C64 &amp; "]"
),0)/1000</f>
        <v>0.54400000000000004</v>
      </c>
      <c r="AG64" s="8">
        <f>IFERROR(
GETPIVOTDATA(
"[Base].[Importe]",
TDinamica_R!$A$5,
"[Calendario].[AñoMes]",
"[Calendario].[AñoMes].&amp;[" &amp; TEXT(AG$6,"yyyymm") &amp; "]",
"[Base].[Metrica]",
"[Base].[Metrica].&amp;[" &amp; $A64 &amp; "]",
"[Base].[SEGMENTO_DESCRIP]",
"[Base].[SEGMENTO_DESCRIP].&amp;[" &amp; $C$6 &amp; "]",
"[Base].[SITUACION]",
"[Base].[SITUACION].&amp;[" &amp; $C64 &amp; "]"
),0)/1000</f>
        <v>0.57999999999999996</v>
      </c>
      <c r="AH64" s="8">
        <f>IFERROR(
GETPIVOTDATA(
"[Base].[Importe]",
TDinamica_R!$A$5,
"[Calendario].[AñoMes]",
"[Calendario].[AñoMes].&amp;[" &amp; TEXT(AH$6,"yyyymm") &amp; "]",
"[Base].[Metrica]",
"[Base].[Metrica].&amp;[" &amp; $A64 &amp; "]",
"[Base].[SEGMENTO_DESCRIP]",
"[Base].[SEGMENTO_DESCRIP].&amp;[" &amp; $C$6 &amp; "]",
"[Base].[SITUACION]",
"[Base].[SITUACION].&amp;[" &amp; $C64 &amp; "]"
),0)/1000</f>
        <v>0.6</v>
      </c>
      <c r="AI64" s="8">
        <f>IFERROR(
GETPIVOTDATA(
"[Base].[Importe]",
TDinamica_R!$A$5,
"[Calendario].[AñoMes]",
"[Calendario].[AñoMes].&amp;[" &amp; TEXT(AI$6,"yyyymm") &amp; "]",
"[Base].[Metrica]",
"[Base].[Metrica].&amp;[" &amp; $A64 &amp; "]",
"[Base].[SEGMENTO_DESCRIP]",
"[Base].[SEGMENTO_DESCRIP].&amp;[" &amp; $C$6 &amp; "]",
"[Base].[SITUACION]",
"[Base].[SITUACION].&amp;[" &amp; $C64 &amp; "]"
),0)/1000</f>
        <v>0.55967</v>
      </c>
      <c r="AJ64" s="8">
        <f>IFERROR(
GETPIVOTDATA(
"[Base].[Importe]",
TDinamica_R!$A$5,
"[Calendario].[AñoMes]",
"[Calendario].[AñoMes].&amp;[" &amp; TEXT(AJ$6,"yyyymm") &amp; "]",
"[Base].[Metrica]",
"[Base].[Metrica].&amp;[" &amp; $A64 &amp; "]",
"[Base].[SEGMENTO_DESCRIP]",
"[Base].[SEGMENTO_DESCRIP].&amp;[" &amp; $C$6 &amp; "]",
"[Base].[SITUACION]",
"[Base].[SITUACION].&amp;[" &amp; $C64 &amp; "]"
),0)/1000</f>
        <v>0.58932999999999991</v>
      </c>
      <c r="AK64" s="8">
        <f>IFERROR(
GETPIVOTDATA(
"[Base].[Importe]",
TDinamica_R!$A$5,
"[Calendario].[AñoMes]",
"[Calendario].[AñoMes].&amp;[" &amp; TEXT(AK$6,"yyyymm") &amp; "]",
"[Base].[Metrica]",
"[Base].[Metrica].&amp;[" &amp; $A64 &amp; "]",
"[Base].[SEGMENTO_DESCRIP]",
"[Base].[SEGMENTO_DESCRIP].&amp;[" &amp; $C$6 &amp; "]",
"[Base].[SITUACION]",
"[Base].[SITUACION].&amp;[" &amp; $C64 &amp; "]"
),0)/1000</f>
        <v>0.55632999999999988</v>
      </c>
      <c r="AL64" s="8">
        <f>IFERROR(
GETPIVOTDATA(
"[Base].[Importe]",
TDinamica_R!$A$5,
"[Calendario].[AñoMes]",
"[Calendario].[AñoMes].&amp;[" &amp; TEXT(AL$6,"yyyymm") &amp; "]",
"[Base].[Metrica]",
"[Base].[Metrica].&amp;[" &amp; $A64 &amp; "]",
"[Base].[SEGMENTO_DESCRIP]",
"[Base].[SEGMENTO_DESCRIP].&amp;[" &amp; $C$6 &amp; "]",
"[Base].[SITUACION]",
"[Base].[SITUACION].&amp;[" &amp; $C64 &amp; "]"
),0)/1000</f>
        <v>0.51</v>
      </c>
      <c r="AM64" s="8">
        <f>IFERROR(
GETPIVOTDATA(
"[Base].[Importe]",
TDinamica_R!$A$5,
"[Calendario].[AñoMes]",
"[Calendario].[AñoMes].&amp;[" &amp; TEXT(AM$6,"yyyymm") &amp; "]",
"[Base].[Metrica]",
"[Base].[Metrica].&amp;[" &amp; $A64 &amp; "]",
"[Base].[SEGMENTO_DESCRIP]",
"[Base].[SEGMENTO_DESCRIP].&amp;[" &amp; $C$6 &amp; "]",
"[Base].[SITUACION]",
"[Base].[SITUACION].&amp;[" &amp; $C64 &amp; "]"
),0)/1000</f>
        <v>0.50034000000000001</v>
      </c>
      <c r="AN64" s="8">
        <f>IFERROR(
GETPIVOTDATA(
"[Base].[Importe]",
TDinamica_R!$A$5,
"[Calendario].[AñoMes]",
"[Calendario].[AñoMes].&amp;[" &amp; TEXT(AN$6,"yyyymm") &amp; "]",
"[Base].[Metrica]",
"[Base].[Metrica].&amp;[" &amp; $A64 &amp; "]",
"[Base].[SEGMENTO_DESCRIP]",
"[Base].[SEGMENTO_DESCRIP].&amp;[" &amp; $C$6 &amp; "]",
"[Base].[SITUACION]",
"[Base].[SITUACION].&amp;[" &amp; $C64 &amp; "]"
),0)/1000</f>
        <v>0.48666000000000004</v>
      </c>
      <c r="AO64" s="8">
        <f>IFERROR(
GETPIVOTDATA(
"[Base].[Importe]",
TDinamica_R!$A$5,
"[Calendario].[AñoMes]",
"[Calendario].[AñoMes].&amp;[" &amp; TEXT(AO$6,"yyyymm") &amp; "]",
"[Base].[Metrica]",
"[Base].[Metrica].&amp;[" &amp; $A64 &amp; "]",
"[Base].[SEGMENTO_DESCRIP]",
"[Base].[SEGMENTO_DESCRIP].&amp;[" &amp; $C$6 &amp; "]",
"[Base].[SITUACION]",
"[Base].[SITUACION].&amp;[" &amp; $C64 &amp; "]"
),0)/1000</f>
        <v>0.48066999999999999</v>
      </c>
      <c r="AP64" s="8">
        <f>IFERROR(
GETPIVOTDATA(
"[Base].[Importe]",
TDinamica_R!$A$5,
"[Calendario].[AñoMes]",
"[Calendario].[AñoMes].&amp;[" &amp; TEXT(AP$6,"yyyymm") &amp; "]",
"[Base].[Metrica]",
"[Base].[Metrica].&amp;[" &amp; $A64 &amp; "]",
"[Base].[SEGMENTO_DESCRIP]",
"[Base].[SEGMENTO_DESCRIP].&amp;[" &amp; $C$6 &amp; "]",
"[Base].[SITUACION]",
"[Base].[SITUACION].&amp;[" &amp; $C64 &amp; "]"
),0)/1000</f>
        <v>0.53</v>
      </c>
      <c r="AQ64" s="8">
        <f>IFERROR(
GETPIVOTDATA(
"[Base].[Importe]",
TDinamica_R!$A$5,
"[Calendario].[AñoMes]",
"[Calendario].[AñoMes].&amp;[" &amp; TEXT(AQ$6,"yyyymm") &amp; "]",
"[Base].[Metrica]",
"[Base].[Metrica].&amp;[" &amp; $A64 &amp; "]",
"[Base].[SEGMENTO_DESCRIP]",
"[Base].[SEGMENTO_DESCRIP].&amp;[" &amp; $C$6 &amp; "]",
"[Base].[SITUACION]",
"[Base].[SITUACION].&amp;[" &amp; $C64 &amp; "]"
),0)/1000</f>
        <v>0.42</v>
      </c>
      <c r="AR64" s="8">
        <f>IFERROR(
GETPIVOTDATA(
"[Base].[Importe]",
TDinamica_R!$A$5,
"[Calendario].[AñoMes]",
"[Calendario].[AñoMes].&amp;[" &amp; TEXT(AR$6,"yyyymm") &amp; "]",
"[Base].[Metrica]",
"[Base].[Metrica].&amp;[" &amp; $A64 &amp; "]",
"[Base].[SEGMENTO_DESCRIP]",
"[Base].[SEGMENTO_DESCRIP].&amp;[" &amp; $C$6 &amp; "]",
"[Base].[SITUACION]",
"[Base].[SITUACION].&amp;[" &amp; $C64 &amp; "]"
),0)/1000</f>
        <v>0.4</v>
      </c>
      <c r="AS64" s="8">
        <f>IFERROR(
GETPIVOTDATA(
"[Base].[Importe]",
TDinamica_R!$A$5,
"[Calendario].[AñoMes]",
"[Calendario].[AñoMes].&amp;[" &amp; TEXT(AS$6,"yyyymm") &amp; "]",
"[Base].[Metrica]",
"[Base].[Metrica].&amp;[" &amp; $A64 &amp; "]",
"[Base].[SEGMENTO_DESCRIP]",
"[Base].[SEGMENTO_DESCRIP].&amp;[" &amp; $C$6 &amp; "]",
"[Base].[SITUACION]",
"[Base].[SITUACION].&amp;[" &amp; $C64 &amp; "]"
),0)/1000</f>
        <v>0.49967</v>
      </c>
      <c r="AT64" s="8">
        <f>IFERROR(
GETPIVOTDATA(
"[Base].[Importe]",
TDinamica_R!$A$5,
"[Calendario].[AñoMes]",
"[Calendario].[AñoMes].&amp;[" &amp; TEXT(AT$6,"yyyymm")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U64" s="8">
        <f>IFERROR(
GETPIVOTDATA(
"[Base].[Importe]",
TDinamica_R!$A$5,
"[Calendario].[AñoMes]",
"[Calendario].[AñoMes].&amp;[" &amp; TEXT(AU$6,"yyyymm")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V64" s="8">
        <f>IFERROR(
GETPIVOTDATA(
"[Base].[Importe]",
TDinamica_R!$A$5,
"[Calendario].[AñoMes]",
"[Calendario].[AñoMes].&amp;[" &amp; TEXT(AV$6,"yyyymm")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W64" s="8">
        <f>IFERROR(
GETPIVOTDATA(
"[Base].[Importe]",
TDinamica_R!$A$5,
"[Calendario].[AñoMes]",
"[Calendario].[AñoMes].&amp;[" &amp; TEXT(AW$6,"yyyymm")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X64" s="8">
        <f>IFERROR(
GETPIVOTDATA(
"[Base].[Importe]",
TDinamica_R!$A$5,
"[Calendario].[AñoMes]",
"[Calendario].[AñoMes].&amp;[" &amp; TEXT(AX$6,"yyyymm")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Y64" s="8">
        <f>IFERROR(
GETPIVOTDATA(
"[Base].[Importe]",
TDinamica_R!$A$5,
"[Calendario].[AñoMes]",
"[Calendario].[AñoMes].&amp;[" &amp; TEXT(AY$6,"yyyymm")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Z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TEXT(AZ$6,"yyyymm") &amp; "]"
),
0
)</f>
        <v>0.6885242857142857</v>
      </c>
      <c r="BA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TEXT(BA$6,"yyyymm") &amp; "]"
),
0
)</f>
        <v>0.6885242857142857</v>
      </c>
      <c r="BB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TEXT(BB$6,"yyyymm") &amp; "]"
),
0
)</f>
        <v>0.6885242857142857</v>
      </c>
      <c r="BC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TEXT(BC$6,"yyyymm") &amp; "]"
),
0
)</f>
        <v>0.6885242857142857</v>
      </c>
      <c r="BD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TEXT(BD$6,"yyyymm") &amp; "]"
),
0
)</f>
        <v>0.6885242857142857</v>
      </c>
      <c r="BE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TEXT(BE$6,"yyyymm") &amp; "]"
),
0
)</f>
        <v>0.6885242857142857</v>
      </c>
      <c r="BF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TEXT(BF$6,"yyyymm") &amp; "]"
),
0
)</f>
        <v>0.6885242857142857</v>
      </c>
      <c r="BG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TEXT(BG$6,"yyyymm") &amp; "]"
),
0
)</f>
        <v>0.6885242857142857</v>
      </c>
      <c r="BH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TEXT(BH$6,"yyyymm") &amp; "]"
),
0
)</f>
        <v>0.6885242857142857</v>
      </c>
      <c r="BI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TEXT(BI$6,"yyyymm") &amp; "]"
),
0
)</f>
        <v>0.6885242857142857</v>
      </c>
      <c r="BJ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TEXT(BJ$6,"yyyymm") &amp; "]"
),
0
)</f>
        <v>0.6885242857142857</v>
      </c>
      <c r="BK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TEXT(BK$6,"yyyymm") &amp; "]"
),
0
)</f>
        <v>0.6885242857142857</v>
      </c>
      <c r="BO64" s="24">
        <f t="shared" si="64"/>
        <v>1.49733</v>
      </c>
      <c r="BP64" s="24">
        <f t="shared" si="64"/>
        <v>2.0655728571428571</v>
      </c>
      <c r="BQ64" s="24">
        <f t="shared" si="64"/>
        <v>0.96733000000000002</v>
      </c>
      <c r="BR64" s="24">
        <f t="shared" si="64"/>
        <v>2.4206699999999999</v>
      </c>
      <c r="BS64" s="24">
        <f t="shared" si="64"/>
        <v>3.4556599999999995</v>
      </c>
      <c r="BT64" s="24">
        <f t="shared" si="64"/>
        <v>6.5703300000000002</v>
      </c>
    </row>
    <row r="65" spans="1:72" hidden="1" outlineLevel="1" x14ac:dyDescent="0.25">
      <c r="A65" s="11" t="s">
        <v>71</v>
      </c>
      <c r="C65" s="2" t="s">
        <v>114</v>
      </c>
      <c r="D65" s="8">
        <f>IFERROR(
GETPIVOTDATA(
"[Base].[Importe]",
TDinamica_R!$A$5,
"[Calendario].[AñoMes]",
"[Calendario].[AñoMes].&amp;[" &amp; TEXT(D$6,"yyyymm") &amp; "]",
"[Base].[Metrica]",
"[Base].[Metrica].&amp;[" &amp; $A65 &amp; "]",
"[Base].[SEGMENTO_DESCRIP]",
"[Base].[SEGMENTO_DESCRIP].&amp;[" &amp; $C$6 &amp; "]",
"[Base].[SITUACION]",
"[Base].[SITUACION].&amp;[" &amp; $C65 &amp; "]"
),0)/1000</f>
        <v>0.1343244096</v>
      </c>
      <c r="E65" s="8">
        <f>IFERROR(
GETPIVOTDATA(
"[Base].[Importe]",
TDinamica_R!$A$5,
"[Calendario].[AñoMes]",
"[Calendario].[AñoMes].&amp;[" &amp; TEXT(E$6,"yyyymm")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F65" s="8">
        <f>IFERROR(
GETPIVOTDATA(
"[Base].[Importe]",
TDinamica_R!$A$5,
"[Calendario].[AñoMes]",
"[Calendario].[AñoMes].&amp;[" &amp; TEXT(F$6,"yyyymm")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G65" s="8">
        <f>IFERROR(
GETPIVOTDATA(
"[Base].[Importe]",
TDinamica_R!$A$5,
"[Calendario].[AñoMes]",
"[Calendario].[AñoMes].&amp;[" &amp; TEXT(G$6,"yyyymm")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H65" s="8">
        <f>IFERROR(
GETPIVOTDATA(
"[Base].[Importe]",
TDinamica_R!$A$5,
"[Calendario].[AñoMes]",
"[Calendario].[AñoMes].&amp;[" &amp; TEXT(H$6,"yyyymm")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I65" s="8">
        <f>IFERROR(
GETPIVOTDATA(
"[Base].[Importe]",
TDinamica_R!$A$5,
"[Calendario].[AñoMes]",
"[Calendario].[AñoMes].&amp;[" &amp; TEXT(I$6,"yyyymm") &amp; "]",
"[Base].[Metrica]",
"[Base].[Metrica].&amp;[" &amp; $A65 &amp; "]",
"[Base].[SEGMENTO_DESCRIP]",
"[Base].[SEGMENTO_DESCRIP].&amp;[" &amp; $C$6 &amp; "]",
"[Base].[SITUACION]",
"[Base].[SITUACION].&amp;[" &amp; $C65 &amp; "]"
),0)/1000</f>
        <v>0.14937149869999999</v>
      </c>
      <c r="J65" s="8">
        <f>IFERROR(
GETPIVOTDATA(
"[Base].[Importe]",
TDinamica_R!$A$5,
"[Calendario].[AñoMes]",
"[Calendario].[AñoMes].&amp;[" &amp; TEXT(J$6,"yyyymm")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K65" s="8">
        <f>IFERROR(
GETPIVOTDATA(
"[Base].[Importe]",
TDinamica_R!$A$5,
"[Calendario].[AñoMes]",
"[Calendario].[AñoMes].&amp;[" &amp; TEXT(K$6,"yyyymm")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L65" s="8">
        <f>IFERROR(
GETPIVOTDATA(
"[Base].[Importe]",
TDinamica_R!$A$5,
"[Calendario].[AñoMes]",
"[Calendario].[AñoMes].&amp;[" &amp; TEXT(L$6,"yyyymm")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M65" s="8">
        <f>IFERROR(
GETPIVOTDATA(
"[Base].[Importe]",
TDinamica_R!$A$5,
"[Calendario].[AñoMes]",
"[Calendario].[AñoMes].&amp;[" &amp; TEXT(M$6,"yyyymm")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N65" s="8">
        <f>IFERROR(
GETPIVOTDATA(
"[Base].[Importe]",
TDinamica_R!$A$5,
"[Calendario].[AñoMes]",
"[Calendario].[AñoMes].&amp;[" &amp; TEXT(N$6,"yyyymm") &amp; "]",
"[Base].[Metrica]",
"[Base].[Metrica].&amp;[" &amp; $A65 &amp; "]",
"[Base].[SEGMENTO_DESCRIP]",
"[Base].[SEGMENTO_DESCRIP].&amp;[" &amp; $C$6 &amp; "]",
"[Base].[SITUACION]",
"[Base].[SITUACION].&amp;[" &amp; $C65 &amp; "]"
),0)/1000</f>
        <v>4.4122667040000004E-3</v>
      </c>
      <c r="O65" s="8">
        <f>IFERROR(
GETPIVOTDATA(
"[Base].[Importe]",
TDinamica_R!$A$5,
"[Calendario].[AñoMes]",
"[Calendario].[AñoMes].&amp;[" &amp; TEXT(O$6,"yyyymm") &amp; "]",
"[Base].[Metrica]",
"[Base].[Metrica].&amp;[" &amp; $A65 &amp; "]",
"[Base].[SEGMENTO_DESCRIP]",
"[Base].[SEGMENTO_DESCRIP].&amp;[" &amp; $C$6 &amp; "]",
"[Base].[SITUACION]",
"[Base].[SITUACION].&amp;[" &amp; $C65 &amp; "]"
),0)/1000</f>
        <v>0.24144809019999999</v>
      </c>
      <c r="P65" s="8">
        <f>IFERROR(
GETPIVOTDATA(
"[Base].[Importe]",
TDinamica_R!$A$5,
"[Calendario].[AñoMes]",
"[Calendario].[AñoMes].&amp;[" &amp; TEXT(P$6,"yyyymm") &amp; "]",
"[Base].[Metrica]",
"[Base].[Metrica].&amp;[" &amp; $A65 &amp; "]",
"[Base].[SEGMENTO_DESCRIP]",
"[Base].[SEGMENTO_DESCRIP].&amp;[" &amp; $C$6 &amp; "]",
"[Base].[SITUACION]",
"[Base].[SITUACION].&amp;[" &amp; $C65 &amp; "]"
),0)/1000</f>
        <v>-0.1093151136</v>
      </c>
      <c r="Q65" s="8">
        <f>IFERROR(
GETPIVOTDATA(
"[Base].[Importe]",
TDinamica_R!$A$5,
"[Calendario].[AñoMes]",
"[Calendario].[AñoMes].&amp;[" &amp; TEXT(Q$6,"yyyymm")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R65" s="8">
        <f>IFERROR(
GETPIVOTDATA(
"[Base].[Importe]",
TDinamica_R!$A$5,
"[Calendario].[AñoMes]",
"[Calendario].[AñoMes].&amp;[" &amp; TEXT(R$6,"yyyymm")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S65" s="8">
        <f>IFERROR(
GETPIVOTDATA(
"[Base].[Importe]",
TDinamica_R!$A$5,
"[Calendario].[AñoMes]",
"[Calendario].[AñoMes].&amp;[" &amp; TEXT(S$6,"yyyymm")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T65" s="8">
        <f>IFERROR(
GETPIVOTDATA(
"[Base].[Importe]",
TDinamica_R!$A$5,
"[Calendario].[AñoMes]",
"[Calendario].[AñoMes].&amp;[" &amp; TEXT(T$6,"yyyymm") &amp; "]",
"[Base].[Metrica]",
"[Base].[Metrica].&amp;[" &amp; $A65 &amp; "]",
"[Base].[SEGMENTO_DESCRIP]",
"[Base].[SEGMENTO_DESCRIP].&amp;[" &amp; $C$6 &amp; "]",
"[Base].[SITUACION]",
"[Base].[SITUACION].&amp;[" &amp; $C65 &amp; "]"
),0)/1000</f>
        <v>0.129787025</v>
      </c>
      <c r="U65" s="8">
        <f>IFERROR(
GETPIVOTDATA(
"[Base].[Importe]",
TDinamica_R!$A$5,
"[Calendario].[AñoMes]",
"[Calendario].[AñoMes].&amp;[" &amp; TEXT(U$6,"yyyymm") &amp; "]",
"[Base].[Metrica]",
"[Base].[Metrica].&amp;[" &amp; $A65 &amp; "]",
"[Base].[SEGMENTO_DESCRIP]",
"[Base].[SEGMENTO_DESCRIP].&amp;[" &amp; $C$6 &amp; "]",
"[Base].[SITUACION]",
"[Base].[SITUACION].&amp;[" &amp; $C65 &amp; "]"
),0)/1000</f>
        <v>0.12903096890000001</v>
      </c>
      <c r="V65" s="8">
        <f>IFERROR(
GETPIVOTDATA(
"[Base].[Importe]",
TDinamica_R!$A$5,
"[Calendario].[AñoMes]",
"[Calendario].[AñoMes].&amp;[" &amp; TEXT(V$6,"yyyymm") &amp; "]",
"[Base].[Metrica]",
"[Base].[Metrica].&amp;[" &amp; $A65 &amp; "]",
"[Base].[SEGMENTO_DESCRIP]",
"[Base].[SEGMENTO_DESCRIP].&amp;[" &amp; $C$6 &amp; "]",
"[Base].[SITUACION]",
"[Base].[SITUACION].&amp;[" &amp; $C65 &amp; "]"
),0)/1000</f>
        <v>0.12853252109999999</v>
      </c>
      <c r="W65" s="8">
        <f>IFERROR(
GETPIVOTDATA(
"[Base].[Importe]",
TDinamica_R!$A$5,
"[Calendario].[AñoMes]",
"[Calendario].[AñoMes].&amp;[" &amp; TEXT(W$6,"yyyymm")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X65" s="8">
        <f>IFERROR(
GETPIVOTDATA(
"[Base].[Importe]",
TDinamica_R!$A$5,
"[Calendario].[AñoMes]",
"[Calendario].[AñoMes].&amp;[" &amp; TEXT(X$6,"yyyymm") &amp; "]",
"[Base].[Metrica]",
"[Base].[Metrica].&amp;[" &amp; $A65 &amp; "]",
"[Base].[SEGMENTO_DESCRIP]",
"[Base].[SEGMENTO_DESCRIP].&amp;[" &amp; $C$6 &amp; "]",
"[Base].[SITUACION]",
"[Base].[SITUACION].&amp;[" &amp; $C65 &amp; "]"
),0)/1000</f>
        <v>4.1728936760000002E-2</v>
      </c>
      <c r="Y65" s="8">
        <f>IFERROR(
GETPIVOTDATA(
"[Base].[Importe]",
TDinamica_R!$A$5,
"[Calendario].[AñoMes]",
"[Calendario].[AñoMes].&amp;[" &amp; TEXT(Y$6,"yyyymm") &amp; "]",
"[Base].[Metrica]",
"[Base].[Metrica].&amp;[" &amp; $A65 &amp; "]",
"[Base].[SEGMENTO_DESCRIP]",
"[Base].[SEGMENTO_DESCRIP].&amp;[" &amp; $C$6 &amp; "]",
"[Base].[SITUACION]",
"[Base].[SITUACION].&amp;[" &amp; $C65 &amp; "]"
),0)/1000</f>
        <v>0.12628592990000001</v>
      </c>
      <c r="Z65" s="8">
        <f>IFERROR(
GETPIVOTDATA(
"[Base].[Importe]",
TDinamica_R!$A$5,
"[Calendario].[AñoMes]",
"[Calendario].[AñoMes].&amp;[" &amp; TEXT(Z$6,"yyyymm")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A65" s="8">
        <f>IFERROR(
GETPIVOTDATA(
"[Base].[Importe]",
TDinamica_R!$A$5,
"[Calendario].[AñoMes]",
"[Calendario].[AñoMes].&amp;[" &amp; TEXT(AA$6,"yyyymm")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B65" s="8">
        <f>IFERROR(
GETPIVOTDATA(
"[Base].[Importe]",
TDinamica_R!$A$5,
"[Calendario].[AñoMes]",
"[Calendario].[AñoMes].&amp;[" &amp; TEXT(AB$6,"yyyymm")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C65" s="8">
        <f>IFERROR(
GETPIVOTDATA(
"[Base].[Importe]",
TDinamica_R!$A$5,
"[Calendario].[AñoMes]",
"[Calendario].[AñoMes].&amp;[" &amp; TEXT(AC$6,"yyyymm") &amp; "]",
"[Base].[Metrica]",
"[Base].[Metrica].&amp;[" &amp; $A65 &amp; "]",
"[Base].[SEGMENTO_DESCRIP]",
"[Base].[SEGMENTO_DESCRIP].&amp;[" &amp; $C$6 &amp; "]",
"[Base].[SITUACION]",
"[Base].[SITUACION].&amp;[" &amp; $C65 &amp; "]"
),0)/1000</f>
        <v>0.1218987047</v>
      </c>
      <c r="AD65" s="8">
        <f>IFERROR(
GETPIVOTDATA(
"[Base].[Importe]",
TDinamica_R!$A$5,
"[Calendario].[AñoMes]",
"[Calendario].[AñoMes].&amp;[" &amp; TEXT(AD$6,"yyyymm")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E65" s="8">
        <f>IFERROR(
GETPIVOTDATA(
"[Base].[Importe]",
TDinamica_R!$A$5,
"[Calendario].[AñoMes]",
"[Calendario].[AñoMes].&amp;[" &amp; TEXT(AE$6,"yyyymm")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F65" s="8">
        <f>IFERROR(
GETPIVOTDATA(
"[Base].[Importe]",
TDinamica_R!$A$5,
"[Calendario].[AñoMes]",
"[Calendario].[AñoMes].&amp;[" &amp; TEXT(AF$6,"yyyymm") &amp; "]",
"[Base].[Metrica]",
"[Base].[Metrica].&amp;[" &amp; $A65 &amp; "]",
"[Base].[SEGMENTO_DESCRIP]",
"[Base].[SEGMENTO_DESCRIP].&amp;[" &amp; $C$6 &amp; "]",
"[Base].[SITUACION]",
"[Base].[SITUACION].&amp;[" &amp; $C65 &amp; "]"
),0)/1000</f>
        <v>0.11851388309999999</v>
      </c>
      <c r="AG65" s="8">
        <f>IFERROR(
GETPIVOTDATA(
"[Base].[Importe]",
TDinamica_R!$A$5,
"[Calendario].[AñoMes]",
"[Calendario].[AñoMes].&amp;[" &amp; TEXT(AG$6,"yyyymm")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H65" s="8">
        <f>IFERROR(
GETPIVOTDATA(
"[Base].[Importe]",
TDinamica_R!$A$5,
"[Calendario].[AñoMes]",
"[Calendario].[AñoMes].&amp;[" &amp; TEXT(AH$6,"yyyymm") &amp; "]",
"[Base].[Metrica]",
"[Base].[Metrica].&amp;[" &amp; $A65 &amp; "]",
"[Base].[SEGMENTO_DESCRIP]",
"[Base].[SEGMENTO_DESCRIP].&amp;[" &amp; $C$6 &amp; "]",
"[Base].[SITUACION]",
"[Base].[SITUACION].&amp;[" &amp; $C65 &amp; "]"
),0)/1000</f>
        <v>2.3344005630000001E-2</v>
      </c>
      <c r="AI65" s="8">
        <f>IFERROR(
GETPIVOTDATA(
"[Base].[Importe]",
TDinamica_R!$A$5,
"[Calendario].[AñoMes]",
"[Calendario].[AñoMes].&amp;[" &amp; TEXT(AI$6,"yyyymm")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J65" s="8">
        <f>IFERROR(
GETPIVOTDATA(
"[Base].[Importe]",
TDinamica_R!$A$5,
"[Calendario].[AñoMes]",
"[Calendario].[AñoMes].&amp;[" &amp; TEXT(AJ$6,"yyyymm")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K65" s="8">
        <f>IFERROR(
GETPIVOTDATA(
"[Base].[Importe]",
TDinamica_R!$A$5,
"[Calendario].[AñoMes]",
"[Calendario].[AñoMes].&amp;[" &amp; TEXT(AK$6,"yyyymm")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L65" s="8">
        <f>IFERROR(
GETPIVOTDATA(
"[Base].[Importe]",
TDinamica_R!$A$5,
"[Calendario].[AñoMes]",
"[Calendario].[AñoMes].&amp;[" &amp; TEXT(AL$6,"yyyymm")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M65" s="8">
        <f>IFERROR(
GETPIVOTDATA(
"[Base].[Importe]",
TDinamica_R!$A$5,
"[Calendario].[AñoMes]",
"[Calendario].[AñoMes].&amp;[" &amp; TEXT(AM$6,"yyyymm") &amp; "]",
"[Base].[Metrica]",
"[Base].[Metrica].&amp;[" &amp; $A65 &amp; "]",
"[Base].[SEGMENTO_DESCRIP]",
"[Base].[SEGMENTO_DESCRIP].&amp;[" &amp; $C$6 &amp; "]",
"[Base].[SITUACION]",
"[Base].[SITUACION].&amp;[" &amp; $C65 &amp; "]"
),0)/1000</f>
        <v>0.11029327999999999</v>
      </c>
      <c r="AN65" s="8">
        <f>IFERROR(
GETPIVOTDATA(
"[Base].[Importe]",
TDinamica_R!$A$5,
"[Calendario].[AñoMes]",
"[Calendario].[AñoMes].&amp;[" &amp; TEXT(AN$6,"yyyymm") &amp; "]",
"[Base].[Metrica]",
"[Base].[Metrica].&amp;[" &amp; $A65 &amp; "]",
"[Base].[SEGMENTO_DESCRIP]",
"[Base].[SEGMENTO_DESCRIP].&amp;[" &amp; $C$6 &amp; "]",
"[Base].[SITUACION]",
"[Base].[SITUACION].&amp;[" &amp; $C65 &amp; "]"
),0)/1000</f>
        <v>0.15886705972793205</v>
      </c>
      <c r="AO65" s="8">
        <f>IFERROR(
GETPIVOTDATA(
"[Base].[Importe]",
TDinamica_R!$A$5,
"[Calendario].[AñoMes]",
"[Calendario].[AñoMes].&amp;[" &amp; TEXT(AO$6,"yyyymm")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P65" s="8">
        <f>IFERROR(
GETPIVOTDATA(
"[Base].[Importe]",
TDinamica_R!$A$5,
"[Calendario].[AñoMes]",
"[Calendario].[AñoMes].&amp;[" &amp; TEXT(AP$6,"yyyymm") &amp; "]",
"[Base].[Metrica]",
"[Base].[Metrica].&amp;[" &amp; $A65 &amp; "]",
"[Base].[SEGMENTO_DESCRIP]",
"[Base].[SEGMENTO_DESCRIP].&amp;[" &amp; $C$6 &amp; "]",
"[Base].[SITUACION]",
"[Base].[SITUACION].&amp;[" &amp; $C65 &amp; "]"
),0)/1000</f>
        <v>0.17432333435764419</v>
      </c>
      <c r="AQ65" s="8">
        <f>IFERROR(
GETPIVOTDATA(
"[Base].[Importe]",
TDinamica_R!$A$5,
"[Calendario].[AñoMes]",
"[Calendario].[AñoMes].&amp;[" &amp; TEXT(AQ$6,"yyyymm")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R65" s="8">
        <f>IFERROR(
GETPIVOTDATA(
"[Base].[Importe]",
TDinamica_R!$A$5,
"[Calendario].[AñoMes]",
"[Calendario].[AñoMes].&amp;[" &amp; TEXT(AR$6,"yyyymm")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S65" s="8">
        <f>IFERROR(
GETPIVOTDATA(
"[Base].[Importe]",
TDinamica_R!$A$5,
"[Calendario].[AñoMes]",
"[Calendario].[AñoMes].&amp;[" &amp; TEXT(AS$6,"yyyymm")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T65" s="8">
        <f>IFERROR(
GETPIVOTDATA(
"[Base].[Importe]",
TDinamica_R!$A$5,
"[Calendario].[AñoMes]",
"[Calendario].[AñoMes].&amp;[" &amp; TEXT(AT$6,"yyyymm")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U65" s="8">
        <f>IFERROR(
GETPIVOTDATA(
"[Base].[Importe]",
TDinamica_R!$A$5,
"[Calendario].[AñoMes]",
"[Calendario].[AñoMes].&amp;[" &amp; TEXT(AU$6,"yyyymm")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V65" s="8">
        <f>IFERROR(
GETPIVOTDATA(
"[Base].[Importe]",
TDinamica_R!$A$5,
"[Calendario].[AñoMes]",
"[Calendario].[AñoMes].&amp;[" &amp; TEXT(AV$6,"yyyymm")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W65" s="8">
        <f>IFERROR(
GETPIVOTDATA(
"[Base].[Importe]",
TDinamica_R!$A$5,
"[Calendario].[AñoMes]",
"[Calendario].[AñoMes].&amp;[" &amp; TEXT(AW$6,"yyyymm")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X65" s="8">
        <f>IFERROR(
GETPIVOTDATA(
"[Base].[Importe]",
TDinamica_R!$A$5,
"[Calendario].[AñoMes]",
"[Calendario].[AñoMes].&amp;[" &amp; TEXT(AX$6,"yyyymm")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Y65" s="8">
        <f>IFERROR(
GETPIVOTDATA(
"[Base].[Importe]",
TDinamica_R!$A$5,
"[Calendario].[AñoMes]",
"[Calendario].[AñoMes].&amp;[" &amp; TEXT(AY$6,"yyyymm")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Z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TEXT(AZ$6,"yyyymm") &amp; "]"
),
0
)</f>
        <v>0</v>
      </c>
      <c r="BA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TEXT(BA$6,"yyyymm") &amp; "]"
),
0
)</f>
        <v>0</v>
      </c>
      <c r="BB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TEXT(BB$6,"yyyymm") &amp; "]"
),
0
)</f>
        <v>0</v>
      </c>
      <c r="BC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TEXT(BC$6,"yyyymm") &amp; "]"
),
0
)</f>
        <v>0</v>
      </c>
      <c r="BD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TEXT(BD$6,"yyyymm") &amp; "]"
),
0
)</f>
        <v>0</v>
      </c>
      <c r="BE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TEXT(BE$6,"yyyymm") &amp; "]"
),
0
)</f>
        <v>0</v>
      </c>
      <c r="BF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TEXT(BF$6,"yyyymm") &amp; "]"
),
0
)</f>
        <v>0</v>
      </c>
      <c r="BG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TEXT(BG$6,"yyyymm") &amp; "]"
),
0
)</f>
        <v>0</v>
      </c>
      <c r="BH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TEXT(BH$6,"yyyymm") &amp; "]"
),
0
)</f>
        <v>0</v>
      </c>
      <c r="BI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TEXT(BI$6,"yyyymm") &amp; "]"
),
0
)</f>
        <v>0</v>
      </c>
      <c r="BJ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TEXT(BJ$6,"yyyymm") &amp; "]"
),
0
)</f>
        <v>0</v>
      </c>
      <c r="BK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TEXT(BK$6,"yyyymm") &amp; "]"
),
0
)</f>
        <v>0</v>
      </c>
      <c r="BO65" s="24">
        <f t="shared" si="64"/>
        <v>0.33319039408557627</v>
      </c>
      <c r="BP65" s="24">
        <f t="shared" si="64"/>
        <v>0</v>
      </c>
      <c r="BQ65" s="24">
        <f t="shared" si="64"/>
        <v>0.15886705972793205</v>
      </c>
      <c r="BR65" s="24">
        <f t="shared" si="64"/>
        <v>0.1218987047</v>
      </c>
      <c r="BS65" s="24">
        <f t="shared" si="64"/>
        <v>-0.1093151136</v>
      </c>
      <c r="BT65" s="24">
        <f t="shared" si="64"/>
        <v>0.1343244096</v>
      </c>
    </row>
    <row r="66" spans="1:72" hidden="1" outlineLevel="1" x14ac:dyDescent="0.25">
      <c r="A66" s="11" t="s">
        <v>71</v>
      </c>
      <c r="C66" s="2"/>
      <c r="D66" s="8">
        <f>IFERROR(
GETPIVOTDATA(
"[Base].[Importe]",
TDinamica_R!$A$5,
"[Calendario].[AñoMes]",
"[Calendario].[AñoMes].&amp;[" &amp; TEXT(D$6,"yyyymm")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E66" s="8">
        <f>IFERROR(
GETPIVOTDATA(
"[Base].[Importe]",
TDinamica_R!$A$5,
"[Calendario].[AñoMes]",
"[Calendario].[AñoMes].&amp;[" &amp; TEXT(E$6,"yyyymm")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F66" s="8">
        <f>IFERROR(
GETPIVOTDATA(
"[Base].[Importe]",
TDinamica_R!$A$5,
"[Calendario].[AñoMes]",
"[Calendario].[AñoMes].&amp;[" &amp; TEXT(F$6,"yyyymm")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G66" s="8">
        <f>IFERROR(
GETPIVOTDATA(
"[Base].[Importe]",
TDinamica_R!$A$5,
"[Calendario].[AñoMes]",
"[Calendario].[AñoMes].&amp;[" &amp; TEXT(G$6,"yyyymm")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H66" s="8">
        <f>IFERROR(
GETPIVOTDATA(
"[Base].[Importe]",
TDinamica_R!$A$5,
"[Calendario].[AñoMes]",
"[Calendario].[AñoMes].&amp;[" &amp; TEXT(H$6,"yyyymm")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I66" s="8">
        <f>IFERROR(
GETPIVOTDATA(
"[Base].[Importe]",
TDinamica_R!$A$5,
"[Calendario].[AñoMes]",
"[Calendario].[AñoMes].&amp;[" &amp; TEXT(I$6,"yyyymm")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J66" s="8">
        <f>IFERROR(
GETPIVOTDATA(
"[Base].[Importe]",
TDinamica_R!$A$5,
"[Calendario].[AñoMes]",
"[Calendario].[AñoMes].&amp;[" &amp; TEXT(J$6,"yyyymm")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K66" s="8">
        <f>IFERROR(
GETPIVOTDATA(
"[Base].[Importe]",
TDinamica_R!$A$5,
"[Calendario].[AñoMes]",
"[Calendario].[AñoMes].&amp;[" &amp; TEXT(K$6,"yyyymm")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L66" s="8">
        <f>IFERROR(
GETPIVOTDATA(
"[Base].[Importe]",
TDinamica_R!$A$5,
"[Calendario].[AñoMes]",
"[Calendario].[AñoMes].&amp;[" &amp; TEXT(L$6,"yyyymm")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M66" s="8">
        <f>IFERROR(
GETPIVOTDATA(
"[Base].[Importe]",
TDinamica_R!$A$5,
"[Calendario].[AñoMes]",
"[Calendario].[AñoMes].&amp;[" &amp; TEXT(M$6,"yyyymm")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N66" s="8">
        <f>IFERROR(
GETPIVOTDATA(
"[Base].[Importe]",
TDinamica_R!$A$5,
"[Calendario].[AñoMes]",
"[Calendario].[AñoMes].&amp;[" &amp; TEXT(N$6,"yyyymm")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O66" s="8">
        <f>IFERROR(
GETPIVOTDATA(
"[Base].[Importe]",
TDinamica_R!$A$5,
"[Calendario].[AñoMes]",
"[Calendario].[AñoMes].&amp;[" &amp; TEXT(O$6,"yyyymm")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P66" s="8">
        <f>IFERROR(
GETPIVOTDATA(
"[Base].[Importe]",
TDinamica_R!$A$5,
"[Calendario].[AñoMes]",
"[Calendario].[AñoMes].&amp;[" &amp; TEXT(P$6,"yyyymm")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Q66" s="8">
        <f>IFERROR(
GETPIVOTDATA(
"[Base].[Importe]",
TDinamica_R!$A$5,
"[Calendario].[AñoMes]",
"[Calendario].[AñoMes].&amp;[" &amp; TEXT(Q$6,"yyyymm")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R66" s="8">
        <f>IFERROR(
GETPIVOTDATA(
"[Base].[Importe]",
TDinamica_R!$A$5,
"[Calendario].[AñoMes]",
"[Calendario].[AñoMes].&amp;[" &amp; TEXT(R$6,"yyyymm")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S66" s="8">
        <f>IFERROR(
GETPIVOTDATA(
"[Base].[Importe]",
TDinamica_R!$A$5,
"[Calendario].[AñoMes]",
"[Calendario].[AñoMes].&amp;[" &amp; TEXT(S$6,"yyyymm")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T66" s="8">
        <f>IFERROR(
GETPIVOTDATA(
"[Base].[Importe]",
TDinamica_R!$A$5,
"[Calendario].[AñoMes]",
"[Calendario].[AñoMes].&amp;[" &amp; TEXT(T$6,"yyyymm")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U66" s="8">
        <f>IFERROR(
GETPIVOTDATA(
"[Base].[Importe]",
TDinamica_R!$A$5,
"[Calendario].[AñoMes]",
"[Calendario].[AñoMes].&amp;[" &amp; TEXT(U$6,"yyyymm")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V66" s="8">
        <f>IFERROR(
GETPIVOTDATA(
"[Base].[Importe]",
TDinamica_R!$A$5,
"[Calendario].[AñoMes]",
"[Calendario].[AñoMes].&amp;[" &amp; TEXT(V$6,"yyyymm")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W66" s="8">
        <f>IFERROR(
GETPIVOTDATA(
"[Base].[Importe]",
TDinamica_R!$A$5,
"[Calendario].[AñoMes]",
"[Calendario].[AñoMes].&amp;[" &amp; TEXT(W$6,"yyyymm")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X66" s="8">
        <f>IFERROR(
GETPIVOTDATA(
"[Base].[Importe]",
TDinamica_R!$A$5,
"[Calendario].[AñoMes]",
"[Calendario].[AñoMes].&amp;[" &amp; TEXT(X$6,"yyyymm")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Y66" s="8">
        <f>IFERROR(
GETPIVOTDATA(
"[Base].[Importe]",
TDinamica_R!$A$5,
"[Calendario].[AñoMes]",
"[Calendario].[AñoMes].&amp;[" &amp; TEXT(Y$6,"yyyymm")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Z66" s="8">
        <f>IFERROR(
GETPIVOTDATA(
"[Base].[Importe]",
TDinamica_R!$A$5,
"[Calendario].[AñoMes]",
"[Calendario].[AñoMes].&amp;[" &amp; TEXT(Z$6,"yyyymm")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A66" s="8">
        <f>IFERROR(
GETPIVOTDATA(
"[Base].[Importe]",
TDinamica_R!$A$5,
"[Calendario].[AñoMes]",
"[Calendario].[AñoMes].&amp;[" &amp; TEXT(AA$6,"yyyymm")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B66" s="8">
        <f>IFERROR(
GETPIVOTDATA(
"[Base].[Importe]",
TDinamica_R!$A$5,
"[Calendario].[AñoMes]",
"[Calendario].[AñoMes].&amp;[" &amp; TEXT(AB$6,"yyyymm")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C66" s="8">
        <f>IFERROR(
GETPIVOTDATA(
"[Base].[Importe]",
TDinamica_R!$A$5,
"[Calendario].[AñoMes]",
"[Calendario].[AñoMes].&amp;[" &amp; TEXT(AC$6,"yyyymm")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D66" s="8">
        <f>IFERROR(
GETPIVOTDATA(
"[Base].[Importe]",
TDinamica_R!$A$5,
"[Calendario].[AñoMes]",
"[Calendario].[AñoMes].&amp;[" &amp; TEXT(AD$6,"yyyymm")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E66" s="8">
        <f>IFERROR(
GETPIVOTDATA(
"[Base].[Importe]",
TDinamica_R!$A$5,
"[Calendario].[AñoMes]",
"[Calendario].[AñoMes].&amp;[" &amp; TEXT(AE$6,"yyyymm")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F66" s="8">
        <f>IFERROR(
GETPIVOTDATA(
"[Base].[Importe]",
TDinamica_R!$A$5,
"[Calendario].[AñoMes]",
"[Calendario].[AñoMes].&amp;[" &amp; TEXT(AF$6,"yyyymm")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G66" s="8">
        <f>IFERROR(
GETPIVOTDATA(
"[Base].[Importe]",
TDinamica_R!$A$5,
"[Calendario].[AñoMes]",
"[Calendario].[AñoMes].&amp;[" &amp; TEXT(AG$6,"yyyymm")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H66" s="8">
        <f>IFERROR(
GETPIVOTDATA(
"[Base].[Importe]",
TDinamica_R!$A$5,
"[Calendario].[AñoMes]",
"[Calendario].[AñoMes].&amp;[" &amp; TEXT(AH$6,"yyyymm")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I66" s="8">
        <f>IFERROR(
GETPIVOTDATA(
"[Base].[Importe]",
TDinamica_R!$A$5,
"[Calendario].[AñoMes]",
"[Calendario].[AñoMes].&amp;[" &amp; TEXT(AI$6,"yyyymm")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J66" s="8">
        <f>IFERROR(
GETPIVOTDATA(
"[Base].[Importe]",
TDinamica_R!$A$5,
"[Calendario].[AñoMes]",
"[Calendario].[AñoMes].&amp;[" &amp; TEXT(AJ$6,"yyyymm")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K66" s="8">
        <f>IFERROR(
GETPIVOTDATA(
"[Base].[Importe]",
TDinamica_R!$A$5,
"[Calendario].[AñoMes]",
"[Calendario].[AñoMes].&amp;[" &amp; TEXT(AK$6,"yyyymm")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L66" s="8">
        <f>IFERROR(
GETPIVOTDATA(
"[Base].[Importe]",
TDinamica_R!$A$5,
"[Calendario].[AñoMes]",
"[Calendario].[AñoMes].&amp;[" &amp; TEXT(AL$6,"yyyymm")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M66" s="8">
        <f>IFERROR(
GETPIVOTDATA(
"[Base].[Importe]",
TDinamica_R!$A$5,
"[Calendario].[AñoMes]",
"[Calendario].[AñoMes].&amp;[" &amp; TEXT(AM$6,"yyyymm")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N66" s="8">
        <f>IFERROR(
GETPIVOTDATA(
"[Base].[Importe]",
TDinamica_R!$A$5,
"[Calendario].[AñoMes]",
"[Calendario].[AñoMes].&amp;[" &amp; TEXT(AN$6,"yyyymm")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O66" s="8">
        <f>IFERROR(
GETPIVOTDATA(
"[Base].[Importe]",
TDinamica_R!$A$5,
"[Calendario].[AñoMes]",
"[Calendario].[AñoMes].&amp;[" &amp; TEXT(AO$6,"yyyymm")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P66" s="8">
        <f>IFERROR(
GETPIVOTDATA(
"[Base].[Importe]",
TDinamica_R!$A$5,
"[Calendario].[AñoMes]",
"[Calendario].[AñoMes].&amp;[" &amp; TEXT(AP$6,"yyyymm")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Q66" s="8">
        <f>IFERROR(
GETPIVOTDATA(
"[Base].[Importe]",
TDinamica_R!$A$5,
"[Calendario].[AñoMes]",
"[Calendario].[AñoMes].&amp;[" &amp; TEXT(AQ$6,"yyyymm")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R66" s="8">
        <f>IFERROR(
GETPIVOTDATA(
"[Base].[Importe]",
TDinamica_R!$A$5,
"[Calendario].[AñoMes]",
"[Calendario].[AñoMes].&amp;[" &amp; TEXT(AR$6,"yyyymm")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S66" s="8">
        <f>IFERROR(
GETPIVOTDATA(
"[Base].[Importe]",
TDinamica_R!$A$5,
"[Calendario].[AñoMes]",
"[Calendario].[AñoMes].&amp;[" &amp; TEXT(AS$6,"yyyymm")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T66" s="8">
        <f>IFERROR(
GETPIVOTDATA(
"[Base].[Importe]",
TDinamica_R!$A$5,
"[Calendario].[AñoMes]",
"[Calendario].[AñoMes].&amp;[" &amp; TEXT(AT$6,"yyyymm")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U66" s="8">
        <f>IFERROR(
GETPIVOTDATA(
"[Base].[Importe]",
TDinamica_R!$A$5,
"[Calendario].[AñoMes]",
"[Calendario].[AñoMes].&amp;[" &amp; TEXT(AU$6,"yyyymm")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V66" s="8">
        <f>IFERROR(
GETPIVOTDATA(
"[Base].[Importe]",
TDinamica_R!$A$5,
"[Calendario].[AñoMes]",
"[Calendario].[AñoMes].&amp;[" &amp; TEXT(AV$6,"yyyymm")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W66" s="8">
        <f>IFERROR(
GETPIVOTDATA(
"[Base].[Importe]",
TDinamica_R!$A$5,
"[Calendario].[AñoMes]",
"[Calendario].[AñoMes].&amp;[" &amp; TEXT(AW$6,"yyyymm")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X66" s="8">
        <f>IFERROR(
GETPIVOTDATA(
"[Base].[Importe]",
TDinamica_R!$A$5,
"[Calendario].[AñoMes]",
"[Calendario].[AñoMes].&amp;[" &amp; TEXT(AX$6,"yyyymm")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Y66" s="8">
        <f>IFERROR(
GETPIVOTDATA(
"[Base].[Importe]",
TDinamica_R!$A$5,
"[Calendario].[AñoMes]",
"[Calendario].[AñoMes].&amp;[" &amp; TEXT(AY$6,"yyyymm")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Z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TEXT(AZ$6,"yyyymm") &amp; "]"
),
0
)</f>
        <v>0</v>
      </c>
      <c r="BA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TEXT(BA$6,"yyyymm") &amp; "]"
),
0
)</f>
        <v>0</v>
      </c>
      <c r="BB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TEXT(BB$6,"yyyymm") &amp; "]"
),
0
)</f>
        <v>0</v>
      </c>
      <c r="BC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TEXT(BC$6,"yyyymm") &amp; "]"
),
0
)</f>
        <v>0</v>
      </c>
      <c r="BD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TEXT(BD$6,"yyyymm") &amp; "]"
),
0
)</f>
        <v>0</v>
      </c>
      <c r="BE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TEXT(BE$6,"yyyymm") &amp; "]"
),
0
)</f>
        <v>0</v>
      </c>
      <c r="BF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TEXT(BF$6,"yyyymm") &amp; "]"
),
0
)</f>
        <v>0</v>
      </c>
      <c r="BG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TEXT(BG$6,"yyyymm") &amp; "]"
),
0
)</f>
        <v>0</v>
      </c>
      <c r="BH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TEXT(BH$6,"yyyymm") &amp; "]"
),
0
)</f>
        <v>0</v>
      </c>
      <c r="BI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TEXT(BI$6,"yyyymm") &amp; "]"
),
0
)</f>
        <v>0</v>
      </c>
      <c r="BJ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TEXT(BJ$6,"yyyymm") &amp; "]"
),
0
)</f>
        <v>0</v>
      </c>
      <c r="BK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TEXT(BK$6,"yyyymm") &amp; "]"
),
0
)</f>
        <v>0</v>
      </c>
      <c r="BO66" s="24">
        <f t="shared" si="64"/>
        <v>0</v>
      </c>
      <c r="BP66" s="24">
        <f t="shared" si="64"/>
        <v>0</v>
      </c>
      <c r="BQ66" s="24">
        <f t="shared" si="64"/>
        <v>0</v>
      </c>
      <c r="BR66" s="24">
        <f t="shared" si="64"/>
        <v>0</v>
      </c>
      <c r="BS66" s="24">
        <f t="shared" si="64"/>
        <v>0</v>
      </c>
      <c r="BT66" s="24">
        <f t="shared" si="64"/>
        <v>0</v>
      </c>
    </row>
    <row r="67" spans="1:72" hidden="1" outlineLevel="1" x14ac:dyDescent="0.25">
      <c r="A67" s="11" t="s">
        <v>71</v>
      </c>
      <c r="C67" s="2"/>
      <c r="D67" s="8">
        <f>IFERROR(
GETPIVOTDATA(
"[Base].[Importe]",
TDinamica_R!$A$5,
"[Calendario].[AñoMes]",
"[Calendario].[AñoMes].&amp;[" &amp; TEXT(D$6,"yyyymm")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E67" s="8">
        <f>IFERROR(
GETPIVOTDATA(
"[Base].[Importe]",
TDinamica_R!$A$5,
"[Calendario].[AñoMes]",
"[Calendario].[AñoMes].&amp;[" &amp; TEXT(E$6,"yyyymm")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F67" s="8">
        <f>IFERROR(
GETPIVOTDATA(
"[Base].[Importe]",
TDinamica_R!$A$5,
"[Calendario].[AñoMes]",
"[Calendario].[AñoMes].&amp;[" &amp; TEXT(F$6,"yyyymm")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G67" s="8">
        <f>IFERROR(
GETPIVOTDATA(
"[Base].[Importe]",
TDinamica_R!$A$5,
"[Calendario].[AñoMes]",
"[Calendario].[AñoMes].&amp;[" &amp; TEXT(G$6,"yyyymm")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H67" s="8">
        <f>IFERROR(
GETPIVOTDATA(
"[Base].[Importe]",
TDinamica_R!$A$5,
"[Calendario].[AñoMes]",
"[Calendario].[AñoMes].&amp;[" &amp; TEXT(H$6,"yyyymm")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I67" s="8">
        <f>IFERROR(
GETPIVOTDATA(
"[Base].[Importe]",
TDinamica_R!$A$5,
"[Calendario].[AñoMes]",
"[Calendario].[AñoMes].&amp;[" &amp; TEXT(I$6,"yyyymm")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J67" s="8">
        <f>IFERROR(
GETPIVOTDATA(
"[Base].[Importe]",
TDinamica_R!$A$5,
"[Calendario].[AñoMes]",
"[Calendario].[AñoMes].&amp;[" &amp; TEXT(J$6,"yyyymm")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K67" s="8">
        <f>IFERROR(
GETPIVOTDATA(
"[Base].[Importe]",
TDinamica_R!$A$5,
"[Calendario].[AñoMes]",
"[Calendario].[AñoMes].&amp;[" &amp; TEXT(K$6,"yyyymm")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L67" s="8">
        <f>IFERROR(
GETPIVOTDATA(
"[Base].[Importe]",
TDinamica_R!$A$5,
"[Calendario].[AñoMes]",
"[Calendario].[AñoMes].&amp;[" &amp; TEXT(L$6,"yyyymm")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M67" s="8">
        <f>IFERROR(
GETPIVOTDATA(
"[Base].[Importe]",
TDinamica_R!$A$5,
"[Calendario].[AñoMes]",
"[Calendario].[AñoMes].&amp;[" &amp; TEXT(M$6,"yyyymm")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N67" s="8">
        <f>IFERROR(
GETPIVOTDATA(
"[Base].[Importe]",
TDinamica_R!$A$5,
"[Calendario].[AñoMes]",
"[Calendario].[AñoMes].&amp;[" &amp; TEXT(N$6,"yyyymm")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O67" s="8">
        <f>IFERROR(
GETPIVOTDATA(
"[Base].[Importe]",
TDinamica_R!$A$5,
"[Calendario].[AñoMes]",
"[Calendario].[AñoMes].&amp;[" &amp; TEXT(O$6,"yyyymm")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P67" s="8">
        <f>IFERROR(
GETPIVOTDATA(
"[Base].[Importe]",
TDinamica_R!$A$5,
"[Calendario].[AñoMes]",
"[Calendario].[AñoMes].&amp;[" &amp; TEXT(P$6,"yyyymm")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Q67" s="8">
        <f>IFERROR(
GETPIVOTDATA(
"[Base].[Importe]",
TDinamica_R!$A$5,
"[Calendario].[AñoMes]",
"[Calendario].[AñoMes].&amp;[" &amp; TEXT(Q$6,"yyyymm")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R67" s="8">
        <f>IFERROR(
GETPIVOTDATA(
"[Base].[Importe]",
TDinamica_R!$A$5,
"[Calendario].[AñoMes]",
"[Calendario].[AñoMes].&amp;[" &amp; TEXT(R$6,"yyyymm")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S67" s="8">
        <f>IFERROR(
GETPIVOTDATA(
"[Base].[Importe]",
TDinamica_R!$A$5,
"[Calendario].[AñoMes]",
"[Calendario].[AñoMes].&amp;[" &amp; TEXT(S$6,"yyyymm")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T67" s="8">
        <f>IFERROR(
GETPIVOTDATA(
"[Base].[Importe]",
TDinamica_R!$A$5,
"[Calendario].[AñoMes]",
"[Calendario].[AñoMes].&amp;[" &amp; TEXT(T$6,"yyyymm")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U67" s="8">
        <f>IFERROR(
GETPIVOTDATA(
"[Base].[Importe]",
TDinamica_R!$A$5,
"[Calendario].[AñoMes]",
"[Calendario].[AñoMes].&amp;[" &amp; TEXT(U$6,"yyyymm")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V67" s="8">
        <f>IFERROR(
GETPIVOTDATA(
"[Base].[Importe]",
TDinamica_R!$A$5,
"[Calendario].[AñoMes]",
"[Calendario].[AñoMes].&amp;[" &amp; TEXT(V$6,"yyyymm")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W67" s="8">
        <f>IFERROR(
GETPIVOTDATA(
"[Base].[Importe]",
TDinamica_R!$A$5,
"[Calendario].[AñoMes]",
"[Calendario].[AñoMes].&amp;[" &amp; TEXT(W$6,"yyyymm")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X67" s="8">
        <f>IFERROR(
GETPIVOTDATA(
"[Base].[Importe]",
TDinamica_R!$A$5,
"[Calendario].[AñoMes]",
"[Calendario].[AñoMes].&amp;[" &amp; TEXT(X$6,"yyyymm")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Y67" s="8">
        <f>IFERROR(
GETPIVOTDATA(
"[Base].[Importe]",
TDinamica_R!$A$5,
"[Calendario].[AñoMes]",
"[Calendario].[AñoMes].&amp;[" &amp; TEXT(Y$6,"yyyymm")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Z67" s="8">
        <f>IFERROR(
GETPIVOTDATA(
"[Base].[Importe]",
TDinamica_R!$A$5,
"[Calendario].[AñoMes]",
"[Calendario].[AñoMes].&amp;[" &amp; TEXT(Z$6,"yyyymm")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A67" s="8">
        <f>IFERROR(
GETPIVOTDATA(
"[Base].[Importe]",
TDinamica_R!$A$5,
"[Calendario].[AñoMes]",
"[Calendario].[AñoMes].&amp;[" &amp; TEXT(AA$6,"yyyymm")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B67" s="8">
        <f>IFERROR(
GETPIVOTDATA(
"[Base].[Importe]",
TDinamica_R!$A$5,
"[Calendario].[AñoMes]",
"[Calendario].[AñoMes].&amp;[" &amp; TEXT(AB$6,"yyyymm")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C67" s="8">
        <f>IFERROR(
GETPIVOTDATA(
"[Base].[Importe]",
TDinamica_R!$A$5,
"[Calendario].[AñoMes]",
"[Calendario].[AñoMes].&amp;[" &amp; TEXT(AC$6,"yyyymm")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D67" s="8">
        <f>IFERROR(
GETPIVOTDATA(
"[Base].[Importe]",
TDinamica_R!$A$5,
"[Calendario].[AñoMes]",
"[Calendario].[AñoMes].&amp;[" &amp; TEXT(AD$6,"yyyymm")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E67" s="8">
        <f>IFERROR(
GETPIVOTDATA(
"[Base].[Importe]",
TDinamica_R!$A$5,
"[Calendario].[AñoMes]",
"[Calendario].[AñoMes].&amp;[" &amp; TEXT(AE$6,"yyyymm")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F67" s="8">
        <f>IFERROR(
GETPIVOTDATA(
"[Base].[Importe]",
TDinamica_R!$A$5,
"[Calendario].[AñoMes]",
"[Calendario].[AñoMes].&amp;[" &amp; TEXT(AF$6,"yyyymm")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G67" s="8">
        <f>IFERROR(
GETPIVOTDATA(
"[Base].[Importe]",
TDinamica_R!$A$5,
"[Calendario].[AñoMes]",
"[Calendario].[AñoMes].&amp;[" &amp; TEXT(AG$6,"yyyymm")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H67" s="8">
        <f>IFERROR(
GETPIVOTDATA(
"[Base].[Importe]",
TDinamica_R!$A$5,
"[Calendario].[AñoMes]",
"[Calendario].[AñoMes].&amp;[" &amp; TEXT(AH$6,"yyyymm")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I67" s="8">
        <f>IFERROR(
GETPIVOTDATA(
"[Base].[Importe]",
TDinamica_R!$A$5,
"[Calendario].[AñoMes]",
"[Calendario].[AñoMes].&amp;[" &amp; TEXT(AI$6,"yyyymm")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J67" s="8">
        <f>IFERROR(
GETPIVOTDATA(
"[Base].[Importe]",
TDinamica_R!$A$5,
"[Calendario].[AñoMes]",
"[Calendario].[AñoMes].&amp;[" &amp; TEXT(AJ$6,"yyyymm")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K67" s="8">
        <f>IFERROR(
GETPIVOTDATA(
"[Base].[Importe]",
TDinamica_R!$A$5,
"[Calendario].[AñoMes]",
"[Calendario].[AñoMes].&amp;[" &amp; TEXT(AK$6,"yyyymm")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L67" s="8">
        <f>IFERROR(
GETPIVOTDATA(
"[Base].[Importe]",
TDinamica_R!$A$5,
"[Calendario].[AñoMes]",
"[Calendario].[AñoMes].&amp;[" &amp; TEXT(AL$6,"yyyymm")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M67" s="8">
        <f>IFERROR(
GETPIVOTDATA(
"[Base].[Importe]",
TDinamica_R!$A$5,
"[Calendario].[AñoMes]",
"[Calendario].[AñoMes].&amp;[" &amp; TEXT(AM$6,"yyyymm")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N67" s="8">
        <f>IFERROR(
GETPIVOTDATA(
"[Base].[Importe]",
TDinamica_R!$A$5,
"[Calendario].[AñoMes]",
"[Calendario].[AñoMes].&amp;[" &amp; TEXT(AN$6,"yyyymm")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O67" s="8">
        <f>IFERROR(
GETPIVOTDATA(
"[Base].[Importe]",
TDinamica_R!$A$5,
"[Calendario].[AñoMes]",
"[Calendario].[AñoMes].&amp;[" &amp; TEXT(AO$6,"yyyymm")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P67" s="8">
        <f>IFERROR(
GETPIVOTDATA(
"[Base].[Importe]",
TDinamica_R!$A$5,
"[Calendario].[AñoMes]",
"[Calendario].[AñoMes].&amp;[" &amp; TEXT(AP$6,"yyyymm")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Q67" s="8">
        <f>IFERROR(
GETPIVOTDATA(
"[Base].[Importe]",
TDinamica_R!$A$5,
"[Calendario].[AñoMes]",
"[Calendario].[AñoMes].&amp;[" &amp; TEXT(AQ$6,"yyyymm")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R67" s="8">
        <f>IFERROR(
GETPIVOTDATA(
"[Base].[Importe]",
TDinamica_R!$A$5,
"[Calendario].[AñoMes]",
"[Calendario].[AñoMes].&amp;[" &amp; TEXT(AR$6,"yyyymm")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S67" s="8">
        <f>IFERROR(
GETPIVOTDATA(
"[Base].[Importe]",
TDinamica_R!$A$5,
"[Calendario].[AñoMes]",
"[Calendario].[AñoMes].&amp;[" &amp; TEXT(AS$6,"yyyymm")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T67" s="8">
        <f>IFERROR(
GETPIVOTDATA(
"[Base].[Importe]",
TDinamica_R!$A$5,
"[Calendario].[AñoMes]",
"[Calendario].[AñoMes].&amp;[" &amp; TEXT(AT$6,"yyyymm")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U67" s="8">
        <f>IFERROR(
GETPIVOTDATA(
"[Base].[Importe]",
TDinamica_R!$A$5,
"[Calendario].[AñoMes]",
"[Calendario].[AñoMes].&amp;[" &amp; TEXT(AU$6,"yyyymm")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V67" s="8">
        <f>IFERROR(
GETPIVOTDATA(
"[Base].[Importe]",
TDinamica_R!$A$5,
"[Calendario].[AñoMes]",
"[Calendario].[AñoMes].&amp;[" &amp; TEXT(AV$6,"yyyymm")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W67" s="8">
        <f>IFERROR(
GETPIVOTDATA(
"[Base].[Importe]",
TDinamica_R!$A$5,
"[Calendario].[AñoMes]",
"[Calendario].[AñoMes].&amp;[" &amp; TEXT(AW$6,"yyyymm")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X67" s="8">
        <f>IFERROR(
GETPIVOTDATA(
"[Base].[Importe]",
TDinamica_R!$A$5,
"[Calendario].[AñoMes]",
"[Calendario].[AñoMes].&amp;[" &amp; TEXT(AX$6,"yyyymm")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Y67" s="8">
        <f>IFERROR(
GETPIVOTDATA(
"[Base].[Importe]",
TDinamica_R!$A$5,
"[Calendario].[AñoMes]",
"[Calendario].[AñoMes].&amp;[" &amp; TEXT(AY$6,"yyyymm")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Z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TEXT(AZ$6,"yyyymm") &amp; "]"
),
0
)</f>
        <v>0</v>
      </c>
      <c r="BA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TEXT(BA$6,"yyyymm") &amp; "]"
),
0
)</f>
        <v>0</v>
      </c>
      <c r="BB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TEXT(BB$6,"yyyymm") &amp; "]"
),
0
)</f>
        <v>0</v>
      </c>
      <c r="BC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TEXT(BC$6,"yyyymm") &amp; "]"
),
0
)</f>
        <v>0</v>
      </c>
      <c r="BD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TEXT(BD$6,"yyyymm") &amp; "]"
),
0
)</f>
        <v>0</v>
      </c>
      <c r="BE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TEXT(BE$6,"yyyymm") &amp; "]"
),
0
)</f>
        <v>0</v>
      </c>
      <c r="BF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TEXT(BF$6,"yyyymm") &amp; "]"
),
0
)</f>
        <v>0</v>
      </c>
      <c r="BG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TEXT(BG$6,"yyyymm") &amp; "]"
),
0
)</f>
        <v>0</v>
      </c>
      <c r="BH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TEXT(BH$6,"yyyymm") &amp; "]"
),
0
)</f>
        <v>0</v>
      </c>
      <c r="BI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TEXT(BI$6,"yyyymm") &amp; "]"
),
0
)</f>
        <v>0</v>
      </c>
      <c r="BJ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TEXT(BJ$6,"yyyymm") &amp; "]"
),
0
)</f>
        <v>0</v>
      </c>
      <c r="BK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TEXT(BK$6,"yyyymm") &amp; "]"
),
0
)</f>
        <v>0</v>
      </c>
      <c r="BO67" s="24">
        <f t="shared" si="64"/>
        <v>0</v>
      </c>
      <c r="BP67" s="24">
        <f t="shared" si="64"/>
        <v>0</v>
      </c>
      <c r="BQ67" s="24">
        <f t="shared" si="64"/>
        <v>0</v>
      </c>
      <c r="BR67" s="24">
        <f t="shared" si="64"/>
        <v>0</v>
      </c>
      <c r="BS67" s="24">
        <f t="shared" si="64"/>
        <v>0</v>
      </c>
      <c r="BT67" s="24">
        <f t="shared" si="64"/>
        <v>0</v>
      </c>
    </row>
    <row r="68" spans="1:72" hidden="1" outlineLevel="1" x14ac:dyDescent="0.25">
      <c r="A68" s="11" t="s">
        <v>71</v>
      </c>
      <c r="C68" s="2"/>
      <c r="D68" s="8">
        <f>IFERROR(
GETPIVOTDATA(
"[Base].[Importe]",
TDinamica_R!$A$5,
"[Calendario].[AñoMes]",
"[Calendario].[AñoMes].&amp;[" &amp; TEXT(D$6,"yyyymm")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E68" s="8">
        <f>IFERROR(
GETPIVOTDATA(
"[Base].[Importe]",
TDinamica_R!$A$5,
"[Calendario].[AñoMes]",
"[Calendario].[AñoMes].&amp;[" &amp; TEXT(E$6,"yyyymm")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F68" s="8">
        <f>IFERROR(
GETPIVOTDATA(
"[Base].[Importe]",
TDinamica_R!$A$5,
"[Calendario].[AñoMes]",
"[Calendario].[AñoMes].&amp;[" &amp; TEXT(F$6,"yyyymm")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G68" s="8">
        <f>IFERROR(
GETPIVOTDATA(
"[Base].[Importe]",
TDinamica_R!$A$5,
"[Calendario].[AñoMes]",
"[Calendario].[AñoMes].&amp;[" &amp; TEXT(G$6,"yyyymm")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H68" s="8">
        <f>IFERROR(
GETPIVOTDATA(
"[Base].[Importe]",
TDinamica_R!$A$5,
"[Calendario].[AñoMes]",
"[Calendario].[AñoMes].&amp;[" &amp; TEXT(H$6,"yyyymm")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I68" s="8">
        <f>IFERROR(
GETPIVOTDATA(
"[Base].[Importe]",
TDinamica_R!$A$5,
"[Calendario].[AñoMes]",
"[Calendario].[AñoMes].&amp;[" &amp; TEXT(I$6,"yyyymm")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J68" s="8">
        <f>IFERROR(
GETPIVOTDATA(
"[Base].[Importe]",
TDinamica_R!$A$5,
"[Calendario].[AñoMes]",
"[Calendario].[AñoMes].&amp;[" &amp; TEXT(J$6,"yyyymm")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K68" s="8">
        <f>IFERROR(
GETPIVOTDATA(
"[Base].[Importe]",
TDinamica_R!$A$5,
"[Calendario].[AñoMes]",
"[Calendario].[AñoMes].&amp;[" &amp; TEXT(K$6,"yyyymm")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L68" s="8">
        <f>IFERROR(
GETPIVOTDATA(
"[Base].[Importe]",
TDinamica_R!$A$5,
"[Calendario].[AñoMes]",
"[Calendario].[AñoMes].&amp;[" &amp; TEXT(L$6,"yyyymm")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M68" s="8">
        <f>IFERROR(
GETPIVOTDATA(
"[Base].[Importe]",
TDinamica_R!$A$5,
"[Calendario].[AñoMes]",
"[Calendario].[AñoMes].&amp;[" &amp; TEXT(M$6,"yyyymm")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N68" s="8">
        <f>IFERROR(
GETPIVOTDATA(
"[Base].[Importe]",
TDinamica_R!$A$5,
"[Calendario].[AñoMes]",
"[Calendario].[AñoMes].&amp;[" &amp; TEXT(N$6,"yyyymm")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O68" s="8">
        <f>IFERROR(
GETPIVOTDATA(
"[Base].[Importe]",
TDinamica_R!$A$5,
"[Calendario].[AñoMes]",
"[Calendario].[AñoMes].&amp;[" &amp; TEXT(O$6,"yyyymm")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P68" s="8">
        <f>IFERROR(
GETPIVOTDATA(
"[Base].[Importe]",
TDinamica_R!$A$5,
"[Calendario].[AñoMes]",
"[Calendario].[AñoMes].&amp;[" &amp; TEXT(P$6,"yyyymm")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Q68" s="8">
        <f>IFERROR(
GETPIVOTDATA(
"[Base].[Importe]",
TDinamica_R!$A$5,
"[Calendario].[AñoMes]",
"[Calendario].[AñoMes].&amp;[" &amp; TEXT(Q$6,"yyyymm")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R68" s="8">
        <f>IFERROR(
GETPIVOTDATA(
"[Base].[Importe]",
TDinamica_R!$A$5,
"[Calendario].[AñoMes]",
"[Calendario].[AñoMes].&amp;[" &amp; TEXT(R$6,"yyyymm")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S68" s="8">
        <f>IFERROR(
GETPIVOTDATA(
"[Base].[Importe]",
TDinamica_R!$A$5,
"[Calendario].[AñoMes]",
"[Calendario].[AñoMes].&amp;[" &amp; TEXT(S$6,"yyyymm")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T68" s="8">
        <f>IFERROR(
GETPIVOTDATA(
"[Base].[Importe]",
TDinamica_R!$A$5,
"[Calendario].[AñoMes]",
"[Calendario].[AñoMes].&amp;[" &amp; TEXT(T$6,"yyyymm")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U68" s="8">
        <f>IFERROR(
GETPIVOTDATA(
"[Base].[Importe]",
TDinamica_R!$A$5,
"[Calendario].[AñoMes]",
"[Calendario].[AñoMes].&amp;[" &amp; TEXT(U$6,"yyyymm")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V68" s="8">
        <f>IFERROR(
GETPIVOTDATA(
"[Base].[Importe]",
TDinamica_R!$A$5,
"[Calendario].[AñoMes]",
"[Calendario].[AñoMes].&amp;[" &amp; TEXT(V$6,"yyyymm")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W68" s="8">
        <f>IFERROR(
GETPIVOTDATA(
"[Base].[Importe]",
TDinamica_R!$A$5,
"[Calendario].[AñoMes]",
"[Calendario].[AñoMes].&amp;[" &amp; TEXT(W$6,"yyyymm")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X68" s="8">
        <f>IFERROR(
GETPIVOTDATA(
"[Base].[Importe]",
TDinamica_R!$A$5,
"[Calendario].[AñoMes]",
"[Calendario].[AñoMes].&amp;[" &amp; TEXT(X$6,"yyyymm")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Y68" s="8">
        <f>IFERROR(
GETPIVOTDATA(
"[Base].[Importe]",
TDinamica_R!$A$5,
"[Calendario].[AñoMes]",
"[Calendario].[AñoMes].&amp;[" &amp; TEXT(Y$6,"yyyymm")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Z68" s="8">
        <f>IFERROR(
GETPIVOTDATA(
"[Base].[Importe]",
TDinamica_R!$A$5,
"[Calendario].[AñoMes]",
"[Calendario].[AñoMes].&amp;[" &amp; TEXT(Z$6,"yyyymm")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A68" s="8">
        <f>IFERROR(
GETPIVOTDATA(
"[Base].[Importe]",
TDinamica_R!$A$5,
"[Calendario].[AñoMes]",
"[Calendario].[AñoMes].&amp;[" &amp; TEXT(AA$6,"yyyymm")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B68" s="8">
        <f>IFERROR(
GETPIVOTDATA(
"[Base].[Importe]",
TDinamica_R!$A$5,
"[Calendario].[AñoMes]",
"[Calendario].[AñoMes].&amp;[" &amp; TEXT(AB$6,"yyyymm")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C68" s="8">
        <f>IFERROR(
GETPIVOTDATA(
"[Base].[Importe]",
TDinamica_R!$A$5,
"[Calendario].[AñoMes]",
"[Calendario].[AñoMes].&amp;[" &amp; TEXT(AC$6,"yyyymm")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D68" s="8">
        <f>IFERROR(
GETPIVOTDATA(
"[Base].[Importe]",
TDinamica_R!$A$5,
"[Calendario].[AñoMes]",
"[Calendario].[AñoMes].&amp;[" &amp; TEXT(AD$6,"yyyymm")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E68" s="8">
        <f>IFERROR(
GETPIVOTDATA(
"[Base].[Importe]",
TDinamica_R!$A$5,
"[Calendario].[AñoMes]",
"[Calendario].[AñoMes].&amp;[" &amp; TEXT(AE$6,"yyyymm")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F68" s="8">
        <f>IFERROR(
GETPIVOTDATA(
"[Base].[Importe]",
TDinamica_R!$A$5,
"[Calendario].[AñoMes]",
"[Calendario].[AñoMes].&amp;[" &amp; TEXT(AF$6,"yyyymm")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G68" s="8">
        <f>IFERROR(
GETPIVOTDATA(
"[Base].[Importe]",
TDinamica_R!$A$5,
"[Calendario].[AñoMes]",
"[Calendario].[AñoMes].&amp;[" &amp; TEXT(AG$6,"yyyymm")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H68" s="8">
        <f>IFERROR(
GETPIVOTDATA(
"[Base].[Importe]",
TDinamica_R!$A$5,
"[Calendario].[AñoMes]",
"[Calendario].[AñoMes].&amp;[" &amp; TEXT(AH$6,"yyyymm")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I68" s="8">
        <f>IFERROR(
GETPIVOTDATA(
"[Base].[Importe]",
TDinamica_R!$A$5,
"[Calendario].[AñoMes]",
"[Calendario].[AñoMes].&amp;[" &amp; TEXT(AI$6,"yyyymm")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J68" s="8">
        <f>IFERROR(
GETPIVOTDATA(
"[Base].[Importe]",
TDinamica_R!$A$5,
"[Calendario].[AñoMes]",
"[Calendario].[AñoMes].&amp;[" &amp; TEXT(AJ$6,"yyyymm")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K68" s="8">
        <f>IFERROR(
GETPIVOTDATA(
"[Base].[Importe]",
TDinamica_R!$A$5,
"[Calendario].[AñoMes]",
"[Calendario].[AñoMes].&amp;[" &amp; TEXT(AK$6,"yyyymm")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L68" s="8">
        <f>IFERROR(
GETPIVOTDATA(
"[Base].[Importe]",
TDinamica_R!$A$5,
"[Calendario].[AñoMes]",
"[Calendario].[AñoMes].&amp;[" &amp; TEXT(AL$6,"yyyymm")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M68" s="8">
        <f>IFERROR(
GETPIVOTDATA(
"[Base].[Importe]",
TDinamica_R!$A$5,
"[Calendario].[AñoMes]",
"[Calendario].[AñoMes].&amp;[" &amp; TEXT(AM$6,"yyyymm")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N68" s="8">
        <f>IFERROR(
GETPIVOTDATA(
"[Base].[Importe]",
TDinamica_R!$A$5,
"[Calendario].[AñoMes]",
"[Calendario].[AñoMes].&amp;[" &amp; TEXT(AN$6,"yyyymm")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O68" s="8">
        <f>IFERROR(
GETPIVOTDATA(
"[Base].[Importe]",
TDinamica_R!$A$5,
"[Calendario].[AñoMes]",
"[Calendario].[AñoMes].&amp;[" &amp; TEXT(AO$6,"yyyymm")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P68" s="8">
        <f>IFERROR(
GETPIVOTDATA(
"[Base].[Importe]",
TDinamica_R!$A$5,
"[Calendario].[AñoMes]",
"[Calendario].[AñoMes].&amp;[" &amp; TEXT(AP$6,"yyyymm")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Q68" s="8">
        <f>IFERROR(
GETPIVOTDATA(
"[Base].[Importe]",
TDinamica_R!$A$5,
"[Calendario].[AñoMes]",
"[Calendario].[AñoMes].&amp;[" &amp; TEXT(AQ$6,"yyyymm")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R68" s="8">
        <f>IFERROR(
GETPIVOTDATA(
"[Base].[Importe]",
TDinamica_R!$A$5,
"[Calendario].[AñoMes]",
"[Calendario].[AñoMes].&amp;[" &amp; TEXT(AR$6,"yyyymm")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S68" s="8">
        <f>IFERROR(
GETPIVOTDATA(
"[Base].[Importe]",
TDinamica_R!$A$5,
"[Calendario].[AñoMes]",
"[Calendario].[AñoMes].&amp;[" &amp; TEXT(AS$6,"yyyymm")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T68" s="8">
        <f>IFERROR(
GETPIVOTDATA(
"[Base].[Importe]",
TDinamica_R!$A$5,
"[Calendario].[AñoMes]",
"[Calendario].[AñoMes].&amp;[" &amp; TEXT(AT$6,"yyyymm")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U68" s="8">
        <f>IFERROR(
GETPIVOTDATA(
"[Base].[Importe]",
TDinamica_R!$A$5,
"[Calendario].[AñoMes]",
"[Calendario].[AñoMes].&amp;[" &amp; TEXT(AU$6,"yyyymm")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V68" s="8">
        <f>IFERROR(
GETPIVOTDATA(
"[Base].[Importe]",
TDinamica_R!$A$5,
"[Calendario].[AñoMes]",
"[Calendario].[AñoMes].&amp;[" &amp; TEXT(AV$6,"yyyymm")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W68" s="8">
        <f>IFERROR(
GETPIVOTDATA(
"[Base].[Importe]",
TDinamica_R!$A$5,
"[Calendario].[AñoMes]",
"[Calendario].[AñoMes].&amp;[" &amp; TEXT(AW$6,"yyyymm")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X68" s="8">
        <f>IFERROR(
GETPIVOTDATA(
"[Base].[Importe]",
TDinamica_R!$A$5,
"[Calendario].[AñoMes]",
"[Calendario].[AñoMes].&amp;[" &amp; TEXT(AX$6,"yyyymm")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Y68" s="8">
        <f>IFERROR(
GETPIVOTDATA(
"[Base].[Importe]",
TDinamica_R!$A$5,
"[Calendario].[AñoMes]",
"[Calendario].[AñoMes].&amp;[" &amp; TEXT(AY$6,"yyyymm")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Z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TEXT(AZ$6,"yyyymm") &amp; "]"
),
0
)</f>
        <v>0</v>
      </c>
      <c r="BA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TEXT(BA$6,"yyyymm") &amp; "]"
),
0
)</f>
        <v>0</v>
      </c>
      <c r="BB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TEXT(BB$6,"yyyymm") &amp; "]"
),
0
)</f>
        <v>0</v>
      </c>
      <c r="BC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TEXT(BC$6,"yyyymm") &amp; "]"
),
0
)</f>
        <v>0</v>
      </c>
      <c r="BD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TEXT(BD$6,"yyyymm") &amp; "]"
),
0
)</f>
        <v>0</v>
      </c>
      <c r="BE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TEXT(BE$6,"yyyymm") &amp; "]"
),
0
)</f>
        <v>0</v>
      </c>
      <c r="BF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TEXT(BF$6,"yyyymm") &amp; "]"
),
0
)</f>
        <v>0</v>
      </c>
      <c r="BG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TEXT(BG$6,"yyyymm") &amp; "]"
),
0
)</f>
        <v>0</v>
      </c>
      <c r="BH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TEXT(BH$6,"yyyymm") &amp; "]"
),
0
)</f>
        <v>0</v>
      </c>
      <c r="BI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TEXT(BI$6,"yyyymm") &amp; "]"
),
0
)</f>
        <v>0</v>
      </c>
      <c r="BJ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TEXT(BJ$6,"yyyymm") &amp; "]"
),
0
)</f>
        <v>0</v>
      </c>
      <c r="BK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TEXT(BK$6,"yyyymm") &amp; "]"
),
0
)</f>
        <v>0</v>
      </c>
      <c r="BO68" s="24">
        <f t="shared" si="64"/>
        <v>0</v>
      </c>
      <c r="BP68" s="24">
        <f t="shared" si="64"/>
        <v>0</v>
      </c>
      <c r="BQ68" s="24">
        <f t="shared" si="64"/>
        <v>0</v>
      </c>
      <c r="BR68" s="24">
        <f t="shared" si="64"/>
        <v>0</v>
      </c>
      <c r="BS68" s="24">
        <f t="shared" si="64"/>
        <v>0</v>
      </c>
      <c r="BT68" s="24">
        <f t="shared" si="64"/>
        <v>0</v>
      </c>
    </row>
    <row r="69" spans="1:72" hidden="1" outlineLevel="1" x14ac:dyDescent="0.25">
      <c r="A69" s="11" t="s">
        <v>71</v>
      </c>
      <c r="C69" s="2"/>
      <c r="D69" s="8">
        <f>IFERROR(
GETPIVOTDATA(
"[Base].[Importe]",
TDinamica_R!$A$5,
"[Calendario].[AñoMes]",
"[Calendario].[AñoMes].&amp;[" &amp; TEXT(D$6,"yyyymm")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E69" s="8">
        <f>IFERROR(
GETPIVOTDATA(
"[Base].[Importe]",
TDinamica_R!$A$5,
"[Calendario].[AñoMes]",
"[Calendario].[AñoMes].&amp;[" &amp; TEXT(E$6,"yyyymm")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F69" s="8">
        <f>IFERROR(
GETPIVOTDATA(
"[Base].[Importe]",
TDinamica_R!$A$5,
"[Calendario].[AñoMes]",
"[Calendario].[AñoMes].&amp;[" &amp; TEXT(F$6,"yyyymm")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G69" s="8">
        <f>IFERROR(
GETPIVOTDATA(
"[Base].[Importe]",
TDinamica_R!$A$5,
"[Calendario].[AñoMes]",
"[Calendario].[AñoMes].&amp;[" &amp; TEXT(G$6,"yyyymm")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H69" s="8">
        <f>IFERROR(
GETPIVOTDATA(
"[Base].[Importe]",
TDinamica_R!$A$5,
"[Calendario].[AñoMes]",
"[Calendario].[AñoMes].&amp;[" &amp; TEXT(H$6,"yyyymm")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I69" s="8">
        <f>IFERROR(
GETPIVOTDATA(
"[Base].[Importe]",
TDinamica_R!$A$5,
"[Calendario].[AñoMes]",
"[Calendario].[AñoMes].&amp;[" &amp; TEXT(I$6,"yyyymm")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J69" s="8">
        <f>IFERROR(
GETPIVOTDATA(
"[Base].[Importe]",
TDinamica_R!$A$5,
"[Calendario].[AñoMes]",
"[Calendario].[AñoMes].&amp;[" &amp; TEXT(J$6,"yyyymm")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K69" s="8">
        <f>IFERROR(
GETPIVOTDATA(
"[Base].[Importe]",
TDinamica_R!$A$5,
"[Calendario].[AñoMes]",
"[Calendario].[AñoMes].&amp;[" &amp; TEXT(K$6,"yyyymm")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L69" s="8">
        <f>IFERROR(
GETPIVOTDATA(
"[Base].[Importe]",
TDinamica_R!$A$5,
"[Calendario].[AñoMes]",
"[Calendario].[AñoMes].&amp;[" &amp; TEXT(L$6,"yyyymm")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M69" s="8">
        <f>IFERROR(
GETPIVOTDATA(
"[Base].[Importe]",
TDinamica_R!$A$5,
"[Calendario].[AñoMes]",
"[Calendario].[AñoMes].&amp;[" &amp; TEXT(M$6,"yyyymm")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N69" s="8">
        <f>IFERROR(
GETPIVOTDATA(
"[Base].[Importe]",
TDinamica_R!$A$5,
"[Calendario].[AñoMes]",
"[Calendario].[AñoMes].&amp;[" &amp; TEXT(N$6,"yyyymm")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O69" s="8">
        <f>IFERROR(
GETPIVOTDATA(
"[Base].[Importe]",
TDinamica_R!$A$5,
"[Calendario].[AñoMes]",
"[Calendario].[AñoMes].&amp;[" &amp; TEXT(O$6,"yyyymm")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P69" s="8">
        <f>IFERROR(
GETPIVOTDATA(
"[Base].[Importe]",
TDinamica_R!$A$5,
"[Calendario].[AñoMes]",
"[Calendario].[AñoMes].&amp;[" &amp; TEXT(P$6,"yyyymm")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Q69" s="8">
        <f>IFERROR(
GETPIVOTDATA(
"[Base].[Importe]",
TDinamica_R!$A$5,
"[Calendario].[AñoMes]",
"[Calendario].[AñoMes].&amp;[" &amp; TEXT(Q$6,"yyyymm")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R69" s="8">
        <f>IFERROR(
GETPIVOTDATA(
"[Base].[Importe]",
TDinamica_R!$A$5,
"[Calendario].[AñoMes]",
"[Calendario].[AñoMes].&amp;[" &amp; TEXT(R$6,"yyyymm")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S69" s="8">
        <f>IFERROR(
GETPIVOTDATA(
"[Base].[Importe]",
TDinamica_R!$A$5,
"[Calendario].[AñoMes]",
"[Calendario].[AñoMes].&amp;[" &amp; TEXT(S$6,"yyyymm")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T69" s="8">
        <f>IFERROR(
GETPIVOTDATA(
"[Base].[Importe]",
TDinamica_R!$A$5,
"[Calendario].[AñoMes]",
"[Calendario].[AñoMes].&amp;[" &amp; TEXT(T$6,"yyyymm")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U69" s="8">
        <f>IFERROR(
GETPIVOTDATA(
"[Base].[Importe]",
TDinamica_R!$A$5,
"[Calendario].[AñoMes]",
"[Calendario].[AñoMes].&amp;[" &amp; TEXT(U$6,"yyyymm")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V69" s="8">
        <f>IFERROR(
GETPIVOTDATA(
"[Base].[Importe]",
TDinamica_R!$A$5,
"[Calendario].[AñoMes]",
"[Calendario].[AñoMes].&amp;[" &amp; TEXT(V$6,"yyyymm")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W69" s="8">
        <f>IFERROR(
GETPIVOTDATA(
"[Base].[Importe]",
TDinamica_R!$A$5,
"[Calendario].[AñoMes]",
"[Calendario].[AñoMes].&amp;[" &amp; TEXT(W$6,"yyyymm")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X69" s="8">
        <f>IFERROR(
GETPIVOTDATA(
"[Base].[Importe]",
TDinamica_R!$A$5,
"[Calendario].[AñoMes]",
"[Calendario].[AñoMes].&amp;[" &amp; TEXT(X$6,"yyyymm")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Y69" s="8">
        <f>IFERROR(
GETPIVOTDATA(
"[Base].[Importe]",
TDinamica_R!$A$5,
"[Calendario].[AñoMes]",
"[Calendario].[AñoMes].&amp;[" &amp; TEXT(Y$6,"yyyymm")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Z69" s="8">
        <f>IFERROR(
GETPIVOTDATA(
"[Base].[Importe]",
TDinamica_R!$A$5,
"[Calendario].[AñoMes]",
"[Calendario].[AñoMes].&amp;[" &amp; TEXT(Z$6,"yyyymm")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A69" s="8">
        <f>IFERROR(
GETPIVOTDATA(
"[Base].[Importe]",
TDinamica_R!$A$5,
"[Calendario].[AñoMes]",
"[Calendario].[AñoMes].&amp;[" &amp; TEXT(AA$6,"yyyymm")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B69" s="8">
        <f>IFERROR(
GETPIVOTDATA(
"[Base].[Importe]",
TDinamica_R!$A$5,
"[Calendario].[AñoMes]",
"[Calendario].[AñoMes].&amp;[" &amp; TEXT(AB$6,"yyyymm")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C69" s="8">
        <f>IFERROR(
GETPIVOTDATA(
"[Base].[Importe]",
TDinamica_R!$A$5,
"[Calendario].[AñoMes]",
"[Calendario].[AñoMes].&amp;[" &amp; TEXT(AC$6,"yyyymm")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D69" s="8">
        <f>IFERROR(
GETPIVOTDATA(
"[Base].[Importe]",
TDinamica_R!$A$5,
"[Calendario].[AñoMes]",
"[Calendario].[AñoMes].&amp;[" &amp; TEXT(AD$6,"yyyymm")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E69" s="8">
        <f>IFERROR(
GETPIVOTDATA(
"[Base].[Importe]",
TDinamica_R!$A$5,
"[Calendario].[AñoMes]",
"[Calendario].[AñoMes].&amp;[" &amp; TEXT(AE$6,"yyyymm")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F69" s="8">
        <f>IFERROR(
GETPIVOTDATA(
"[Base].[Importe]",
TDinamica_R!$A$5,
"[Calendario].[AñoMes]",
"[Calendario].[AñoMes].&amp;[" &amp; TEXT(AF$6,"yyyymm")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G69" s="8">
        <f>IFERROR(
GETPIVOTDATA(
"[Base].[Importe]",
TDinamica_R!$A$5,
"[Calendario].[AñoMes]",
"[Calendario].[AñoMes].&amp;[" &amp; TEXT(AG$6,"yyyymm")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H69" s="8">
        <f>IFERROR(
GETPIVOTDATA(
"[Base].[Importe]",
TDinamica_R!$A$5,
"[Calendario].[AñoMes]",
"[Calendario].[AñoMes].&amp;[" &amp; TEXT(AH$6,"yyyymm")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I69" s="8">
        <f>IFERROR(
GETPIVOTDATA(
"[Base].[Importe]",
TDinamica_R!$A$5,
"[Calendario].[AñoMes]",
"[Calendario].[AñoMes].&amp;[" &amp; TEXT(AI$6,"yyyymm")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J69" s="8">
        <f>IFERROR(
GETPIVOTDATA(
"[Base].[Importe]",
TDinamica_R!$A$5,
"[Calendario].[AñoMes]",
"[Calendario].[AñoMes].&amp;[" &amp; TEXT(AJ$6,"yyyymm")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K69" s="8">
        <f>IFERROR(
GETPIVOTDATA(
"[Base].[Importe]",
TDinamica_R!$A$5,
"[Calendario].[AñoMes]",
"[Calendario].[AñoMes].&amp;[" &amp; TEXT(AK$6,"yyyymm")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L69" s="8">
        <f>IFERROR(
GETPIVOTDATA(
"[Base].[Importe]",
TDinamica_R!$A$5,
"[Calendario].[AñoMes]",
"[Calendario].[AñoMes].&amp;[" &amp; TEXT(AL$6,"yyyymm")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M69" s="8">
        <f>IFERROR(
GETPIVOTDATA(
"[Base].[Importe]",
TDinamica_R!$A$5,
"[Calendario].[AñoMes]",
"[Calendario].[AñoMes].&amp;[" &amp; TEXT(AM$6,"yyyymm")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N69" s="8">
        <f>IFERROR(
GETPIVOTDATA(
"[Base].[Importe]",
TDinamica_R!$A$5,
"[Calendario].[AñoMes]",
"[Calendario].[AñoMes].&amp;[" &amp; TEXT(AN$6,"yyyymm")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O69" s="8">
        <f>IFERROR(
GETPIVOTDATA(
"[Base].[Importe]",
TDinamica_R!$A$5,
"[Calendario].[AñoMes]",
"[Calendario].[AñoMes].&amp;[" &amp; TEXT(AO$6,"yyyymm")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P69" s="8">
        <f>IFERROR(
GETPIVOTDATA(
"[Base].[Importe]",
TDinamica_R!$A$5,
"[Calendario].[AñoMes]",
"[Calendario].[AñoMes].&amp;[" &amp; TEXT(AP$6,"yyyymm")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Q69" s="8">
        <f>IFERROR(
GETPIVOTDATA(
"[Base].[Importe]",
TDinamica_R!$A$5,
"[Calendario].[AñoMes]",
"[Calendario].[AñoMes].&amp;[" &amp; TEXT(AQ$6,"yyyymm")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R69" s="8">
        <f>IFERROR(
GETPIVOTDATA(
"[Base].[Importe]",
TDinamica_R!$A$5,
"[Calendario].[AñoMes]",
"[Calendario].[AñoMes].&amp;[" &amp; TEXT(AR$6,"yyyymm")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S69" s="8">
        <f>IFERROR(
GETPIVOTDATA(
"[Base].[Importe]",
TDinamica_R!$A$5,
"[Calendario].[AñoMes]",
"[Calendario].[AñoMes].&amp;[" &amp; TEXT(AS$6,"yyyymm")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T69" s="8">
        <f>IFERROR(
GETPIVOTDATA(
"[Base].[Importe]",
TDinamica_R!$A$5,
"[Calendario].[AñoMes]",
"[Calendario].[AñoMes].&amp;[" &amp; TEXT(AT$6,"yyyymm")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U69" s="8">
        <f>IFERROR(
GETPIVOTDATA(
"[Base].[Importe]",
TDinamica_R!$A$5,
"[Calendario].[AñoMes]",
"[Calendario].[AñoMes].&amp;[" &amp; TEXT(AU$6,"yyyymm")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V69" s="8">
        <f>IFERROR(
GETPIVOTDATA(
"[Base].[Importe]",
TDinamica_R!$A$5,
"[Calendario].[AñoMes]",
"[Calendario].[AñoMes].&amp;[" &amp; TEXT(AV$6,"yyyymm")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W69" s="8">
        <f>IFERROR(
GETPIVOTDATA(
"[Base].[Importe]",
TDinamica_R!$A$5,
"[Calendario].[AñoMes]",
"[Calendario].[AñoMes].&amp;[" &amp; TEXT(AW$6,"yyyymm")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X69" s="8">
        <f>IFERROR(
GETPIVOTDATA(
"[Base].[Importe]",
TDinamica_R!$A$5,
"[Calendario].[AñoMes]",
"[Calendario].[AñoMes].&amp;[" &amp; TEXT(AX$6,"yyyymm")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Y69" s="8">
        <f>IFERROR(
GETPIVOTDATA(
"[Base].[Importe]",
TDinamica_R!$A$5,
"[Calendario].[AñoMes]",
"[Calendario].[AñoMes].&amp;[" &amp; TEXT(AY$6,"yyyymm")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Z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TEXT(AZ$6,"yyyymm") &amp; "]"
),
0
)</f>
        <v>0</v>
      </c>
      <c r="BA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TEXT(BA$6,"yyyymm") &amp; "]"
),
0
)</f>
        <v>0</v>
      </c>
      <c r="BB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TEXT(BB$6,"yyyymm") &amp; "]"
),
0
)</f>
        <v>0</v>
      </c>
      <c r="BC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TEXT(BC$6,"yyyymm") &amp; "]"
),
0
)</f>
        <v>0</v>
      </c>
      <c r="BD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TEXT(BD$6,"yyyymm") &amp; "]"
),
0
)</f>
        <v>0</v>
      </c>
      <c r="BE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TEXT(BE$6,"yyyymm") &amp; "]"
),
0
)</f>
        <v>0</v>
      </c>
      <c r="BF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TEXT(BF$6,"yyyymm") &amp; "]"
),
0
)</f>
        <v>0</v>
      </c>
      <c r="BG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TEXT(BG$6,"yyyymm") &amp; "]"
),
0
)</f>
        <v>0</v>
      </c>
      <c r="BH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TEXT(BH$6,"yyyymm") &amp; "]"
),
0
)</f>
        <v>0</v>
      </c>
      <c r="BI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TEXT(BI$6,"yyyymm") &amp; "]"
),
0
)</f>
        <v>0</v>
      </c>
      <c r="BJ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TEXT(BJ$6,"yyyymm") &amp; "]"
),
0
)</f>
        <v>0</v>
      </c>
      <c r="BK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TEXT(BK$6,"yyyymm") &amp; "]"
),
0
)</f>
        <v>0</v>
      </c>
      <c r="BO69" s="24">
        <f t="shared" si="64"/>
        <v>0</v>
      </c>
      <c r="BP69" s="24">
        <f t="shared" si="64"/>
        <v>0</v>
      </c>
      <c r="BQ69" s="24">
        <f t="shared" si="64"/>
        <v>0</v>
      </c>
      <c r="BR69" s="24">
        <f t="shared" si="64"/>
        <v>0</v>
      </c>
      <c r="BS69" s="24">
        <f t="shared" si="64"/>
        <v>0</v>
      </c>
      <c r="BT69" s="24">
        <f t="shared" si="64"/>
        <v>0</v>
      </c>
    </row>
    <row r="70" spans="1:72" hidden="1" outlineLevel="1" x14ac:dyDescent="0.25">
      <c r="A70" s="11" t="s">
        <v>71</v>
      </c>
      <c r="C70" s="2"/>
      <c r="D70" s="8">
        <f>IFERROR(
GETPIVOTDATA(
"[Base].[Importe]",
TDinamica_R!$A$5,
"[Calendario].[AñoMes]",
"[Calendario].[AñoMes].&amp;[" &amp; TEXT(D$6,"yyyymm")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E70" s="8">
        <f>IFERROR(
GETPIVOTDATA(
"[Base].[Importe]",
TDinamica_R!$A$5,
"[Calendario].[AñoMes]",
"[Calendario].[AñoMes].&amp;[" &amp; TEXT(E$6,"yyyymm")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F70" s="8">
        <f>IFERROR(
GETPIVOTDATA(
"[Base].[Importe]",
TDinamica_R!$A$5,
"[Calendario].[AñoMes]",
"[Calendario].[AñoMes].&amp;[" &amp; TEXT(F$6,"yyyymm")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G70" s="8">
        <f>IFERROR(
GETPIVOTDATA(
"[Base].[Importe]",
TDinamica_R!$A$5,
"[Calendario].[AñoMes]",
"[Calendario].[AñoMes].&amp;[" &amp; TEXT(G$6,"yyyymm")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H70" s="8">
        <f>IFERROR(
GETPIVOTDATA(
"[Base].[Importe]",
TDinamica_R!$A$5,
"[Calendario].[AñoMes]",
"[Calendario].[AñoMes].&amp;[" &amp; TEXT(H$6,"yyyymm")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I70" s="8">
        <f>IFERROR(
GETPIVOTDATA(
"[Base].[Importe]",
TDinamica_R!$A$5,
"[Calendario].[AñoMes]",
"[Calendario].[AñoMes].&amp;[" &amp; TEXT(I$6,"yyyymm")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J70" s="8">
        <f>IFERROR(
GETPIVOTDATA(
"[Base].[Importe]",
TDinamica_R!$A$5,
"[Calendario].[AñoMes]",
"[Calendario].[AñoMes].&amp;[" &amp; TEXT(J$6,"yyyymm")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K70" s="8">
        <f>IFERROR(
GETPIVOTDATA(
"[Base].[Importe]",
TDinamica_R!$A$5,
"[Calendario].[AñoMes]",
"[Calendario].[AñoMes].&amp;[" &amp; TEXT(K$6,"yyyymm")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L70" s="8">
        <f>IFERROR(
GETPIVOTDATA(
"[Base].[Importe]",
TDinamica_R!$A$5,
"[Calendario].[AñoMes]",
"[Calendario].[AñoMes].&amp;[" &amp; TEXT(L$6,"yyyymm")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M70" s="8">
        <f>IFERROR(
GETPIVOTDATA(
"[Base].[Importe]",
TDinamica_R!$A$5,
"[Calendario].[AñoMes]",
"[Calendario].[AñoMes].&amp;[" &amp; TEXT(M$6,"yyyymm")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N70" s="8">
        <f>IFERROR(
GETPIVOTDATA(
"[Base].[Importe]",
TDinamica_R!$A$5,
"[Calendario].[AñoMes]",
"[Calendario].[AñoMes].&amp;[" &amp; TEXT(N$6,"yyyymm")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O70" s="8">
        <f>IFERROR(
GETPIVOTDATA(
"[Base].[Importe]",
TDinamica_R!$A$5,
"[Calendario].[AñoMes]",
"[Calendario].[AñoMes].&amp;[" &amp; TEXT(O$6,"yyyymm")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P70" s="8">
        <f>IFERROR(
GETPIVOTDATA(
"[Base].[Importe]",
TDinamica_R!$A$5,
"[Calendario].[AñoMes]",
"[Calendario].[AñoMes].&amp;[" &amp; TEXT(P$6,"yyyymm")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Q70" s="8">
        <f>IFERROR(
GETPIVOTDATA(
"[Base].[Importe]",
TDinamica_R!$A$5,
"[Calendario].[AñoMes]",
"[Calendario].[AñoMes].&amp;[" &amp; TEXT(Q$6,"yyyymm")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R70" s="8">
        <f>IFERROR(
GETPIVOTDATA(
"[Base].[Importe]",
TDinamica_R!$A$5,
"[Calendario].[AñoMes]",
"[Calendario].[AñoMes].&amp;[" &amp; TEXT(R$6,"yyyymm")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S70" s="8">
        <f>IFERROR(
GETPIVOTDATA(
"[Base].[Importe]",
TDinamica_R!$A$5,
"[Calendario].[AñoMes]",
"[Calendario].[AñoMes].&amp;[" &amp; TEXT(S$6,"yyyymm")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T70" s="8">
        <f>IFERROR(
GETPIVOTDATA(
"[Base].[Importe]",
TDinamica_R!$A$5,
"[Calendario].[AñoMes]",
"[Calendario].[AñoMes].&amp;[" &amp; TEXT(T$6,"yyyymm")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U70" s="8">
        <f>IFERROR(
GETPIVOTDATA(
"[Base].[Importe]",
TDinamica_R!$A$5,
"[Calendario].[AñoMes]",
"[Calendario].[AñoMes].&amp;[" &amp; TEXT(U$6,"yyyymm")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V70" s="8">
        <f>IFERROR(
GETPIVOTDATA(
"[Base].[Importe]",
TDinamica_R!$A$5,
"[Calendario].[AñoMes]",
"[Calendario].[AñoMes].&amp;[" &amp; TEXT(V$6,"yyyymm")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W70" s="8">
        <f>IFERROR(
GETPIVOTDATA(
"[Base].[Importe]",
TDinamica_R!$A$5,
"[Calendario].[AñoMes]",
"[Calendario].[AñoMes].&amp;[" &amp; TEXT(W$6,"yyyymm")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X70" s="8">
        <f>IFERROR(
GETPIVOTDATA(
"[Base].[Importe]",
TDinamica_R!$A$5,
"[Calendario].[AñoMes]",
"[Calendario].[AñoMes].&amp;[" &amp; TEXT(X$6,"yyyymm")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Y70" s="8">
        <f>IFERROR(
GETPIVOTDATA(
"[Base].[Importe]",
TDinamica_R!$A$5,
"[Calendario].[AñoMes]",
"[Calendario].[AñoMes].&amp;[" &amp; TEXT(Y$6,"yyyymm")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Z70" s="8">
        <f>IFERROR(
GETPIVOTDATA(
"[Base].[Importe]",
TDinamica_R!$A$5,
"[Calendario].[AñoMes]",
"[Calendario].[AñoMes].&amp;[" &amp; TEXT(Z$6,"yyyymm")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A70" s="8">
        <f>IFERROR(
GETPIVOTDATA(
"[Base].[Importe]",
TDinamica_R!$A$5,
"[Calendario].[AñoMes]",
"[Calendario].[AñoMes].&amp;[" &amp; TEXT(AA$6,"yyyymm")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B70" s="8">
        <f>IFERROR(
GETPIVOTDATA(
"[Base].[Importe]",
TDinamica_R!$A$5,
"[Calendario].[AñoMes]",
"[Calendario].[AñoMes].&amp;[" &amp; TEXT(AB$6,"yyyymm")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C70" s="8">
        <f>IFERROR(
GETPIVOTDATA(
"[Base].[Importe]",
TDinamica_R!$A$5,
"[Calendario].[AñoMes]",
"[Calendario].[AñoMes].&amp;[" &amp; TEXT(AC$6,"yyyymm")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D70" s="8">
        <f>IFERROR(
GETPIVOTDATA(
"[Base].[Importe]",
TDinamica_R!$A$5,
"[Calendario].[AñoMes]",
"[Calendario].[AñoMes].&amp;[" &amp; TEXT(AD$6,"yyyymm")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E70" s="8">
        <f>IFERROR(
GETPIVOTDATA(
"[Base].[Importe]",
TDinamica_R!$A$5,
"[Calendario].[AñoMes]",
"[Calendario].[AñoMes].&amp;[" &amp; TEXT(AE$6,"yyyymm")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F70" s="8">
        <f>IFERROR(
GETPIVOTDATA(
"[Base].[Importe]",
TDinamica_R!$A$5,
"[Calendario].[AñoMes]",
"[Calendario].[AñoMes].&amp;[" &amp; TEXT(AF$6,"yyyymm")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G70" s="8">
        <f>IFERROR(
GETPIVOTDATA(
"[Base].[Importe]",
TDinamica_R!$A$5,
"[Calendario].[AñoMes]",
"[Calendario].[AñoMes].&amp;[" &amp; TEXT(AG$6,"yyyymm")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H70" s="8">
        <f>IFERROR(
GETPIVOTDATA(
"[Base].[Importe]",
TDinamica_R!$A$5,
"[Calendario].[AñoMes]",
"[Calendario].[AñoMes].&amp;[" &amp; TEXT(AH$6,"yyyymm")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I70" s="8">
        <f>IFERROR(
GETPIVOTDATA(
"[Base].[Importe]",
TDinamica_R!$A$5,
"[Calendario].[AñoMes]",
"[Calendario].[AñoMes].&amp;[" &amp; TEXT(AI$6,"yyyymm")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J70" s="8">
        <f>IFERROR(
GETPIVOTDATA(
"[Base].[Importe]",
TDinamica_R!$A$5,
"[Calendario].[AñoMes]",
"[Calendario].[AñoMes].&amp;[" &amp; TEXT(AJ$6,"yyyymm")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K70" s="8">
        <f>IFERROR(
GETPIVOTDATA(
"[Base].[Importe]",
TDinamica_R!$A$5,
"[Calendario].[AñoMes]",
"[Calendario].[AñoMes].&amp;[" &amp; TEXT(AK$6,"yyyymm")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L70" s="8">
        <f>IFERROR(
GETPIVOTDATA(
"[Base].[Importe]",
TDinamica_R!$A$5,
"[Calendario].[AñoMes]",
"[Calendario].[AñoMes].&amp;[" &amp; TEXT(AL$6,"yyyymm")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M70" s="8">
        <f>IFERROR(
GETPIVOTDATA(
"[Base].[Importe]",
TDinamica_R!$A$5,
"[Calendario].[AñoMes]",
"[Calendario].[AñoMes].&amp;[" &amp; TEXT(AM$6,"yyyymm")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N70" s="8">
        <f>IFERROR(
GETPIVOTDATA(
"[Base].[Importe]",
TDinamica_R!$A$5,
"[Calendario].[AñoMes]",
"[Calendario].[AñoMes].&amp;[" &amp; TEXT(AN$6,"yyyymm")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O70" s="8">
        <f>IFERROR(
GETPIVOTDATA(
"[Base].[Importe]",
TDinamica_R!$A$5,
"[Calendario].[AñoMes]",
"[Calendario].[AñoMes].&amp;[" &amp; TEXT(AO$6,"yyyymm")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P70" s="8">
        <f>IFERROR(
GETPIVOTDATA(
"[Base].[Importe]",
TDinamica_R!$A$5,
"[Calendario].[AñoMes]",
"[Calendario].[AñoMes].&amp;[" &amp; TEXT(AP$6,"yyyymm")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Q70" s="8">
        <f>IFERROR(
GETPIVOTDATA(
"[Base].[Importe]",
TDinamica_R!$A$5,
"[Calendario].[AñoMes]",
"[Calendario].[AñoMes].&amp;[" &amp; TEXT(AQ$6,"yyyymm")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R70" s="8">
        <f>IFERROR(
GETPIVOTDATA(
"[Base].[Importe]",
TDinamica_R!$A$5,
"[Calendario].[AñoMes]",
"[Calendario].[AñoMes].&amp;[" &amp; TEXT(AR$6,"yyyymm")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S70" s="8">
        <f>IFERROR(
GETPIVOTDATA(
"[Base].[Importe]",
TDinamica_R!$A$5,
"[Calendario].[AñoMes]",
"[Calendario].[AñoMes].&amp;[" &amp; TEXT(AS$6,"yyyymm")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T70" s="8">
        <f>IFERROR(
GETPIVOTDATA(
"[Base].[Importe]",
TDinamica_R!$A$5,
"[Calendario].[AñoMes]",
"[Calendario].[AñoMes].&amp;[" &amp; TEXT(AT$6,"yyyymm")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U70" s="8">
        <f>IFERROR(
GETPIVOTDATA(
"[Base].[Importe]",
TDinamica_R!$A$5,
"[Calendario].[AñoMes]",
"[Calendario].[AñoMes].&amp;[" &amp; TEXT(AU$6,"yyyymm")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V70" s="8">
        <f>IFERROR(
GETPIVOTDATA(
"[Base].[Importe]",
TDinamica_R!$A$5,
"[Calendario].[AñoMes]",
"[Calendario].[AñoMes].&amp;[" &amp; TEXT(AV$6,"yyyymm")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W70" s="8">
        <f>IFERROR(
GETPIVOTDATA(
"[Base].[Importe]",
TDinamica_R!$A$5,
"[Calendario].[AñoMes]",
"[Calendario].[AñoMes].&amp;[" &amp; TEXT(AW$6,"yyyymm")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X70" s="8">
        <f>IFERROR(
GETPIVOTDATA(
"[Base].[Importe]",
TDinamica_R!$A$5,
"[Calendario].[AñoMes]",
"[Calendario].[AñoMes].&amp;[" &amp; TEXT(AX$6,"yyyymm")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Y70" s="8">
        <f>IFERROR(
GETPIVOTDATA(
"[Base].[Importe]",
TDinamica_R!$A$5,
"[Calendario].[AñoMes]",
"[Calendario].[AñoMes].&amp;[" &amp; TEXT(AY$6,"yyyymm")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Z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TEXT(AZ$6,"yyyymm") &amp; "]"
),
0
)</f>
        <v>0</v>
      </c>
      <c r="BA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TEXT(BA$6,"yyyymm") &amp; "]"
),
0
)</f>
        <v>0</v>
      </c>
      <c r="BB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TEXT(BB$6,"yyyymm") &amp; "]"
),
0
)</f>
        <v>0</v>
      </c>
      <c r="BC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TEXT(BC$6,"yyyymm") &amp; "]"
),
0
)</f>
        <v>0</v>
      </c>
      <c r="BD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TEXT(BD$6,"yyyymm") &amp; "]"
),
0
)</f>
        <v>0</v>
      </c>
      <c r="BE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TEXT(BE$6,"yyyymm") &amp; "]"
),
0
)</f>
        <v>0</v>
      </c>
      <c r="BF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TEXT(BF$6,"yyyymm") &amp; "]"
),
0
)</f>
        <v>0</v>
      </c>
      <c r="BG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TEXT(BG$6,"yyyymm") &amp; "]"
),
0
)</f>
        <v>0</v>
      </c>
      <c r="BH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TEXT(BH$6,"yyyymm") &amp; "]"
),
0
)</f>
        <v>0</v>
      </c>
      <c r="BI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TEXT(BI$6,"yyyymm") &amp; "]"
),
0
)</f>
        <v>0</v>
      </c>
      <c r="BJ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TEXT(BJ$6,"yyyymm") &amp; "]"
),
0
)</f>
        <v>0</v>
      </c>
      <c r="BK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TEXT(BK$6,"yyyymm") &amp; "]"
),
0
)</f>
        <v>0</v>
      </c>
      <c r="BO70" s="24">
        <f t="shared" si="64"/>
        <v>0</v>
      </c>
      <c r="BP70" s="24">
        <f t="shared" si="64"/>
        <v>0</v>
      </c>
      <c r="BQ70" s="24">
        <f t="shared" si="64"/>
        <v>0</v>
      </c>
      <c r="BR70" s="24">
        <f t="shared" si="64"/>
        <v>0</v>
      </c>
      <c r="BS70" s="24">
        <f t="shared" si="64"/>
        <v>0</v>
      </c>
      <c r="BT70" s="24">
        <f t="shared" si="64"/>
        <v>0</v>
      </c>
    </row>
    <row r="71" spans="1:72" hidden="1" outlineLevel="1" x14ac:dyDescent="0.25">
      <c r="A71" s="11" t="s">
        <v>71</v>
      </c>
      <c r="C71" s="2"/>
      <c r="D71" s="8">
        <f>IFERROR(
GETPIVOTDATA(
"[Base].[Importe]",
TDinamica_R!$A$5,
"[Calendario].[AñoMes]",
"[Calendario].[AñoMes].&amp;[" &amp; TEXT(D$6,"yyyymm")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E71" s="8">
        <f>IFERROR(
GETPIVOTDATA(
"[Base].[Importe]",
TDinamica_R!$A$5,
"[Calendario].[AñoMes]",
"[Calendario].[AñoMes].&amp;[" &amp; TEXT(E$6,"yyyymm")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F71" s="8">
        <f>IFERROR(
GETPIVOTDATA(
"[Base].[Importe]",
TDinamica_R!$A$5,
"[Calendario].[AñoMes]",
"[Calendario].[AñoMes].&amp;[" &amp; TEXT(F$6,"yyyymm")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G71" s="8">
        <f>IFERROR(
GETPIVOTDATA(
"[Base].[Importe]",
TDinamica_R!$A$5,
"[Calendario].[AñoMes]",
"[Calendario].[AñoMes].&amp;[" &amp; TEXT(G$6,"yyyymm")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H71" s="8">
        <f>IFERROR(
GETPIVOTDATA(
"[Base].[Importe]",
TDinamica_R!$A$5,
"[Calendario].[AñoMes]",
"[Calendario].[AñoMes].&amp;[" &amp; TEXT(H$6,"yyyymm")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I71" s="8">
        <f>IFERROR(
GETPIVOTDATA(
"[Base].[Importe]",
TDinamica_R!$A$5,
"[Calendario].[AñoMes]",
"[Calendario].[AñoMes].&amp;[" &amp; TEXT(I$6,"yyyymm")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J71" s="8">
        <f>IFERROR(
GETPIVOTDATA(
"[Base].[Importe]",
TDinamica_R!$A$5,
"[Calendario].[AñoMes]",
"[Calendario].[AñoMes].&amp;[" &amp; TEXT(J$6,"yyyymm")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K71" s="8">
        <f>IFERROR(
GETPIVOTDATA(
"[Base].[Importe]",
TDinamica_R!$A$5,
"[Calendario].[AñoMes]",
"[Calendario].[AñoMes].&amp;[" &amp; TEXT(K$6,"yyyymm")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L71" s="8">
        <f>IFERROR(
GETPIVOTDATA(
"[Base].[Importe]",
TDinamica_R!$A$5,
"[Calendario].[AñoMes]",
"[Calendario].[AñoMes].&amp;[" &amp; TEXT(L$6,"yyyymm")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M71" s="8">
        <f>IFERROR(
GETPIVOTDATA(
"[Base].[Importe]",
TDinamica_R!$A$5,
"[Calendario].[AñoMes]",
"[Calendario].[AñoMes].&amp;[" &amp; TEXT(M$6,"yyyymm")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N71" s="8">
        <f>IFERROR(
GETPIVOTDATA(
"[Base].[Importe]",
TDinamica_R!$A$5,
"[Calendario].[AñoMes]",
"[Calendario].[AñoMes].&amp;[" &amp; TEXT(N$6,"yyyymm")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O71" s="8">
        <f>IFERROR(
GETPIVOTDATA(
"[Base].[Importe]",
TDinamica_R!$A$5,
"[Calendario].[AñoMes]",
"[Calendario].[AñoMes].&amp;[" &amp; TEXT(O$6,"yyyymm")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P71" s="8">
        <f>IFERROR(
GETPIVOTDATA(
"[Base].[Importe]",
TDinamica_R!$A$5,
"[Calendario].[AñoMes]",
"[Calendario].[AñoMes].&amp;[" &amp; TEXT(P$6,"yyyymm")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Q71" s="8">
        <f>IFERROR(
GETPIVOTDATA(
"[Base].[Importe]",
TDinamica_R!$A$5,
"[Calendario].[AñoMes]",
"[Calendario].[AñoMes].&amp;[" &amp; TEXT(Q$6,"yyyymm")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R71" s="8">
        <f>IFERROR(
GETPIVOTDATA(
"[Base].[Importe]",
TDinamica_R!$A$5,
"[Calendario].[AñoMes]",
"[Calendario].[AñoMes].&amp;[" &amp; TEXT(R$6,"yyyymm")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S71" s="8">
        <f>IFERROR(
GETPIVOTDATA(
"[Base].[Importe]",
TDinamica_R!$A$5,
"[Calendario].[AñoMes]",
"[Calendario].[AñoMes].&amp;[" &amp; TEXT(S$6,"yyyymm")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T71" s="8">
        <f>IFERROR(
GETPIVOTDATA(
"[Base].[Importe]",
TDinamica_R!$A$5,
"[Calendario].[AñoMes]",
"[Calendario].[AñoMes].&amp;[" &amp; TEXT(T$6,"yyyymm")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U71" s="8">
        <f>IFERROR(
GETPIVOTDATA(
"[Base].[Importe]",
TDinamica_R!$A$5,
"[Calendario].[AñoMes]",
"[Calendario].[AñoMes].&amp;[" &amp; TEXT(U$6,"yyyymm")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V71" s="8">
        <f>IFERROR(
GETPIVOTDATA(
"[Base].[Importe]",
TDinamica_R!$A$5,
"[Calendario].[AñoMes]",
"[Calendario].[AñoMes].&amp;[" &amp; TEXT(V$6,"yyyymm")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W71" s="8">
        <f>IFERROR(
GETPIVOTDATA(
"[Base].[Importe]",
TDinamica_R!$A$5,
"[Calendario].[AñoMes]",
"[Calendario].[AñoMes].&amp;[" &amp; TEXT(W$6,"yyyymm")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X71" s="8">
        <f>IFERROR(
GETPIVOTDATA(
"[Base].[Importe]",
TDinamica_R!$A$5,
"[Calendario].[AñoMes]",
"[Calendario].[AñoMes].&amp;[" &amp; TEXT(X$6,"yyyymm")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Y71" s="8">
        <f>IFERROR(
GETPIVOTDATA(
"[Base].[Importe]",
TDinamica_R!$A$5,
"[Calendario].[AñoMes]",
"[Calendario].[AñoMes].&amp;[" &amp; TEXT(Y$6,"yyyymm")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Z71" s="8">
        <f>IFERROR(
GETPIVOTDATA(
"[Base].[Importe]",
TDinamica_R!$A$5,
"[Calendario].[AñoMes]",
"[Calendario].[AñoMes].&amp;[" &amp; TEXT(Z$6,"yyyymm")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A71" s="8">
        <f>IFERROR(
GETPIVOTDATA(
"[Base].[Importe]",
TDinamica_R!$A$5,
"[Calendario].[AñoMes]",
"[Calendario].[AñoMes].&amp;[" &amp; TEXT(AA$6,"yyyymm")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B71" s="8">
        <f>IFERROR(
GETPIVOTDATA(
"[Base].[Importe]",
TDinamica_R!$A$5,
"[Calendario].[AñoMes]",
"[Calendario].[AñoMes].&amp;[" &amp; TEXT(AB$6,"yyyymm")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C71" s="8">
        <f>IFERROR(
GETPIVOTDATA(
"[Base].[Importe]",
TDinamica_R!$A$5,
"[Calendario].[AñoMes]",
"[Calendario].[AñoMes].&amp;[" &amp; TEXT(AC$6,"yyyymm")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D71" s="8">
        <f>IFERROR(
GETPIVOTDATA(
"[Base].[Importe]",
TDinamica_R!$A$5,
"[Calendario].[AñoMes]",
"[Calendario].[AñoMes].&amp;[" &amp; TEXT(AD$6,"yyyymm")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E71" s="8">
        <f>IFERROR(
GETPIVOTDATA(
"[Base].[Importe]",
TDinamica_R!$A$5,
"[Calendario].[AñoMes]",
"[Calendario].[AñoMes].&amp;[" &amp; TEXT(AE$6,"yyyymm")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F71" s="8">
        <f>IFERROR(
GETPIVOTDATA(
"[Base].[Importe]",
TDinamica_R!$A$5,
"[Calendario].[AñoMes]",
"[Calendario].[AñoMes].&amp;[" &amp; TEXT(AF$6,"yyyymm")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G71" s="8">
        <f>IFERROR(
GETPIVOTDATA(
"[Base].[Importe]",
TDinamica_R!$A$5,
"[Calendario].[AñoMes]",
"[Calendario].[AñoMes].&amp;[" &amp; TEXT(AG$6,"yyyymm")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H71" s="8">
        <f>IFERROR(
GETPIVOTDATA(
"[Base].[Importe]",
TDinamica_R!$A$5,
"[Calendario].[AñoMes]",
"[Calendario].[AñoMes].&amp;[" &amp; TEXT(AH$6,"yyyymm")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I71" s="8">
        <f>IFERROR(
GETPIVOTDATA(
"[Base].[Importe]",
TDinamica_R!$A$5,
"[Calendario].[AñoMes]",
"[Calendario].[AñoMes].&amp;[" &amp; TEXT(AI$6,"yyyymm")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J71" s="8">
        <f>IFERROR(
GETPIVOTDATA(
"[Base].[Importe]",
TDinamica_R!$A$5,
"[Calendario].[AñoMes]",
"[Calendario].[AñoMes].&amp;[" &amp; TEXT(AJ$6,"yyyymm")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K71" s="8">
        <f>IFERROR(
GETPIVOTDATA(
"[Base].[Importe]",
TDinamica_R!$A$5,
"[Calendario].[AñoMes]",
"[Calendario].[AñoMes].&amp;[" &amp; TEXT(AK$6,"yyyymm")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L71" s="8">
        <f>IFERROR(
GETPIVOTDATA(
"[Base].[Importe]",
TDinamica_R!$A$5,
"[Calendario].[AñoMes]",
"[Calendario].[AñoMes].&amp;[" &amp; TEXT(AL$6,"yyyymm")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M71" s="8">
        <f>IFERROR(
GETPIVOTDATA(
"[Base].[Importe]",
TDinamica_R!$A$5,
"[Calendario].[AñoMes]",
"[Calendario].[AñoMes].&amp;[" &amp; TEXT(AM$6,"yyyymm")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N71" s="8">
        <f>IFERROR(
GETPIVOTDATA(
"[Base].[Importe]",
TDinamica_R!$A$5,
"[Calendario].[AñoMes]",
"[Calendario].[AñoMes].&amp;[" &amp; TEXT(AN$6,"yyyymm")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O71" s="8">
        <f>IFERROR(
GETPIVOTDATA(
"[Base].[Importe]",
TDinamica_R!$A$5,
"[Calendario].[AñoMes]",
"[Calendario].[AñoMes].&amp;[" &amp; TEXT(AO$6,"yyyymm")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P71" s="8">
        <f>IFERROR(
GETPIVOTDATA(
"[Base].[Importe]",
TDinamica_R!$A$5,
"[Calendario].[AñoMes]",
"[Calendario].[AñoMes].&amp;[" &amp; TEXT(AP$6,"yyyymm")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Q71" s="8">
        <f>IFERROR(
GETPIVOTDATA(
"[Base].[Importe]",
TDinamica_R!$A$5,
"[Calendario].[AñoMes]",
"[Calendario].[AñoMes].&amp;[" &amp; TEXT(AQ$6,"yyyymm")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R71" s="8">
        <f>IFERROR(
GETPIVOTDATA(
"[Base].[Importe]",
TDinamica_R!$A$5,
"[Calendario].[AñoMes]",
"[Calendario].[AñoMes].&amp;[" &amp; TEXT(AR$6,"yyyymm")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S71" s="8">
        <f>IFERROR(
GETPIVOTDATA(
"[Base].[Importe]",
TDinamica_R!$A$5,
"[Calendario].[AñoMes]",
"[Calendario].[AñoMes].&amp;[" &amp; TEXT(AS$6,"yyyymm")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T71" s="8">
        <f>IFERROR(
GETPIVOTDATA(
"[Base].[Importe]",
TDinamica_R!$A$5,
"[Calendario].[AñoMes]",
"[Calendario].[AñoMes].&amp;[" &amp; TEXT(AT$6,"yyyymm")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U71" s="8">
        <f>IFERROR(
GETPIVOTDATA(
"[Base].[Importe]",
TDinamica_R!$A$5,
"[Calendario].[AñoMes]",
"[Calendario].[AñoMes].&amp;[" &amp; TEXT(AU$6,"yyyymm")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V71" s="8">
        <f>IFERROR(
GETPIVOTDATA(
"[Base].[Importe]",
TDinamica_R!$A$5,
"[Calendario].[AñoMes]",
"[Calendario].[AñoMes].&amp;[" &amp; TEXT(AV$6,"yyyymm")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W71" s="8">
        <f>IFERROR(
GETPIVOTDATA(
"[Base].[Importe]",
TDinamica_R!$A$5,
"[Calendario].[AñoMes]",
"[Calendario].[AñoMes].&amp;[" &amp; TEXT(AW$6,"yyyymm")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X71" s="8">
        <f>IFERROR(
GETPIVOTDATA(
"[Base].[Importe]",
TDinamica_R!$A$5,
"[Calendario].[AñoMes]",
"[Calendario].[AñoMes].&amp;[" &amp; TEXT(AX$6,"yyyymm")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Y71" s="8">
        <f>IFERROR(
GETPIVOTDATA(
"[Base].[Importe]",
TDinamica_R!$A$5,
"[Calendario].[AñoMes]",
"[Calendario].[AñoMes].&amp;[" &amp; TEXT(AY$6,"yyyymm")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Z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TEXT(AZ$6,"yyyymm") &amp; "]"
),
0
)</f>
        <v>0</v>
      </c>
      <c r="BA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TEXT(BA$6,"yyyymm") &amp; "]"
),
0
)</f>
        <v>0</v>
      </c>
      <c r="BB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TEXT(BB$6,"yyyymm") &amp; "]"
),
0
)</f>
        <v>0</v>
      </c>
      <c r="BC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TEXT(BC$6,"yyyymm") &amp; "]"
),
0
)</f>
        <v>0</v>
      </c>
      <c r="BD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TEXT(BD$6,"yyyymm") &amp; "]"
),
0
)</f>
        <v>0</v>
      </c>
      <c r="BE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TEXT(BE$6,"yyyymm") &amp; "]"
),
0
)</f>
        <v>0</v>
      </c>
      <c r="BF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TEXT(BF$6,"yyyymm") &amp; "]"
),
0
)</f>
        <v>0</v>
      </c>
      <c r="BG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TEXT(BG$6,"yyyymm") &amp; "]"
),
0
)</f>
        <v>0</v>
      </c>
      <c r="BH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TEXT(BH$6,"yyyymm") &amp; "]"
),
0
)</f>
        <v>0</v>
      </c>
      <c r="BI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TEXT(BI$6,"yyyymm") &amp; "]"
),
0
)</f>
        <v>0</v>
      </c>
      <c r="BJ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TEXT(BJ$6,"yyyymm") &amp; "]"
),
0
)</f>
        <v>0</v>
      </c>
      <c r="BK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TEXT(BK$6,"yyyymm") &amp; "]"
),
0
)</f>
        <v>0</v>
      </c>
      <c r="BO71" s="24">
        <f t="shared" si="64"/>
        <v>0</v>
      </c>
      <c r="BP71" s="24">
        <f t="shared" si="64"/>
        <v>0</v>
      </c>
      <c r="BQ71" s="24">
        <f t="shared" si="64"/>
        <v>0</v>
      </c>
      <c r="BR71" s="24">
        <f t="shared" si="64"/>
        <v>0</v>
      </c>
      <c r="BS71" s="24">
        <f t="shared" si="64"/>
        <v>0</v>
      </c>
      <c r="BT71" s="24">
        <f t="shared" si="64"/>
        <v>0</v>
      </c>
    </row>
    <row r="72" spans="1:72" hidden="1" outlineLevel="1" x14ac:dyDescent="0.25">
      <c r="A72" s="11" t="s">
        <v>71</v>
      </c>
      <c r="C72" s="2"/>
      <c r="D72" s="8">
        <f>IFERROR(
GETPIVOTDATA(
"[Base].[Importe]",
TDinamica_R!$A$5,
"[Calendario].[AñoMes]",
"[Calendario].[AñoMes].&amp;[" &amp; TEXT(D$6,"yyyymm")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E72" s="8">
        <f>IFERROR(
GETPIVOTDATA(
"[Base].[Importe]",
TDinamica_R!$A$5,
"[Calendario].[AñoMes]",
"[Calendario].[AñoMes].&amp;[" &amp; TEXT(E$6,"yyyymm")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F72" s="8">
        <f>IFERROR(
GETPIVOTDATA(
"[Base].[Importe]",
TDinamica_R!$A$5,
"[Calendario].[AñoMes]",
"[Calendario].[AñoMes].&amp;[" &amp; TEXT(F$6,"yyyymm")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G72" s="8">
        <f>IFERROR(
GETPIVOTDATA(
"[Base].[Importe]",
TDinamica_R!$A$5,
"[Calendario].[AñoMes]",
"[Calendario].[AñoMes].&amp;[" &amp; TEXT(G$6,"yyyymm")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H72" s="8">
        <f>IFERROR(
GETPIVOTDATA(
"[Base].[Importe]",
TDinamica_R!$A$5,
"[Calendario].[AñoMes]",
"[Calendario].[AñoMes].&amp;[" &amp; TEXT(H$6,"yyyymm")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I72" s="8">
        <f>IFERROR(
GETPIVOTDATA(
"[Base].[Importe]",
TDinamica_R!$A$5,
"[Calendario].[AñoMes]",
"[Calendario].[AñoMes].&amp;[" &amp; TEXT(I$6,"yyyymm")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J72" s="8">
        <f>IFERROR(
GETPIVOTDATA(
"[Base].[Importe]",
TDinamica_R!$A$5,
"[Calendario].[AñoMes]",
"[Calendario].[AñoMes].&amp;[" &amp; TEXT(J$6,"yyyymm")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K72" s="8">
        <f>IFERROR(
GETPIVOTDATA(
"[Base].[Importe]",
TDinamica_R!$A$5,
"[Calendario].[AñoMes]",
"[Calendario].[AñoMes].&amp;[" &amp; TEXT(K$6,"yyyymm")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L72" s="8">
        <f>IFERROR(
GETPIVOTDATA(
"[Base].[Importe]",
TDinamica_R!$A$5,
"[Calendario].[AñoMes]",
"[Calendario].[AñoMes].&amp;[" &amp; TEXT(L$6,"yyyymm")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M72" s="8">
        <f>IFERROR(
GETPIVOTDATA(
"[Base].[Importe]",
TDinamica_R!$A$5,
"[Calendario].[AñoMes]",
"[Calendario].[AñoMes].&amp;[" &amp; TEXT(M$6,"yyyymm")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N72" s="8">
        <f>IFERROR(
GETPIVOTDATA(
"[Base].[Importe]",
TDinamica_R!$A$5,
"[Calendario].[AñoMes]",
"[Calendario].[AñoMes].&amp;[" &amp; TEXT(N$6,"yyyymm")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O72" s="8">
        <f>IFERROR(
GETPIVOTDATA(
"[Base].[Importe]",
TDinamica_R!$A$5,
"[Calendario].[AñoMes]",
"[Calendario].[AñoMes].&amp;[" &amp; TEXT(O$6,"yyyymm")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P72" s="8">
        <f>IFERROR(
GETPIVOTDATA(
"[Base].[Importe]",
TDinamica_R!$A$5,
"[Calendario].[AñoMes]",
"[Calendario].[AñoMes].&amp;[" &amp; TEXT(P$6,"yyyymm")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Q72" s="8">
        <f>IFERROR(
GETPIVOTDATA(
"[Base].[Importe]",
TDinamica_R!$A$5,
"[Calendario].[AñoMes]",
"[Calendario].[AñoMes].&amp;[" &amp; TEXT(Q$6,"yyyymm")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R72" s="8">
        <f>IFERROR(
GETPIVOTDATA(
"[Base].[Importe]",
TDinamica_R!$A$5,
"[Calendario].[AñoMes]",
"[Calendario].[AñoMes].&amp;[" &amp; TEXT(R$6,"yyyymm")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S72" s="8">
        <f>IFERROR(
GETPIVOTDATA(
"[Base].[Importe]",
TDinamica_R!$A$5,
"[Calendario].[AñoMes]",
"[Calendario].[AñoMes].&amp;[" &amp; TEXT(S$6,"yyyymm")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T72" s="8">
        <f>IFERROR(
GETPIVOTDATA(
"[Base].[Importe]",
TDinamica_R!$A$5,
"[Calendario].[AñoMes]",
"[Calendario].[AñoMes].&amp;[" &amp; TEXT(T$6,"yyyymm")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U72" s="8">
        <f>IFERROR(
GETPIVOTDATA(
"[Base].[Importe]",
TDinamica_R!$A$5,
"[Calendario].[AñoMes]",
"[Calendario].[AñoMes].&amp;[" &amp; TEXT(U$6,"yyyymm")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V72" s="8">
        <f>IFERROR(
GETPIVOTDATA(
"[Base].[Importe]",
TDinamica_R!$A$5,
"[Calendario].[AñoMes]",
"[Calendario].[AñoMes].&amp;[" &amp; TEXT(V$6,"yyyymm")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W72" s="8">
        <f>IFERROR(
GETPIVOTDATA(
"[Base].[Importe]",
TDinamica_R!$A$5,
"[Calendario].[AñoMes]",
"[Calendario].[AñoMes].&amp;[" &amp; TEXT(W$6,"yyyymm")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X72" s="8">
        <f>IFERROR(
GETPIVOTDATA(
"[Base].[Importe]",
TDinamica_R!$A$5,
"[Calendario].[AñoMes]",
"[Calendario].[AñoMes].&amp;[" &amp; TEXT(X$6,"yyyymm")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Y72" s="8">
        <f>IFERROR(
GETPIVOTDATA(
"[Base].[Importe]",
TDinamica_R!$A$5,
"[Calendario].[AñoMes]",
"[Calendario].[AñoMes].&amp;[" &amp; TEXT(Y$6,"yyyymm")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Z72" s="8">
        <f>IFERROR(
GETPIVOTDATA(
"[Base].[Importe]",
TDinamica_R!$A$5,
"[Calendario].[AñoMes]",
"[Calendario].[AñoMes].&amp;[" &amp; TEXT(Z$6,"yyyymm")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A72" s="8">
        <f>IFERROR(
GETPIVOTDATA(
"[Base].[Importe]",
TDinamica_R!$A$5,
"[Calendario].[AñoMes]",
"[Calendario].[AñoMes].&amp;[" &amp; TEXT(AA$6,"yyyymm")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B72" s="8">
        <f>IFERROR(
GETPIVOTDATA(
"[Base].[Importe]",
TDinamica_R!$A$5,
"[Calendario].[AñoMes]",
"[Calendario].[AñoMes].&amp;[" &amp; TEXT(AB$6,"yyyymm")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C72" s="8">
        <f>IFERROR(
GETPIVOTDATA(
"[Base].[Importe]",
TDinamica_R!$A$5,
"[Calendario].[AñoMes]",
"[Calendario].[AñoMes].&amp;[" &amp; TEXT(AC$6,"yyyymm")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D72" s="8">
        <f>IFERROR(
GETPIVOTDATA(
"[Base].[Importe]",
TDinamica_R!$A$5,
"[Calendario].[AñoMes]",
"[Calendario].[AñoMes].&amp;[" &amp; TEXT(AD$6,"yyyymm")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E72" s="8">
        <f>IFERROR(
GETPIVOTDATA(
"[Base].[Importe]",
TDinamica_R!$A$5,
"[Calendario].[AñoMes]",
"[Calendario].[AñoMes].&amp;[" &amp; TEXT(AE$6,"yyyymm")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F72" s="8">
        <f>IFERROR(
GETPIVOTDATA(
"[Base].[Importe]",
TDinamica_R!$A$5,
"[Calendario].[AñoMes]",
"[Calendario].[AñoMes].&amp;[" &amp; TEXT(AF$6,"yyyymm")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G72" s="8">
        <f>IFERROR(
GETPIVOTDATA(
"[Base].[Importe]",
TDinamica_R!$A$5,
"[Calendario].[AñoMes]",
"[Calendario].[AñoMes].&amp;[" &amp; TEXT(AG$6,"yyyymm")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H72" s="8">
        <f>IFERROR(
GETPIVOTDATA(
"[Base].[Importe]",
TDinamica_R!$A$5,
"[Calendario].[AñoMes]",
"[Calendario].[AñoMes].&amp;[" &amp; TEXT(AH$6,"yyyymm")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I72" s="8">
        <f>IFERROR(
GETPIVOTDATA(
"[Base].[Importe]",
TDinamica_R!$A$5,
"[Calendario].[AñoMes]",
"[Calendario].[AñoMes].&amp;[" &amp; TEXT(AI$6,"yyyymm")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J72" s="8">
        <f>IFERROR(
GETPIVOTDATA(
"[Base].[Importe]",
TDinamica_R!$A$5,
"[Calendario].[AñoMes]",
"[Calendario].[AñoMes].&amp;[" &amp; TEXT(AJ$6,"yyyymm")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K72" s="8">
        <f>IFERROR(
GETPIVOTDATA(
"[Base].[Importe]",
TDinamica_R!$A$5,
"[Calendario].[AñoMes]",
"[Calendario].[AñoMes].&amp;[" &amp; TEXT(AK$6,"yyyymm")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L72" s="8">
        <f>IFERROR(
GETPIVOTDATA(
"[Base].[Importe]",
TDinamica_R!$A$5,
"[Calendario].[AñoMes]",
"[Calendario].[AñoMes].&amp;[" &amp; TEXT(AL$6,"yyyymm")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M72" s="8">
        <f>IFERROR(
GETPIVOTDATA(
"[Base].[Importe]",
TDinamica_R!$A$5,
"[Calendario].[AñoMes]",
"[Calendario].[AñoMes].&amp;[" &amp; TEXT(AM$6,"yyyymm")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N72" s="8">
        <f>IFERROR(
GETPIVOTDATA(
"[Base].[Importe]",
TDinamica_R!$A$5,
"[Calendario].[AñoMes]",
"[Calendario].[AñoMes].&amp;[" &amp; TEXT(AN$6,"yyyymm")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O72" s="8">
        <f>IFERROR(
GETPIVOTDATA(
"[Base].[Importe]",
TDinamica_R!$A$5,
"[Calendario].[AñoMes]",
"[Calendario].[AñoMes].&amp;[" &amp; TEXT(AO$6,"yyyymm")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P72" s="8">
        <f>IFERROR(
GETPIVOTDATA(
"[Base].[Importe]",
TDinamica_R!$A$5,
"[Calendario].[AñoMes]",
"[Calendario].[AñoMes].&amp;[" &amp; TEXT(AP$6,"yyyymm")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Q72" s="8">
        <f>IFERROR(
GETPIVOTDATA(
"[Base].[Importe]",
TDinamica_R!$A$5,
"[Calendario].[AñoMes]",
"[Calendario].[AñoMes].&amp;[" &amp; TEXT(AQ$6,"yyyymm")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R72" s="8">
        <f>IFERROR(
GETPIVOTDATA(
"[Base].[Importe]",
TDinamica_R!$A$5,
"[Calendario].[AñoMes]",
"[Calendario].[AñoMes].&amp;[" &amp; TEXT(AR$6,"yyyymm")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S72" s="8">
        <f>IFERROR(
GETPIVOTDATA(
"[Base].[Importe]",
TDinamica_R!$A$5,
"[Calendario].[AñoMes]",
"[Calendario].[AñoMes].&amp;[" &amp; TEXT(AS$6,"yyyymm")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T72" s="8">
        <f>IFERROR(
GETPIVOTDATA(
"[Base].[Importe]",
TDinamica_R!$A$5,
"[Calendario].[AñoMes]",
"[Calendario].[AñoMes].&amp;[" &amp; TEXT(AT$6,"yyyymm")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U72" s="8">
        <f>IFERROR(
GETPIVOTDATA(
"[Base].[Importe]",
TDinamica_R!$A$5,
"[Calendario].[AñoMes]",
"[Calendario].[AñoMes].&amp;[" &amp; TEXT(AU$6,"yyyymm")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V72" s="8">
        <f>IFERROR(
GETPIVOTDATA(
"[Base].[Importe]",
TDinamica_R!$A$5,
"[Calendario].[AñoMes]",
"[Calendario].[AñoMes].&amp;[" &amp; TEXT(AV$6,"yyyymm")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W72" s="8">
        <f>IFERROR(
GETPIVOTDATA(
"[Base].[Importe]",
TDinamica_R!$A$5,
"[Calendario].[AñoMes]",
"[Calendario].[AñoMes].&amp;[" &amp; TEXT(AW$6,"yyyymm")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X72" s="8">
        <f>IFERROR(
GETPIVOTDATA(
"[Base].[Importe]",
TDinamica_R!$A$5,
"[Calendario].[AñoMes]",
"[Calendario].[AñoMes].&amp;[" &amp; TEXT(AX$6,"yyyymm")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Y72" s="8">
        <f>IFERROR(
GETPIVOTDATA(
"[Base].[Importe]",
TDinamica_R!$A$5,
"[Calendario].[AñoMes]",
"[Calendario].[AñoMes].&amp;[" &amp; TEXT(AY$6,"yyyymm")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Z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TEXT(AZ$6,"yyyymm") &amp; "]"
),
0
)</f>
        <v>0</v>
      </c>
      <c r="BA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TEXT(BA$6,"yyyymm") &amp; "]"
),
0
)</f>
        <v>0</v>
      </c>
      <c r="BB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TEXT(BB$6,"yyyymm") &amp; "]"
),
0
)</f>
        <v>0</v>
      </c>
      <c r="BC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TEXT(BC$6,"yyyymm") &amp; "]"
),
0
)</f>
        <v>0</v>
      </c>
      <c r="BD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TEXT(BD$6,"yyyymm") &amp; "]"
),
0
)</f>
        <v>0</v>
      </c>
      <c r="BE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TEXT(BE$6,"yyyymm") &amp; "]"
),
0
)</f>
        <v>0</v>
      </c>
      <c r="BF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TEXT(BF$6,"yyyymm") &amp; "]"
),
0
)</f>
        <v>0</v>
      </c>
      <c r="BG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TEXT(BG$6,"yyyymm") &amp; "]"
),
0
)</f>
        <v>0</v>
      </c>
      <c r="BH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TEXT(BH$6,"yyyymm") &amp; "]"
),
0
)</f>
        <v>0</v>
      </c>
      <c r="BI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TEXT(BI$6,"yyyymm") &amp; "]"
),
0
)</f>
        <v>0</v>
      </c>
      <c r="BJ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TEXT(BJ$6,"yyyymm") &amp; "]"
),
0
)</f>
        <v>0</v>
      </c>
      <c r="BK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TEXT(BK$6,"yyyymm") &amp; "]"
),
0
)</f>
        <v>0</v>
      </c>
      <c r="BO72" s="24">
        <f t="shared" si="64"/>
        <v>0</v>
      </c>
      <c r="BP72" s="24">
        <f t="shared" si="64"/>
        <v>0</v>
      </c>
      <c r="BQ72" s="24">
        <f t="shared" si="64"/>
        <v>0</v>
      </c>
      <c r="BR72" s="24">
        <f t="shared" si="64"/>
        <v>0</v>
      </c>
      <c r="BS72" s="24">
        <f t="shared" si="64"/>
        <v>0</v>
      </c>
      <c r="BT72" s="24">
        <f t="shared" si="64"/>
        <v>0</v>
      </c>
    </row>
    <row r="73" spans="1:72" hidden="1" outlineLevel="1" x14ac:dyDescent="0.25">
      <c r="A73" s="11" t="s">
        <v>71</v>
      </c>
      <c r="C73" s="2"/>
      <c r="D73" s="8">
        <f>IFERROR(
GETPIVOTDATA(
"[Base].[Importe]",
TDinamica_R!$A$5,
"[Calendario].[AñoMes]",
"[Calendario].[AñoMes].&amp;[" &amp; TEXT(D$6,"yyyymm")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E73" s="8">
        <f>IFERROR(
GETPIVOTDATA(
"[Base].[Importe]",
TDinamica_R!$A$5,
"[Calendario].[AñoMes]",
"[Calendario].[AñoMes].&amp;[" &amp; TEXT(E$6,"yyyymm")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F73" s="8">
        <f>IFERROR(
GETPIVOTDATA(
"[Base].[Importe]",
TDinamica_R!$A$5,
"[Calendario].[AñoMes]",
"[Calendario].[AñoMes].&amp;[" &amp; TEXT(F$6,"yyyymm")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G73" s="8">
        <f>IFERROR(
GETPIVOTDATA(
"[Base].[Importe]",
TDinamica_R!$A$5,
"[Calendario].[AñoMes]",
"[Calendario].[AñoMes].&amp;[" &amp; TEXT(G$6,"yyyymm")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H73" s="8">
        <f>IFERROR(
GETPIVOTDATA(
"[Base].[Importe]",
TDinamica_R!$A$5,
"[Calendario].[AñoMes]",
"[Calendario].[AñoMes].&amp;[" &amp; TEXT(H$6,"yyyymm")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I73" s="8">
        <f>IFERROR(
GETPIVOTDATA(
"[Base].[Importe]",
TDinamica_R!$A$5,
"[Calendario].[AñoMes]",
"[Calendario].[AñoMes].&amp;[" &amp; TEXT(I$6,"yyyymm")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J73" s="8">
        <f>IFERROR(
GETPIVOTDATA(
"[Base].[Importe]",
TDinamica_R!$A$5,
"[Calendario].[AñoMes]",
"[Calendario].[AñoMes].&amp;[" &amp; TEXT(J$6,"yyyymm")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K73" s="8">
        <f>IFERROR(
GETPIVOTDATA(
"[Base].[Importe]",
TDinamica_R!$A$5,
"[Calendario].[AñoMes]",
"[Calendario].[AñoMes].&amp;[" &amp; TEXT(K$6,"yyyymm")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L73" s="8">
        <f>IFERROR(
GETPIVOTDATA(
"[Base].[Importe]",
TDinamica_R!$A$5,
"[Calendario].[AñoMes]",
"[Calendario].[AñoMes].&amp;[" &amp; TEXT(L$6,"yyyymm")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M73" s="8">
        <f>IFERROR(
GETPIVOTDATA(
"[Base].[Importe]",
TDinamica_R!$A$5,
"[Calendario].[AñoMes]",
"[Calendario].[AñoMes].&amp;[" &amp; TEXT(M$6,"yyyymm")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N73" s="8">
        <f>IFERROR(
GETPIVOTDATA(
"[Base].[Importe]",
TDinamica_R!$A$5,
"[Calendario].[AñoMes]",
"[Calendario].[AñoMes].&amp;[" &amp; TEXT(N$6,"yyyymm")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O73" s="8">
        <f>IFERROR(
GETPIVOTDATA(
"[Base].[Importe]",
TDinamica_R!$A$5,
"[Calendario].[AñoMes]",
"[Calendario].[AñoMes].&amp;[" &amp; TEXT(O$6,"yyyymm")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P73" s="8">
        <f>IFERROR(
GETPIVOTDATA(
"[Base].[Importe]",
TDinamica_R!$A$5,
"[Calendario].[AñoMes]",
"[Calendario].[AñoMes].&amp;[" &amp; TEXT(P$6,"yyyymm")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Q73" s="8">
        <f>IFERROR(
GETPIVOTDATA(
"[Base].[Importe]",
TDinamica_R!$A$5,
"[Calendario].[AñoMes]",
"[Calendario].[AñoMes].&amp;[" &amp; TEXT(Q$6,"yyyymm")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R73" s="8">
        <f>IFERROR(
GETPIVOTDATA(
"[Base].[Importe]",
TDinamica_R!$A$5,
"[Calendario].[AñoMes]",
"[Calendario].[AñoMes].&amp;[" &amp; TEXT(R$6,"yyyymm")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S73" s="8">
        <f>IFERROR(
GETPIVOTDATA(
"[Base].[Importe]",
TDinamica_R!$A$5,
"[Calendario].[AñoMes]",
"[Calendario].[AñoMes].&amp;[" &amp; TEXT(S$6,"yyyymm")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T73" s="8">
        <f>IFERROR(
GETPIVOTDATA(
"[Base].[Importe]",
TDinamica_R!$A$5,
"[Calendario].[AñoMes]",
"[Calendario].[AñoMes].&amp;[" &amp; TEXT(T$6,"yyyymm")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U73" s="8">
        <f>IFERROR(
GETPIVOTDATA(
"[Base].[Importe]",
TDinamica_R!$A$5,
"[Calendario].[AñoMes]",
"[Calendario].[AñoMes].&amp;[" &amp; TEXT(U$6,"yyyymm")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V73" s="8">
        <f>IFERROR(
GETPIVOTDATA(
"[Base].[Importe]",
TDinamica_R!$A$5,
"[Calendario].[AñoMes]",
"[Calendario].[AñoMes].&amp;[" &amp; TEXT(V$6,"yyyymm")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W73" s="8">
        <f>IFERROR(
GETPIVOTDATA(
"[Base].[Importe]",
TDinamica_R!$A$5,
"[Calendario].[AñoMes]",
"[Calendario].[AñoMes].&amp;[" &amp; TEXT(W$6,"yyyymm")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X73" s="8">
        <f>IFERROR(
GETPIVOTDATA(
"[Base].[Importe]",
TDinamica_R!$A$5,
"[Calendario].[AñoMes]",
"[Calendario].[AñoMes].&amp;[" &amp; TEXT(X$6,"yyyymm")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Y73" s="8">
        <f>IFERROR(
GETPIVOTDATA(
"[Base].[Importe]",
TDinamica_R!$A$5,
"[Calendario].[AñoMes]",
"[Calendario].[AñoMes].&amp;[" &amp; TEXT(Y$6,"yyyymm")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Z73" s="8">
        <f>IFERROR(
GETPIVOTDATA(
"[Base].[Importe]",
TDinamica_R!$A$5,
"[Calendario].[AñoMes]",
"[Calendario].[AñoMes].&amp;[" &amp; TEXT(Z$6,"yyyymm")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A73" s="8">
        <f>IFERROR(
GETPIVOTDATA(
"[Base].[Importe]",
TDinamica_R!$A$5,
"[Calendario].[AñoMes]",
"[Calendario].[AñoMes].&amp;[" &amp; TEXT(AA$6,"yyyymm")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B73" s="8">
        <f>IFERROR(
GETPIVOTDATA(
"[Base].[Importe]",
TDinamica_R!$A$5,
"[Calendario].[AñoMes]",
"[Calendario].[AñoMes].&amp;[" &amp; TEXT(AB$6,"yyyymm")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C73" s="8">
        <f>IFERROR(
GETPIVOTDATA(
"[Base].[Importe]",
TDinamica_R!$A$5,
"[Calendario].[AñoMes]",
"[Calendario].[AñoMes].&amp;[" &amp; TEXT(AC$6,"yyyymm")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D73" s="8">
        <f>IFERROR(
GETPIVOTDATA(
"[Base].[Importe]",
TDinamica_R!$A$5,
"[Calendario].[AñoMes]",
"[Calendario].[AñoMes].&amp;[" &amp; TEXT(AD$6,"yyyymm")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E73" s="8">
        <f>IFERROR(
GETPIVOTDATA(
"[Base].[Importe]",
TDinamica_R!$A$5,
"[Calendario].[AñoMes]",
"[Calendario].[AñoMes].&amp;[" &amp; TEXT(AE$6,"yyyymm")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F73" s="8">
        <f>IFERROR(
GETPIVOTDATA(
"[Base].[Importe]",
TDinamica_R!$A$5,
"[Calendario].[AñoMes]",
"[Calendario].[AñoMes].&amp;[" &amp; TEXT(AF$6,"yyyymm")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G73" s="8">
        <f>IFERROR(
GETPIVOTDATA(
"[Base].[Importe]",
TDinamica_R!$A$5,
"[Calendario].[AñoMes]",
"[Calendario].[AñoMes].&amp;[" &amp; TEXT(AG$6,"yyyymm")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H73" s="8">
        <f>IFERROR(
GETPIVOTDATA(
"[Base].[Importe]",
TDinamica_R!$A$5,
"[Calendario].[AñoMes]",
"[Calendario].[AñoMes].&amp;[" &amp; TEXT(AH$6,"yyyymm")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I73" s="8">
        <f>IFERROR(
GETPIVOTDATA(
"[Base].[Importe]",
TDinamica_R!$A$5,
"[Calendario].[AñoMes]",
"[Calendario].[AñoMes].&amp;[" &amp; TEXT(AI$6,"yyyymm")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J73" s="8">
        <f>IFERROR(
GETPIVOTDATA(
"[Base].[Importe]",
TDinamica_R!$A$5,
"[Calendario].[AñoMes]",
"[Calendario].[AñoMes].&amp;[" &amp; TEXT(AJ$6,"yyyymm")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K73" s="8">
        <f>IFERROR(
GETPIVOTDATA(
"[Base].[Importe]",
TDinamica_R!$A$5,
"[Calendario].[AñoMes]",
"[Calendario].[AñoMes].&amp;[" &amp; TEXT(AK$6,"yyyymm")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L73" s="8">
        <f>IFERROR(
GETPIVOTDATA(
"[Base].[Importe]",
TDinamica_R!$A$5,
"[Calendario].[AñoMes]",
"[Calendario].[AñoMes].&amp;[" &amp; TEXT(AL$6,"yyyymm")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M73" s="8">
        <f>IFERROR(
GETPIVOTDATA(
"[Base].[Importe]",
TDinamica_R!$A$5,
"[Calendario].[AñoMes]",
"[Calendario].[AñoMes].&amp;[" &amp; TEXT(AM$6,"yyyymm")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N73" s="8">
        <f>IFERROR(
GETPIVOTDATA(
"[Base].[Importe]",
TDinamica_R!$A$5,
"[Calendario].[AñoMes]",
"[Calendario].[AñoMes].&amp;[" &amp; TEXT(AN$6,"yyyymm")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O73" s="8">
        <f>IFERROR(
GETPIVOTDATA(
"[Base].[Importe]",
TDinamica_R!$A$5,
"[Calendario].[AñoMes]",
"[Calendario].[AñoMes].&amp;[" &amp; TEXT(AO$6,"yyyymm")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P73" s="8">
        <f>IFERROR(
GETPIVOTDATA(
"[Base].[Importe]",
TDinamica_R!$A$5,
"[Calendario].[AñoMes]",
"[Calendario].[AñoMes].&amp;[" &amp; TEXT(AP$6,"yyyymm")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Q73" s="8">
        <f>IFERROR(
GETPIVOTDATA(
"[Base].[Importe]",
TDinamica_R!$A$5,
"[Calendario].[AñoMes]",
"[Calendario].[AñoMes].&amp;[" &amp; TEXT(AQ$6,"yyyymm")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R73" s="8">
        <f>IFERROR(
GETPIVOTDATA(
"[Base].[Importe]",
TDinamica_R!$A$5,
"[Calendario].[AñoMes]",
"[Calendario].[AñoMes].&amp;[" &amp; TEXT(AR$6,"yyyymm")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S73" s="8">
        <f>IFERROR(
GETPIVOTDATA(
"[Base].[Importe]",
TDinamica_R!$A$5,
"[Calendario].[AñoMes]",
"[Calendario].[AñoMes].&amp;[" &amp; TEXT(AS$6,"yyyymm")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T73" s="8">
        <f>IFERROR(
GETPIVOTDATA(
"[Base].[Importe]",
TDinamica_R!$A$5,
"[Calendario].[AñoMes]",
"[Calendario].[AñoMes].&amp;[" &amp; TEXT(AT$6,"yyyymm")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U73" s="8">
        <f>IFERROR(
GETPIVOTDATA(
"[Base].[Importe]",
TDinamica_R!$A$5,
"[Calendario].[AñoMes]",
"[Calendario].[AñoMes].&amp;[" &amp; TEXT(AU$6,"yyyymm")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V73" s="8">
        <f>IFERROR(
GETPIVOTDATA(
"[Base].[Importe]",
TDinamica_R!$A$5,
"[Calendario].[AñoMes]",
"[Calendario].[AñoMes].&amp;[" &amp; TEXT(AV$6,"yyyymm")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W73" s="8">
        <f>IFERROR(
GETPIVOTDATA(
"[Base].[Importe]",
TDinamica_R!$A$5,
"[Calendario].[AñoMes]",
"[Calendario].[AñoMes].&amp;[" &amp; TEXT(AW$6,"yyyymm")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X73" s="8">
        <f>IFERROR(
GETPIVOTDATA(
"[Base].[Importe]",
TDinamica_R!$A$5,
"[Calendario].[AñoMes]",
"[Calendario].[AñoMes].&amp;[" &amp; TEXT(AX$6,"yyyymm")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Y73" s="8">
        <f>IFERROR(
GETPIVOTDATA(
"[Base].[Importe]",
TDinamica_R!$A$5,
"[Calendario].[AñoMes]",
"[Calendario].[AñoMes].&amp;[" &amp; TEXT(AY$6,"yyyymm")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Z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TEXT(AZ$6,"yyyymm") &amp; "]"
),
0
)</f>
        <v>0</v>
      </c>
      <c r="BA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TEXT(BA$6,"yyyymm") &amp; "]"
),
0
)</f>
        <v>0</v>
      </c>
      <c r="BB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TEXT(BB$6,"yyyymm") &amp; "]"
),
0
)</f>
        <v>0</v>
      </c>
      <c r="BC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TEXT(BC$6,"yyyymm") &amp; "]"
),
0
)</f>
        <v>0</v>
      </c>
      <c r="BD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TEXT(BD$6,"yyyymm") &amp; "]"
),
0
)</f>
        <v>0</v>
      </c>
      <c r="BE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TEXT(BE$6,"yyyymm") &amp; "]"
),
0
)</f>
        <v>0</v>
      </c>
      <c r="BF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TEXT(BF$6,"yyyymm") &amp; "]"
),
0
)</f>
        <v>0</v>
      </c>
      <c r="BG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TEXT(BG$6,"yyyymm") &amp; "]"
),
0
)</f>
        <v>0</v>
      </c>
      <c r="BH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TEXT(BH$6,"yyyymm") &amp; "]"
),
0
)</f>
        <v>0</v>
      </c>
      <c r="BI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TEXT(BI$6,"yyyymm") &amp; "]"
),
0
)</f>
        <v>0</v>
      </c>
      <c r="BJ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TEXT(BJ$6,"yyyymm") &amp; "]"
),
0
)</f>
        <v>0</v>
      </c>
      <c r="BK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TEXT(BK$6,"yyyymm") &amp; "]"
),
0
)</f>
        <v>0</v>
      </c>
      <c r="BO73" s="24">
        <f t="shared" ref="BO73:BT82" si="65">SUMIFS($D73:$BM73,$D$6:$BM$6,"&gt;="&amp;BO$2,$D$6:$BM$6,"&lt;="&amp;BO$6,$D$5:$BM$5,BO$5)</f>
        <v>0</v>
      </c>
      <c r="BP73" s="24">
        <f t="shared" si="65"/>
        <v>0</v>
      </c>
      <c r="BQ73" s="24">
        <f t="shared" si="65"/>
        <v>0</v>
      </c>
      <c r="BR73" s="24">
        <f t="shared" si="65"/>
        <v>0</v>
      </c>
      <c r="BS73" s="24">
        <f t="shared" si="65"/>
        <v>0</v>
      </c>
      <c r="BT73" s="24">
        <f t="shared" si="65"/>
        <v>0</v>
      </c>
    </row>
    <row r="74" spans="1:72" hidden="1" outlineLevel="1" x14ac:dyDescent="0.25">
      <c r="A74" s="11" t="s">
        <v>71</v>
      </c>
      <c r="C74" s="2"/>
      <c r="D74" s="8">
        <f>IFERROR(
GETPIVOTDATA(
"[Base].[Importe]",
TDinamica_R!$A$5,
"[Calendario].[AñoMes]",
"[Calendario].[AñoMes].&amp;[" &amp; TEXT(D$6,"yyyymm")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E74" s="8">
        <f>IFERROR(
GETPIVOTDATA(
"[Base].[Importe]",
TDinamica_R!$A$5,
"[Calendario].[AñoMes]",
"[Calendario].[AñoMes].&amp;[" &amp; TEXT(E$6,"yyyymm")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F74" s="8">
        <f>IFERROR(
GETPIVOTDATA(
"[Base].[Importe]",
TDinamica_R!$A$5,
"[Calendario].[AñoMes]",
"[Calendario].[AñoMes].&amp;[" &amp; TEXT(F$6,"yyyymm")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G74" s="8">
        <f>IFERROR(
GETPIVOTDATA(
"[Base].[Importe]",
TDinamica_R!$A$5,
"[Calendario].[AñoMes]",
"[Calendario].[AñoMes].&amp;[" &amp; TEXT(G$6,"yyyymm")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H74" s="8">
        <f>IFERROR(
GETPIVOTDATA(
"[Base].[Importe]",
TDinamica_R!$A$5,
"[Calendario].[AñoMes]",
"[Calendario].[AñoMes].&amp;[" &amp; TEXT(H$6,"yyyymm")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I74" s="8">
        <f>IFERROR(
GETPIVOTDATA(
"[Base].[Importe]",
TDinamica_R!$A$5,
"[Calendario].[AñoMes]",
"[Calendario].[AñoMes].&amp;[" &amp; TEXT(I$6,"yyyymm")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J74" s="8">
        <f>IFERROR(
GETPIVOTDATA(
"[Base].[Importe]",
TDinamica_R!$A$5,
"[Calendario].[AñoMes]",
"[Calendario].[AñoMes].&amp;[" &amp; TEXT(J$6,"yyyymm")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K74" s="8">
        <f>IFERROR(
GETPIVOTDATA(
"[Base].[Importe]",
TDinamica_R!$A$5,
"[Calendario].[AñoMes]",
"[Calendario].[AñoMes].&amp;[" &amp; TEXT(K$6,"yyyymm")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L74" s="8">
        <f>IFERROR(
GETPIVOTDATA(
"[Base].[Importe]",
TDinamica_R!$A$5,
"[Calendario].[AñoMes]",
"[Calendario].[AñoMes].&amp;[" &amp; TEXT(L$6,"yyyymm")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M74" s="8">
        <f>IFERROR(
GETPIVOTDATA(
"[Base].[Importe]",
TDinamica_R!$A$5,
"[Calendario].[AñoMes]",
"[Calendario].[AñoMes].&amp;[" &amp; TEXT(M$6,"yyyymm")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N74" s="8">
        <f>IFERROR(
GETPIVOTDATA(
"[Base].[Importe]",
TDinamica_R!$A$5,
"[Calendario].[AñoMes]",
"[Calendario].[AñoMes].&amp;[" &amp; TEXT(N$6,"yyyymm")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O74" s="8">
        <f>IFERROR(
GETPIVOTDATA(
"[Base].[Importe]",
TDinamica_R!$A$5,
"[Calendario].[AñoMes]",
"[Calendario].[AñoMes].&amp;[" &amp; TEXT(O$6,"yyyymm")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P74" s="8">
        <f>IFERROR(
GETPIVOTDATA(
"[Base].[Importe]",
TDinamica_R!$A$5,
"[Calendario].[AñoMes]",
"[Calendario].[AñoMes].&amp;[" &amp; TEXT(P$6,"yyyymm")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Q74" s="8">
        <f>IFERROR(
GETPIVOTDATA(
"[Base].[Importe]",
TDinamica_R!$A$5,
"[Calendario].[AñoMes]",
"[Calendario].[AñoMes].&amp;[" &amp; TEXT(Q$6,"yyyymm")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R74" s="8">
        <f>IFERROR(
GETPIVOTDATA(
"[Base].[Importe]",
TDinamica_R!$A$5,
"[Calendario].[AñoMes]",
"[Calendario].[AñoMes].&amp;[" &amp; TEXT(R$6,"yyyymm")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S74" s="8">
        <f>IFERROR(
GETPIVOTDATA(
"[Base].[Importe]",
TDinamica_R!$A$5,
"[Calendario].[AñoMes]",
"[Calendario].[AñoMes].&amp;[" &amp; TEXT(S$6,"yyyymm")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T74" s="8">
        <f>IFERROR(
GETPIVOTDATA(
"[Base].[Importe]",
TDinamica_R!$A$5,
"[Calendario].[AñoMes]",
"[Calendario].[AñoMes].&amp;[" &amp; TEXT(T$6,"yyyymm")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U74" s="8">
        <f>IFERROR(
GETPIVOTDATA(
"[Base].[Importe]",
TDinamica_R!$A$5,
"[Calendario].[AñoMes]",
"[Calendario].[AñoMes].&amp;[" &amp; TEXT(U$6,"yyyymm")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V74" s="8">
        <f>IFERROR(
GETPIVOTDATA(
"[Base].[Importe]",
TDinamica_R!$A$5,
"[Calendario].[AñoMes]",
"[Calendario].[AñoMes].&amp;[" &amp; TEXT(V$6,"yyyymm")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W74" s="8">
        <f>IFERROR(
GETPIVOTDATA(
"[Base].[Importe]",
TDinamica_R!$A$5,
"[Calendario].[AñoMes]",
"[Calendario].[AñoMes].&amp;[" &amp; TEXT(W$6,"yyyymm")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X74" s="8">
        <f>IFERROR(
GETPIVOTDATA(
"[Base].[Importe]",
TDinamica_R!$A$5,
"[Calendario].[AñoMes]",
"[Calendario].[AñoMes].&amp;[" &amp; TEXT(X$6,"yyyymm")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Y74" s="8">
        <f>IFERROR(
GETPIVOTDATA(
"[Base].[Importe]",
TDinamica_R!$A$5,
"[Calendario].[AñoMes]",
"[Calendario].[AñoMes].&amp;[" &amp; TEXT(Y$6,"yyyymm")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Z74" s="8">
        <f>IFERROR(
GETPIVOTDATA(
"[Base].[Importe]",
TDinamica_R!$A$5,
"[Calendario].[AñoMes]",
"[Calendario].[AñoMes].&amp;[" &amp; TEXT(Z$6,"yyyymm")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A74" s="8">
        <f>IFERROR(
GETPIVOTDATA(
"[Base].[Importe]",
TDinamica_R!$A$5,
"[Calendario].[AñoMes]",
"[Calendario].[AñoMes].&amp;[" &amp; TEXT(AA$6,"yyyymm")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B74" s="8">
        <f>IFERROR(
GETPIVOTDATA(
"[Base].[Importe]",
TDinamica_R!$A$5,
"[Calendario].[AñoMes]",
"[Calendario].[AñoMes].&amp;[" &amp; TEXT(AB$6,"yyyymm")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C74" s="8">
        <f>IFERROR(
GETPIVOTDATA(
"[Base].[Importe]",
TDinamica_R!$A$5,
"[Calendario].[AñoMes]",
"[Calendario].[AñoMes].&amp;[" &amp; TEXT(AC$6,"yyyymm")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D74" s="8">
        <f>IFERROR(
GETPIVOTDATA(
"[Base].[Importe]",
TDinamica_R!$A$5,
"[Calendario].[AñoMes]",
"[Calendario].[AñoMes].&amp;[" &amp; TEXT(AD$6,"yyyymm")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E74" s="8">
        <f>IFERROR(
GETPIVOTDATA(
"[Base].[Importe]",
TDinamica_R!$A$5,
"[Calendario].[AñoMes]",
"[Calendario].[AñoMes].&amp;[" &amp; TEXT(AE$6,"yyyymm")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F74" s="8">
        <f>IFERROR(
GETPIVOTDATA(
"[Base].[Importe]",
TDinamica_R!$A$5,
"[Calendario].[AñoMes]",
"[Calendario].[AñoMes].&amp;[" &amp; TEXT(AF$6,"yyyymm")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G74" s="8">
        <f>IFERROR(
GETPIVOTDATA(
"[Base].[Importe]",
TDinamica_R!$A$5,
"[Calendario].[AñoMes]",
"[Calendario].[AñoMes].&amp;[" &amp; TEXT(AG$6,"yyyymm")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H74" s="8">
        <f>IFERROR(
GETPIVOTDATA(
"[Base].[Importe]",
TDinamica_R!$A$5,
"[Calendario].[AñoMes]",
"[Calendario].[AñoMes].&amp;[" &amp; TEXT(AH$6,"yyyymm")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I74" s="8">
        <f>IFERROR(
GETPIVOTDATA(
"[Base].[Importe]",
TDinamica_R!$A$5,
"[Calendario].[AñoMes]",
"[Calendario].[AñoMes].&amp;[" &amp; TEXT(AI$6,"yyyymm")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J74" s="8">
        <f>IFERROR(
GETPIVOTDATA(
"[Base].[Importe]",
TDinamica_R!$A$5,
"[Calendario].[AñoMes]",
"[Calendario].[AñoMes].&amp;[" &amp; TEXT(AJ$6,"yyyymm")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K74" s="8">
        <f>IFERROR(
GETPIVOTDATA(
"[Base].[Importe]",
TDinamica_R!$A$5,
"[Calendario].[AñoMes]",
"[Calendario].[AñoMes].&amp;[" &amp; TEXT(AK$6,"yyyymm")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L74" s="8">
        <f>IFERROR(
GETPIVOTDATA(
"[Base].[Importe]",
TDinamica_R!$A$5,
"[Calendario].[AñoMes]",
"[Calendario].[AñoMes].&amp;[" &amp; TEXT(AL$6,"yyyymm")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M74" s="8">
        <f>IFERROR(
GETPIVOTDATA(
"[Base].[Importe]",
TDinamica_R!$A$5,
"[Calendario].[AñoMes]",
"[Calendario].[AñoMes].&amp;[" &amp; TEXT(AM$6,"yyyymm")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N74" s="8">
        <f>IFERROR(
GETPIVOTDATA(
"[Base].[Importe]",
TDinamica_R!$A$5,
"[Calendario].[AñoMes]",
"[Calendario].[AñoMes].&amp;[" &amp; TEXT(AN$6,"yyyymm")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O74" s="8">
        <f>IFERROR(
GETPIVOTDATA(
"[Base].[Importe]",
TDinamica_R!$A$5,
"[Calendario].[AñoMes]",
"[Calendario].[AñoMes].&amp;[" &amp; TEXT(AO$6,"yyyymm")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P74" s="8">
        <f>IFERROR(
GETPIVOTDATA(
"[Base].[Importe]",
TDinamica_R!$A$5,
"[Calendario].[AñoMes]",
"[Calendario].[AñoMes].&amp;[" &amp; TEXT(AP$6,"yyyymm")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Q74" s="8">
        <f>IFERROR(
GETPIVOTDATA(
"[Base].[Importe]",
TDinamica_R!$A$5,
"[Calendario].[AñoMes]",
"[Calendario].[AñoMes].&amp;[" &amp; TEXT(AQ$6,"yyyymm")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R74" s="8">
        <f>IFERROR(
GETPIVOTDATA(
"[Base].[Importe]",
TDinamica_R!$A$5,
"[Calendario].[AñoMes]",
"[Calendario].[AñoMes].&amp;[" &amp; TEXT(AR$6,"yyyymm")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S74" s="8">
        <f>IFERROR(
GETPIVOTDATA(
"[Base].[Importe]",
TDinamica_R!$A$5,
"[Calendario].[AñoMes]",
"[Calendario].[AñoMes].&amp;[" &amp; TEXT(AS$6,"yyyymm")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T74" s="8">
        <f>IFERROR(
GETPIVOTDATA(
"[Base].[Importe]",
TDinamica_R!$A$5,
"[Calendario].[AñoMes]",
"[Calendario].[AñoMes].&amp;[" &amp; TEXT(AT$6,"yyyymm")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U74" s="8">
        <f>IFERROR(
GETPIVOTDATA(
"[Base].[Importe]",
TDinamica_R!$A$5,
"[Calendario].[AñoMes]",
"[Calendario].[AñoMes].&amp;[" &amp; TEXT(AU$6,"yyyymm")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V74" s="8">
        <f>IFERROR(
GETPIVOTDATA(
"[Base].[Importe]",
TDinamica_R!$A$5,
"[Calendario].[AñoMes]",
"[Calendario].[AñoMes].&amp;[" &amp; TEXT(AV$6,"yyyymm")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W74" s="8">
        <f>IFERROR(
GETPIVOTDATA(
"[Base].[Importe]",
TDinamica_R!$A$5,
"[Calendario].[AñoMes]",
"[Calendario].[AñoMes].&amp;[" &amp; TEXT(AW$6,"yyyymm")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X74" s="8">
        <f>IFERROR(
GETPIVOTDATA(
"[Base].[Importe]",
TDinamica_R!$A$5,
"[Calendario].[AñoMes]",
"[Calendario].[AñoMes].&amp;[" &amp; TEXT(AX$6,"yyyymm")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Y74" s="8">
        <f>IFERROR(
GETPIVOTDATA(
"[Base].[Importe]",
TDinamica_R!$A$5,
"[Calendario].[AñoMes]",
"[Calendario].[AñoMes].&amp;[" &amp; TEXT(AY$6,"yyyymm")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Z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TEXT(AZ$6,"yyyymm") &amp; "]"
),
0
)</f>
        <v>0</v>
      </c>
      <c r="BA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TEXT(BA$6,"yyyymm") &amp; "]"
),
0
)</f>
        <v>0</v>
      </c>
      <c r="BB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TEXT(BB$6,"yyyymm") &amp; "]"
),
0
)</f>
        <v>0</v>
      </c>
      <c r="BC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TEXT(BC$6,"yyyymm") &amp; "]"
),
0
)</f>
        <v>0</v>
      </c>
      <c r="BD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TEXT(BD$6,"yyyymm") &amp; "]"
),
0
)</f>
        <v>0</v>
      </c>
      <c r="BE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TEXT(BE$6,"yyyymm") &amp; "]"
),
0
)</f>
        <v>0</v>
      </c>
      <c r="BF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TEXT(BF$6,"yyyymm") &amp; "]"
),
0
)</f>
        <v>0</v>
      </c>
      <c r="BG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TEXT(BG$6,"yyyymm") &amp; "]"
),
0
)</f>
        <v>0</v>
      </c>
      <c r="BH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TEXT(BH$6,"yyyymm") &amp; "]"
),
0
)</f>
        <v>0</v>
      </c>
      <c r="BI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TEXT(BI$6,"yyyymm") &amp; "]"
),
0
)</f>
        <v>0</v>
      </c>
      <c r="BJ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TEXT(BJ$6,"yyyymm") &amp; "]"
),
0
)</f>
        <v>0</v>
      </c>
      <c r="BK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TEXT(BK$6,"yyyymm") &amp; "]"
),
0
)</f>
        <v>0</v>
      </c>
      <c r="BO74" s="24">
        <f t="shared" si="65"/>
        <v>0</v>
      </c>
      <c r="BP74" s="24">
        <f t="shared" si="65"/>
        <v>0</v>
      </c>
      <c r="BQ74" s="24">
        <f t="shared" si="65"/>
        <v>0</v>
      </c>
      <c r="BR74" s="24">
        <f t="shared" si="65"/>
        <v>0</v>
      </c>
      <c r="BS74" s="24">
        <f t="shared" si="65"/>
        <v>0</v>
      </c>
      <c r="BT74" s="24">
        <f t="shared" si="65"/>
        <v>0</v>
      </c>
    </row>
    <row r="75" spans="1:72" hidden="1" outlineLevel="1" x14ac:dyDescent="0.25">
      <c r="A75" s="11" t="s">
        <v>71</v>
      </c>
      <c r="C75" s="2"/>
      <c r="D75" s="8">
        <f>IFERROR(
GETPIVOTDATA(
"[Base].[Importe]",
TDinamica_R!$A$5,
"[Calendario].[AñoMes]",
"[Calendario].[AñoMes].&amp;[" &amp; TEXT(D$6,"yyyymm")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E75" s="8">
        <f>IFERROR(
GETPIVOTDATA(
"[Base].[Importe]",
TDinamica_R!$A$5,
"[Calendario].[AñoMes]",
"[Calendario].[AñoMes].&amp;[" &amp; TEXT(E$6,"yyyymm")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F75" s="8">
        <f>IFERROR(
GETPIVOTDATA(
"[Base].[Importe]",
TDinamica_R!$A$5,
"[Calendario].[AñoMes]",
"[Calendario].[AñoMes].&amp;[" &amp; TEXT(F$6,"yyyymm")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G75" s="8">
        <f>IFERROR(
GETPIVOTDATA(
"[Base].[Importe]",
TDinamica_R!$A$5,
"[Calendario].[AñoMes]",
"[Calendario].[AñoMes].&amp;[" &amp; TEXT(G$6,"yyyymm")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H75" s="8">
        <f>IFERROR(
GETPIVOTDATA(
"[Base].[Importe]",
TDinamica_R!$A$5,
"[Calendario].[AñoMes]",
"[Calendario].[AñoMes].&amp;[" &amp; TEXT(H$6,"yyyymm")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I75" s="8">
        <f>IFERROR(
GETPIVOTDATA(
"[Base].[Importe]",
TDinamica_R!$A$5,
"[Calendario].[AñoMes]",
"[Calendario].[AñoMes].&amp;[" &amp; TEXT(I$6,"yyyymm")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J75" s="8">
        <f>IFERROR(
GETPIVOTDATA(
"[Base].[Importe]",
TDinamica_R!$A$5,
"[Calendario].[AñoMes]",
"[Calendario].[AñoMes].&amp;[" &amp; TEXT(J$6,"yyyymm")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K75" s="8">
        <f>IFERROR(
GETPIVOTDATA(
"[Base].[Importe]",
TDinamica_R!$A$5,
"[Calendario].[AñoMes]",
"[Calendario].[AñoMes].&amp;[" &amp; TEXT(K$6,"yyyymm")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L75" s="8">
        <f>IFERROR(
GETPIVOTDATA(
"[Base].[Importe]",
TDinamica_R!$A$5,
"[Calendario].[AñoMes]",
"[Calendario].[AñoMes].&amp;[" &amp; TEXT(L$6,"yyyymm")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M75" s="8">
        <f>IFERROR(
GETPIVOTDATA(
"[Base].[Importe]",
TDinamica_R!$A$5,
"[Calendario].[AñoMes]",
"[Calendario].[AñoMes].&amp;[" &amp; TEXT(M$6,"yyyymm")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N75" s="8">
        <f>IFERROR(
GETPIVOTDATA(
"[Base].[Importe]",
TDinamica_R!$A$5,
"[Calendario].[AñoMes]",
"[Calendario].[AñoMes].&amp;[" &amp; TEXT(N$6,"yyyymm")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O75" s="8">
        <f>IFERROR(
GETPIVOTDATA(
"[Base].[Importe]",
TDinamica_R!$A$5,
"[Calendario].[AñoMes]",
"[Calendario].[AñoMes].&amp;[" &amp; TEXT(O$6,"yyyymm")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P75" s="8">
        <f>IFERROR(
GETPIVOTDATA(
"[Base].[Importe]",
TDinamica_R!$A$5,
"[Calendario].[AñoMes]",
"[Calendario].[AñoMes].&amp;[" &amp; TEXT(P$6,"yyyymm")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Q75" s="8">
        <f>IFERROR(
GETPIVOTDATA(
"[Base].[Importe]",
TDinamica_R!$A$5,
"[Calendario].[AñoMes]",
"[Calendario].[AñoMes].&amp;[" &amp; TEXT(Q$6,"yyyymm")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R75" s="8">
        <f>IFERROR(
GETPIVOTDATA(
"[Base].[Importe]",
TDinamica_R!$A$5,
"[Calendario].[AñoMes]",
"[Calendario].[AñoMes].&amp;[" &amp; TEXT(R$6,"yyyymm")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S75" s="8">
        <f>IFERROR(
GETPIVOTDATA(
"[Base].[Importe]",
TDinamica_R!$A$5,
"[Calendario].[AñoMes]",
"[Calendario].[AñoMes].&amp;[" &amp; TEXT(S$6,"yyyymm")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T75" s="8">
        <f>IFERROR(
GETPIVOTDATA(
"[Base].[Importe]",
TDinamica_R!$A$5,
"[Calendario].[AñoMes]",
"[Calendario].[AñoMes].&amp;[" &amp; TEXT(T$6,"yyyymm")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U75" s="8">
        <f>IFERROR(
GETPIVOTDATA(
"[Base].[Importe]",
TDinamica_R!$A$5,
"[Calendario].[AñoMes]",
"[Calendario].[AñoMes].&amp;[" &amp; TEXT(U$6,"yyyymm")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V75" s="8">
        <f>IFERROR(
GETPIVOTDATA(
"[Base].[Importe]",
TDinamica_R!$A$5,
"[Calendario].[AñoMes]",
"[Calendario].[AñoMes].&amp;[" &amp; TEXT(V$6,"yyyymm")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W75" s="8">
        <f>IFERROR(
GETPIVOTDATA(
"[Base].[Importe]",
TDinamica_R!$A$5,
"[Calendario].[AñoMes]",
"[Calendario].[AñoMes].&amp;[" &amp; TEXT(W$6,"yyyymm")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X75" s="8">
        <f>IFERROR(
GETPIVOTDATA(
"[Base].[Importe]",
TDinamica_R!$A$5,
"[Calendario].[AñoMes]",
"[Calendario].[AñoMes].&amp;[" &amp; TEXT(X$6,"yyyymm")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Y75" s="8">
        <f>IFERROR(
GETPIVOTDATA(
"[Base].[Importe]",
TDinamica_R!$A$5,
"[Calendario].[AñoMes]",
"[Calendario].[AñoMes].&amp;[" &amp; TEXT(Y$6,"yyyymm")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Z75" s="8">
        <f>IFERROR(
GETPIVOTDATA(
"[Base].[Importe]",
TDinamica_R!$A$5,
"[Calendario].[AñoMes]",
"[Calendario].[AñoMes].&amp;[" &amp; TEXT(Z$6,"yyyymm")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A75" s="8">
        <f>IFERROR(
GETPIVOTDATA(
"[Base].[Importe]",
TDinamica_R!$A$5,
"[Calendario].[AñoMes]",
"[Calendario].[AñoMes].&amp;[" &amp; TEXT(AA$6,"yyyymm")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B75" s="8">
        <f>IFERROR(
GETPIVOTDATA(
"[Base].[Importe]",
TDinamica_R!$A$5,
"[Calendario].[AñoMes]",
"[Calendario].[AñoMes].&amp;[" &amp; TEXT(AB$6,"yyyymm")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C75" s="8">
        <f>IFERROR(
GETPIVOTDATA(
"[Base].[Importe]",
TDinamica_R!$A$5,
"[Calendario].[AñoMes]",
"[Calendario].[AñoMes].&amp;[" &amp; TEXT(AC$6,"yyyymm")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D75" s="8">
        <f>IFERROR(
GETPIVOTDATA(
"[Base].[Importe]",
TDinamica_R!$A$5,
"[Calendario].[AñoMes]",
"[Calendario].[AñoMes].&amp;[" &amp; TEXT(AD$6,"yyyymm")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E75" s="8">
        <f>IFERROR(
GETPIVOTDATA(
"[Base].[Importe]",
TDinamica_R!$A$5,
"[Calendario].[AñoMes]",
"[Calendario].[AñoMes].&amp;[" &amp; TEXT(AE$6,"yyyymm")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F75" s="8">
        <f>IFERROR(
GETPIVOTDATA(
"[Base].[Importe]",
TDinamica_R!$A$5,
"[Calendario].[AñoMes]",
"[Calendario].[AñoMes].&amp;[" &amp; TEXT(AF$6,"yyyymm")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G75" s="8">
        <f>IFERROR(
GETPIVOTDATA(
"[Base].[Importe]",
TDinamica_R!$A$5,
"[Calendario].[AñoMes]",
"[Calendario].[AñoMes].&amp;[" &amp; TEXT(AG$6,"yyyymm")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H75" s="8">
        <f>IFERROR(
GETPIVOTDATA(
"[Base].[Importe]",
TDinamica_R!$A$5,
"[Calendario].[AñoMes]",
"[Calendario].[AñoMes].&amp;[" &amp; TEXT(AH$6,"yyyymm")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I75" s="8">
        <f>IFERROR(
GETPIVOTDATA(
"[Base].[Importe]",
TDinamica_R!$A$5,
"[Calendario].[AñoMes]",
"[Calendario].[AñoMes].&amp;[" &amp; TEXT(AI$6,"yyyymm")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J75" s="8">
        <f>IFERROR(
GETPIVOTDATA(
"[Base].[Importe]",
TDinamica_R!$A$5,
"[Calendario].[AñoMes]",
"[Calendario].[AñoMes].&amp;[" &amp; TEXT(AJ$6,"yyyymm")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K75" s="8">
        <f>IFERROR(
GETPIVOTDATA(
"[Base].[Importe]",
TDinamica_R!$A$5,
"[Calendario].[AñoMes]",
"[Calendario].[AñoMes].&amp;[" &amp; TEXT(AK$6,"yyyymm")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L75" s="8">
        <f>IFERROR(
GETPIVOTDATA(
"[Base].[Importe]",
TDinamica_R!$A$5,
"[Calendario].[AñoMes]",
"[Calendario].[AñoMes].&amp;[" &amp; TEXT(AL$6,"yyyymm")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M75" s="8">
        <f>IFERROR(
GETPIVOTDATA(
"[Base].[Importe]",
TDinamica_R!$A$5,
"[Calendario].[AñoMes]",
"[Calendario].[AñoMes].&amp;[" &amp; TEXT(AM$6,"yyyymm")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N75" s="8">
        <f>IFERROR(
GETPIVOTDATA(
"[Base].[Importe]",
TDinamica_R!$A$5,
"[Calendario].[AñoMes]",
"[Calendario].[AñoMes].&amp;[" &amp; TEXT(AN$6,"yyyymm")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O75" s="8">
        <f>IFERROR(
GETPIVOTDATA(
"[Base].[Importe]",
TDinamica_R!$A$5,
"[Calendario].[AñoMes]",
"[Calendario].[AñoMes].&amp;[" &amp; TEXT(AO$6,"yyyymm")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P75" s="8">
        <f>IFERROR(
GETPIVOTDATA(
"[Base].[Importe]",
TDinamica_R!$A$5,
"[Calendario].[AñoMes]",
"[Calendario].[AñoMes].&amp;[" &amp; TEXT(AP$6,"yyyymm")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Q75" s="8">
        <f>IFERROR(
GETPIVOTDATA(
"[Base].[Importe]",
TDinamica_R!$A$5,
"[Calendario].[AñoMes]",
"[Calendario].[AñoMes].&amp;[" &amp; TEXT(AQ$6,"yyyymm")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R75" s="8">
        <f>IFERROR(
GETPIVOTDATA(
"[Base].[Importe]",
TDinamica_R!$A$5,
"[Calendario].[AñoMes]",
"[Calendario].[AñoMes].&amp;[" &amp; TEXT(AR$6,"yyyymm")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S75" s="8">
        <f>IFERROR(
GETPIVOTDATA(
"[Base].[Importe]",
TDinamica_R!$A$5,
"[Calendario].[AñoMes]",
"[Calendario].[AñoMes].&amp;[" &amp; TEXT(AS$6,"yyyymm")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T75" s="8">
        <f>IFERROR(
GETPIVOTDATA(
"[Base].[Importe]",
TDinamica_R!$A$5,
"[Calendario].[AñoMes]",
"[Calendario].[AñoMes].&amp;[" &amp; TEXT(AT$6,"yyyymm")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U75" s="8">
        <f>IFERROR(
GETPIVOTDATA(
"[Base].[Importe]",
TDinamica_R!$A$5,
"[Calendario].[AñoMes]",
"[Calendario].[AñoMes].&amp;[" &amp; TEXT(AU$6,"yyyymm")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V75" s="8">
        <f>IFERROR(
GETPIVOTDATA(
"[Base].[Importe]",
TDinamica_R!$A$5,
"[Calendario].[AñoMes]",
"[Calendario].[AñoMes].&amp;[" &amp; TEXT(AV$6,"yyyymm")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W75" s="8">
        <f>IFERROR(
GETPIVOTDATA(
"[Base].[Importe]",
TDinamica_R!$A$5,
"[Calendario].[AñoMes]",
"[Calendario].[AñoMes].&amp;[" &amp; TEXT(AW$6,"yyyymm")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X75" s="8">
        <f>IFERROR(
GETPIVOTDATA(
"[Base].[Importe]",
TDinamica_R!$A$5,
"[Calendario].[AñoMes]",
"[Calendario].[AñoMes].&amp;[" &amp; TEXT(AX$6,"yyyymm")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Y75" s="8">
        <f>IFERROR(
GETPIVOTDATA(
"[Base].[Importe]",
TDinamica_R!$A$5,
"[Calendario].[AñoMes]",
"[Calendario].[AñoMes].&amp;[" &amp; TEXT(AY$6,"yyyymm")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Z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TEXT(AZ$6,"yyyymm") &amp; "]"
),
0
)</f>
        <v>0</v>
      </c>
      <c r="BA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TEXT(BA$6,"yyyymm") &amp; "]"
),
0
)</f>
        <v>0</v>
      </c>
      <c r="BB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TEXT(BB$6,"yyyymm") &amp; "]"
),
0
)</f>
        <v>0</v>
      </c>
      <c r="BC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TEXT(BC$6,"yyyymm") &amp; "]"
),
0
)</f>
        <v>0</v>
      </c>
      <c r="BD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TEXT(BD$6,"yyyymm") &amp; "]"
),
0
)</f>
        <v>0</v>
      </c>
      <c r="BE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TEXT(BE$6,"yyyymm") &amp; "]"
),
0
)</f>
        <v>0</v>
      </c>
      <c r="BF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TEXT(BF$6,"yyyymm") &amp; "]"
),
0
)</f>
        <v>0</v>
      </c>
      <c r="BG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TEXT(BG$6,"yyyymm") &amp; "]"
),
0
)</f>
        <v>0</v>
      </c>
      <c r="BH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TEXT(BH$6,"yyyymm") &amp; "]"
),
0
)</f>
        <v>0</v>
      </c>
      <c r="BI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TEXT(BI$6,"yyyymm") &amp; "]"
),
0
)</f>
        <v>0</v>
      </c>
      <c r="BJ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TEXT(BJ$6,"yyyymm") &amp; "]"
),
0
)</f>
        <v>0</v>
      </c>
      <c r="BK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TEXT(BK$6,"yyyymm") &amp; "]"
),
0
)</f>
        <v>0</v>
      </c>
      <c r="BO75" s="24">
        <f t="shared" si="65"/>
        <v>0</v>
      </c>
      <c r="BP75" s="24">
        <f t="shared" si="65"/>
        <v>0</v>
      </c>
      <c r="BQ75" s="24">
        <f t="shared" si="65"/>
        <v>0</v>
      </c>
      <c r="BR75" s="24">
        <f t="shared" si="65"/>
        <v>0</v>
      </c>
      <c r="BS75" s="24">
        <f t="shared" si="65"/>
        <v>0</v>
      </c>
      <c r="BT75" s="24">
        <f t="shared" si="65"/>
        <v>0</v>
      </c>
    </row>
    <row r="76" spans="1:72" hidden="1" outlineLevel="1" x14ac:dyDescent="0.25">
      <c r="A76" s="11" t="s">
        <v>71</v>
      </c>
      <c r="C76" s="2"/>
      <c r="D76" s="8">
        <f>IFERROR(
GETPIVOTDATA(
"[Base].[Importe]",
TDinamica_R!$A$5,
"[Calendario].[AñoMes]",
"[Calendario].[AñoMes].&amp;[" &amp; TEXT(D$6,"yyyymm")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E76" s="8">
        <f>IFERROR(
GETPIVOTDATA(
"[Base].[Importe]",
TDinamica_R!$A$5,
"[Calendario].[AñoMes]",
"[Calendario].[AñoMes].&amp;[" &amp; TEXT(E$6,"yyyymm")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F76" s="8">
        <f>IFERROR(
GETPIVOTDATA(
"[Base].[Importe]",
TDinamica_R!$A$5,
"[Calendario].[AñoMes]",
"[Calendario].[AñoMes].&amp;[" &amp; TEXT(F$6,"yyyymm")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G76" s="8">
        <f>IFERROR(
GETPIVOTDATA(
"[Base].[Importe]",
TDinamica_R!$A$5,
"[Calendario].[AñoMes]",
"[Calendario].[AñoMes].&amp;[" &amp; TEXT(G$6,"yyyymm")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H76" s="8">
        <f>IFERROR(
GETPIVOTDATA(
"[Base].[Importe]",
TDinamica_R!$A$5,
"[Calendario].[AñoMes]",
"[Calendario].[AñoMes].&amp;[" &amp; TEXT(H$6,"yyyymm")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I76" s="8">
        <f>IFERROR(
GETPIVOTDATA(
"[Base].[Importe]",
TDinamica_R!$A$5,
"[Calendario].[AñoMes]",
"[Calendario].[AñoMes].&amp;[" &amp; TEXT(I$6,"yyyymm")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J76" s="8">
        <f>IFERROR(
GETPIVOTDATA(
"[Base].[Importe]",
TDinamica_R!$A$5,
"[Calendario].[AñoMes]",
"[Calendario].[AñoMes].&amp;[" &amp; TEXT(J$6,"yyyymm")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K76" s="8">
        <f>IFERROR(
GETPIVOTDATA(
"[Base].[Importe]",
TDinamica_R!$A$5,
"[Calendario].[AñoMes]",
"[Calendario].[AñoMes].&amp;[" &amp; TEXT(K$6,"yyyymm")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L76" s="8">
        <f>IFERROR(
GETPIVOTDATA(
"[Base].[Importe]",
TDinamica_R!$A$5,
"[Calendario].[AñoMes]",
"[Calendario].[AñoMes].&amp;[" &amp; TEXT(L$6,"yyyymm")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M76" s="8">
        <f>IFERROR(
GETPIVOTDATA(
"[Base].[Importe]",
TDinamica_R!$A$5,
"[Calendario].[AñoMes]",
"[Calendario].[AñoMes].&amp;[" &amp; TEXT(M$6,"yyyymm")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N76" s="8">
        <f>IFERROR(
GETPIVOTDATA(
"[Base].[Importe]",
TDinamica_R!$A$5,
"[Calendario].[AñoMes]",
"[Calendario].[AñoMes].&amp;[" &amp; TEXT(N$6,"yyyymm")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O76" s="8">
        <f>IFERROR(
GETPIVOTDATA(
"[Base].[Importe]",
TDinamica_R!$A$5,
"[Calendario].[AñoMes]",
"[Calendario].[AñoMes].&amp;[" &amp; TEXT(O$6,"yyyymm")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P76" s="8">
        <f>IFERROR(
GETPIVOTDATA(
"[Base].[Importe]",
TDinamica_R!$A$5,
"[Calendario].[AñoMes]",
"[Calendario].[AñoMes].&amp;[" &amp; TEXT(P$6,"yyyymm")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Q76" s="8">
        <f>IFERROR(
GETPIVOTDATA(
"[Base].[Importe]",
TDinamica_R!$A$5,
"[Calendario].[AñoMes]",
"[Calendario].[AñoMes].&amp;[" &amp; TEXT(Q$6,"yyyymm")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R76" s="8">
        <f>IFERROR(
GETPIVOTDATA(
"[Base].[Importe]",
TDinamica_R!$A$5,
"[Calendario].[AñoMes]",
"[Calendario].[AñoMes].&amp;[" &amp; TEXT(R$6,"yyyymm")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S76" s="8">
        <f>IFERROR(
GETPIVOTDATA(
"[Base].[Importe]",
TDinamica_R!$A$5,
"[Calendario].[AñoMes]",
"[Calendario].[AñoMes].&amp;[" &amp; TEXT(S$6,"yyyymm")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T76" s="8">
        <f>IFERROR(
GETPIVOTDATA(
"[Base].[Importe]",
TDinamica_R!$A$5,
"[Calendario].[AñoMes]",
"[Calendario].[AñoMes].&amp;[" &amp; TEXT(T$6,"yyyymm")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U76" s="8">
        <f>IFERROR(
GETPIVOTDATA(
"[Base].[Importe]",
TDinamica_R!$A$5,
"[Calendario].[AñoMes]",
"[Calendario].[AñoMes].&amp;[" &amp; TEXT(U$6,"yyyymm")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V76" s="8">
        <f>IFERROR(
GETPIVOTDATA(
"[Base].[Importe]",
TDinamica_R!$A$5,
"[Calendario].[AñoMes]",
"[Calendario].[AñoMes].&amp;[" &amp; TEXT(V$6,"yyyymm")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W76" s="8">
        <f>IFERROR(
GETPIVOTDATA(
"[Base].[Importe]",
TDinamica_R!$A$5,
"[Calendario].[AñoMes]",
"[Calendario].[AñoMes].&amp;[" &amp; TEXT(W$6,"yyyymm")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X76" s="8">
        <f>IFERROR(
GETPIVOTDATA(
"[Base].[Importe]",
TDinamica_R!$A$5,
"[Calendario].[AñoMes]",
"[Calendario].[AñoMes].&amp;[" &amp; TEXT(X$6,"yyyymm")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Y76" s="8">
        <f>IFERROR(
GETPIVOTDATA(
"[Base].[Importe]",
TDinamica_R!$A$5,
"[Calendario].[AñoMes]",
"[Calendario].[AñoMes].&amp;[" &amp; TEXT(Y$6,"yyyymm")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Z76" s="8">
        <f>IFERROR(
GETPIVOTDATA(
"[Base].[Importe]",
TDinamica_R!$A$5,
"[Calendario].[AñoMes]",
"[Calendario].[AñoMes].&amp;[" &amp; TEXT(Z$6,"yyyymm")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A76" s="8">
        <f>IFERROR(
GETPIVOTDATA(
"[Base].[Importe]",
TDinamica_R!$A$5,
"[Calendario].[AñoMes]",
"[Calendario].[AñoMes].&amp;[" &amp; TEXT(AA$6,"yyyymm")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B76" s="8">
        <f>IFERROR(
GETPIVOTDATA(
"[Base].[Importe]",
TDinamica_R!$A$5,
"[Calendario].[AñoMes]",
"[Calendario].[AñoMes].&amp;[" &amp; TEXT(AB$6,"yyyymm")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C76" s="8">
        <f>IFERROR(
GETPIVOTDATA(
"[Base].[Importe]",
TDinamica_R!$A$5,
"[Calendario].[AñoMes]",
"[Calendario].[AñoMes].&amp;[" &amp; TEXT(AC$6,"yyyymm")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D76" s="8">
        <f>IFERROR(
GETPIVOTDATA(
"[Base].[Importe]",
TDinamica_R!$A$5,
"[Calendario].[AñoMes]",
"[Calendario].[AñoMes].&amp;[" &amp; TEXT(AD$6,"yyyymm")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E76" s="8">
        <f>IFERROR(
GETPIVOTDATA(
"[Base].[Importe]",
TDinamica_R!$A$5,
"[Calendario].[AñoMes]",
"[Calendario].[AñoMes].&amp;[" &amp; TEXT(AE$6,"yyyymm")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F76" s="8">
        <f>IFERROR(
GETPIVOTDATA(
"[Base].[Importe]",
TDinamica_R!$A$5,
"[Calendario].[AñoMes]",
"[Calendario].[AñoMes].&amp;[" &amp; TEXT(AF$6,"yyyymm")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G76" s="8">
        <f>IFERROR(
GETPIVOTDATA(
"[Base].[Importe]",
TDinamica_R!$A$5,
"[Calendario].[AñoMes]",
"[Calendario].[AñoMes].&amp;[" &amp; TEXT(AG$6,"yyyymm")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H76" s="8">
        <f>IFERROR(
GETPIVOTDATA(
"[Base].[Importe]",
TDinamica_R!$A$5,
"[Calendario].[AñoMes]",
"[Calendario].[AñoMes].&amp;[" &amp; TEXT(AH$6,"yyyymm")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I76" s="8">
        <f>IFERROR(
GETPIVOTDATA(
"[Base].[Importe]",
TDinamica_R!$A$5,
"[Calendario].[AñoMes]",
"[Calendario].[AñoMes].&amp;[" &amp; TEXT(AI$6,"yyyymm")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J76" s="8">
        <f>IFERROR(
GETPIVOTDATA(
"[Base].[Importe]",
TDinamica_R!$A$5,
"[Calendario].[AñoMes]",
"[Calendario].[AñoMes].&amp;[" &amp; TEXT(AJ$6,"yyyymm")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K76" s="8">
        <f>IFERROR(
GETPIVOTDATA(
"[Base].[Importe]",
TDinamica_R!$A$5,
"[Calendario].[AñoMes]",
"[Calendario].[AñoMes].&amp;[" &amp; TEXT(AK$6,"yyyymm")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L76" s="8">
        <f>IFERROR(
GETPIVOTDATA(
"[Base].[Importe]",
TDinamica_R!$A$5,
"[Calendario].[AñoMes]",
"[Calendario].[AñoMes].&amp;[" &amp; TEXT(AL$6,"yyyymm")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M76" s="8">
        <f>IFERROR(
GETPIVOTDATA(
"[Base].[Importe]",
TDinamica_R!$A$5,
"[Calendario].[AñoMes]",
"[Calendario].[AñoMes].&amp;[" &amp; TEXT(AM$6,"yyyymm")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N76" s="8">
        <f>IFERROR(
GETPIVOTDATA(
"[Base].[Importe]",
TDinamica_R!$A$5,
"[Calendario].[AñoMes]",
"[Calendario].[AñoMes].&amp;[" &amp; TEXT(AN$6,"yyyymm")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O76" s="8">
        <f>IFERROR(
GETPIVOTDATA(
"[Base].[Importe]",
TDinamica_R!$A$5,
"[Calendario].[AñoMes]",
"[Calendario].[AñoMes].&amp;[" &amp; TEXT(AO$6,"yyyymm")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P76" s="8">
        <f>IFERROR(
GETPIVOTDATA(
"[Base].[Importe]",
TDinamica_R!$A$5,
"[Calendario].[AñoMes]",
"[Calendario].[AñoMes].&amp;[" &amp; TEXT(AP$6,"yyyymm")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Q76" s="8">
        <f>IFERROR(
GETPIVOTDATA(
"[Base].[Importe]",
TDinamica_R!$A$5,
"[Calendario].[AñoMes]",
"[Calendario].[AñoMes].&amp;[" &amp; TEXT(AQ$6,"yyyymm")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R76" s="8">
        <f>IFERROR(
GETPIVOTDATA(
"[Base].[Importe]",
TDinamica_R!$A$5,
"[Calendario].[AñoMes]",
"[Calendario].[AñoMes].&amp;[" &amp; TEXT(AR$6,"yyyymm")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S76" s="8">
        <f>IFERROR(
GETPIVOTDATA(
"[Base].[Importe]",
TDinamica_R!$A$5,
"[Calendario].[AñoMes]",
"[Calendario].[AñoMes].&amp;[" &amp; TEXT(AS$6,"yyyymm")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T76" s="8">
        <f>IFERROR(
GETPIVOTDATA(
"[Base].[Importe]",
TDinamica_R!$A$5,
"[Calendario].[AñoMes]",
"[Calendario].[AñoMes].&amp;[" &amp; TEXT(AT$6,"yyyymm")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U76" s="8">
        <f>IFERROR(
GETPIVOTDATA(
"[Base].[Importe]",
TDinamica_R!$A$5,
"[Calendario].[AñoMes]",
"[Calendario].[AñoMes].&amp;[" &amp; TEXT(AU$6,"yyyymm")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V76" s="8">
        <f>IFERROR(
GETPIVOTDATA(
"[Base].[Importe]",
TDinamica_R!$A$5,
"[Calendario].[AñoMes]",
"[Calendario].[AñoMes].&amp;[" &amp; TEXT(AV$6,"yyyymm")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W76" s="8">
        <f>IFERROR(
GETPIVOTDATA(
"[Base].[Importe]",
TDinamica_R!$A$5,
"[Calendario].[AñoMes]",
"[Calendario].[AñoMes].&amp;[" &amp; TEXT(AW$6,"yyyymm")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X76" s="8">
        <f>IFERROR(
GETPIVOTDATA(
"[Base].[Importe]",
TDinamica_R!$A$5,
"[Calendario].[AñoMes]",
"[Calendario].[AñoMes].&amp;[" &amp; TEXT(AX$6,"yyyymm")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Y76" s="8">
        <f>IFERROR(
GETPIVOTDATA(
"[Base].[Importe]",
TDinamica_R!$A$5,
"[Calendario].[AñoMes]",
"[Calendario].[AñoMes].&amp;[" &amp; TEXT(AY$6,"yyyymm")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Z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TEXT(AZ$6,"yyyymm") &amp; "]"
),
0
)</f>
        <v>0</v>
      </c>
      <c r="BA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TEXT(BA$6,"yyyymm") &amp; "]"
),
0
)</f>
        <v>0</v>
      </c>
      <c r="BB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TEXT(BB$6,"yyyymm") &amp; "]"
),
0
)</f>
        <v>0</v>
      </c>
      <c r="BC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TEXT(BC$6,"yyyymm") &amp; "]"
),
0
)</f>
        <v>0</v>
      </c>
      <c r="BD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TEXT(BD$6,"yyyymm") &amp; "]"
),
0
)</f>
        <v>0</v>
      </c>
      <c r="BE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TEXT(BE$6,"yyyymm") &amp; "]"
),
0
)</f>
        <v>0</v>
      </c>
      <c r="BF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TEXT(BF$6,"yyyymm") &amp; "]"
),
0
)</f>
        <v>0</v>
      </c>
      <c r="BG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TEXT(BG$6,"yyyymm") &amp; "]"
),
0
)</f>
        <v>0</v>
      </c>
      <c r="BH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TEXT(BH$6,"yyyymm") &amp; "]"
),
0
)</f>
        <v>0</v>
      </c>
      <c r="BI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TEXT(BI$6,"yyyymm") &amp; "]"
),
0
)</f>
        <v>0</v>
      </c>
      <c r="BJ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TEXT(BJ$6,"yyyymm") &amp; "]"
),
0
)</f>
        <v>0</v>
      </c>
      <c r="BK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TEXT(BK$6,"yyyymm") &amp; "]"
),
0
)</f>
        <v>0</v>
      </c>
      <c r="BO76" s="24">
        <f t="shared" si="65"/>
        <v>0</v>
      </c>
      <c r="BP76" s="24">
        <f t="shared" si="65"/>
        <v>0</v>
      </c>
      <c r="BQ76" s="24">
        <f t="shared" si="65"/>
        <v>0</v>
      </c>
      <c r="BR76" s="24">
        <f t="shared" si="65"/>
        <v>0</v>
      </c>
      <c r="BS76" s="24">
        <f t="shared" si="65"/>
        <v>0</v>
      </c>
      <c r="BT76" s="24">
        <f t="shared" si="65"/>
        <v>0</v>
      </c>
    </row>
    <row r="77" spans="1:72" hidden="1" outlineLevel="1" x14ac:dyDescent="0.25">
      <c r="A77" s="11" t="s">
        <v>71</v>
      </c>
      <c r="C77" s="2"/>
      <c r="D77" s="8">
        <f>IFERROR(
GETPIVOTDATA(
"[Base].[Importe]",
TDinamica_R!$A$5,
"[Calendario].[AñoMes]",
"[Calendario].[AñoMes].&amp;[" &amp; TEXT(D$6,"yyyymm")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E77" s="8">
        <f>IFERROR(
GETPIVOTDATA(
"[Base].[Importe]",
TDinamica_R!$A$5,
"[Calendario].[AñoMes]",
"[Calendario].[AñoMes].&amp;[" &amp; TEXT(E$6,"yyyymm")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F77" s="8">
        <f>IFERROR(
GETPIVOTDATA(
"[Base].[Importe]",
TDinamica_R!$A$5,
"[Calendario].[AñoMes]",
"[Calendario].[AñoMes].&amp;[" &amp; TEXT(F$6,"yyyymm")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G77" s="8">
        <f>IFERROR(
GETPIVOTDATA(
"[Base].[Importe]",
TDinamica_R!$A$5,
"[Calendario].[AñoMes]",
"[Calendario].[AñoMes].&amp;[" &amp; TEXT(G$6,"yyyymm")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H77" s="8">
        <f>IFERROR(
GETPIVOTDATA(
"[Base].[Importe]",
TDinamica_R!$A$5,
"[Calendario].[AñoMes]",
"[Calendario].[AñoMes].&amp;[" &amp; TEXT(H$6,"yyyymm")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I77" s="8">
        <f>IFERROR(
GETPIVOTDATA(
"[Base].[Importe]",
TDinamica_R!$A$5,
"[Calendario].[AñoMes]",
"[Calendario].[AñoMes].&amp;[" &amp; TEXT(I$6,"yyyymm")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J77" s="8">
        <f>IFERROR(
GETPIVOTDATA(
"[Base].[Importe]",
TDinamica_R!$A$5,
"[Calendario].[AñoMes]",
"[Calendario].[AñoMes].&amp;[" &amp; TEXT(J$6,"yyyymm")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K77" s="8">
        <f>IFERROR(
GETPIVOTDATA(
"[Base].[Importe]",
TDinamica_R!$A$5,
"[Calendario].[AñoMes]",
"[Calendario].[AñoMes].&amp;[" &amp; TEXT(K$6,"yyyymm")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L77" s="8">
        <f>IFERROR(
GETPIVOTDATA(
"[Base].[Importe]",
TDinamica_R!$A$5,
"[Calendario].[AñoMes]",
"[Calendario].[AñoMes].&amp;[" &amp; TEXT(L$6,"yyyymm")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M77" s="8">
        <f>IFERROR(
GETPIVOTDATA(
"[Base].[Importe]",
TDinamica_R!$A$5,
"[Calendario].[AñoMes]",
"[Calendario].[AñoMes].&amp;[" &amp; TEXT(M$6,"yyyymm")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N77" s="8">
        <f>IFERROR(
GETPIVOTDATA(
"[Base].[Importe]",
TDinamica_R!$A$5,
"[Calendario].[AñoMes]",
"[Calendario].[AñoMes].&amp;[" &amp; TEXT(N$6,"yyyymm")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O77" s="8">
        <f>IFERROR(
GETPIVOTDATA(
"[Base].[Importe]",
TDinamica_R!$A$5,
"[Calendario].[AñoMes]",
"[Calendario].[AñoMes].&amp;[" &amp; TEXT(O$6,"yyyymm")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P77" s="8">
        <f>IFERROR(
GETPIVOTDATA(
"[Base].[Importe]",
TDinamica_R!$A$5,
"[Calendario].[AñoMes]",
"[Calendario].[AñoMes].&amp;[" &amp; TEXT(P$6,"yyyymm")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Q77" s="8">
        <f>IFERROR(
GETPIVOTDATA(
"[Base].[Importe]",
TDinamica_R!$A$5,
"[Calendario].[AñoMes]",
"[Calendario].[AñoMes].&amp;[" &amp; TEXT(Q$6,"yyyymm")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R77" s="8">
        <f>IFERROR(
GETPIVOTDATA(
"[Base].[Importe]",
TDinamica_R!$A$5,
"[Calendario].[AñoMes]",
"[Calendario].[AñoMes].&amp;[" &amp; TEXT(R$6,"yyyymm")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S77" s="8">
        <f>IFERROR(
GETPIVOTDATA(
"[Base].[Importe]",
TDinamica_R!$A$5,
"[Calendario].[AñoMes]",
"[Calendario].[AñoMes].&amp;[" &amp; TEXT(S$6,"yyyymm")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T77" s="8">
        <f>IFERROR(
GETPIVOTDATA(
"[Base].[Importe]",
TDinamica_R!$A$5,
"[Calendario].[AñoMes]",
"[Calendario].[AñoMes].&amp;[" &amp; TEXT(T$6,"yyyymm")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U77" s="8">
        <f>IFERROR(
GETPIVOTDATA(
"[Base].[Importe]",
TDinamica_R!$A$5,
"[Calendario].[AñoMes]",
"[Calendario].[AñoMes].&amp;[" &amp; TEXT(U$6,"yyyymm")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V77" s="8">
        <f>IFERROR(
GETPIVOTDATA(
"[Base].[Importe]",
TDinamica_R!$A$5,
"[Calendario].[AñoMes]",
"[Calendario].[AñoMes].&amp;[" &amp; TEXT(V$6,"yyyymm")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W77" s="8">
        <f>IFERROR(
GETPIVOTDATA(
"[Base].[Importe]",
TDinamica_R!$A$5,
"[Calendario].[AñoMes]",
"[Calendario].[AñoMes].&amp;[" &amp; TEXT(W$6,"yyyymm")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X77" s="8">
        <f>IFERROR(
GETPIVOTDATA(
"[Base].[Importe]",
TDinamica_R!$A$5,
"[Calendario].[AñoMes]",
"[Calendario].[AñoMes].&amp;[" &amp; TEXT(X$6,"yyyymm")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Y77" s="8">
        <f>IFERROR(
GETPIVOTDATA(
"[Base].[Importe]",
TDinamica_R!$A$5,
"[Calendario].[AñoMes]",
"[Calendario].[AñoMes].&amp;[" &amp; TEXT(Y$6,"yyyymm")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Z77" s="8">
        <f>IFERROR(
GETPIVOTDATA(
"[Base].[Importe]",
TDinamica_R!$A$5,
"[Calendario].[AñoMes]",
"[Calendario].[AñoMes].&amp;[" &amp; TEXT(Z$6,"yyyymm")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A77" s="8">
        <f>IFERROR(
GETPIVOTDATA(
"[Base].[Importe]",
TDinamica_R!$A$5,
"[Calendario].[AñoMes]",
"[Calendario].[AñoMes].&amp;[" &amp; TEXT(AA$6,"yyyymm")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B77" s="8">
        <f>IFERROR(
GETPIVOTDATA(
"[Base].[Importe]",
TDinamica_R!$A$5,
"[Calendario].[AñoMes]",
"[Calendario].[AñoMes].&amp;[" &amp; TEXT(AB$6,"yyyymm")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C77" s="8">
        <f>IFERROR(
GETPIVOTDATA(
"[Base].[Importe]",
TDinamica_R!$A$5,
"[Calendario].[AñoMes]",
"[Calendario].[AñoMes].&amp;[" &amp; TEXT(AC$6,"yyyymm")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D77" s="8">
        <f>IFERROR(
GETPIVOTDATA(
"[Base].[Importe]",
TDinamica_R!$A$5,
"[Calendario].[AñoMes]",
"[Calendario].[AñoMes].&amp;[" &amp; TEXT(AD$6,"yyyymm")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E77" s="8">
        <f>IFERROR(
GETPIVOTDATA(
"[Base].[Importe]",
TDinamica_R!$A$5,
"[Calendario].[AñoMes]",
"[Calendario].[AñoMes].&amp;[" &amp; TEXT(AE$6,"yyyymm")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F77" s="8">
        <f>IFERROR(
GETPIVOTDATA(
"[Base].[Importe]",
TDinamica_R!$A$5,
"[Calendario].[AñoMes]",
"[Calendario].[AñoMes].&amp;[" &amp; TEXT(AF$6,"yyyymm")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G77" s="8">
        <f>IFERROR(
GETPIVOTDATA(
"[Base].[Importe]",
TDinamica_R!$A$5,
"[Calendario].[AñoMes]",
"[Calendario].[AñoMes].&amp;[" &amp; TEXT(AG$6,"yyyymm")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H77" s="8">
        <f>IFERROR(
GETPIVOTDATA(
"[Base].[Importe]",
TDinamica_R!$A$5,
"[Calendario].[AñoMes]",
"[Calendario].[AñoMes].&amp;[" &amp; TEXT(AH$6,"yyyymm")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I77" s="8">
        <f>IFERROR(
GETPIVOTDATA(
"[Base].[Importe]",
TDinamica_R!$A$5,
"[Calendario].[AñoMes]",
"[Calendario].[AñoMes].&amp;[" &amp; TEXT(AI$6,"yyyymm")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J77" s="8">
        <f>IFERROR(
GETPIVOTDATA(
"[Base].[Importe]",
TDinamica_R!$A$5,
"[Calendario].[AñoMes]",
"[Calendario].[AñoMes].&amp;[" &amp; TEXT(AJ$6,"yyyymm")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K77" s="8">
        <f>IFERROR(
GETPIVOTDATA(
"[Base].[Importe]",
TDinamica_R!$A$5,
"[Calendario].[AñoMes]",
"[Calendario].[AñoMes].&amp;[" &amp; TEXT(AK$6,"yyyymm")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L77" s="8">
        <f>IFERROR(
GETPIVOTDATA(
"[Base].[Importe]",
TDinamica_R!$A$5,
"[Calendario].[AñoMes]",
"[Calendario].[AñoMes].&amp;[" &amp; TEXT(AL$6,"yyyymm")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M77" s="8">
        <f>IFERROR(
GETPIVOTDATA(
"[Base].[Importe]",
TDinamica_R!$A$5,
"[Calendario].[AñoMes]",
"[Calendario].[AñoMes].&amp;[" &amp; TEXT(AM$6,"yyyymm")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N77" s="8">
        <f>IFERROR(
GETPIVOTDATA(
"[Base].[Importe]",
TDinamica_R!$A$5,
"[Calendario].[AñoMes]",
"[Calendario].[AñoMes].&amp;[" &amp; TEXT(AN$6,"yyyymm")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O77" s="8">
        <f>IFERROR(
GETPIVOTDATA(
"[Base].[Importe]",
TDinamica_R!$A$5,
"[Calendario].[AñoMes]",
"[Calendario].[AñoMes].&amp;[" &amp; TEXT(AO$6,"yyyymm")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P77" s="8">
        <f>IFERROR(
GETPIVOTDATA(
"[Base].[Importe]",
TDinamica_R!$A$5,
"[Calendario].[AñoMes]",
"[Calendario].[AñoMes].&amp;[" &amp; TEXT(AP$6,"yyyymm")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Q77" s="8">
        <f>IFERROR(
GETPIVOTDATA(
"[Base].[Importe]",
TDinamica_R!$A$5,
"[Calendario].[AñoMes]",
"[Calendario].[AñoMes].&amp;[" &amp; TEXT(AQ$6,"yyyymm")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R77" s="8">
        <f>IFERROR(
GETPIVOTDATA(
"[Base].[Importe]",
TDinamica_R!$A$5,
"[Calendario].[AñoMes]",
"[Calendario].[AñoMes].&amp;[" &amp; TEXT(AR$6,"yyyymm")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S77" s="8">
        <f>IFERROR(
GETPIVOTDATA(
"[Base].[Importe]",
TDinamica_R!$A$5,
"[Calendario].[AñoMes]",
"[Calendario].[AñoMes].&amp;[" &amp; TEXT(AS$6,"yyyymm")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T77" s="8">
        <f>IFERROR(
GETPIVOTDATA(
"[Base].[Importe]",
TDinamica_R!$A$5,
"[Calendario].[AñoMes]",
"[Calendario].[AñoMes].&amp;[" &amp; TEXT(AT$6,"yyyymm")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U77" s="8">
        <f>IFERROR(
GETPIVOTDATA(
"[Base].[Importe]",
TDinamica_R!$A$5,
"[Calendario].[AñoMes]",
"[Calendario].[AñoMes].&amp;[" &amp; TEXT(AU$6,"yyyymm")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V77" s="8">
        <f>IFERROR(
GETPIVOTDATA(
"[Base].[Importe]",
TDinamica_R!$A$5,
"[Calendario].[AñoMes]",
"[Calendario].[AñoMes].&amp;[" &amp; TEXT(AV$6,"yyyymm")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W77" s="8">
        <f>IFERROR(
GETPIVOTDATA(
"[Base].[Importe]",
TDinamica_R!$A$5,
"[Calendario].[AñoMes]",
"[Calendario].[AñoMes].&amp;[" &amp; TEXT(AW$6,"yyyymm")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X77" s="8">
        <f>IFERROR(
GETPIVOTDATA(
"[Base].[Importe]",
TDinamica_R!$A$5,
"[Calendario].[AñoMes]",
"[Calendario].[AñoMes].&amp;[" &amp; TEXT(AX$6,"yyyymm")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Y77" s="8">
        <f>IFERROR(
GETPIVOTDATA(
"[Base].[Importe]",
TDinamica_R!$A$5,
"[Calendario].[AñoMes]",
"[Calendario].[AñoMes].&amp;[" &amp; TEXT(AY$6,"yyyymm")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Z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TEXT(AZ$6,"yyyymm") &amp; "]"
),
0
)</f>
        <v>0</v>
      </c>
      <c r="BA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TEXT(BA$6,"yyyymm") &amp; "]"
),
0
)</f>
        <v>0</v>
      </c>
      <c r="BB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TEXT(BB$6,"yyyymm") &amp; "]"
),
0
)</f>
        <v>0</v>
      </c>
      <c r="BC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TEXT(BC$6,"yyyymm") &amp; "]"
),
0
)</f>
        <v>0</v>
      </c>
      <c r="BD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TEXT(BD$6,"yyyymm") &amp; "]"
),
0
)</f>
        <v>0</v>
      </c>
      <c r="BE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TEXT(BE$6,"yyyymm") &amp; "]"
),
0
)</f>
        <v>0</v>
      </c>
      <c r="BF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TEXT(BF$6,"yyyymm") &amp; "]"
),
0
)</f>
        <v>0</v>
      </c>
      <c r="BG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TEXT(BG$6,"yyyymm") &amp; "]"
),
0
)</f>
        <v>0</v>
      </c>
      <c r="BH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TEXT(BH$6,"yyyymm") &amp; "]"
),
0
)</f>
        <v>0</v>
      </c>
      <c r="BI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TEXT(BI$6,"yyyymm") &amp; "]"
),
0
)</f>
        <v>0</v>
      </c>
      <c r="BJ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TEXT(BJ$6,"yyyymm") &amp; "]"
),
0
)</f>
        <v>0</v>
      </c>
      <c r="BK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TEXT(BK$6,"yyyymm") &amp; "]"
),
0
)</f>
        <v>0</v>
      </c>
      <c r="BO77" s="24">
        <f t="shared" si="65"/>
        <v>0</v>
      </c>
      <c r="BP77" s="24">
        <f t="shared" si="65"/>
        <v>0</v>
      </c>
      <c r="BQ77" s="24">
        <f t="shared" si="65"/>
        <v>0</v>
      </c>
      <c r="BR77" s="24">
        <f t="shared" si="65"/>
        <v>0</v>
      </c>
      <c r="BS77" s="24">
        <f t="shared" si="65"/>
        <v>0</v>
      </c>
      <c r="BT77" s="24">
        <f t="shared" si="65"/>
        <v>0</v>
      </c>
    </row>
    <row r="78" spans="1:72" hidden="1" outlineLevel="1" x14ac:dyDescent="0.25">
      <c r="A78" s="11" t="s">
        <v>71</v>
      </c>
      <c r="C78" s="2"/>
      <c r="D78" s="8">
        <f>IFERROR(
GETPIVOTDATA(
"[Base].[Importe]",
TDinamica_R!$A$5,
"[Calendario].[AñoMes]",
"[Calendario].[AñoMes].&amp;[" &amp; TEXT(D$6,"yyyymm")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E78" s="8">
        <f>IFERROR(
GETPIVOTDATA(
"[Base].[Importe]",
TDinamica_R!$A$5,
"[Calendario].[AñoMes]",
"[Calendario].[AñoMes].&amp;[" &amp; TEXT(E$6,"yyyymm")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F78" s="8">
        <f>IFERROR(
GETPIVOTDATA(
"[Base].[Importe]",
TDinamica_R!$A$5,
"[Calendario].[AñoMes]",
"[Calendario].[AñoMes].&amp;[" &amp; TEXT(F$6,"yyyymm")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G78" s="8">
        <f>IFERROR(
GETPIVOTDATA(
"[Base].[Importe]",
TDinamica_R!$A$5,
"[Calendario].[AñoMes]",
"[Calendario].[AñoMes].&amp;[" &amp; TEXT(G$6,"yyyymm")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H78" s="8">
        <f>IFERROR(
GETPIVOTDATA(
"[Base].[Importe]",
TDinamica_R!$A$5,
"[Calendario].[AñoMes]",
"[Calendario].[AñoMes].&amp;[" &amp; TEXT(H$6,"yyyymm")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I78" s="8">
        <f>IFERROR(
GETPIVOTDATA(
"[Base].[Importe]",
TDinamica_R!$A$5,
"[Calendario].[AñoMes]",
"[Calendario].[AñoMes].&amp;[" &amp; TEXT(I$6,"yyyymm")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J78" s="8">
        <f>IFERROR(
GETPIVOTDATA(
"[Base].[Importe]",
TDinamica_R!$A$5,
"[Calendario].[AñoMes]",
"[Calendario].[AñoMes].&amp;[" &amp; TEXT(J$6,"yyyymm")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K78" s="8">
        <f>IFERROR(
GETPIVOTDATA(
"[Base].[Importe]",
TDinamica_R!$A$5,
"[Calendario].[AñoMes]",
"[Calendario].[AñoMes].&amp;[" &amp; TEXT(K$6,"yyyymm")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L78" s="8">
        <f>IFERROR(
GETPIVOTDATA(
"[Base].[Importe]",
TDinamica_R!$A$5,
"[Calendario].[AñoMes]",
"[Calendario].[AñoMes].&amp;[" &amp; TEXT(L$6,"yyyymm")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M78" s="8">
        <f>IFERROR(
GETPIVOTDATA(
"[Base].[Importe]",
TDinamica_R!$A$5,
"[Calendario].[AñoMes]",
"[Calendario].[AñoMes].&amp;[" &amp; TEXT(M$6,"yyyymm")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N78" s="8">
        <f>IFERROR(
GETPIVOTDATA(
"[Base].[Importe]",
TDinamica_R!$A$5,
"[Calendario].[AñoMes]",
"[Calendario].[AñoMes].&amp;[" &amp; TEXT(N$6,"yyyymm")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O78" s="8">
        <f>IFERROR(
GETPIVOTDATA(
"[Base].[Importe]",
TDinamica_R!$A$5,
"[Calendario].[AñoMes]",
"[Calendario].[AñoMes].&amp;[" &amp; TEXT(O$6,"yyyymm")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P78" s="8">
        <f>IFERROR(
GETPIVOTDATA(
"[Base].[Importe]",
TDinamica_R!$A$5,
"[Calendario].[AñoMes]",
"[Calendario].[AñoMes].&amp;[" &amp; TEXT(P$6,"yyyymm")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Q78" s="8">
        <f>IFERROR(
GETPIVOTDATA(
"[Base].[Importe]",
TDinamica_R!$A$5,
"[Calendario].[AñoMes]",
"[Calendario].[AñoMes].&amp;[" &amp; TEXT(Q$6,"yyyymm")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R78" s="8">
        <f>IFERROR(
GETPIVOTDATA(
"[Base].[Importe]",
TDinamica_R!$A$5,
"[Calendario].[AñoMes]",
"[Calendario].[AñoMes].&amp;[" &amp; TEXT(R$6,"yyyymm")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S78" s="8">
        <f>IFERROR(
GETPIVOTDATA(
"[Base].[Importe]",
TDinamica_R!$A$5,
"[Calendario].[AñoMes]",
"[Calendario].[AñoMes].&amp;[" &amp; TEXT(S$6,"yyyymm")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T78" s="8">
        <f>IFERROR(
GETPIVOTDATA(
"[Base].[Importe]",
TDinamica_R!$A$5,
"[Calendario].[AñoMes]",
"[Calendario].[AñoMes].&amp;[" &amp; TEXT(T$6,"yyyymm")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U78" s="8">
        <f>IFERROR(
GETPIVOTDATA(
"[Base].[Importe]",
TDinamica_R!$A$5,
"[Calendario].[AñoMes]",
"[Calendario].[AñoMes].&amp;[" &amp; TEXT(U$6,"yyyymm")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V78" s="8">
        <f>IFERROR(
GETPIVOTDATA(
"[Base].[Importe]",
TDinamica_R!$A$5,
"[Calendario].[AñoMes]",
"[Calendario].[AñoMes].&amp;[" &amp; TEXT(V$6,"yyyymm")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W78" s="8">
        <f>IFERROR(
GETPIVOTDATA(
"[Base].[Importe]",
TDinamica_R!$A$5,
"[Calendario].[AñoMes]",
"[Calendario].[AñoMes].&amp;[" &amp; TEXT(W$6,"yyyymm")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X78" s="8">
        <f>IFERROR(
GETPIVOTDATA(
"[Base].[Importe]",
TDinamica_R!$A$5,
"[Calendario].[AñoMes]",
"[Calendario].[AñoMes].&amp;[" &amp; TEXT(X$6,"yyyymm")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Y78" s="8">
        <f>IFERROR(
GETPIVOTDATA(
"[Base].[Importe]",
TDinamica_R!$A$5,
"[Calendario].[AñoMes]",
"[Calendario].[AñoMes].&amp;[" &amp; TEXT(Y$6,"yyyymm")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Z78" s="8">
        <f>IFERROR(
GETPIVOTDATA(
"[Base].[Importe]",
TDinamica_R!$A$5,
"[Calendario].[AñoMes]",
"[Calendario].[AñoMes].&amp;[" &amp; TEXT(Z$6,"yyyymm")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A78" s="8">
        <f>IFERROR(
GETPIVOTDATA(
"[Base].[Importe]",
TDinamica_R!$A$5,
"[Calendario].[AñoMes]",
"[Calendario].[AñoMes].&amp;[" &amp; TEXT(AA$6,"yyyymm")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B78" s="8">
        <f>IFERROR(
GETPIVOTDATA(
"[Base].[Importe]",
TDinamica_R!$A$5,
"[Calendario].[AñoMes]",
"[Calendario].[AñoMes].&amp;[" &amp; TEXT(AB$6,"yyyymm")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C78" s="8">
        <f>IFERROR(
GETPIVOTDATA(
"[Base].[Importe]",
TDinamica_R!$A$5,
"[Calendario].[AñoMes]",
"[Calendario].[AñoMes].&amp;[" &amp; TEXT(AC$6,"yyyymm")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D78" s="8">
        <f>IFERROR(
GETPIVOTDATA(
"[Base].[Importe]",
TDinamica_R!$A$5,
"[Calendario].[AñoMes]",
"[Calendario].[AñoMes].&amp;[" &amp; TEXT(AD$6,"yyyymm")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E78" s="8">
        <f>IFERROR(
GETPIVOTDATA(
"[Base].[Importe]",
TDinamica_R!$A$5,
"[Calendario].[AñoMes]",
"[Calendario].[AñoMes].&amp;[" &amp; TEXT(AE$6,"yyyymm")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F78" s="8">
        <f>IFERROR(
GETPIVOTDATA(
"[Base].[Importe]",
TDinamica_R!$A$5,
"[Calendario].[AñoMes]",
"[Calendario].[AñoMes].&amp;[" &amp; TEXT(AF$6,"yyyymm")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G78" s="8">
        <f>IFERROR(
GETPIVOTDATA(
"[Base].[Importe]",
TDinamica_R!$A$5,
"[Calendario].[AñoMes]",
"[Calendario].[AñoMes].&amp;[" &amp; TEXT(AG$6,"yyyymm")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H78" s="8">
        <f>IFERROR(
GETPIVOTDATA(
"[Base].[Importe]",
TDinamica_R!$A$5,
"[Calendario].[AñoMes]",
"[Calendario].[AñoMes].&amp;[" &amp; TEXT(AH$6,"yyyymm")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I78" s="8">
        <f>IFERROR(
GETPIVOTDATA(
"[Base].[Importe]",
TDinamica_R!$A$5,
"[Calendario].[AñoMes]",
"[Calendario].[AñoMes].&amp;[" &amp; TEXT(AI$6,"yyyymm")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J78" s="8">
        <f>IFERROR(
GETPIVOTDATA(
"[Base].[Importe]",
TDinamica_R!$A$5,
"[Calendario].[AñoMes]",
"[Calendario].[AñoMes].&amp;[" &amp; TEXT(AJ$6,"yyyymm")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K78" s="8">
        <f>IFERROR(
GETPIVOTDATA(
"[Base].[Importe]",
TDinamica_R!$A$5,
"[Calendario].[AñoMes]",
"[Calendario].[AñoMes].&amp;[" &amp; TEXT(AK$6,"yyyymm")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L78" s="8">
        <f>IFERROR(
GETPIVOTDATA(
"[Base].[Importe]",
TDinamica_R!$A$5,
"[Calendario].[AñoMes]",
"[Calendario].[AñoMes].&amp;[" &amp; TEXT(AL$6,"yyyymm")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M78" s="8">
        <f>IFERROR(
GETPIVOTDATA(
"[Base].[Importe]",
TDinamica_R!$A$5,
"[Calendario].[AñoMes]",
"[Calendario].[AñoMes].&amp;[" &amp; TEXT(AM$6,"yyyymm")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N78" s="8">
        <f>IFERROR(
GETPIVOTDATA(
"[Base].[Importe]",
TDinamica_R!$A$5,
"[Calendario].[AñoMes]",
"[Calendario].[AñoMes].&amp;[" &amp; TEXT(AN$6,"yyyymm")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O78" s="8">
        <f>IFERROR(
GETPIVOTDATA(
"[Base].[Importe]",
TDinamica_R!$A$5,
"[Calendario].[AñoMes]",
"[Calendario].[AñoMes].&amp;[" &amp; TEXT(AO$6,"yyyymm")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P78" s="8">
        <f>IFERROR(
GETPIVOTDATA(
"[Base].[Importe]",
TDinamica_R!$A$5,
"[Calendario].[AñoMes]",
"[Calendario].[AñoMes].&amp;[" &amp; TEXT(AP$6,"yyyymm")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Q78" s="8">
        <f>IFERROR(
GETPIVOTDATA(
"[Base].[Importe]",
TDinamica_R!$A$5,
"[Calendario].[AñoMes]",
"[Calendario].[AñoMes].&amp;[" &amp; TEXT(AQ$6,"yyyymm")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R78" s="8">
        <f>IFERROR(
GETPIVOTDATA(
"[Base].[Importe]",
TDinamica_R!$A$5,
"[Calendario].[AñoMes]",
"[Calendario].[AñoMes].&amp;[" &amp; TEXT(AR$6,"yyyymm")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S78" s="8">
        <f>IFERROR(
GETPIVOTDATA(
"[Base].[Importe]",
TDinamica_R!$A$5,
"[Calendario].[AñoMes]",
"[Calendario].[AñoMes].&amp;[" &amp; TEXT(AS$6,"yyyymm")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T78" s="8">
        <f>IFERROR(
GETPIVOTDATA(
"[Base].[Importe]",
TDinamica_R!$A$5,
"[Calendario].[AñoMes]",
"[Calendario].[AñoMes].&amp;[" &amp; TEXT(AT$6,"yyyymm")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U78" s="8">
        <f>IFERROR(
GETPIVOTDATA(
"[Base].[Importe]",
TDinamica_R!$A$5,
"[Calendario].[AñoMes]",
"[Calendario].[AñoMes].&amp;[" &amp; TEXT(AU$6,"yyyymm")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V78" s="8">
        <f>IFERROR(
GETPIVOTDATA(
"[Base].[Importe]",
TDinamica_R!$A$5,
"[Calendario].[AñoMes]",
"[Calendario].[AñoMes].&amp;[" &amp; TEXT(AV$6,"yyyymm")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W78" s="8">
        <f>IFERROR(
GETPIVOTDATA(
"[Base].[Importe]",
TDinamica_R!$A$5,
"[Calendario].[AñoMes]",
"[Calendario].[AñoMes].&amp;[" &amp; TEXT(AW$6,"yyyymm")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X78" s="8">
        <f>IFERROR(
GETPIVOTDATA(
"[Base].[Importe]",
TDinamica_R!$A$5,
"[Calendario].[AñoMes]",
"[Calendario].[AñoMes].&amp;[" &amp; TEXT(AX$6,"yyyymm")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Y78" s="8">
        <f>IFERROR(
GETPIVOTDATA(
"[Base].[Importe]",
TDinamica_R!$A$5,
"[Calendario].[AñoMes]",
"[Calendario].[AñoMes].&amp;[" &amp; TEXT(AY$6,"yyyymm")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Z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TEXT(AZ$6,"yyyymm") &amp; "]"
),
0
)</f>
        <v>0</v>
      </c>
      <c r="BA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TEXT(BA$6,"yyyymm") &amp; "]"
),
0
)</f>
        <v>0</v>
      </c>
      <c r="BB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TEXT(BB$6,"yyyymm") &amp; "]"
),
0
)</f>
        <v>0</v>
      </c>
      <c r="BC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TEXT(BC$6,"yyyymm") &amp; "]"
),
0
)</f>
        <v>0</v>
      </c>
      <c r="BD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TEXT(BD$6,"yyyymm") &amp; "]"
),
0
)</f>
        <v>0</v>
      </c>
      <c r="BE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TEXT(BE$6,"yyyymm") &amp; "]"
),
0
)</f>
        <v>0</v>
      </c>
      <c r="BF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TEXT(BF$6,"yyyymm") &amp; "]"
),
0
)</f>
        <v>0</v>
      </c>
      <c r="BG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TEXT(BG$6,"yyyymm") &amp; "]"
),
0
)</f>
        <v>0</v>
      </c>
      <c r="BH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TEXT(BH$6,"yyyymm") &amp; "]"
),
0
)</f>
        <v>0</v>
      </c>
      <c r="BI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TEXT(BI$6,"yyyymm") &amp; "]"
),
0
)</f>
        <v>0</v>
      </c>
      <c r="BJ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TEXT(BJ$6,"yyyymm") &amp; "]"
),
0
)</f>
        <v>0</v>
      </c>
      <c r="BK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TEXT(BK$6,"yyyymm") &amp; "]"
),
0
)</f>
        <v>0</v>
      </c>
      <c r="BO78" s="24">
        <f t="shared" si="65"/>
        <v>0</v>
      </c>
      <c r="BP78" s="24">
        <f t="shared" si="65"/>
        <v>0</v>
      </c>
      <c r="BQ78" s="24">
        <f t="shared" si="65"/>
        <v>0</v>
      </c>
      <c r="BR78" s="24">
        <f t="shared" si="65"/>
        <v>0</v>
      </c>
      <c r="BS78" s="24">
        <f t="shared" si="65"/>
        <v>0</v>
      </c>
      <c r="BT78" s="24">
        <f t="shared" si="65"/>
        <v>0</v>
      </c>
    </row>
    <row r="79" spans="1:72" hidden="1" outlineLevel="1" x14ac:dyDescent="0.25">
      <c r="A79" s="11" t="s">
        <v>71</v>
      </c>
      <c r="C79" s="2"/>
      <c r="D79" s="8">
        <f>IFERROR(
GETPIVOTDATA(
"[Base].[Importe]",
TDinamica_R!$A$5,
"[Calendario].[AñoMes]",
"[Calendario].[AñoMes].&amp;[" &amp; TEXT(D$6,"yyyymm")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E79" s="8">
        <f>IFERROR(
GETPIVOTDATA(
"[Base].[Importe]",
TDinamica_R!$A$5,
"[Calendario].[AñoMes]",
"[Calendario].[AñoMes].&amp;[" &amp; TEXT(E$6,"yyyymm")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F79" s="8">
        <f>IFERROR(
GETPIVOTDATA(
"[Base].[Importe]",
TDinamica_R!$A$5,
"[Calendario].[AñoMes]",
"[Calendario].[AñoMes].&amp;[" &amp; TEXT(F$6,"yyyymm")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G79" s="8">
        <f>IFERROR(
GETPIVOTDATA(
"[Base].[Importe]",
TDinamica_R!$A$5,
"[Calendario].[AñoMes]",
"[Calendario].[AñoMes].&amp;[" &amp; TEXT(G$6,"yyyymm")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H79" s="8">
        <f>IFERROR(
GETPIVOTDATA(
"[Base].[Importe]",
TDinamica_R!$A$5,
"[Calendario].[AñoMes]",
"[Calendario].[AñoMes].&amp;[" &amp; TEXT(H$6,"yyyymm")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I79" s="8">
        <f>IFERROR(
GETPIVOTDATA(
"[Base].[Importe]",
TDinamica_R!$A$5,
"[Calendario].[AñoMes]",
"[Calendario].[AñoMes].&amp;[" &amp; TEXT(I$6,"yyyymm")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J79" s="8">
        <f>IFERROR(
GETPIVOTDATA(
"[Base].[Importe]",
TDinamica_R!$A$5,
"[Calendario].[AñoMes]",
"[Calendario].[AñoMes].&amp;[" &amp; TEXT(J$6,"yyyymm")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K79" s="8">
        <f>IFERROR(
GETPIVOTDATA(
"[Base].[Importe]",
TDinamica_R!$A$5,
"[Calendario].[AñoMes]",
"[Calendario].[AñoMes].&amp;[" &amp; TEXT(K$6,"yyyymm")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L79" s="8">
        <f>IFERROR(
GETPIVOTDATA(
"[Base].[Importe]",
TDinamica_R!$A$5,
"[Calendario].[AñoMes]",
"[Calendario].[AñoMes].&amp;[" &amp; TEXT(L$6,"yyyymm")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M79" s="8">
        <f>IFERROR(
GETPIVOTDATA(
"[Base].[Importe]",
TDinamica_R!$A$5,
"[Calendario].[AñoMes]",
"[Calendario].[AñoMes].&amp;[" &amp; TEXT(M$6,"yyyymm")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N79" s="8">
        <f>IFERROR(
GETPIVOTDATA(
"[Base].[Importe]",
TDinamica_R!$A$5,
"[Calendario].[AñoMes]",
"[Calendario].[AñoMes].&amp;[" &amp; TEXT(N$6,"yyyymm")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O79" s="8">
        <f>IFERROR(
GETPIVOTDATA(
"[Base].[Importe]",
TDinamica_R!$A$5,
"[Calendario].[AñoMes]",
"[Calendario].[AñoMes].&amp;[" &amp; TEXT(O$6,"yyyymm")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P79" s="8">
        <f>IFERROR(
GETPIVOTDATA(
"[Base].[Importe]",
TDinamica_R!$A$5,
"[Calendario].[AñoMes]",
"[Calendario].[AñoMes].&amp;[" &amp; TEXT(P$6,"yyyymm")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Q79" s="8">
        <f>IFERROR(
GETPIVOTDATA(
"[Base].[Importe]",
TDinamica_R!$A$5,
"[Calendario].[AñoMes]",
"[Calendario].[AñoMes].&amp;[" &amp; TEXT(Q$6,"yyyymm")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R79" s="8">
        <f>IFERROR(
GETPIVOTDATA(
"[Base].[Importe]",
TDinamica_R!$A$5,
"[Calendario].[AñoMes]",
"[Calendario].[AñoMes].&amp;[" &amp; TEXT(R$6,"yyyymm")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S79" s="8">
        <f>IFERROR(
GETPIVOTDATA(
"[Base].[Importe]",
TDinamica_R!$A$5,
"[Calendario].[AñoMes]",
"[Calendario].[AñoMes].&amp;[" &amp; TEXT(S$6,"yyyymm")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T79" s="8">
        <f>IFERROR(
GETPIVOTDATA(
"[Base].[Importe]",
TDinamica_R!$A$5,
"[Calendario].[AñoMes]",
"[Calendario].[AñoMes].&amp;[" &amp; TEXT(T$6,"yyyymm")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U79" s="8">
        <f>IFERROR(
GETPIVOTDATA(
"[Base].[Importe]",
TDinamica_R!$A$5,
"[Calendario].[AñoMes]",
"[Calendario].[AñoMes].&amp;[" &amp; TEXT(U$6,"yyyymm")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V79" s="8">
        <f>IFERROR(
GETPIVOTDATA(
"[Base].[Importe]",
TDinamica_R!$A$5,
"[Calendario].[AñoMes]",
"[Calendario].[AñoMes].&amp;[" &amp; TEXT(V$6,"yyyymm")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W79" s="8">
        <f>IFERROR(
GETPIVOTDATA(
"[Base].[Importe]",
TDinamica_R!$A$5,
"[Calendario].[AñoMes]",
"[Calendario].[AñoMes].&amp;[" &amp; TEXT(W$6,"yyyymm")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X79" s="8">
        <f>IFERROR(
GETPIVOTDATA(
"[Base].[Importe]",
TDinamica_R!$A$5,
"[Calendario].[AñoMes]",
"[Calendario].[AñoMes].&amp;[" &amp; TEXT(X$6,"yyyymm")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Y79" s="8">
        <f>IFERROR(
GETPIVOTDATA(
"[Base].[Importe]",
TDinamica_R!$A$5,
"[Calendario].[AñoMes]",
"[Calendario].[AñoMes].&amp;[" &amp; TEXT(Y$6,"yyyymm")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Z79" s="8">
        <f>IFERROR(
GETPIVOTDATA(
"[Base].[Importe]",
TDinamica_R!$A$5,
"[Calendario].[AñoMes]",
"[Calendario].[AñoMes].&amp;[" &amp; TEXT(Z$6,"yyyymm")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A79" s="8">
        <f>IFERROR(
GETPIVOTDATA(
"[Base].[Importe]",
TDinamica_R!$A$5,
"[Calendario].[AñoMes]",
"[Calendario].[AñoMes].&amp;[" &amp; TEXT(AA$6,"yyyymm")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B79" s="8">
        <f>IFERROR(
GETPIVOTDATA(
"[Base].[Importe]",
TDinamica_R!$A$5,
"[Calendario].[AñoMes]",
"[Calendario].[AñoMes].&amp;[" &amp; TEXT(AB$6,"yyyymm")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C79" s="8">
        <f>IFERROR(
GETPIVOTDATA(
"[Base].[Importe]",
TDinamica_R!$A$5,
"[Calendario].[AñoMes]",
"[Calendario].[AñoMes].&amp;[" &amp; TEXT(AC$6,"yyyymm")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D79" s="8">
        <f>IFERROR(
GETPIVOTDATA(
"[Base].[Importe]",
TDinamica_R!$A$5,
"[Calendario].[AñoMes]",
"[Calendario].[AñoMes].&amp;[" &amp; TEXT(AD$6,"yyyymm")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E79" s="8">
        <f>IFERROR(
GETPIVOTDATA(
"[Base].[Importe]",
TDinamica_R!$A$5,
"[Calendario].[AñoMes]",
"[Calendario].[AñoMes].&amp;[" &amp; TEXT(AE$6,"yyyymm")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F79" s="8">
        <f>IFERROR(
GETPIVOTDATA(
"[Base].[Importe]",
TDinamica_R!$A$5,
"[Calendario].[AñoMes]",
"[Calendario].[AñoMes].&amp;[" &amp; TEXT(AF$6,"yyyymm")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G79" s="8">
        <f>IFERROR(
GETPIVOTDATA(
"[Base].[Importe]",
TDinamica_R!$A$5,
"[Calendario].[AñoMes]",
"[Calendario].[AñoMes].&amp;[" &amp; TEXT(AG$6,"yyyymm")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H79" s="8">
        <f>IFERROR(
GETPIVOTDATA(
"[Base].[Importe]",
TDinamica_R!$A$5,
"[Calendario].[AñoMes]",
"[Calendario].[AñoMes].&amp;[" &amp; TEXT(AH$6,"yyyymm")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I79" s="8">
        <f>IFERROR(
GETPIVOTDATA(
"[Base].[Importe]",
TDinamica_R!$A$5,
"[Calendario].[AñoMes]",
"[Calendario].[AñoMes].&amp;[" &amp; TEXT(AI$6,"yyyymm")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J79" s="8">
        <f>IFERROR(
GETPIVOTDATA(
"[Base].[Importe]",
TDinamica_R!$A$5,
"[Calendario].[AñoMes]",
"[Calendario].[AñoMes].&amp;[" &amp; TEXT(AJ$6,"yyyymm")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K79" s="8">
        <f>IFERROR(
GETPIVOTDATA(
"[Base].[Importe]",
TDinamica_R!$A$5,
"[Calendario].[AñoMes]",
"[Calendario].[AñoMes].&amp;[" &amp; TEXT(AK$6,"yyyymm")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L79" s="8">
        <f>IFERROR(
GETPIVOTDATA(
"[Base].[Importe]",
TDinamica_R!$A$5,
"[Calendario].[AñoMes]",
"[Calendario].[AñoMes].&amp;[" &amp; TEXT(AL$6,"yyyymm")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M79" s="8">
        <f>IFERROR(
GETPIVOTDATA(
"[Base].[Importe]",
TDinamica_R!$A$5,
"[Calendario].[AñoMes]",
"[Calendario].[AñoMes].&amp;[" &amp; TEXT(AM$6,"yyyymm")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N79" s="8">
        <f>IFERROR(
GETPIVOTDATA(
"[Base].[Importe]",
TDinamica_R!$A$5,
"[Calendario].[AñoMes]",
"[Calendario].[AñoMes].&amp;[" &amp; TEXT(AN$6,"yyyymm")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O79" s="8">
        <f>IFERROR(
GETPIVOTDATA(
"[Base].[Importe]",
TDinamica_R!$A$5,
"[Calendario].[AñoMes]",
"[Calendario].[AñoMes].&amp;[" &amp; TEXT(AO$6,"yyyymm")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P79" s="8">
        <f>IFERROR(
GETPIVOTDATA(
"[Base].[Importe]",
TDinamica_R!$A$5,
"[Calendario].[AñoMes]",
"[Calendario].[AñoMes].&amp;[" &amp; TEXT(AP$6,"yyyymm")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Q79" s="8">
        <f>IFERROR(
GETPIVOTDATA(
"[Base].[Importe]",
TDinamica_R!$A$5,
"[Calendario].[AñoMes]",
"[Calendario].[AñoMes].&amp;[" &amp; TEXT(AQ$6,"yyyymm")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R79" s="8">
        <f>IFERROR(
GETPIVOTDATA(
"[Base].[Importe]",
TDinamica_R!$A$5,
"[Calendario].[AñoMes]",
"[Calendario].[AñoMes].&amp;[" &amp; TEXT(AR$6,"yyyymm")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S79" s="8">
        <f>IFERROR(
GETPIVOTDATA(
"[Base].[Importe]",
TDinamica_R!$A$5,
"[Calendario].[AñoMes]",
"[Calendario].[AñoMes].&amp;[" &amp; TEXT(AS$6,"yyyymm")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T79" s="8">
        <f>IFERROR(
GETPIVOTDATA(
"[Base].[Importe]",
TDinamica_R!$A$5,
"[Calendario].[AñoMes]",
"[Calendario].[AñoMes].&amp;[" &amp; TEXT(AT$6,"yyyymm")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U79" s="8">
        <f>IFERROR(
GETPIVOTDATA(
"[Base].[Importe]",
TDinamica_R!$A$5,
"[Calendario].[AñoMes]",
"[Calendario].[AñoMes].&amp;[" &amp; TEXT(AU$6,"yyyymm")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V79" s="8">
        <f>IFERROR(
GETPIVOTDATA(
"[Base].[Importe]",
TDinamica_R!$A$5,
"[Calendario].[AñoMes]",
"[Calendario].[AñoMes].&amp;[" &amp; TEXT(AV$6,"yyyymm")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W79" s="8">
        <f>IFERROR(
GETPIVOTDATA(
"[Base].[Importe]",
TDinamica_R!$A$5,
"[Calendario].[AñoMes]",
"[Calendario].[AñoMes].&amp;[" &amp; TEXT(AW$6,"yyyymm")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X79" s="8">
        <f>IFERROR(
GETPIVOTDATA(
"[Base].[Importe]",
TDinamica_R!$A$5,
"[Calendario].[AñoMes]",
"[Calendario].[AñoMes].&amp;[" &amp; TEXT(AX$6,"yyyymm")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Y79" s="8">
        <f>IFERROR(
GETPIVOTDATA(
"[Base].[Importe]",
TDinamica_R!$A$5,
"[Calendario].[AñoMes]",
"[Calendario].[AñoMes].&amp;[" &amp; TEXT(AY$6,"yyyymm")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Z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TEXT(AZ$6,"yyyymm") &amp; "]"
),
0
)</f>
        <v>0</v>
      </c>
      <c r="BA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TEXT(BA$6,"yyyymm") &amp; "]"
),
0
)</f>
        <v>0</v>
      </c>
      <c r="BB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TEXT(BB$6,"yyyymm") &amp; "]"
),
0
)</f>
        <v>0</v>
      </c>
      <c r="BC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TEXT(BC$6,"yyyymm") &amp; "]"
),
0
)</f>
        <v>0</v>
      </c>
      <c r="BD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TEXT(BD$6,"yyyymm") &amp; "]"
),
0
)</f>
        <v>0</v>
      </c>
      <c r="BE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TEXT(BE$6,"yyyymm") &amp; "]"
),
0
)</f>
        <v>0</v>
      </c>
      <c r="BF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TEXT(BF$6,"yyyymm") &amp; "]"
),
0
)</f>
        <v>0</v>
      </c>
      <c r="BG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TEXT(BG$6,"yyyymm") &amp; "]"
),
0
)</f>
        <v>0</v>
      </c>
      <c r="BH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TEXT(BH$6,"yyyymm") &amp; "]"
),
0
)</f>
        <v>0</v>
      </c>
      <c r="BI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TEXT(BI$6,"yyyymm") &amp; "]"
),
0
)</f>
        <v>0</v>
      </c>
      <c r="BJ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TEXT(BJ$6,"yyyymm") &amp; "]"
),
0
)</f>
        <v>0</v>
      </c>
      <c r="BK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TEXT(BK$6,"yyyymm") &amp; "]"
),
0
)</f>
        <v>0</v>
      </c>
      <c r="BO79" s="24">
        <f t="shared" si="65"/>
        <v>0</v>
      </c>
      <c r="BP79" s="24">
        <f t="shared" si="65"/>
        <v>0</v>
      </c>
      <c r="BQ79" s="24">
        <f t="shared" si="65"/>
        <v>0</v>
      </c>
      <c r="BR79" s="24">
        <f t="shared" si="65"/>
        <v>0</v>
      </c>
      <c r="BS79" s="24">
        <f t="shared" si="65"/>
        <v>0</v>
      </c>
      <c r="BT79" s="24">
        <f t="shared" si="65"/>
        <v>0</v>
      </c>
    </row>
    <row r="80" spans="1:72" hidden="1" outlineLevel="1" x14ac:dyDescent="0.25">
      <c r="A80" s="11" t="s">
        <v>71</v>
      </c>
      <c r="C80" s="2"/>
      <c r="D80" s="8">
        <f>IFERROR(
GETPIVOTDATA(
"[Base].[Importe]",
TDinamica_R!$A$5,
"[Calendario].[AñoMes]",
"[Calendario].[AñoMes].&amp;[" &amp; TEXT(D$6,"yyyymm")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E80" s="8">
        <f>IFERROR(
GETPIVOTDATA(
"[Base].[Importe]",
TDinamica_R!$A$5,
"[Calendario].[AñoMes]",
"[Calendario].[AñoMes].&amp;[" &amp; TEXT(E$6,"yyyymm")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F80" s="8">
        <f>IFERROR(
GETPIVOTDATA(
"[Base].[Importe]",
TDinamica_R!$A$5,
"[Calendario].[AñoMes]",
"[Calendario].[AñoMes].&amp;[" &amp; TEXT(F$6,"yyyymm")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G80" s="8">
        <f>IFERROR(
GETPIVOTDATA(
"[Base].[Importe]",
TDinamica_R!$A$5,
"[Calendario].[AñoMes]",
"[Calendario].[AñoMes].&amp;[" &amp; TEXT(G$6,"yyyymm")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H80" s="8">
        <f>IFERROR(
GETPIVOTDATA(
"[Base].[Importe]",
TDinamica_R!$A$5,
"[Calendario].[AñoMes]",
"[Calendario].[AñoMes].&amp;[" &amp; TEXT(H$6,"yyyymm")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I80" s="8">
        <f>IFERROR(
GETPIVOTDATA(
"[Base].[Importe]",
TDinamica_R!$A$5,
"[Calendario].[AñoMes]",
"[Calendario].[AñoMes].&amp;[" &amp; TEXT(I$6,"yyyymm")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J80" s="8">
        <f>IFERROR(
GETPIVOTDATA(
"[Base].[Importe]",
TDinamica_R!$A$5,
"[Calendario].[AñoMes]",
"[Calendario].[AñoMes].&amp;[" &amp; TEXT(J$6,"yyyymm")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K80" s="8">
        <f>IFERROR(
GETPIVOTDATA(
"[Base].[Importe]",
TDinamica_R!$A$5,
"[Calendario].[AñoMes]",
"[Calendario].[AñoMes].&amp;[" &amp; TEXT(K$6,"yyyymm")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L80" s="8">
        <f>IFERROR(
GETPIVOTDATA(
"[Base].[Importe]",
TDinamica_R!$A$5,
"[Calendario].[AñoMes]",
"[Calendario].[AñoMes].&amp;[" &amp; TEXT(L$6,"yyyymm")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M80" s="8">
        <f>IFERROR(
GETPIVOTDATA(
"[Base].[Importe]",
TDinamica_R!$A$5,
"[Calendario].[AñoMes]",
"[Calendario].[AñoMes].&amp;[" &amp; TEXT(M$6,"yyyymm")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N80" s="8">
        <f>IFERROR(
GETPIVOTDATA(
"[Base].[Importe]",
TDinamica_R!$A$5,
"[Calendario].[AñoMes]",
"[Calendario].[AñoMes].&amp;[" &amp; TEXT(N$6,"yyyymm")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O80" s="8">
        <f>IFERROR(
GETPIVOTDATA(
"[Base].[Importe]",
TDinamica_R!$A$5,
"[Calendario].[AñoMes]",
"[Calendario].[AñoMes].&amp;[" &amp; TEXT(O$6,"yyyymm")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P80" s="8">
        <f>IFERROR(
GETPIVOTDATA(
"[Base].[Importe]",
TDinamica_R!$A$5,
"[Calendario].[AñoMes]",
"[Calendario].[AñoMes].&amp;[" &amp; TEXT(P$6,"yyyymm")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Q80" s="8">
        <f>IFERROR(
GETPIVOTDATA(
"[Base].[Importe]",
TDinamica_R!$A$5,
"[Calendario].[AñoMes]",
"[Calendario].[AñoMes].&amp;[" &amp; TEXT(Q$6,"yyyymm")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R80" s="8">
        <f>IFERROR(
GETPIVOTDATA(
"[Base].[Importe]",
TDinamica_R!$A$5,
"[Calendario].[AñoMes]",
"[Calendario].[AñoMes].&amp;[" &amp; TEXT(R$6,"yyyymm")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S80" s="8">
        <f>IFERROR(
GETPIVOTDATA(
"[Base].[Importe]",
TDinamica_R!$A$5,
"[Calendario].[AñoMes]",
"[Calendario].[AñoMes].&amp;[" &amp; TEXT(S$6,"yyyymm")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T80" s="8">
        <f>IFERROR(
GETPIVOTDATA(
"[Base].[Importe]",
TDinamica_R!$A$5,
"[Calendario].[AñoMes]",
"[Calendario].[AñoMes].&amp;[" &amp; TEXT(T$6,"yyyymm")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U80" s="8">
        <f>IFERROR(
GETPIVOTDATA(
"[Base].[Importe]",
TDinamica_R!$A$5,
"[Calendario].[AñoMes]",
"[Calendario].[AñoMes].&amp;[" &amp; TEXT(U$6,"yyyymm")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V80" s="8">
        <f>IFERROR(
GETPIVOTDATA(
"[Base].[Importe]",
TDinamica_R!$A$5,
"[Calendario].[AñoMes]",
"[Calendario].[AñoMes].&amp;[" &amp; TEXT(V$6,"yyyymm")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W80" s="8">
        <f>IFERROR(
GETPIVOTDATA(
"[Base].[Importe]",
TDinamica_R!$A$5,
"[Calendario].[AñoMes]",
"[Calendario].[AñoMes].&amp;[" &amp; TEXT(W$6,"yyyymm")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X80" s="8">
        <f>IFERROR(
GETPIVOTDATA(
"[Base].[Importe]",
TDinamica_R!$A$5,
"[Calendario].[AñoMes]",
"[Calendario].[AñoMes].&amp;[" &amp; TEXT(X$6,"yyyymm")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Y80" s="8">
        <f>IFERROR(
GETPIVOTDATA(
"[Base].[Importe]",
TDinamica_R!$A$5,
"[Calendario].[AñoMes]",
"[Calendario].[AñoMes].&amp;[" &amp; TEXT(Y$6,"yyyymm")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Z80" s="8">
        <f>IFERROR(
GETPIVOTDATA(
"[Base].[Importe]",
TDinamica_R!$A$5,
"[Calendario].[AñoMes]",
"[Calendario].[AñoMes].&amp;[" &amp; TEXT(Z$6,"yyyymm")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A80" s="8">
        <f>IFERROR(
GETPIVOTDATA(
"[Base].[Importe]",
TDinamica_R!$A$5,
"[Calendario].[AñoMes]",
"[Calendario].[AñoMes].&amp;[" &amp; TEXT(AA$6,"yyyymm")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B80" s="8">
        <f>IFERROR(
GETPIVOTDATA(
"[Base].[Importe]",
TDinamica_R!$A$5,
"[Calendario].[AñoMes]",
"[Calendario].[AñoMes].&amp;[" &amp; TEXT(AB$6,"yyyymm")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C80" s="8">
        <f>IFERROR(
GETPIVOTDATA(
"[Base].[Importe]",
TDinamica_R!$A$5,
"[Calendario].[AñoMes]",
"[Calendario].[AñoMes].&amp;[" &amp; TEXT(AC$6,"yyyymm")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D80" s="8">
        <f>IFERROR(
GETPIVOTDATA(
"[Base].[Importe]",
TDinamica_R!$A$5,
"[Calendario].[AñoMes]",
"[Calendario].[AñoMes].&amp;[" &amp; TEXT(AD$6,"yyyymm")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E80" s="8">
        <f>IFERROR(
GETPIVOTDATA(
"[Base].[Importe]",
TDinamica_R!$A$5,
"[Calendario].[AñoMes]",
"[Calendario].[AñoMes].&amp;[" &amp; TEXT(AE$6,"yyyymm")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F80" s="8">
        <f>IFERROR(
GETPIVOTDATA(
"[Base].[Importe]",
TDinamica_R!$A$5,
"[Calendario].[AñoMes]",
"[Calendario].[AñoMes].&amp;[" &amp; TEXT(AF$6,"yyyymm")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G80" s="8">
        <f>IFERROR(
GETPIVOTDATA(
"[Base].[Importe]",
TDinamica_R!$A$5,
"[Calendario].[AñoMes]",
"[Calendario].[AñoMes].&amp;[" &amp; TEXT(AG$6,"yyyymm")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H80" s="8">
        <f>IFERROR(
GETPIVOTDATA(
"[Base].[Importe]",
TDinamica_R!$A$5,
"[Calendario].[AñoMes]",
"[Calendario].[AñoMes].&amp;[" &amp; TEXT(AH$6,"yyyymm")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I80" s="8">
        <f>IFERROR(
GETPIVOTDATA(
"[Base].[Importe]",
TDinamica_R!$A$5,
"[Calendario].[AñoMes]",
"[Calendario].[AñoMes].&amp;[" &amp; TEXT(AI$6,"yyyymm")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J80" s="8">
        <f>IFERROR(
GETPIVOTDATA(
"[Base].[Importe]",
TDinamica_R!$A$5,
"[Calendario].[AñoMes]",
"[Calendario].[AñoMes].&amp;[" &amp; TEXT(AJ$6,"yyyymm")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K80" s="8">
        <f>IFERROR(
GETPIVOTDATA(
"[Base].[Importe]",
TDinamica_R!$A$5,
"[Calendario].[AñoMes]",
"[Calendario].[AñoMes].&amp;[" &amp; TEXT(AK$6,"yyyymm")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L80" s="8">
        <f>IFERROR(
GETPIVOTDATA(
"[Base].[Importe]",
TDinamica_R!$A$5,
"[Calendario].[AñoMes]",
"[Calendario].[AñoMes].&amp;[" &amp; TEXT(AL$6,"yyyymm")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M80" s="8">
        <f>IFERROR(
GETPIVOTDATA(
"[Base].[Importe]",
TDinamica_R!$A$5,
"[Calendario].[AñoMes]",
"[Calendario].[AñoMes].&amp;[" &amp; TEXT(AM$6,"yyyymm")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N80" s="8">
        <f>IFERROR(
GETPIVOTDATA(
"[Base].[Importe]",
TDinamica_R!$A$5,
"[Calendario].[AñoMes]",
"[Calendario].[AñoMes].&amp;[" &amp; TEXT(AN$6,"yyyymm")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O80" s="8">
        <f>IFERROR(
GETPIVOTDATA(
"[Base].[Importe]",
TDinamica_R!$A$5,
"[Calendario].[AñoMes]",
"[Calendario].[AñoMes].&amp;[" &amp; TEXT(AO$6,"yyyymm")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P80" s="8">
        <f>IFERROR(
GETPIVOTDATA(
"[Base].[Importe]",
TDinamica_R!$A$5,
"[Calendario].[AñoMes]",
"[Calendario].[AñoMes].&amp;[" &amp; TEXT(AP$6,"yyyymm")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Q80" s="8">
        <f>IFERROR(
GETPIVOTDATA(
"[Base].[Importe]",
TDinamica_R!$A$5,
"[Calendario].[AñoMes]",
"[Calendario].[AñoMes].&amp;[" &amp; TEXT(AQ$6,"yyyymm")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R80" s="8">
        <f>IFERROR(
GETPIVOTDATA(
"[Base].[Importe]",
TDinamica_R!$A$5,
"[Calendario].[AñoMes]",
"[Calendario].[AñoMes].&amp;[" &amp; TEXT(AR$6,"yyyymm")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S80" s="8">
        <f>IFERROR(
GETPIVOTDATA(
"[Base].[Importe]",
TDinamica_R!$A$5,
"[Calendario].[AñoMes]",
"[Calendario].[AñoMes].&amp;[" &amp; TEXT(AS$6,"yyyymm")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T80" s="8">
        <f>IFERROR(
GETPIVOTDATA(
"[Base].[Importe]",
TDinamica_R!$A$5,
"[Calendario].[AñoMes]",
"[Calendario].[AñoMes].&amp;[" &amp; TEXT(AT$6,"yyyymm")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U80" s="8">
        <f>IFERROR(
GETPIVOTDATA(
"[Base].[Importe]",
TDinamica_R!$A$5,
"[Calendario].[AñoMes]",
"[Calendario].[AñoMes].&amp;[" &amp; TEXT(AU$6,"yyyymm")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V80" s="8">
        <f>IFERROR(
GETPIVOTDATA(
"[Base].[Importe]",
TDinamica_R!$A$5,
"[Calendario].[AñoMes]",
"[Calendario].[AñoMes].&amp;[" &amp; TEXT(AV$6,"yyyymm")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W80" s="8">
        <f>IFERROR(
GETPIVOTDATA(
"[Base].[Importe]",
TDinamica_R!$A$5,
"[Calendario].[AñoMes]",
"[Calendario].[AñoMes].&amp;[" &amp; TEXT(AW$6,"yyyymm")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X80" s="8">
        <f>IFERROR(
GETPIVOTDATA(
"[Base].[Importe]",
TDinamica_R!$A$5,
"[Calendario].[AñoMes]",
"[Calendario].[AñoMes].&amp;[" &amp; TEXT(AX$6,"yyyymm")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Y80" s="8">
        <f>IFERROR(
GETPIVOTDATA(
"[Base].[Importe]",
TDinamica_R!$A$5,
"[Calendario].[AñoMes]",
"[Calendario].[AñoMes].&amp;[" &amp; TEXT(AY$6,"yyyymm")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Z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TEXT(AZ$6,"yyyymm") &amp; "]"
),
0
)</f>
        <v>0</v>
      </c>
      <c r="BA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TEXT(BA$6,"yyyymm") &amp; "]"
),
0
)</f>
        <v>0</v>
      </c>
      <c r="BB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TEXT(BB$6,"yyyymm") &amp; "]"
),
0
)</f>
        <v>0</v>
      </c>
      <c r="BC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TEXT(BC$6,"yyyymm") &amp; "]"
),
0
)</f>
        <v>0</v>
      </c>
      <c r="BD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TEXT(BD$6,"yyyymm") &amp; "]"
),
0
)</f>
        <v>0</v>
      </c>
      <c r="BE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TEXT(BE$6,"yyyymm") &amp; "]"
),
0
)</f>
        <v>0</v>
      </c>
      <c r="BF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TEXT(BF$6,"yyyymm") &amp; "]"
),
0
)</f>
        <v>0</v>
      </c>
      <c r="BG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TEXT(BG$6,"yyyymm") &amp; "]"
),
0
)</f>
        <v>0</v>
      </c>
      <c r="BH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TEXT(BH$6,"yyyymm") &amp; "]"
),
0
)</f>
        <v>0</v>
      </c>
      <c r="BI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TEXT(BI$6,"yyyymm") &amp; "]"
),
0
)</f>
        <v>0</v>
      </c>
      <c r="BJ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TEXT(BJ$6,"yyyymm") &amp; "]"
),
0
)</f>
        <v>0</v>
      </c>
      <c r="BK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TEXT(BK$6,"yyyymm") &amp; "]"
),
0
)</f>
        <v>0</v>
      </c>
      <c r="BO80" s="24">
        <f t="shared" si="65"/>
        <v>0</v>
      </c>
      <c r="BP80" s="24">
        <f t="shared" si="65"/>
        <v>0</v>
      </c>
      <c r="BQ80" s="24">
        <f t="shared" si="65"/>
        <v>0</v>
      </c>
      <c r="BR80" s="24">
        <f t="shared" si="65"/>
        <v>0</v>
      </c>
      <c r="BS80" s="24">
        <f t="shared" si="65"/>
        <v>0</v>
      </c>
      <c r="BT80" s="24">
        <f t="shared" si="65"/>
        <v>0</v>
      </c>
    </row>
    <row r="81" spans="1:72" hidden="1" outlineLevel="1" x14ac:dyDescent="0.25">
      <c r="A81" s="11" t="s">
        <v>71</v>
      </c>
      <c r="C81" s="2"/>
      <c r="D81" s="8">
        <f>IFERROR(
GETPIVOTDATA(
"[Base].[Importe]",
TDinamica_R!$A$5,
"[Calendario].[AñoMes]",
"[Calendario].[AñoMes].&amp;[" &amp; TEXT(D$6,"yyyymm")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E81" s="8">
        <f>IFERROR(
GETPIVOTDATA(
"[Base].[Importe]",
TDinamica_R!$A$5,
"[Calendario].[AñoMes]",
"[Calendario].[AñoMes].&amp;[" &amp; TEXT(E$6,"yyyymm")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F81" s="8">
        <f>IFERROR(
GETPIVOTDATA(
"[Base].[Importe]",
TDinamica_R!$A$5,
"[Calendario].[AñoMes]",
"[Calendario].[AñoMes].&amp;[" &amp; TEXT(F$6,"yyyymm")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G81" s="8">
        <f>IFERROR(
GETPIVOTDATA(
"[Base].[Importe]",
TDinamica_R!$A$5,
"[Calendario].[AñoMes]",
"[Calendario].[AñoMes].&amp;[" &amp; TEXT(G$6,"yyyymm")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H81" s="8">
        <f>IFERROR(
GETPIVOTDATA(
"[Base].[Importe]",
TDinamica_R!$A$5,
"[Calendario].[AñoMes]",
"[Calendario].[AñoMes].&amp;[" &amp; TEXT(H$6,"yyyymm")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I81" s="8">
        <f>IFERROR(
GETPIVOTDATA(
"[Base].[Importe]",
TDinamica_R!$A$5,
"[Calendario].[AñoMes]",
"[Calendario].[AñoMes].&amp;[" &amp; TEXT(I$6,"yyyymm")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J81" s="8">
        <f>IFERROR(
GETPIVOTDATA(
"[Base].[Importe]",
TDinamica_R!$A$5,
"[Calendario].[AñoMes]",
"[Calendario].[AñoMes].&amp;[" &amp; TEXT(J$6,"yyyymm")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K81" s="8">
        <f>IFERROR(
GETPIVOTDATA(
"[Base].[Importe]",
TDinamica_R!$A$5,
"[Calendario].[AñoMes]",
"[Calendario].[AñoMes].&amp;[" &amp; TEXT(K$6,"yyyymm")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L81" s="8">
        <f>IFERROR(
GETPIVOTDATA(
"[Base].[Importe]",
TDinamica_R!$A$5,
"[Calendario].[AñoMes]",
"[Calendario].[AñoMes].&amp;[" &amp; TEXT(L$6,"yyyymm")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M81" s="8">
        <f>IFERROR(
GETPIVOTDATA(
"[Base].[Importe]",
TDinamica_R!$A$5,
"[Calendario].[AñoMes]",
"[Calendario].[AñoMes].&amp;[" &amp; TEXT(M$6,"yyyymm")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N81" s="8">
        <f>IFERROR(
GETPIVOTDATA(
"[Base].[Importe]",
TDinamica_R!$A$5,
"[Calendario].[AñoMes]",
"[Calendario].[AñoMes].&amp;[" &amp; TEXT(N$6,"yyyymm")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O81" s="8">
        <f>IFERROR(
GETPIVOTDATA(
"[Base].[Importe]",
TDinamica_R!$A$5,
"[Calendario].[AñoMes]",
"[Calendario].[AñoMes].&amp;[" &amp; TEXT(O$6,"yyyymm")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P81" s="8">
        <f>IFERROR(
GETPIVOTDATA(
"[Base].[Importe]",
TDinamica_R!$A$5,
"[Calendario].[AñoMes]",
"[Calendario].[AñoMes].&amp;[" &amp; TEXT(P$6,"yyyymm")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Q81" s="8">
        <f>IFERROR(
GETPIVOTDATA(
"[Base].[Importe]",
TDinamica_R!$A$5,
"[Calendario].[AñoMes]",
"[Calendario].[AñoMes].&amp;[" &amp; TEXT(Q$6,"yyyymm")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R81" s="8">
        <f>IFERROR(
GETPIVOTDATA(
"[Base].[Importe]",
TDinamica_R!$A$5,
"[Calendario].[AñoMes]",
"[Calendario].[AñoMes].&amp;[" &amp; TEXT(R$6,"yyyymm")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S81" s="8">
        <f>IFERROR(
GETPIVOTDATA(
"[Base].[Importe]",
TDinamica_R!$A$5,
"[Calendario].[AñoMes]",
"[Calendario].[AñoMes].&amp;[" &amp; TEXT(S$6,"yyyymm")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T81" s="8">
        <f>IFERROR(
GETPIVOTDATA(
"[Base].[Importe]",
TDinamica_R!$A$5,
"[Calendario].[AñoMes]",
"[Calendario].[AñoMes].&amp;[" &amp; TEXT(T$6,"yyyymm")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U81" s="8">
        <f>IFERROR(
GETPIVOTDATA(
"[Base].[Importe]",
TDinamica_R!$A$5,
"[Calendario].[AñoMes]",
"[Calendario].[AñoMes].&amp;[" &amp; TEXT(U$6,"yyyymm")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V81" s="8">
        <f>IFERROR(
GETPIVOTDATA(
"[Base].[Importe]",
TDinamica_R!$A$5,
"[Calendario].[AñoMes]",
"[Calendario].[AñoMes].&amp;[" &amp; TEXT(V$6,"yyyymm")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W81" s="8">
        <f>IFERROR(
GETPIVOTDATA(
"[Base].[Importe]",
TDinamica_R!$A$5,
"[Calendario].[AñoMes]",
"[Calendario].[AñoMes].&amp;[" &amp; TEXT(W$6,"yyyymm")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X81" s="8">
        <f>IFERROR(
GETPIVOTDATA(
"[Base].[Importe]",
TDinamica_R!$A$5,
"[Calendario].[AñoMes]",
"[Calendario].[AñoMes].&amp;[" &amp; TEXT(X$6,"yyyymm")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Y81" s="8">
        <f>IFERROR(
GETPIVOTDATA(
"[Base].[Importe]",
TDinamica_R!$A$5,
"[Calendario].[AñoMes]",
"[Calendario].[AñoMes].&amp;[" &amp; TEXT(Y$6,"yyyymm")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Z81" s="8">
        <f>IFERROR(
GETPIVOTDATA(
"[Base].[Importe]",
TDinamica_R!$A$5,
"[Calendario].[AñoMes]",
"[Calendario].[AñoMes].&amp;[" &amp; TEXT(Z$6,"yyyymm")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A81" s="8">
        <f>IFERROR(
GETPIVOTDATA(
"[Base].[Importe]",
TDinamica_R!$A$5,
"[Calendario].[AñoMes]",
"[Calendario].[AñoMes].&amp;[" &amp; TEXT(AA$6,"yyyymm")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B81" s="8">
        <f>IFERROR(
GETPIVOTDATA(
"[Base].[Importe]",
TDinamica_R!$A$5,
"[Calendario].[AñoMes]",
"[Calendario].[AñoMes].&amp;[" &amp; TEXT(AB$6,"yyyymm")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C81" s="8">
        <f>IFERROR(
GETPIVOTDATA(
"[Base].[Importe]",
TDinamica_R!$A$5,
"[Calendario].[AñoMes]",
"[Calendario].[AñoMes].&amp;[" &amp; TEXT(AC$6,"yyyymm")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D81" s="8">
        <f>IFERROR(
GETPIVOTDATA(
"[Base].[Importe]",
TDinamica_R!$A$5,
"[Calendario].[AñoMes]",
"[Calendario].[AñoMes].&amp;[" &amp; TEXT(AD$6,"yyyymm")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E81" s="8">
        <f>IFERROR(
GETPIVOTDATA(
"[Base].[Importe]",
TDinamica_R!$A$5,
"[Calendario].[AñoMes]",
"[Calendario].[AñoMes].&amp;[" &amp; TEXT(AE$6,"yyyymm")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F81" s="8">
        <f>IFERROR(
GETPIVOTDATA(
"[Base].[Importe]",
TDinamica_R!$A$5,
"[Calendario].[AñoMes]",
"[Calendario].[AñoMes].&amp;[" &amp; TEXT(AF$6,"yyyymm")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G81" s="8">
        <f>IFERROR(
GETPIVOTDATA(
"[Base].[Importe]",
TDinamica_R!$A$5,
"[Calendario].[AñoMes]",
"[Calendario].[AñoMes].&amp;[" &amp; TEXT(AG$6,"yyyymm")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H81" s="8">
        <f>IFERROR(
GETPIVOTDATA(
"[Base].[Importe]",
TDinamica_R!$A$5,
"[Calendario].[AñoMes]",
"[Calendario].[AñoMes].&amp;[" &amp; TEXT(AH$6,"yyyymm")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I81" s="8">
        <f>IFERROR(
GETPIVOTDATA(
"[Base].[Importe]",
TDinamica_R!$A$5,
"[Calendario].[AñoMes]",
"[Calendario].[AñoMes].&amp;[" &amp; TEXT(AI$6,"yyyymm")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J81" s="8">
        <f>IFERROR(
GETPIVOTDATA(
"[Base].[Importe]",
TDinamica_R!$A$5,
"[Calendario].[AñoMes]",
"[Calendario].[AñoMes].&amp;[" &amp; TEXT(AJ$6,"yyyymm")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K81" s="8">
        <f>IFERROR(
GETPIVOTDATA(
"[Base].[Importe]",
TDinamica_R!$A$5,
"[Calendario].[AñoMes]",
"[Calendario].[AñoMes].&amp;[" &amp; TEXT(AK$6,"yyyymm")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L81" s="8">
        <f>IFERROR(
GETPIVOTDATA(
"[Base].[Importe]",
TDinamica_R!$A$5,
"[Calendario].[AñoMes]",
"[Calendario].[AñoMes].&amp;[" &amp; TEXT(AL$6,"yyyymm")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M81" s="8">
        <f>IFERROR(
GETPIVOTDATA(
"[Base].[Importe]",
TDinamica_R!$A$5,
"[Calendario].[AñoMes]",
"[Calendario].[AñoMes].&amp;[" &amp; TEXT(AM$6,"yyyymm")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N81" s="8">
        <f>IFERROR(
GETPIVOTDATA(
"[Base].[Importe]",
TDinamica_R!$A$5,
"[Calendario].[AñoMes]",
"[Calendario].[AñoMes].&amp;[" &amp; TEXT(AN$6,"yyyymm")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O81" s="8">
        <f>IFERROR(
GETPIVOTDATA(
"[Base].[Importe]",
TDinamica_R!$A$5,
"[Calendario].[AñoMes]",
"[Calendario].[AñoMes].&amp;[" &amp; TEXT(AO$6,"yyyymm")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P81" s="8">
        <f>IFERROR(
GETPIVOTDATA(
"[Base].[Importe]",
TDinamica_R!$A$5,
"[Calendario].[AñoMes]",
"[Calendario].[AñoMes].&amp;[" &amp; TEXT(AP$6,"yyyymm")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Q81" s="8">
        <f>IFERROR(
GETPIVOTDATA(
"[Base].[Importe]",
TDinamica_R!$A$5,
"[Calendario].[AñoMes]",
"[Calendario].[AñoMes].&amp;[" &amp; TEXT(AQ$6,"yyyymm")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R81" s="8">
        <f>IFERROR(
GETPIVOTDATA(
"[Base].[Importe]",
TDinamica_R!$A$5,
"[Calendario].[AñoMes]",
"[Calendario].[AñoMes].&amp;[" &amp; TEXT(AR$6,"yyyymm")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S81" s="8">
        <f>IFERROR(
GETPIVOTDATA(
"[Base].[Importe]",
TDinamica_R!$A$5,
"[Calendario].[AñoMes]",
"[Calendario].[AñoMes].&amp;[" &amp; TEXT(AS$6,"yyyymm")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T81" s="8">
        <f>IFERROR(
GETPIVOTDATA(
"[Base].[Importe]",
TDinamica_R!$A$5,
"[Calendario].[AñoMes]",
"[Calendario].[AñoMes].&amp;[" &amp; TEXT(AT$6,"yyyymm")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U81" s="8">
        <f>IFERROR(
GETPIVOTDATA(
"[Base].[Importe]",
TDinamica_R!$A$5,
"[Calendario].[AñoMes]",
"[Calendario].[AñoMes].&amp;[" &amp; TEXT(AU$6,"yyyymm")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V81" s="8">
        <f>IFERROR(
GETPIVOTDATA(
"[Base].[Importe]",
TDinamica_R!$A$5,
"[Calendario].[AñoMes]",
"[Calendario].[AñoMes].&amp;[" &amp; TEXT(AV$6,"yyyymm")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W81" s="8">
        <f>IFERROR(
GETPIVOTDATA(
"[Base].[Importe]",
TDinamica_R!$A$5,
"[Calendario].[AñoMes]",
"[Calendario].[AñoMes].&amp;[" &amp; TEXT(AW$6,"yyyymm")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X81" s="8">
        <f>IFERROR(
GETPIVOTDATA(
"[Base].[Importe]",
TDinamica_R!$A$5,
"[Calendario].[AñoMes]",
"[Calendario].[AñoMes].&amp;[" &amp; TEXT(AX$6,"yyyymm")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Y81" s="8">
        <f>IFERROR(
GETPIVOTDATA(
"[Base].[Importe]",
TDinamica_R!$A$5,
"[Calendario].[AñoMes]",
"[Calendario].[AñoMes].&amp;[" &amp; TEXT(AY$6,"yyyymm")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Z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TEXT(AZ$6,"yyyymm") &amp; "]"
),
0
)</f>
        <v>0</v>
      </c>
      <c r="BA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TEXT(BA$6,"yyyymm") &amp; "]"
),
0
)</f>
        <v>0</v>
      </c>
      <c r="BB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TEXT(BB$6,"yyyymm") &amp; "]"
),
0
)</f>
        <v>0</v>
      </c>
      <c r="BC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TEXT(BC$6,"yyyymm") &amp; "]"
),
0
)</f>
        <v>0</v>
      </c>
      <c r="BD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TEXT(BD$6,"yyyymm") &amp; "]"
),
0
)</f>
        <v>0</v>
      </c>
      <c r="BE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TEXT(BE$6,"yyyymm") &amp; "]"
),
0
)</f>
        <v>0</v>
      </c>
      <c r="BF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TEXT(BF$6,"yyyymm") &amp; "]"
),
0
)</f>
        <v>0</v>
      </c>
      <c r="BG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TEXT(BG$6,"yyyymm") &amp; "]"
),
0
)</f>
        <v>0</v>
      </c>
      <c r="BH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TEXT(BH$6,"yyyymm") &amp; "]"
),
0
)</f>
        <v>0</v>
      </c>
      <c r="BI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TEXT(BI$6,"yyyymm") &amp; "]"
),
0
)</f>
        <v>0</v>
      </c>
      <c r="BJ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TEXT(BJ$6,"yyyymm") &amp; "]"
),
0
)</f>
        <v>0</v>
      </c>
      <c r="BK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TEXT(BK$6,"yyyymm") &amp; "]"
),
0
)</f>
        <v>0</v>
      </c>
      <c r="BO81" s="24">
        <f t="shared" si="65"/>
        <v>0</v>
      </c>
      <c r="BP81" s="24">
        <f t="shared" si="65"/>
        <v>0</v>
      </c>
      <c r="BQ81" s="24">
        <f t="shared" si="65"/>
        <v>0</v>
      </c>
      <c r="BR81" s="24">
        <f t="shared" si="65"/>
        <v>0</v>
      </c>
      <c r="BS81" s="24">
        <f t="shared" si="65"/>
        <v>0</v>
      </c>
      <c r="BT81" s="24">
        <f t="shared" si="65"/>
        <v>0</v>
      </c>
    </row>
    <row r="82" spans="1:72" hidden="1" outlineLevel="1" x14ac:dyDescent="0.25">
      <c r="A82" s="11" t="s">
        <v>71</v>
      </c>
      <c r="C82" s="2"/>
      <c r="D82" s="8">
        <f>IFERROR(
GETPIVOTDATA(
"[Base].[Importe]",
TDinamica_R!$A$5,
"[Calendario].[AñoMes]",
"[Calendario].[AñoMes].&amp;[" &amp; TEXT(D$6,"yyyymm")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E82" s="8">
        <f>IFERROR(
GETPIVOTDATA(
"[Base].[Importe]",
TDinamica_R!$A$5,
"[Calendario].[AñoMes]",
"[Calendario].[AñoMes].&amp;[" &amp; TEXT(E$6,"yyyymm")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F82" s="8">
        <f>IFERROR(
GETPIVOTDATA(
"[Base].[Importe]",
TDinamica_R!$A$5,
"[Calendario].[AñoMes]",
"[Calendario].[AñoMes].&amp;[" &amp; TEXT(F$6,"yyyymm")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G82" s="8">
        <f>IFERROR(
GETPIVOTDATA(
"[Base].[Importe]",
TDinamica_R!$A$5,
"[Calendario].[AñoMes]",
"[Calendario].[AñoMes].&amp;[" &amp; TEXT(G$6,"yyyymm")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H82" s="8">
        <f>IFERROR(
GETPIVOTDATA(
"[Base].[Importe]",
TDinamica_R!$A$5,
"[Calendario].[AñoMes]",
"[Calendario].[AñoMes].&amp;[" &amp; TEXT(H$6,"yyyymm")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I82" s="8">
        <f>IFERROR(
GETPIVOTDATA(
"[Base].[Importe]",
TDinamica_R!$A$5,
"[Calendario].[AñoMes]",
"[Calendario].[AñoMes].&amp;[" &amp; TEXT(I$6,"yyyymm")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J82" s="8">
        <f>IFERROR(
GETPIVOTDATA(
"[Base].[Importe]",
TDinamica_R!$A$5,
"[Calendario].[AñoMes]",
"[Calendario].[AñoMes].&amp;[" &amp; TEXT(J$6,"yyyymm")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K82" s="8">
        <f>IFERROR(
GETPIVOTDATA(
"[Base].[Importe]",
TDinamica_R!$A$5,
"[Calendario].[AñoMes]",
"[Calendario].[AñoMes].&amp;[" &amp; TEXT(K$6,"yyyymm")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L82" s="8">
        <f>IFERROR(
GETPIVOTDATA(
"[Base].[Importe]",
TDinamica_R!$A$5,
"[Calendario].[AñoMes]",
"[Calendario].[AñoMes].&amp;[" &amp; TEXT(L$6,"yyyymm")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M82" s="8">
        <f>IFERROR(
GETPIVOTDATA(
"[Base].[Importe]",
TDinamica_R!$A$5,
"[Calendario].[AñoMes]",
"[Calendario].[AñoMes].&amp;[" &amp; TEXT(M$6,"yyyymm")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N82" s="8">
        <f>IFERROR(
GETPIVOTDATA(
"[Base].[Importe]",
TDinamica_R!$A$5,
"[Calendario].[AñoMes]",
"[Calendario].[AñoMes].&amp;[" &amp; TEXT(N$6,"yyyymm")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O82" s="8">
        <f>IFERROR(
GETPIVOTDATA(
"[Base].[Importe]",
TDinamica_R!$A$5,
"[Calendario].[AñoMes]",
"[Calendario].[AñoMes].&amp;[" &amp; TEXT(O$6,"yyyymm")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P82" s="8">
        <f>IFERROR(
GETPIVOTDATA(
"[Base].[Importe]",
TDinamica_R!$A$5,
"[Calendario].[AñoMes]",
"[Calendario].[AñoMes].&amp;[" &amp; TEXT(P$6,"yyyymm")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Q82" s="8">
        <f>IFERROR(
GETPIVOTDATA(
"[Base].[Importe]",
TDinamica_R!$A$5,
"[Calendario].[AñoMes]",
"[Calendario].[AñoMes].&amp;[" &amp; TEXT(Q$6,"yyyymm")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R82" s="8">
        <f>IFERROR(
GETPIVOTDATA(
"[Base].[Importe]",
TDinamica_R!$A$5,
"[Calendario].[AñoMes]",
"[Calendario].[AñoMes].&amp;[" &amp; TEXT(R$6,"yyyymm")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S82" s="8">
        <f>IFERROR(
GETPIVOTDATA(
"[Base].[Importe]",
TDinamica_R!$A$5,
"[Calendario].[AñoMes]",
"[Calendario].[AñoMes].&amp;[" &amp; TEXT(S$6,"yyyymm")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T82" s="8">
        <f>IFERROR(
GETPIVOTDATA(
"[Base].[Importe]",
TDinamica_R!$A$5,
"[Calendario].[AñoMes]",
"[Calendario].[AñoMes].&amp;[" &amp; TEXT(T$6,"yyyymm")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U82" s="8">
        <f>IFERROR(
GETPIVOTDATA(
"[Base].[Importe]",
TDinamica_R!$A$5,
"[Calendario].[AñoMes]",
"[Calendario].[AñoMes].&amp;[" &amp; TEXT(U$6,"yyyymm")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V82" s="8">
        <f>IFERROR(
GETPIVOTDATA(
"[Base].[Importe]",
TDinamica_R!$A$5,
"[Calendario].[AñoMes]",
"[Calendario].[AñoMes].&amp;[" &amp; TEXT(V$6,"yyyymm")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W82" s="8">
        <f>IFERROR(
GETPIVOTDATA(
"[Base].[Importe]",
TDinamica_R!$A$5,
"[Calendario].[AñoMes]",
"[Calendario].[AñoMes].&amp;[" &amp; TEXT(W$6,"yyyymm")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X82" s="8">
        <f>IFERROR(
GETPIVOTDATA(
"[Base].[Importe]",
TDinamica_R!$A$5,
"[Calendario].[AñoMes]",
"[Calendario].[AñoMes].&amp;[" &amp; TEXT(X$6,"yyyymm")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Y82" s="8">
        <f>IFERROR(
GETPIVOTDATA(
"[Base].[Importe]",
TDinamica_R!$A$5,
"[Calendario].[AñoMes]",
"[Calendario].[AñoMes].&amp;[" &amp; TEXT(Y$6,"yyyymm")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Z82" s="8">
        <f>IFERROR(
GETPIVOTDATA(
"[Base].[Importe]",
TDinamica_R!$A$5,
"[Calendario].[AñoMes]",
"[Calendario].[AñoMes].&amp;[" &amp; TEXT(Z$6,"yyyymm")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A82" s="8">
        <f>IFERROR(
GETPIVOTDATA(
"[Base].[Importe]",
TDinamica_R!$A$5,
"[Calendario].[AñoMes]",
"[Calendario].[AñoMes].&amp;[" &amp; TEXT(AA$6,"yyyymm")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B82" s="8">
        <f>IFERROR(
GETPIVOTDATA(
"[Base].[Importe]",
TDinamica_R!$A$5,
"[Calendario].[AñoMes]",
"[Calendario].[AñoMes].&amp;[" &amp; TEXT(AB$6,"yyyymm")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C82" s="8">
        <f>IFERROR(
GETPIVOTDATA(
"[Base].[Importe]",
TDinamica_R!$A$5,
"[Calendario].[AñoMes]",
"[Calendario].[AñoMes].&amp;[" &amp; TEXT(AC$6,"yyyymm")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D82" s="8">
        <f>IFERROR(
GETPIVOTDATA(
"[Base].[Importe]",
TDinamica_R!$A$5,
"[Calendario].[AñoMes]",
"[Calendario].[AñoMes].&amp;[" &amp; TEXT(AD$6,"yyyymm")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E82" s="8">
        <f>IFERROR(
GETPIVOTDATA(
"[Base].[Importe]",
TDinamica_R!$A$5,
"[Calendario].[AñoMes]",
"[Calendario].[AñoMes].&amp;[" &amp; TEXT(AE$6,"yyyymm")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F82" s="8">
        <f>IFERROR(
GETPIVOTDATA(
"[Base].[Importe]",
TDinamica_R!$A$5,
"[Calendario].[AñoMes]",
"[Calendario].[AñoMes].&amp;[" &amp; TEXT(AF$6,"yyyymm")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G82" s="8">
        <f>IFERROR(
GETPIVOTDATA(
"[Base].[Importe]",
TDinamica_R!$A$5,
"[Calendario].[AñoMes]",
"[Calendario].[AñoMes].&amp;[" &amp; TEXT(AG$6,"yyyymm")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H82" s="8">
        <f>IFERROR(
GETPIVOTDATA(
"[Base].[Importe]",
TDinamica_R!$A$5,
"[Calendario].[AñoMes]",
"[Calendario].[AñoMes].&amp;[" &amp; TEXT(AH$6,"yyyymm")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I82" s="8">
        <f>IFERROR(
GETPIVOTDATA(
"[Base].[Importe]",
TDinamica_R!$A$5,
"[Calendario].[AñoMes]",
"[Calendario].[AñoMes].&amp;[" &amp; TEXT(AI$6,"yyyymm")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J82" s="8">
        <f>IFERROR(
GETPIVOTDATA(
"[Base].[Importe]",
TDinamica_R!$A$5,
"[Calendario].[AñoMes]",
"[Calendario].[AñoMes].&amp;[" &amp; TEXT(AJ$6,"yyyymm")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K82" s="8">
        <f>IFERROR(
GETPIVOTDATA(
"[Base].[Importe]",
TDinamica_R!$A$5,
"[Calendario].[AñoMes]",
"[Calendario].[AñoMes].&amp;[" &amp; TEXT(AK$6,"yyyymm")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L82" s="8">
        <f>IFERROR(
GETPIVOTDATA(
"[Base].[Importe]",
TDinamica_R!$A$5,
"[Calendario].[AñoMes]",
"[Calendario].[AñoMes].&amp;[" &amp; TEXT(AL$6,"yyyymm")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M82" s="8">
        <f>IFERROR(
GETPIVOTDATA(
"[Base].[Importe]",
TDinamica_R!$A$5,
"[Calendario].[AñoMes]",
"[Calendario].[AñoMes].&amp;[" &amp; TEXT(AM$6,"yyyymm")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N82" s="8">
        <f>IFERROR(
GETPIVOTDATA(
"[Base].[Importe]",
TDinamica_R!$A$5,
"[Calendario].[AñoMes]",
"[Calendario].[AñoMes].&amp;[" &amp; TEXT(AN$6,"yyyymm")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O82" s="8">
        <f>IFERROR(
GETPIVOTDATA(
"[Base].[Importe]",
TDinamica_R!$A$5,
"[Calendario].[AñoMes]",
"[Calendario].[AñoMes].&amp;[" &amp; TEXT(AO$6,"yyyymm")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P82" s="8">
        <f>IFERROR(
GETPIVOTDATA(
"[Base].[Importe]",
TDinamica_R!$A$5,
"[Calendario].[AñoMes]",
"[Calendario].[AñoMes].&amp;[" &amp; TEXT(AP$6,"yyyymm")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Q82" s="8">
        <f>IFERROR(
GETPIVOTDATA(
"[Base].[Importe]",
TDinamica_R!$A$5,
"[Calendario].[AñoMes]",
"[Calendario].[AñoMes].&amp;[" &amp; TEXT(AQ$6,"yyyymm")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R82" s="8">
        <f>IFERROR(
GETPIVOTDATA(
"[Base].[Importe]",
TDinamica_R!$A$5,
"[Calendario].[AñoMes]",
"[Calendario].[AñoMes].&amp;[" &amp; TEXT(AR$6,"yyyymm")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S82" s="8">
        <f>IFERROR(
GETPIVOTDATA(
"[Base].[Importe]",
TDinamica_R!$A$5,
"[Calendario].[AñoMes]",
"[Calendario].[AñoMes].&amp;[" &amp; TEXT(AS$6,"yyyymm")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T82" s="8">
        <f>IFERROR(
GETPIVOTDATA(
"[Base].[Importe]",
TDinamica_R!$A$5,
"[Calendario].[AñoMes]",
"[Calendario].[AñoMes].&amp;[" &amp; TEXT(AT$6,"yyyymm")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U82" s="8">
        <f>IFERROR(
GETPIVOTDATA(
"[Base].[Importe]",
TDinamica_R!$A$5,
"[Calendario].[AñoMes]",
"[Calendario].[AñoMes].&amp;[" &amp; TEXT(AU$6,"yyyymm")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V82" s="8">
        <f>IFERROR(
GETPIVOTDATA(
"[Base].[Importe]",
TDinamica_R!$A$5,
"[Calendario].[AñoMes]",
"[Calendario].[AñoMes].&amp;[" &amp; TEXT(AV$6,"yyyymm")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W82" s="8">
        <f>IFERROR(
GETPIVOTDATA(
"[Base].[Importe]",
TDinamica_R!$A$5,
"[Calendario].[AñoMes]",
"[Calendario].[AñoMes].&amp;[" &amp; TEXT(AW$6,"yyyymm")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X82" s="8">
        <f>IFERROR(
GETPIVOTDATA(
"[Base].[Importe]",
TDinamica_R!$A$5,
"[Calendario].[AñoMes]",
"[Calendario].[AñoMes].&amp;[" &amp; TEXT(AX$6,"yyyymm")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Y82" s="8">
        <f>IFERROR(
GETPIVOTDATA(
"[Base].[Importe]",
TDinamica_R!$A$5,
"[Calendario].[AñoMes]",
"[Calendario].[AñoMes].&amp;[" &amp; TEXT(AY$6,"yyyymm")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Z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TEXT(AZ$6,"yyyymm") &amp; "]"
),
0
)</f>
        <v>0</v>
      </c>
      <c r="BA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TEXT(BA$6,"yyyymm") &amp; "]"
),
0
)</f>
        <v>0</v>
      </c>
      <c r="BB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TEXT(BB$6,"yyyymm") &amp; "]"
),
0
)</f>
        <v>0</v>
      </c>
      <c r="BC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TEXT(BC$6,"yyyymm") &amp; "]"
),
0
)</f>
        <v>0</v>
      </c>
      <c r="BD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TEXT(BD$6,"yyyymm") &amp; "]"
),
0
)</f>
        <v>0</v>
      </c>
      <c r="BE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TEXT(BE$6,"yyyymm") &amp; "]"
),
0
)</f>
        <v>0</v>
      </c>
      <c r="BF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TEXT(BF$6,"yyyymm") &amp; "]"
),
0
)</f>
        <v>0</v>
      </c>
      <c r="BG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TEXT(BG$6,"yyyymm") &amp; "]"
),
0
)</f>
        <v>0</v>
      </c>
      <c r="BH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TEXT(BH$6,"yyyymm") &amp; "]"
),
0
)</f>
        <v>0</v>
      </c>
      <c r="BI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TEXT(BI$6,"yyyymm") &amp; "]"
),
0
)</f>
        <v>0</v>
      </c>
      <c r="BJ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TEXT(BJ$6,"yyyymm") &amp; "]"
),
0
)</f>
        <v>0</v>
      </c>
      <c r="BK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TEXT(BK$6,"yyyymm") &amp; "]"
),
0
)</f>
        <v>0</v>
      </c>
      <c r="BO82" s="24">
        <f t="shared" si="65"/>
        <v>0</v>
      </c>
      <c r="BP82" s="24">
        <f t="shared" si="65"/>
        <v>0</v>
      </c>
      <c r="BQ82" s="24">
        <f t="shared" si="65"/>
        <v>0</v>
      </c>
      <c r="BR82" s="24">
        <f t="shared" si="65"/>
        <v>0</v>
      </c>
      <c r="BS82" s="24">
        <f t="shared" si="65"/>
        <v>0</v>
      </c>
      <c r="BT82" s="24">
        <f t="shared" si="65"/>
        <v>0</v>
      </c>
    </row>
    <row r="83" spans="1:72" collapsed="1" x14ac:dyDescent="0.25">
      <c r="C83" s="3" t="s">
        <v>71</v>
      </c>
      <c r="D83" s="10">
        <f t="shared" ref="D83:AY83" si="66">SUM(D63:D82)</f>
        <v>287.46317803060003</v>
      </c>
      <c r="E83" s="10">
        <f t="shared" si="66"/>
        <v>268.023086111</v>
      </c>
      <c r="F83" s="10">
        <f t="shared" si="66"/>
        <v>221.59430613710001</v>
      </c>
      <c r="G83" s="10">
        <f t="shared" si="66"/>
        <v>333.35206311799999</v>
      </c>
      <c r="H83" s="10">
        <f t="shared" si="66"/>
        <v>277.3596293192</v>
      </c>
      <c r="I83" s="10">
        <f t="shared" si="66"/>
        <v>322.4745186701</v>
      </c>
      <c r="J83" s="10">
        <f t="shared" si="66"/>
        <v>302.60177768979997</v>
      </c>
      <c r="K83" s="10">
        <f t="shared" si="66"/>
        <v>325.88744907899996</v>
      </c>
      <c r="L83" s="10">
        <f t="shared" si="66"/>
        <v>332.56444764600002</v>
      </c>
      <c r="M83" s="10">
        <f t="shared" si="66"/>
        <v>291.67107930199995</v>
      </c>
      <c r="N83" s="10">
        <f t="shared" si="66"/>
        <v>296.96382724770399</v>
      </c>
      <c r="O83" s="10">
        <f t="shared" si="66"/>
        <v>257.55441373919996</v>
      </c>
      <c r="P83" s="10">
        <f t="shared" si="66"/>
        <v>315.80418067639999</v>
      </c>
      <c r="Q83" s="10">
        <f t="shared" si="66"/>
        <v>279.85541814900006</v>
      </c>
      <c r="R83" s="10">
        <f t="shared" si="66"/>
        <v>311.12142778099997</v>
      </c>
      <c r="S83" s="10">
        <f t="shared" si="66"/>
        <v>239.81908065099998</v>
      </c>
      <c r="T83" s="10">
        <f t="shared" si="66"/>
        <v>248.921362687</v>
      </c>
      <c r="U83" s="10">
        <f t="shared" si="66"/>
        <v>249.28867565589999</v>
      </c>
      <c r="V83" s="10">
        <f t="shared" si="66"/>
        <v>219.46787214809999</v>
      </c>
      <c r="W83" s="10">
        <f t="shared" si="66"/>
        <v>232.60729267799999</v>
      </c>
      <c r="X83" s="10">
        <f t="shared" si="66"/>
        <v>529.01132326975994</v>
      </c>
      <c r="Y83" s="10">
        <f t="shared" si="66"/>
        <v>-68.570735043429991</v>
      </c>
      <c r="Z83" s="10">
        <f t="shared" si="66"/>
        <v>231.56515970800001</v>
      </c>
      <c r="AA83" s="10">
        <f t="shared" si="66"/>
        <v>188.7850524577</v>
      </c>
      <c r="AB83" s="10">
        <f t="shared" si="66"/>
        <v>255.72508034099999</v>
      </c>
      <c r="AC83" s="10">
        <f t="shared" si="66"/>
        <v>174.49451794469999</v>
      </c>
      <c r="AD83" s="10">
        <f t="shared" si="66"/>
        <v>101.600681224</v>
      </c>
      <c r="AE83" s="10">
        <f t="shared" si="66"/>
        <v>196.119687269</v>
      </c>
      <c r="AF83" s="10">
        <f t="shared" si="66"/>
        <v>186.20254778510002</v>
      </c>
      <c r="AG83" s="10">
        <f t="shared" si="66"/>
        <v>232.54591252</v>
      </c>
      <c r="AH83" s="10">
        <f t="shared" si="66"/>
        <v>193.81262884163002</v>
      </c>
      <c r="AI83" s="10">
        <f t="shared" si="66"/>
        <v>215.71464714000001</v>
      </c>
      <c r="AJ83" s="10">
        <f t="shared" si="66"/>
        <v>206.66616229600001</v>
      </c>
      <c r="AK83" s="10">
        <f t="shared" si="66"/>
        <v>185.28014983699998</v>
      </c>
      <c r="AL83" s="10">
        <f t="shared" si="66"/>
        <v>270.24707440500003</v>
      </c>
      <c r="AM83" s="10">
        <f t="shared" si="66"/>
        <v>183.62326109099999</v>
      </c>
      <c r="AN83" s="10">
        <f t="shared" si="66"/>
        <v>218.08878098589292</v>
      </c>
      <c r="AO83" s="10">
        <f t="shared" si="66"/>
        <v>165.58894877415852</v>
      </c>
      <c r="AP83" s="10">
        <f t="shared" si="66"/>
        <v>172.57935108080537</v>
      </c>
      <c r="AQ83" s="10">
        <f t="shared" si="66"/>
        <v>240.60620561289579</v>
      </c>
      <c r="AR83" s="10">
        <f t="shared" si="66"/>
        <v>209.73010364567179</v>
      </c>
      <c r="AS83" s="10">
        <f t="shared" si="66"/>
        <v>230.87046757286484</v>
      </c>
      <c r="AT83" s="10">
        <f t="shared" si="66"/>
        <v>0</v>
      </c>
      <c r="AU83" s="10">
        <f t="shared" si="66"/>
        <v>0</v>
      </c>
      <c r="AV83" s="10">
        <f t="shared" si="66"/>
        <v>0</v>
      </c>
      <c r="AW83" s="10">
        <f t="shared" si="66"/>
        <v>0</v>
      </c>
      <c r="AX83" s="10">
        <f t="shared" si="66"/>
        <v>0</v>
      </c>
      <c r="AY83" s="10">
        <f t="shared" si="66"/>
        <v>0</v>
      </c>
      <c r="AZ83" s="10">
        <f t="shared" ref="AZ83:BK83" si="67">SUM(AZ63:AZ82)</f>
        <v>188.77308457108214</v>
      </c>
      <c r="BA83" s="10">
        <f t="shared" si="67"/>
        <v>187.63431989534502</v>
      </c>
      <c r="BB83" s="10">
        <f t="shared" si="67"/>
        <v>187.44141817073859</v>
      </c>
      <c r="BC83" s="10">
        <f t="shared" si="67"/>
        <v>188.74498000953403</v>
      </c>
      <c r="BD83" s="10">
        <f t="shared" si="67"/>
        <v>190.93266465957021</v>
      </c>
      <c r="BE83" s="10">
        <f t="shared" si="67"/>
        <v>192.79009785958127</v>
      </c>
      <c r="BF83" s="10">
        <f t="shared" si="67"/>
        <v>193.48036246968644</v>
      </c>
      <c r="BG83" s="10">
        <f t="shared" si="67"/>
        <v>194.81050728887672</v>
      </c>
      <c r="BH83" s="10">
        <f t="shared" si="67"/>
        <v>197.48818950351526</v>
      </c>
      <c r="BI83" s="10">
        <f t="shared" si="67"/>
        <v>200.79750962416057</v>
      </c>
      <c r="BJ83" s="10">
        <f t="shared" si="67"/>
        <v>203.13123837467174</v>
      </c>
      <c r="BK83" s="10">
        <f t="shared" si="67"/>
        <v>204.1562464851923</v>
      </c>
      <c r="BO83" s="23">
        <f>SUM(BO63:BO82)</f>
        <v>556.25708084085682</v>
      </c>
      <c r="BP83" s="23">
        <f t="shared" ref="BP83:BT83" si="68">SUM(BP63:BP82)</f>
        <v>563.84882263716577</v>
      </c>
      <c r="BQ83" s="23">
        <f t="shared" si="68"/>
        <v>383.67772976005142</v>
      </c>
      <c r="BR83" s="23">
        <f t="shared" si="68"/>
        <v>531.82027950969996</v>
      </c>
      <c r="BS83" s="23">
        <f t="shared" si="68"/>
        <v>906.78102660640002</v>
      </c>
      <c r="BT83" s="23">
        <f t="shared" si="68"/>
        <v>777.08057027870007</v>
      </c>
    </row>
    <row r="86" spans="1:72" hidden="1" outlineLevel="1" x14ac:dyDescent="0.25">
      <c r="A86" s="11" t="s">
        <v>76</v>
      </c>
      <c r="C86" s="2" t="s">
        <v>79</v>
      </c>
      <c r="D86" s="8">
        <f>IFERROR(
GETPIVOTDATA(
"[Base].[Importe]",
TDinamica_R!$A$5,
"[Calendario].[AñoMes]",
"[Calendario].[AñoMes].&amp;[" &amp; TEXT(D$6,"yyyymm") &amp; "]",
"[Base].[Metrica]",
"[Base].[Metrica].&amp;[" &amp; $A86 &amp; "]",
"[Base].[SEGMENTO_DESCRIP]",
"[Base].[SEGMENTO_DESCRIP].&amp;[" &amp; $C$6 &amp; "]",
"[Base].[SITUACION]",
"[Base].[SITUACION].&amp;[" &amp; $C86 &amp; "]"
),0)/1000</f>
        <v>-1092.4785999257999</v>
      </c>
      <c r="E86" s="8">
        <f>IFERROR(
GETPIVOTDATA(
"[Base].[Importe]",
TDinamica_R!$A$5,
"[Calendario].[AñoMes]",
"[Calendario].[AñoMes].&amp;[" &amp; TEXT(E$6,"yyyymm") &amp; "]",
"[Base].[Metrica]",
"[Base].[Metrica].&amp;[" &amp; $A86 &amp; "]",
"[Base].[SEGMENTO_DESCRIP]",
"[Base].[SEGMENTO_DESCRIP].&amp;[" &amp; $C$6 &amp; "]",
"[Base].[SITUACION]",
"[Base].[SITUACION].&amp;[" &amp; $C86 &amp; "]"
),0)/1000</f>
        <v>-1069.6952322911002</v>
      </c>
      <c r="F86" s="8">
        <f>IFERROR(
GETPIVOTDATA(
"[Base].[Importe]",
TDinamica_R!$A$5,
"[Calendario].[AñoMes]",
"[Calendario].[AñoMes].&amp;[" &amp; TEXT(F$6,"yyyymm") &amp; "]",
"[Base].[Metrica]",
"[Base].[Metrica].&amp;[" &amp; $A86 &amp; "]",
"[Base].[SEGMENTO_DESCRIP]",
"[Base].[SEGMENTO_DESCRIP].&amp;[" &amp; $C$6 &amp; "]",
"[Base].[SITUACION]",
"[Base].[SITUACION].&amp;[" &amp; $C86 &amp; "]"
),0)/1000</f>
        <v>-1101.6192154949001</v>
      </c>
      <c r="G86" s="8">
        <f>IFERROR(
GETPIVOTDATA(
"[Base].[Importe]",
TDinamica_R!$A$5,
"[Calendario].[AñoMes]",
"[Calendario].[AñoMes].&amp;[" &amp; TEXT(G$6,"yyyymm") &amp; "]",
"[Base].[Metrica]",
"[Base].[Metrica].&amp;[" &amp; $A86 &amp; "]",
"[Base].[SEGMENTO_DESCRIP]",
"[Base].[SEGMENTO_DESCRIP].&amp;[" &amp; $C$6 &amp; "]",
"[Base].[SITUACION]",
"[Base].[SITUACION].&amp;[" &amp; $C86 &amp; "]"
),0)/1000</f>
        <v>-1142.2715800689998</v>
      </c>
      <c r="H86" s="8">
        <f>IFERROR(
GETPIVOTDATA(
"[Base].[Importe]",
TDinamica_R!$A$5,
"[Calendario].[AñoMes]",
"[Calendario].[AñoMes].&amp;[" &amp; TEXT(H$6,"yyyymm") &amp; "]",
"[Base].[Metrica]",
"[Base].[Metrica].&amp;[" &amp; $A86 &amp; "]",
"[Base].[SEGMENTO_DESCRIP]",
"[Base].[SEGMENTO_DESCRIP].&amp;[" &amp; $C$6 &amp; "]",
"[Base].[SITUACION]",
"[Base].[SITUACION].&amp;[" &amp; $C86 &amp; "]"
),0)/1000</f>
        <v>-1154.1590208393</v>
      </c>
      <c r="I86" s="8">
        <f>IFERROR(
GETPIVOTDATA(
"[Base].[Importe]",
TDinamica_R!$A$5,
"[Calendario].[AñoMes]",
"[Calendario].[AñoMes].&amp;[" &amp; TEXT(I$6,"yyyymm") &amp; "]",
"[Base].[Metrica]",
"[Base].[Metrica].&amp;[" &amp; $A86 &amp; "]",
"[Base].[SEGMENTO_DESCRIP]",
"[Base].[SEGMENTO_DESCRIP].&amp;[" &amp; $C$6 &amp; "]",
"[Base].[SITUACION]",
"[Base].[SITUACION].&amp;[" &amp; $C86 &amp; "]"
),0)/1000</f>
        <v>-1258.9345641370001</v>
      </c>
      <c r="J86" s="8">
        <f>IFERROR(
GETPIVOTDATA(
"[Base].[Importe]",
TDinamica_R!$A$5,
"[Calendario].[AñoMes]",
"[Calendario].[AñoMes].&amp;[" &amp; TEXT(J$6,"yyyymm") &amp; "]",
"[Base].[Metrica]",
"[Base].[Metrica].&amp;[" &amp; $A86 &amp; "]",
"[Base].[SEGMENTO_DESCRIP]",
"[Base].[SEGMENTO_DESCRIP].&amp;[" &amp; $C$6 &amp; "]",
"[Base].[SITUACION]",
"[Base].[SITUACION].&amp;[" &amp; $C86 &amp; "]"
),0)/1000</f>
        <v>-968.98943570079996</v>
      </c>
      <c r="K86" s="8">
        <f>IFERROR(
GETPIVOTDATA(
"[Base].[Importe]",
TDinamica_R!$A$5,
"[Calendario].[AñoMes]",
"[Calendario].[AñoMes].&amp;[" &amp; TEXT(K$6,"yyyymm") &amp; "]",
"[Base].[Metrica]",
"[Base].[Metrica].&amp;[" &amp; $A86 &amp; "]",
"[Base].[SEGMENTO_DESCRIP]",
"[Base].[SEGMENTO_DESCRIP].&amp;[" &amp; $C$6 &amp; "]",
"[Base].[SITUACION]",
"[Base].[SITUACION].&amp;[" &amp; $C86 &amp; "]"
),0)/1000</f>
        <v>-1059.1120222574</v>
      </c>
      <c r="L86" s="8">
        <f>IFERROR(
GETPIVOTDATA(
"[Base].[Importe]",
TDinamica_R!$A$5,
"[Calendario].[AñoMes]",
"[Calendario].[AñoMes].&amp;[" &amp; TEXT(L$6,"yyyymm") &amp; "]",
"[Base].[Metrica]",
"[Base].[Metrica].&amp;[" &amp; $A86 &amp; "]",
"[Base].[SEGMENTO_DESCRIP]",
"[Base].[SEGMENTO_DESCRIP].&amp;[" &amp; $C$6 &amp; "]",
"[Base].[SITUACION]",
"[Base].[SITUACION].&amp;[" &amp; $C86 &amp; "]"
),0)/1000</f>
        <v>-1061.9165663724</v>
      </c>
      <c r="M86" s="8">
        <f>IFERROR(
GETPIVOTDATA(
"[Base].[Importe]",
TDinamica_R!$A$5,
"[Calendario].[AñoMes]",
"[Calendario].[AñoMes].&amp;[" &amp; TEXT(M$6,"yyyymm") &amp; "]",
"[Base].[Metrica]",
"[Base].[Metrica].&amp;[" &amp; $A86 &amp; "]",
"[Base].[SEGMENTO_DESCRIP]",
"[Base].[SEGMENTO_DESCRIP].&amp;[" &amp; $C$6 &amp; "]",
"[Base].[SITUACION]",
"[Base].[SITUACION].&amp;[" &amp; $C86 &amp; "]"
),0)/1000</f>
        <v>-948.16562546880004</v>
      </c>
      <c r="N86" s="8">
        <f>IFERROR(
GETPIVOTDATA(
"[Base].[Importe]",
TDinamica_R!$A$5,
"[Calendario].[AñoMes]",
"[Calendario].[AñoMes].&amp;[" &amp; TEXT(N$6,"yyyymm") &amp; "]",
"[Base].[Metrica]",
"[Base].[Metrica].&amp;[" &amp; $A86 &amp; "]",
"[Base].[SEGMENTO_DESCRIP]",
"[Base].[SEGMENTO_DESCRIP].&amp;[" &amp; $C$6 &amp; "]",
"[Base].[SITUACION]",
"[Base].[SITUACION].&amp;[" &amp; $C86 &amp; "]"
),0)/1000</f>
        <v>-962.61507941219998</v>
      </c>
      <c r="O86" s="8">
        <f>IFERROR(
GETPIVOTDATA(
"[Base].[Importe]",
TDinamica_R!$A$5,
"[Calendario].[AñoMes]",
"[Calendario].[AñoMes].&amp;[" &amp; TEXT(O$6,"yyyymm") &amp; "]",
"[Base].[Metrica]",
"[Base].[Metrica].&amp;[" &amp; $A86 &amp; "]",
"[Base].[SEGMENTO_DESCRIP]",
"[Base].[SEGMENTO_DESCRIP].&amp;[" &amp; $C$6 &amp; "]",
"[Base].[SITUACION]",
"[Base].[SITUACION].&amp;[" &amp; $C86 &amp; "]"
),0)/1000</f>
        <v>-936.38671148330025</v>
      </c>
      <c r="P86" s="8">
        <f>IFERROR(
GETPIVOTDATA(
"[Base].[Importe]",
TDinamica_R!$A$5,
"[Calendario].[AñoMes]",
"[Calendario].[AñoMes].&amp;[" &amp; TEXT(P$6,"yyyymm") &amp; "]",
"[Base].[Metrica]",
"[Base].[Metrica].&amp;[" &amp; $A86 &amp; "]",
"[Base].[SEGMENTO_DESCRIP]",
"[Base].[SEGMENTO_DESCRIP].&amp;[" &amp; $C$6 &amp; "]",
"[Base].[SITUACION]",
"[Base].[SITUACION].&amp;[" &amp; $C86 &amp; "]"
),0)/1000</f>
        <v>-886.62392156620001</v>
      </c>
      <c r="Q86" s="8">
        <f>IFERROR(
GETPIVOTDATA(
"[Base].[Importe]",
TDinamica_R!$A$5,
"[Calendario].[AñoMes]",
"[Calendario].[AñoMes].&amp;[" &amp; TEXT(Q$6,"yyyymm") &amp; "]",
"[Base].[Metrica]",
"[Base].[Metrica].&amp;[" &amp; $A86 &amp; "]",
"[Base].[SEGMENTO_DESCRIP]",
"[Base].[SEGMENTO_DESCRIP].&amp;[" &amp; $C$6 &amp; "]",
"[Base].[SITUACION]",
"[Base].[SITUACION].&amp;[" &amp; $C86 &amp; "]"
),0)/1000</f>
        <v>-967.04406823139993</v>
      </c>
      <c r="R86" s="8">
        <f>IFERROR(
GETPIVOTDATA(
"[Base].[Importe]",
TDinamica_R!$A$5,
"[Calendario].[AñoMes]",
"[Calendario].[AñoMes].&amp;[" &amp; TEXT(R$6,"yyyymm") &amp; "]",
"[Base].[Metrica]",
"[Base].[Metrica].&amp;[" &amp; $A86 &amp; "]",
"[Base].[SEGMENTO_DESCRIP]",
"[Base].[SEGMENTO_DESCRIP].&amp;[" &amp; $C$6 &amp; "]",
"[Base].[SITUACION]",
"[Base].[SITUACION].&amp;[" &amp; $C86 &amp; "]"
),0)/1000</f>
        <v>-870.24170234069993</v>
      </c>
      <c r="S86" s="8">
        <f>IFERROR(
GETPIVOTDATA(
"[Base].[Importe]",
TDinamica_R!$A$5,
"[Calendario].[AñoMes]",
"[Calendario].[AñoMes].&amp;[" &amp; TEXT(S$6,"yyyymm") &amp; "]",
"[Base].[Metrica]",
"[Base].[Metrica].&amp;[" &amp; $A86 &amp; "]",
"[Base].[SEGMENTO_DESCRIP]",
"[Base].[SEGMENTO_DESCRIP].&amp;[" &amp; $C$6 &amp; "]",
"[Base].[SITUACION]",
"[Base].[SITUACION].&amp;[" &amp; $C86 &amp; "]"
),0)/1000</f>
        <v>-964.87665795779992</v>
      </c>
      <c r="T86" s="8">
        <f>IFERROR(
GETPIVOTDATA(
"[Base].[Importe]",
TDinamica_R!$A$5,
"[Calendario].[AñoMes]",
"[Calendario].[AñoMes].&amp;[" &amp; TEXT(T$6,"yyyymm") &amp; "]",
"[Base].[Metrica]",
"[Base].[Metrica].&amp;[" &amp; $A86 &amp; "]",
"[Base].[SEGMENTO_DESCRIP]",
"[Base].[SEGMENTO_DESCRIP].&amp;[" &amp; $C$6 &amp; "]",
"[Base].[SITUACION]",
"[Base].[SITUACION].&amp;[" &amp; $C86 &amp; "]"
),0)/1000</f>
        <v>-877.32499726059996</v>
      </c>
      <c r="U86" s="8">
        <f>IFERROR(
GETPIVOTDATA(
"[Base].[Importe]",
TDinamica_R!$A$5,
"[Calendario].[AñoMes]",
"[Calendario].[AñoMes].&amp;[" &amp; TEXT(U$6,"yyyymm") &amp; "]",
"[Base].[Metrica]",
"[Base].[Metrica].&amp;[" &amp; $A86 &amp; "]",
"[Base].[SEGMENTO_DESCRIP]",
"[Base].[SEGMENTO_DESCRIP].&amp;[" &amp; $C$6 &amp; "]",
"[Base].[SITUACION]",
"[Base].[SITUACION].&amp;[" &amp; $C86 &amp; "]"
),0)/1000</f>
        <v>-852.69303857609998</v>
      </c>
      <c r="V86" s="8">
        <f>IFERROR(
GETPIVOTDATA(
"[Base].[Importe]",
TDinamica_R!$A$5,
"[Calendario].[AñoMes]",
"[Calendario].[AñoMes].&amp;[" &amp; TEXT(V$6,"yyyymm") &amp; "]",
"[Base].[Metrica]",
"[Base].[Metrica].&amp;[" &amp; $A86 &amp; "]",
"[Base].[SEGMENTO_DESCRIP]",
"[Base].[SEGMENTO_DESCRIP].&amp;[" &amp; $C$6 &amp; "]",
"[Base].[SITUACION]",
"[Base].[SITUACION].&amp;[" &amp; $C86 &amp; "]"
),0)/1000</f>
        <v>-919.61926083069989</v>
      </c>
      <c r="W86" s="8">
        <f>IFERROR(
GETPIVOTDATA(
"[Base].[Importe]",
TDinamica_R!$A$5,
"[Calendario].[AñoMes]",
"[Calendario].[AñoMes].&amp;[" &amp; TEXT(W$6,"yyyymm") &amp; "]",
"[Base].[Metrica]",
"[Base].[Metrica].&amp;[" &amp; $A86 &amp; "]",
"[Base].[SEGMENTO_DESCRIP]",
"[Base].[SEGMENTO_DESCRIP].&amp;[" &amp; $C$6 &amp; "]",
"[Base].[SITUACION]",
"[Base].[SITUACION].&amp;[" &amp; $C86 &amp; "]"
),0)/1000</f>
        <v>-889.52723541880005</v>
      </c>
      <c r="X86" s="8">
        <f>IFERROR(
GETPIVOTDATA(
"[Base].[Importe]",
TDinamica_R!$A$5,
"[Calendario].[AñoMes]",
"[Calendario].[AñoMes].&amp;[" &amp; TEXT(X$6,"yyyymm") &amp; "]",
"[Base].[Metrica]",
"[Base].[Metrica].&amp;[" &amp; $A86 &amp; "]",
"[Base].[SEGMENTO_DESCRIP]",
"[Base].[SEGMENTO_DESCRIP].&amp;[" &amp; $C$6 &amp; "]",
"[Base].[SITUACION]",
"[Base].[SITUACION].&amp;[" &amp; $C86 &amp; "]"
),0)/1000</f>
        <v>-933.18670870489996</v>
      </c>
      <c r="Y86" s="8">
        <f>IFERROR(
GETPIVOTDATA(
"[Base].[Importe]",
TDinamica_R!$A$5,
"[Calendario].[AñoMes]",
"[Calendario].[AñoMes].&amp;[" &amp; TEXT(Y$6,"yyyymm") &amp; "]",
"[Base].[Metrica]",
"[Base].[Metrica].&amp;[" &amp; $A86 &amp; "]",
"[Base].[SEGMENTO_DESCRIP]",
"[Base].[SEGMENTO_DESCRIP].&amp;[" &amp; $C$6 &amp; "]",
"[Base].[SITUACION]",
"[Base].[SITUACION].&amp;[" &amp; $C86 &amp; "]"
),0)/1000</f>
        <v>-840.05895004080003</v>
      </c>
      <c r="Z86" s="8">
        <f>IFERROR(
GETPIVOTDATA(
"[Base].[Importe]",
TDinamica_R!$A$5,
"[Calendario].[AñoMes]",
"[Calendario].[AñoMes].&amp;[" &amp; TEXT(Z$6,"yyyymm") &amp; "]",
"[Base].[Metrica]",
"[Base].[Metrica].&amp;[" &amp; $A86 &amp; "]",
"[Base].[SEGMENTO_DESCRIP]",
"[Base].[SEGMENTO_DESCRIP].&amp;[" &amp; $C$6 &amp; "]",
"[Base].[SITUACION]",
"[Base].[SITUACION].&amp;[" &amp; $C86 &amp; "]"
),0)/1000</f>
        <v>-767.96363766080003</v>
      </c>
      <c r="AA86" s="8">
        <f>IFERROR(
GETPIVOTDATA(
"[Base].[Importe]",
TDinamica_R!$A$5,
"[Calendario].[AñoMes]",
"[Calendario].[AñoMes].&amp;[" &amp; TEXT(AA$6,"yyyymm") &amp; "]",
"[Base].[Metrica]",
"[Base].[Metrica].&amp;[" &amp; $A86 &amp; "]",
"[Base].[SEGMENTO_DESCRIP]",
"[Base].[SEGMENTO_DESCRIP].&amp;[" &amp; $C$6 &amp; "]",
"[Base].[SITUACION]",
"[Base].[SITUACION].&amp;[" &amp; $C86 &amp; "]"
),0)/1000</f>
        <v>-836.73529167179993</v>
      </c>
      <c r="AB86" s="8">
        <f>IFERROR(
GETPIVOTDATA(
"[Base].[Importe]",
TDinamica_R!$A$5,
"[Calendario].[AñoMes]",
"[Calendario].[AñoMes].&amp;[" &amp; TEXT(AB$6,"yyyymm") &amp; "]",
"[Base].[Metrica]",
"[Base].[Metrica].&amp;[" &amp; $A86 &amp; "]",
"[Base].[SEGMENTO_DESCRIP]",
"[Base].[SEGMENTO_DESCRIP].&amp;[" &amp; $C$6 &amp; "]",
"[Base].[SITUACION]",
"[Base].[SITUACION].&amp;[" &amp; $C86 &amp; "]"
),0)/1000</f>
        <v>-761.40746338639997</v>
      </c>
      <c r="AC86" s="8">
        <f>IFERROR(
GETPIVOTDATA(
"[Base].[Importe]",
TDinamica_R!$A$5,
"[Calendario].[AñoMes]",
"[Calendario].[AñoMes].&amp;[" &amp; TEXT(AC$6,"yyyymm") &amp; "]",
"[Base].[Metrica]",
"[Base].[Metrica].&amp;[" &amp; $A86 &amp; "]",
"[Base].[SEGMENTO_DESCRIP]",
"[Base].[SEGMENTO_DESCRIP].&amp;[" &amp; $C$6 &amp; "]",
"[Base].[SITUACION]",
"[Base].[SITUACION].&amp;[" &amp; $C86 &amp; "]"
),0)/1000</f>
        <v>-749.17519811939997</v>
      </c>
      <c r="AD86" s="8">
        <f>IFERROR(
GETPIVOTDATA(
"[Base].[Importe]",
TDinamica_R!$A$5,
"[Calendario].[AñoMes]",
"[Calendario].[AñoMes].&amp;[" &amp; TEXT(AD$6,"yyyymm") &amp; "]",
"[Base].[Metrica]",
"[Base].[Metrica].&amp;[" &amp; $A86 &amp; "]",
"[Base].[SEGMENTO_DESCRIP]",
"[Base].[SEGMENTO_DESCRIP].&amp;[" &amp; $C$6 &amp; "]",
"[Base].[SITUACION]",
"[Base].[SITUACION].&amp;[" &amp; $C86 &amp; "]"
),0)/1000</f>
        <v>-927.23771241060001</v>
      </c>
      <c r="AE86" s="8">
        <f>IFERROR(
GETPIVOTDATA(
"[Base].[Importe]",
TDinamica_R!$A$5,
"[Calendario].[AñoMes]",
"[Calendario].[AñoMes].&amp;[" &amp; TEXT(AE$6,"yyyymm") &amp; "]",
"[Base].[Metrica]",
"[Base].[Metrica].&amp;[" &amp; $A86 &amp; "]",
"[Base].[SEGMENTO_DESCRIP]",
"[Base].[SEGMENTO_DESCRIP].&amp;[" &amp; $C$6 &amp; "]",
"[Base].[SITUACION]",
"[Base].[SITUACION].&amp;[" &amp; $C86 &amp; "]"
),0)/1000</f>
        <v>-936.6243746299001</v>
      </c>
      <c r="AF86" s="8">
        <f>IFERROR(
GETPIVOTDATA(
"[Base].[Importe]",
TDinamica_R!$A$5,
"[Calendario].[AñoMes]",
"[Calendario].[AñoMes].&amp;[" &amp; TEXT(AF$6,"yyyymm") &amp; "]",
"[Base].[Metrica]",
"[Base].[Metrica].&amp;[" &amp; $A86 &amp; "]",
"[Base].[SEGMENTO_DESCRIP]",
"[Base].[SEGMENTO_DESCRIP].&amp;[" &amp; $C$6 &amp; "]",
"[Base].[SITUACION]",
"[Base].[SITUACION].&amp;[" &amp; $C86 &amp; "]"
),0)/1000</f>
        <v>-930.8368806492</v>
      </c>
      <c r="AG86" s="8">
        <f>IFERROR(
GETPIVOTDATA(
"[Base].[Importe]",
TDinamica_R!$A$5,
"[Calendario].[AñoMes]",
"[Calendario].[AñoMes].&amp;[" &amp; TEXT(AG$6,"yyyymm") &amp; "]",
"[Base].[Metrica]",
"[Base].[Metrica].&amp;[" &amp; $A86 &amp; "]",
"[Base].[SEGMENTO_DESCRIP]",
"[Base].[SEGMENTO_DESCRIP].&amp;[" &amp; $C$6 &amp; "]",
"[Base].[SITUACION]",
"[Base].[SITUACION].&amp;[" &amp; $C86 &amp; "]"
),0)/1000</f>
        <v>-949.11772601020016</v>
      </c>
      <c r="AH86" s="8">
        <f>IFERROR(
GETPIVOTDATA(
"[Base].[Importe]",
TDinamica_R!$A$5,
"[Calendario].[AñoMes]",
"[Calendario].[AñoMes].&amp;[" &amp; TEXT(AH$6,"yyyymm") &amp; "]",
"[Base].[Metrica]",
"[Base].[Metrica].&amp;[" &amp; $A86 &amp; "]",
"[Base].[SEGMENTO_DESCRIP]",
"[Base].[SEGMENTO_DESCRIP].&amp;[" &amp; $C$6 &amp; "]",
"[Base].[SITUACION]",
"[Base].[SITUACION].&amp;[" &amp; $C86 &amp; "]"
),0)/1000</f>
        <v>-975.84329359019989</v>
      </c>
      <c r="AI86" s="8">
        <f>IFERROR(
GETPIVOTDATA(
"[Base].[Importe]",
TDinamica_R!$A$5,
"[Calendario].[AñoMes]",
"[Calendario].[AñoMes].&amp;[" &amp; TEXT(AI$6,"yyyymm") &amp; "]",
"[Base].[Metrica]",
"[Base].[Metrica].&amp;[" &amp; $A86 &amp; "]",
"[Base].[SEGMENTO_DESCRIP]",
"[Base].[SEGMENTO_DESCRIP].&amp;[" &amp; $C$6 &amp; "]",
"[Base].[SITUACION]",
"[Base].[SITUACION].&amp;[" &amp; $C86 &amp; "]"
),0)/1000</f>
        <v>-1051.6765014883001</v>
      </c>
      <c r="AJ86" s="8">
        <f>IFERROR(
GETPIVOTDATA(
"[Base].[Importe]",
TDinamica_R!$A$5,
"[Calendario].[AñoMes]",
"[Calendario].[AñoMes].&amp;[" &amp; TEXT(AJ$6,"yyyymm") &amp; "]",
"[Base].[Metrica]",
"[Base].[Metrica].&amp;[" &amp; $A86 &amp; "]",
"[Base].[SEGMENTO_DESCRIP]",
"[Base].[SEGMENTO_DESCRIP].&amp;[" &amp; $C$6 &amp; "]",
"[Base].[SITUACION]",
"[Base].[SITUACION].&amp;[" &amp; $C86 &amp; "]"
),0)/1000</f>
        <v>-888.75032720460001</v>
      </c>
      <c r="AK86" s="8">
        <f>IFERROR(
GETPIVOTDATA(
"[Base].[Importe]",
TDinamica_R!$A$5,
"[Calendario].[AñoMes]",
"[Calendario].[AñoMes].&amp;[" &amp; TEXT(AK$6,"yyyymm") &amp; "]",
"[Base].[Metrica]",
"[Base].[Metrica].&amp;[" &amp; $A86 &amp; "]",
"[Base].[SEGMENTO_DESCRIP]",
"[Base].[SEGMENTO_DESCRIP].&amp;[" &amp; $C$6 &amp; "]",
"[Base].[SITUACION]",
"[Base].[SITUACION].&amp;[" &amp; $C86 &amp; "]"
),0)/1000</f>
        <v>-857.77881997769998</v>
      </c>
      <c r="AL86" s="8">
        <f>IFERROR(
GETPIVOTDATA(
"[Base].[Importe]",
TDinamica_R!$A$5,
"[Calendario].[AñoMes]",
"[Calendario].[AñoMes].&amp;[" &amp; TEXT(AL$6,"yyyymm") &amp; "]",
"[Base].[Metrica]",
"[Base].[Metrica].&amp;[" &amp; $A86 &amp; "]",
"[Base].[SEGMENTO_DESCRIP]",
"[Base].[SEGMENTO_DESCRIP].&amp;[" &amp; $C$6 &amp; "]",
"[Base].[SITUACION]",
"[Base].[SITUACION].&amp;[" &amp; $C86 &amp; "]"
),0)/1000</f>
        <v>-849.65478656520008</v>
      </c>
      <c r="AM86" s="8">
        <f>IFERROR(
GETPIVOTDATA(
"[Base].[Importe]",
TDinamica_R!$A$5,
"[Calendario].[AñoMes]",
"[Calendario].[AñoMes].&amp;[" &amp; TEXT(AM$6,"yyyymm") &amp; "]",
"[Base].[Metrica]",
"[Base].[Metrica].&amp;[" &amp; $A86 &amp; "]",
"[Base].[SEGMENTO_DESCRIP]",
"[Base].[SEGMENTO_DESCRIP].&amp;[" &amp; $C$6 &amp; "]",
"[Base].[SITUACION]",
"[Base].[SITUACION].&amp;[" &amp; $C86 &amp; "]"
),0)/1000</f>
        <v>-1260.3712410054998</v>
      </c>
      <c r="AN86" s="8">
        <f>IFERROR(
GETPIVOTDATA(
"[Base].[Importe]",
TDinamica_R!$A$5,
"[Calendario].[AñoMes]",
"[Calendario].[AñoMes].&amp;[" &amp; TEXT(AN$6,"yyyymm") &amp; "]",
"[Base].[Metrica]",
"[Base].[Metrica].&amp;[" &amp; $A86 &amp; "]",
"[Base].[SEGMENTO_DESCRIP]",
"[Base].[SEGMENTO_DESCRIP].&amp;[" &amp; $C$6 &amp; "]",
"[Base].[SITUACION]",
"[Base].[SITUACION].&amp;[" &amp; $C86 &amp; "]"
),0)/1000</f>
        <v>-877.05524396040005</v>
      </c>
      <c r="AO86" s="8">
        <f>IFERROR(
GETPIVOTDATA(
"[Base].[Importe]",
TDinamica_R!$A$5,
"[Calendario].[AñoMes]",
"[Calendario].[AñoMes].&amp;[" &amp; TEXT(AO$6,"yyyymm") &amp; "]",
"[Base].[Metrica]",
"[Base].[Metrica].&amp;[" &amp; $A86 &amp; "]",
"[Base].[SEGMENTO_DESCRIP]",
"[Base].[SEGMENTO_DESCRIP].&amp;[" &amp; $C$6 &amp; "]",
"[Base].[SITUACION]",
"[Base].[SITUACION].&amp;[" &amp; $C86 &amp; "]"
),0)/1000</f>
        <v>-952.7940171473</v>
      </c>
      <c r="AP86" s="8">
        <f>IFERROR(
GETPIVOTDATA(
"[Base].[Importe]",
TDinamica_R!$A$5,
"[Calendario].[AñoMes]",
"[Calendario].[AñoMes].&amp;[" &amp; TEXT(AP$6,"yyyymm") &amp; "]",
"[Base].[Metrica]",
"[Base].[Metrica].&amp;[" &amp; $A86 &amp; "]",
"[Base].[SEGMENTO_DESCRIP]",
"[Base].[SEGMENTO_DESCRIP].&amp;[" &amp; $C$6 &amp; "]",
"[Base].[SITUACION]",
"[Base].[SITUACION].&amp;[" &amp; $C86 &amp; "]"
),0)/1000</f>
        <v>-1036.9941491663999</v>
      </c>
      <c r="AQ86" s="8">
        <f>IFERROR(
GETPIVOTDATA(
"[Base].[Importe]",
TDinamica_R!$A$5,
"[Calendario].[AñoMes]",
"[Calendario].[AñoMes].&amp;[" &amp; TEXT(AQ$6,"yyyymm") &amp; "]",
"[Base].[Metrica]",
"[Base].[Metrica].&amp;[" &amp; $A86 &amp; "]",
"[Base].[SEGMENTO_DESCRIP]",
"[Base].[SEGMENTO_DESCRIP].&amp;[" &amp; $C$6 &amp; "]",
"[Base].[SITUACION]",
"[Base].[SITUACION].&amp;[" &amp; $C86 &amp; "]"
),0)/1000</f>
        <v>-980.87308377549994</v>
      </c>
      <c r="AR86" s="8">
        <f>IFERROR(
GETPIVOTDATA(
"[Base].[Importe]",
TDinamica_R!$A$5,
"[Calendario].[AñoMes]",
"[Calendario].[AñoMes].&amp;[" &amp; TEXT(AR$6,"yyyymm") &amp; "]",
"[Base].[Metrica]",
"[Base].[Metrica].&amp;[" &amp; $A86 &amp; "]",
"[Base].[SEGMENTO_DESCRIP]",
"[Base].[SEGMENTO_DESCRIP].&amp;[" &amp; $C$6 &amp; "]",
"[Base].[SITUACION]",
"[Base].[SITUACION].&amp;[" &amp; $C86 &amp; "]"
),0)/1000</f>
        <v>-888.84045972809986</v>
      </c>
      <c r="AS86" s="8">
        <f>IFERROR(
GETPIVOTDATA(
"[Base].[Importe]",
TDinamica_R!$A$5,
"[Calendario].[AñoMes]",
"[Calendario].[AñoMes].&amp;[" &amp; TEXT(AS$6,"yyyymm") &amp; "]",
"[Base].[Metrica]",
"[Base].[Metrica].&amp;[" &amp; $A86 &amp; "]",
"[Base].[SEGMENTO_DESCRIP]",
"[Base].[SEGMENTO_DESCRIP].&amp;[" &amp; $C$6 &amp; "]",
"[Base].[SITUACION]",
"[Base].[SITUACION].&amp;[" &amp; $C86 &amp; "]"
),0)/1000</f>
        <v>-1015.2742541221</v>
      </c>
      <c r="AT86" s="8">
        <f>IFERROR(
GETPIVOTDATA(
"[Base].[Importe]",
TDinamica_R!$A$5,
"[Calendario].[AñoMes]",
"[Calendario].[AñoMes].&amp;[" &amp; TEXT(AT$6,"yyyymm")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U86" s="8">
        <f>IFERROR(
GETPIVOTDATA(
"[Base].[Importe]",
TDinamica_R!$A$5,
"[Calendario].[AñoMes]",
"[Calendario].[AñoMes].&amp;[" &amp; TEXT(AU$6,"yyyymm")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V86" s="8">
        <f>IFERROR(
GETPIVOTDATA(
"[Base].[Importe]",
TDinamica_R!$A$5,
"[Calendario].[AñoMes]",
"[Calendario].[AñoMes].&amp;[" &amp; TEXT(AV$6,"yyyymm")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W86" s="8">
        <f>IFERROR(
GETPIVOTDATA(
"[Base].[Importe]",
TDinamica_R!$A$5,
"[Calendario].[AñoMes]",
"[Calendario].[AñoMes].&amp;[" &amp; TEXT(AW$6,"yyyymm")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X86" s="8">
        <f>IFERROR(
GETPIVOTDATA(
"[Base].[Importe]",
TDinamica_R!$A$5,
"[Calendario].[AñoMes]",
"[Calendario].[AñoMes].&amp;[" &amp; TEXT(AX$6,"yyyymm")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Y86" s="8">
        <f>IFERROR(
GETPIVOTDATA(
"[Base].[Importe]",
TDinamica_R!$A$5,
"[Calendario].[AñoMes]",
"[Calendario].[AñoMes].&amp;[" &amp; TEXT(AY$6,"yyyymm")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Z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TEXT(AZ$6,"yyyymm") &amp; "]"
),
0
)</f>
        <v>-938.89607311420014</v>
      </c>
      <c r="BA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TEXT(BA$6,"yyyymm") &amp; "]"
),
0
)</f>
        <v>-912.33691880809999</v>
      </c>
      <c r="BB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TEXT(BB$6,"yyyymm") &amp; "]"
),
0
)</f>
        <v>-930.15880559469997</v>
      </c>
      <c r="BC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TEXT(BC$6,"yyyymm") &amp; "]"
),
0
)</f>
        <v>-939.76112409610005</v>
      </c>
      <c r="BD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TEXT(BD$6,"yyyymm") &amp; "]"
),
0
)</f>
        <v>-965.29208811469994</v>
      </c>
      <c r="BE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TEXT(BE$6,"yyyymm") &amp; "]"
),
0
)</f>
        <v>-1054.6785913937001</v>
      </c>
      <c r="BF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TEXT(BF$6,"yyyymm") &amp; "]"
),
0
)</f>
        <v>-951.94253596620001</v>
      </c>
      <c r="BG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TEXT(BG$6,"yyyymm") &amp; "]"
),
0
)</f>
        <v>-990.91770072460008</v>
      </c>
      <c r="BH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TEXT(BH$6,"yyyymm") &amp; "]"
),
0
)</f>
        <v>-1027.8718328596999</v>
      </c>
      <c r="BI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TEXT(BI$6,"yyyymm") &amp; "]"
),
0
)</f>
        <v>-982.52882782210008</v>
      </c>
      <c r="BJ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TEXT(BJ$6,"yyyymm") &amp; "]"
),
0
)</f>
        <v>-990.52393812109995</v>
      </c>
      <c r="BK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TEXT(BK$6,"yyyymm") &amp; "]"
),
0
)</f>
        <v>-995.71599285830007</v>
      </c>
      <c r="BO86" s="24">
        <f t="shared" ref="BO86:BT88" si="69">SUMIFS($D86:$BM86,$D$6:$BM$6,"&gt;="&amp;BO$2,$D$6:$BM$6,"&lt;="&amp;BO$6,$D$5:$BM$5,BO$5)</f>
        <v>-2866.8434102740998</v>
      </c>
      <c r="BP86" s="24">
        <f t="shared" si="69"/>
        <v>-2781.3917975170002</v>
      </c>
      <c r="BQ86" s="24">
        <f t="shared" si="69"/>
        <v>-1829.8492611076999</v>
      </c>
      <c r="BR86" s="24">
        <f t="shared" si="69"/>
        <v>-2437.8203739164001</v>
      </c>
      <c r="BS86" s="24">
        <f t="shared" si="69"/>
        <v>-2723.9096921382998</v>
      </c>
      <c r="BT86" s="24">
        <f t="shared" si="69"/>
        <v>-3263.7930477118007</v>
      </c>
    </row>
    <row r="87" spans="1:72" hidden="1" outlineLevel="1" x14ac:dyDescent="0.25">
      <c r="A87" s="11" t="s">
        <v>76</v>
      </c>
      <c r="C87" s="2" t="s">
        <v>78</v>
      </c>
      <c r="D87" s="8">
        <f>IFERROR(
GETPIVOTDATA(
"[Base].[Importe]",
TDinamica_R!$A$5,
"[Calendario].[AñoMes]",
"[Calendario].[AñoMes].&amp;[" &amp; TEXT(D$6,"yyyymm") &amp; "]",
"[Base].[Metrica]",
"[Base].[Metrica].&amp;[" &amp; $A87 &amp; "]",
"[Base].[SEGMENTO_DESCRIP]",
"[Base].[SEGMENTO_DESCRIP].&amp;[" &amp; $C$6 &amp; "]",
"[Base].[SITUACION]",
"[Base].[SITUACION].&amp;[" &amp; $C87 &amp; "]"
),0)/1000</f>
        <v>-811.17843020570001</v>
      </c>
      <c r="E87" s="8">
        <f>IFERROR(
GETPIVOTDATA(
"[Base].[Importe]",
TDinamica_R!$A$5,
"[Calendario].[AñoMes]",
"[Calendario].[AñoMes].&amp;[" &amp; TEXT(E$6,"yyyymm") &amp; "]",
"[Base].[Metrica]",
"[Base].[Metrica].&amp;[" &amp; $A87 &amp; "]",
"[Base].[SEGMENTO_DESCRIP]",
"[Base].[SEGMENTO_DESCRIP].&amp;[" &amp; $C$6 &amp; "]",
"[Base].[SITUACION]",
"[Base].[SITUACION].&amp;[" &amp; $C87 &amp; "]"
),0)/1000</f>
        <v>-831.26722750889985</v>
      </c>
      <c r="F87" s="8">
        <f>IFERROR(
GETPIVOTDATA(
"[Base].[Importe]",
TDinamica_R!$A$5,
"[Calendario].[AñoMes]",
"[Calendario].[AñoMes].&amp;[" &amp; TEXT(F$6,"yyyymm") &amp; "]",
"[Base].[Metrica]",
"[Base].[Metrica].&amp;[" &amp; $A87 &amp; "]",
"[Base].[SEGMENTO_DESCRIP]",
"[Base].[SEGMENTO_DESCRIP].&amp;[" &amp; $C$6 &amp; "]",
"[Base].[SITUACION]",
"[Base].[SITUACION].&amp;[" &amp; $C87 &amp; "]"
),0)/1000</f>
        <v>-959.13636319830016</v>
      </c>
      <c r="G87" s="8">
        <f>IFERROR(
GETPIVOTDATA(
"[Base].[Importe]",
TDinamica_R!$A$5,
"[Calendario].[AñoMes]",
"[Calendario].[AñoMes].&amp;[" &amp; TEXT(G$6,"yyyymm") &amp; "]",
"[Base].[Metrica]",
"[Base].[Metrica].&amp;[" &amp; $A87 &amp; "]",
"[Base].[SEGMENTO_DESCRIP]",
"[Base].[SEGMENTO_DESCRIP].&amp;[" &amp; $C$6 &amp; "]",
"[Base].[SITUACION]",
"[Base].[SITUACION].&amp;[" &amp; $C87 &amp; "]"
),0)/1000</f>
        <v>-829.14514298610004</v>
      </c>
      <c r="H87" s="8">
        <f>IFERROR(
GETPIVOTDATA(
"[Base].[Importe]",
TDinamica_R!$A$5,
"[Calendario].[AñoMes]",
"[Calendario].[AñoMes].&amp;[" &amp; TEXT(H$6,"yyyymm") &amp; "]",
"[Base].[Metrica]",
"[Base].[Metrica].&amp;[" &amp; $A87 &amp; "]",
"[Base].[SEGMENTO_DESCRIP]",
"[Base].[SEGMENTO_DESCRIP].&amp;[" &amp; $C$6 &amp; "]",
"[Base].[SITUACION]",
"[Base].[SITUACION].&amp;[" &amp; $C87 &amp; "]"
),0)/1000</f>
        <v>-919.76665487030004</v>
      </c>
      <c r="I87" s="8">
        <f>IFERROR(
GETPIVOTDATA(
"[Base].[Importe]",
TDinamica_R!$A$5,
"[Calendario].[AñoMes]",
"[Calendario].[AñoMes].&amp;[" &amp; TEXT(I$6,"yyyymm") &amp; "]",
"[Base].[Metrica]",
"[Base].[Metrica].&amp;[" &amp; $A87 &amp; "]",
"[Base].[SEGMENTO_DESCRIP]",
"[Base].[SEGMENTO_DESCRIP].&amp;[" &amp; $C$6 &amp; "]",
"[Base].[SITUACION]",
"[Base].[SITUACION].&amp;[" &amp; $C87 &amp; "]"
),0)/1000</f>
        <v>-844.28412206179996</v>
      </c>
      <c r="J87" s="8">
        <f>IFERROR(
GETPIVOTDATA(
"[Base].[Importe]",
TDinamica_R!$A$5,
"[Calendario].[AñoMes]",
"[Calendario].[AñoMes].&amp;[" &amp; TEXT(J$6,"yyyymm") &amp; "]",
"[Base].[Metrica]",
"[Base].[Metrica].&amp;[" &amp; $A87 &amp; "]",
"[Base].[SEGMENTO_DESCRIP]",
"[Base].[SEGMENTO_DESCRIP].&amp;[" &amp; $C$6 &amp; "]",
"[Base].[SITUACION]",
"[Base].[SITUACION].&amp;[" &amp; $C87 &amp; "]"
),0)/1000</f>
        <v>-778.75260688509991</v>
      </c>
      <c r="K87" s="8">
        <f>IFERROR(
GETPIVOTDATA(
"[Base].[Importe]",
TDinamica_R!$A$5,
"[Calendario].[AñoMes]",
"[Calendario].[AñoMes].&amp;[" &amp; TEXT(K$6,"yyyymm") &amp; "]",
"[Base].[Metrica]",
"[Base].[Metrica].&amp;[" &amp; $A87 &amp; "]",
"[Base].[SEGMENTO_DESCRIP]",
"[Base].[SEGMENTO_DESCRIP].&amp;[" &amp; $C$6 &amp; "]",
"[Base].[SITUACION]",
"[Base].[SITUACION].&amp;[" &amp; $C87 &amp; "]"
),0)/1000</f>
        <v>-819.9507528327</v>
      </c>
      <c r="L87" s="8">
        <f>IFERROR(
GETPIVOTDATA(
"[Base].[Importe]",
TDinamica_R!$A$5,
"[Calendario].[AñoMes]",
"[Calendario].[AñoMes].&amp;[" &amp; TEXT(L$6,"yyyymm") &amp; "]",
"[Base].[Metrica]",
"[Base].[Metrica].&amp;[" &amp; $A87 &amp; "]",
"[Base].[SEGMENTO_DESCRIP]",
"[Base].[SEGMENTO_DESCRIP].&amp;[" &amp; $C$6 &amp; "]",
"[Base].[SITUACION]",
"[Base].[SITUACION].&amp;[" &amp; $C87 &amp; "]"
),0)/1000</f>
        <v>-750.02361375040005</v>
      </c>
      <c r="M87" s="8">
        <f>IFERROR(
GETPIVOTDATA(
"[Base].[Importe]",
TDinamica_R!$A$5,
"[Calendario].[AñoMes]",
"[Calendario].[AñoMes].&amp;[" &amp; TEXT(M$6,"yyyymm") &amp; "]",
"[Base].[Metrica]",
"[Base].[Metrica].&amp;[" &amp; $A87 &amp; "]",
"[Base].[SEGMENTO_DESCRIP]",
"[Base].[SEGMENTO_DESCRIP].&amp;[" &amp; $C$6 &amp; "]",
"[Base].[SITUACION]",
"[Base].[SITUACION].&amp;[" &amp; $C87 &amp; "]"
),0)/1000</f>
        <v>-696.95369270360004</v>
      </c>
      <c r="N87" s="8">
        <f>IFERROR(
GETPIVOTDATA(
"[Base].[Importe]",
TDinamica_R!$A$5,
"[Calendario].[AñoMes]",
"[Calendario].[AñoMes].&amp;[" &amp; TEXT(N$6,"yyyymm") &amp; "]",
"[Base].[Metrica]",
"[Base].[Metrica].&amp;[" &amp; $A87 &amp; "]",
"[Base].[SEGMENTO_DESCRIP]",
"[Base].[SEGMENTO_DESCRIP].&amp;[" &amp; $C$6 &amp; "]",
"[Base].[SITUACION]",
"[Base].[SITUACION].&amp;[" &amp; $C87 &amp; "]"
),0)/1000</f>
        <v>-692.1938325061999</v>
      </c>
      <c r="O87" s="8">
        <f>IFERROR(
GETPIVOTDATA(
"[Base].[Importe]",
TDinamica_R!$A$5,
"[Calendario].[AñoMes]",
"[Calendario].[AñoMes].&amp;[" &amp; TEXT(O$6,"yyyymm") &amp; "]",
"[Base].[Metrica]",
"[Base].[Metrica].&amp;[" &amp; $A87 &amp; "]",
"[Base].[SEGMENTO_DESCRIP]",
"[Base].[SEGMENTO_DESCRIP].&amp;[" &amp; $C$6 &amp; "]",
"[Base].[SITUACION]",
"[Base].[SITUACION].&amp;[" &amp; $C87 &amp; "]"
),0)/1000</f>
        <v>-664.91755741959992</v>
      </c>
      <c r="P87" s="8">
        <f>IFERROR(
GETPIVOTDATA(
"[Base].[Importe]",
TDinamica_R!$A$5,
"[Calendario].[AñoMes]",
"[Calendario].[AñoMes].&amp;[" &amp; TEXT(P$6,"yyyymm") &amp; "]",
"[Base].[Metrica]",
"[Base].[Metrica].&amp;[" &amp; $A87 &amp; "]",
"[Base].[SEGMENTO_DESCRIP]",
"[Base].[SEGMENTO_DESCRIP].&amp;[" &amp; $C$6 &amp; "]",
"[Base].[SITUACION]",
"[Base].[SITUACION].&amp;[" &amp; $C87 &amp; "]"
),0)/1000</f>
        <v>-802.3706879982999</v>
      </c>
      <c r="Q87" s="8">
        <f>IFERROR(
GETPIVOTDATA(
"[Base].[Importe]",
TDinamica_R!$A$5,
"[Calendario].[AñoMes]",
"[Calendario].[AñoMes].&amp;[" &amp; TEXT(Q$6,"yyyymm") &amp; "]",
"[Base].[Metrica]",
"[Base].[Metrica].&amp;[" &amp; $A87 &amp; "]",
"[Base].[SEGMENTO_DESCRIP]",
"[Base].[SEGMENTO_DESCRIP].&amp;[" &amp; $C$6 &amp; "]",
"[Base].[SITUACION]",
"[Base].[SITUACION].&amp;[" &amp; $C87 &amp; "]"
),0)/1000</f>
        <v>-742.89412939930003</v>
      </c>
      <c r="R87" s="8">
        <f>IFERROR(
GETPIVOTDATA(
"[Base].[Importe]",
TDinamica_R!$A$5,
"[Calendario].[AñoMes]",
"[Calendario].[AñoMes].&amp;[" &amp; TEXT(R$6,"yyyymm") &amp; "]",
"[Base].[Metrica]",
"[Base].[Metrica].&amp;[" &amp; $A87 &amp; "]",
"[Base].[SEGMENTO_DESCRIP]",
"[Base].[SEGMENTO_DESCRIP].&amp;[" &amp; $C$6 &amp; "]",
"[Base].[SITUACION]",
"[Base].[SITUACION].&amp;[" &amp; $C87 &amp; "]"
),0)/1000</f>
        <v>-751.87651464119995</v>
      </c>
      <c r="S87" s="8">
        <f>IFERROR(
GETPIVOTDATA(
"[Base].[Importe]",
TDinamica_R!$A$5,
"[Calendario].[AñoMes]",
"[Calendario].[AñoMes].&amp;[" &amp; TEXT(S$6,"yyyymm") &amp; "]",
"[Base].[Metrica]",
"[Base].[Metrica].&amp;[" &amp; $A87 &amp; "]",
"[Base].[SEGMENTO_DESCRIP]",
"[Base].[SEGMENTO_DESCRIP].&amp;[" &amp; $C$6 &amp; "]",
"[Base].[SITUACION]",
"[Base].[SITUACION].&amp;[" &amp; $C87 &amp; "]"
),0)/1000</f>
        <v>-745.17826106040002</v>
      </c>
      <c r="T87" s="8">
        <f>IFERROR(
GETPIVOTDATA(
"[Base].[Importe]",
TDinamica_R!$A$5,
"[Calendario].[AñoMes]",
"[Calendario].[AñoMes].&amp;[" &amp; TEXT(T$6,"yyyymm") &amp; "]",
"[Base].[Metrica]",
"[Base].[Metrica].&amp;[" &amp; $A87 &amp; "]",
"[Base].[SEGMENTO_DESCRIP]",
"[Base].[SEGMENTO_DESCRIP].&amp;[" &amp; $C$6 &amp; "]",
"[Base].[SITUACION]",
"[Base].[SITUACION].&amp;[" &amp; $C87 &amp; "]"
),0)/1000</f>
        <v>-745.26666521909999</v>
      </c>
      <c r="U87" s="8">
        <f>IFERROR(
GETPIVOTDATA(
"[Base].[Importe]",
TDinamica_R!$A$5,
"[Calendario].[AñoMes]",
"[Calendario].[AñoMes].&amp;[" &amp; TEXT(U$6,"yyyymm") &amp; "]",
"[Base].[Metrica]",
"[Base].[Metrica].&amp;[" &amp; $A87 &amp; "]",
"[Base].[SEGMENTO_DESCRIP]",
"[Base].[SEGMENTO_DESCRIP].&amp;[" &amp; $C$6 &amp; "]",
"[Base].[SITUACION]",
"[Base].[SITUACION].&amp;[" &amp; $C87 &amp; "]"
),0)/1000</f>
        <v>-642.46585017609993</v>
      </c>
      <c r="V87" s="8">
        <f>IFERROR(
GETPIVOTDATA(
"[Base].[Importe]",
TDinamica_R!$A$5,
"[Calendario].[AñoMes]",
"[Calendario].[AñoMes].&amp;[" &amp; TEXT(V$6,"yyyymm") &amp; "]",
"[Base].[Metrica]",
"[Base].[Metrica].&amp;[" &amp; $A87 &amp; "]",
"[Base].[SEGMENTO_DESCRIP]",
"[Base].[SEGMENTO_DESCRIP].&amp;[" &amp; $C$6 &amp; "]",
"[Base].[SITUACION]",
"[Base].[SITUACION].&amp;[" &amp; $C87 &amp; "]"
),0)/1000</f>
        <v>-787.75929870649986</v>
      </c>
      <c r="W87" s="8">
        <f>IFERROR(
GETPIVOTDATA(
"[Base].[Importe]",
TDinamica_R!$A$5,
"[Calendario].[AñoMes]",
"[Calendario].[AñoMes].&amp;[" &amp; TEXT(W$6,"yyyymm") &amp; "]",
"[Base].[Metrica]",
"[Base].[Metrica].&amp;[" &amp; $A87 &amp; "]",
"[Base].[SEGMENTO_DESCRIP]",
"[Base].[SEGMENTO_DESCRIP].&amp;[" &amp; $C$6 &amp; "]",
"[Base].[SITUACION]",
"[Base].[SITUACION].&amp;[" &amp; $C87 &amp; "]"
),0)/1000</f>
        <v>-761.97441640800002</v>
      </c>
      <c r="X87" s="8">
        <f>IFERROR(
GETPIVOTDATA(
"[Base].[Importe]",
TDinamica_R!$A$5,
"[Calendario].[AñoMes]",
"[Calendario].[AñoMes].&amp;[" &amp; TEXT(X$6,"yyyymm") &amp; "]",
"[Base].[Metrica]",
"[Base].[Metrica].&amp;[" &amp; $A87 &amp; "]",
"[Base].[SEGMENTO_DESCRIP]",
"[Base].[SEGMENTO_DESCRIP].&amp;[" &amp; $C$6 &amp; "]",
"[Base].[SITUACION]",
"[Base].[SITUACION].&amp;[" &amp; $C87 &amp; "]"
),0)/1000</f>
        <v>-737.88085611290001</v>
      </c>
      <c r="Y87" s="8">
        <f>IFERROR(
GETPIVOTDATA(
"[Base].[Importe]",
TDinamica_R!$A$5,
"[Calendario].[AñoMes]",
"[Calendario].[AñoMes].&amp;[" &amp; TEXT(Y$6,"yyyymm") &amp; "]",
"[Base].[Metrica]",
"[Base].[Metrica].&amp;[" &amp; $A87 &amp; "]",
"[Base].[SEGMENTO_DESCRIP]",
"[Base].[SEGMENTO_DESCRIP].&amp;[" &amp; $C$6 &amp; "]",
"[Base].[SITUACION]",
"[Base].[SITUACION].&amp;[" &amp; $C87 &amp; "]"
),0)/1000</f>
        <v>-750.64765284690009</v>
      </c>
      <c r="Z87" s="8">
        <f>IFERROR(
GETPIVOTDATA(
"[Base].[Importe]",
TDinamica_R!$A$5,
"[Calendario].[AñoMes]",
"[Calendario].[AñoMes].&amp;[" &amp; TEXT(Z$6,"yyyymm") &amp; "]",
"[Base].[Metrica]",
"[Base].[Metrica].&amp;[" &amp; $A87 &amp; "]",
"[Base].[SEGMENTO_DESCRIP]",
"[Base].[SEGMENTO_DESCRIP].&amp;[" &amp; $C$6 &amp; "]",
"[Base].[SITUACION]",
"[Base].[SITUACION].&amp;[" &amp; $C87 &amp; "]"
),0)/1000</f>
        <v>-674.22433262959999</v>
      </c>
      <c r="AA87" s="8">
        <f>IFERROR(
GETPIVOTDATA(
"[Base].[Importe]",
TDinamica_R!$A$5,
"[Calendario].[AñoMes]",
"[Calendario].[AñoMes].&amp;[" &amp; TEXT(AA$6,"yyyymm") &amp; "]",
"[Base].[Metrica]",
"[Base].[Metrica].&amp;[" &amp; $A87 &amp; "]",
"[Base].[SEGMENTO_DESCRIP]",
"[Base].[SEGMENTO_DESCRIP].&amp;[" &amp; $C$6 &amp; "]",
"[Base].[SITUACION]",
"[Base].[SITUACION].&amp;[" &amp; $C87 &amp; "]"
),0)/1000</f>
        <v>-640.5006747563001</v>
      </c>
      <c r="AB87" s="8">
        <f>IFERROR(
GETPIVOTDATA(
"[Base].[Importe]",
TDinamica_R!$A$5,
"[Calendario].[AñoMes]",
"[Calendario].[AñoMes].&amp;[" &amp; TEXT(AB$6,"yyyymm") &amp; "]",
"[Base].[Metrica]",
"[Base].[Metrica].&amp;[" &amp; $A87 &amp; "]",
"[Base].[SEGMENTO_DESCRIP]",
"[Base].[SEGMENTO_DESCRIP].&amp;[" &amp; $C$6 &amp; "]",
"[Base].[SITUACION]",
"[Base].[SITUACION].&amp;[" &amp; $C87 &amp; "]"
),0)/1000</f>
        <v>-735.00766357060002</v>
      </c>
      <c r="AC87" s="8">
        <f>IFERROR(
GETPIVOTDATA(
"[Base].[Importe]",
TDinamica_R!$A$5,
"[Calendario].[AñoMes]",
"[Calendario].[AñoMes].&amp;[" &amp; TEXT(AC$6,"yyyymm") &amp; "]",
"[Base].[Metrica]",
"[Base].[Metrica].&amp;[" &amp; $A87 &amp; "]",
"[Base].[SEGMENTO_DESCRIP]",
"[Base].[SEGMENTO_DESCRIP].&amp;[" &amp; $C$6 &amp; "]",
"[Base].[SITUACION]",
"[Base].[SITUACION].&amp;[" &amp; $C87 &amp; "]"
),0)/1000</f>
        <v>-685.97716632330014</v>
      </c>
      <c r="AD87" s="8">
        <f>IFERROR(
GETPIVOTDATA(
"[Base].[Importe]",
TDinamica_R!$A$5,
"[Calendario].[AñoMes]",
"[Calendario].[AñoMes].&amp;[" &amp; TEXT(AD$6,"yyyymm") &amp; "]",
"[Base].[Metrica]",
"[Base].[Metrica].&amp;[" &amp; $A87 &amp; "]",
"[Base].[SEGMENTO_DESCRIP]",
"[Base].[SEGMENTO_DESCRIP].&amp;[" &amp; $C$6 &amp; "]",
"[Base].[SITUACION]",
"[Base].[SITUACION].&amp;[" &amp; $C87 &amp; "]"
),0)/1000</f>
        <v>-718.33620093040008</v>
      </c>
      <c r="AE87" s="8">
        <f>IFERROR(
GETPIVOTDATA(
"[Base].[Importe]",
TDinamica_R!$A$5,
"[Calendario].[AñoMes]",
"[Calendario].[AñoMes].&amp;[" &amp; TEXT(AE$6,"yyyymm") &amp; "]",
"[Base].[Metrica]",
"[Base].[Metrica].&amp;[" &amp; $A87 &amp; "]",
"[Base].[SEGMENTO_DESCRIP]",
"[Base].[SEGMENTO_DESCRIP].&amp;[" &amp; $C$6 &amp; "]",
"[Base].[SITUACION]",
"[Base].[SITUACION].&amp;[" &amp; $C87 &amp; "]"
),0)/1000</f>
        <v>-665.47632255840006</v>
      </c>
      <c r="AF87" s="8">
        <f>IFERROR(
GETPIVOTDATA(
"[Base].[Importe]",
TDinamica_R!$A$5,
"[Calendario].[AñoMes]",
"[Calendario].[AñoMes].&amp;[" &amp; TEXT(AF$6,"yyyymm") &amp; "]",
"[Base].[Metrica]",
"[Base].[Metrica].&amp;[" &amp; $A87 &amp; "]",
"[Base].[SEGMENTO_DESCRIP]",
"[Base].[SEGMENTO_DESCRIP].&amp;[" &amp; $C$6 &amp; "]",
"[Base].[SITUACION]",
"[Base].[SITUACION].&amp;[" &amp; $C87 &amp; "]"
),0)/1000</f>
        <v>-691.10760348689996</v>
      </c>
      <c r="AG87" s="8">
        <f>IFERROR(
GETPIVOTDATA(
"[Base].[Importe]",
TDinamica_R!$A$5,
"[Calendario].[AñoMes]",
"[Calendario].[AñoMes].&amp;[" &amp; TEXT(AG$6,"yyyymm") &amp; "]",
"[Base].[Metrica]",
"[Base].[Metrica].&amp;[" &amp; $A87 &amp; "]",
"[Base].[SEGMENTO_DESCRIP]",
"[Base].[SEGMENTO_DESCRIP].&amp;[" &amp; $C$6 &amp; "]",
"[Base].[SITUACION]",
"[Base].[SITUACION].&amp;[" &amp; $C87 &amp; "]"
),0)/1000</f>
        <v>-662.07698309660009</v>
      </c>
      <c r="AH87" s="8">
        <f>IFERROR(
GETPIVOTDATA(
"[Base].[Importe]",
TDinamica_R!$A$5,
"[Calendario].[AñoMes]",
"[Calendario].[AñoMes].&amp;[" &amp; TEXT(AH$6,"yyyymm") &amp; "]",
"[Base].[Metrica]",
"[Base].[Metrica].&amp;[" &amp; $A87 &amp; "]",
"[Base].[SEGMENTO_DESCRIP]",
"[Base].[SEGMENTO_DESCRIP].&amp;[" &amp; $C$6 &amp; "]",
"[Base].[SITUACION]",
"[Base].[SITUACION].&amp;[" &amp; $C87 &amp; "]"
),0)/1000</f>
        <v>-700.01066873599996</v>
      </c>
      <c r="AI87" s="8">
        <f>IFERROR(
GETPIVOTDATA(
"[Base].[Importe]",
TDinamica_R!$A$5,
"[Calendario].[AñoMes]",
"[Calendario].[AñoMes].&amp;[" &amp; TEXT(AI$6,"yyyymm") &amp; "]",
"[Base].[Metrica]",
"[Base].[Metrica].&amp;[" &amp; $A87 &amp; "]",
"[Base].[SEGMENTO_DESCRIP]",
"[Base].[SEGMENTO_DESCRIP].&amp;[" &amp; $C$6 &amp; "]",
"[Base].[SITUACION]",
"[Base].[SITUACION].&amp;[" &amp; $C87 &amp; "]"
),0)/1000</f>
        <v>-672.74587436240006</v>
      </c>
      <c r="AJ87" s="8">
        <f>IFERROR(
GETPIVOTDATA(
"[Base].[Importe]",
TDinamica_R!$A$5,
"[Calendario].[AñoMes]",
"[Calendario].[AñoMes].&amp;[" &amp; TEXT(AJ$6,"yyyymm") &amp; "]",
"[Base].[Metrica]",
"[Base].[Metrica].&amp;[" &amp; $A87 &amp; "]",
"[Base].[SEGMENTO_DESCRIP]",
"[Base].[SEGMENTO_DESCRIP].&amp;[" &amp; $C$6 &amp; "]",
"[Base].[SITUACION]",
"[Base].[SITUACION].&amp;[" &amp; $C87 &amp; "]"
),0)/1000</f>
        <v>-613.89967726899999</v>
      </c>
      <c r="AK87" s="8">
        <f>IFERROR(
GETPIVOTDATA(
"[Base].[Importe]",
TDinamica_R!$A$5,
"[Calendario].[AñoMes]",
"[Calendario].[AñoMes].&amp;[" &amp; TEXT(AK$6,"yyyymm") &amp; "]",
"[Base].[Metrica]",
"[Base].[Metrica].&amp;[" &amp; $A87 &amp; "]",
"[Base].[SEGMENTO_DESCRIP]",
"[Base].[SEGMENTO_DESCRIP].&amp;[" &amp; $C$6 &amp; "]",
"[Base].[SITUACION]",
"[Base].[SITUACION].&amp;[" &amp; $C87 &amp; "]"
),0)/1000</f>
        <v>-629.23834844539999</v>
      </c>
      <c r="AL87" s="8">
        <f>IFERROR(
GETPIVOTDATA(
"[Base].[Importe]",
TDinamica_R!$A$5,
"[Calendario].[AñoMes]",
"[Calendario].[AñoMes].&amp;[" &amp; TEXT(AL$6,"yyyymm") &amp; "]",
"[Base].[Metrica]",
"[Base].[Metrica].&amp;[" &amp; $A87 &amp; "]",
"[Base].[SEGMENTO_DESCRIP]",
"[Base].[SEGMENTO_DESCRIP].&amp;[" &amp; $C$6 &amp; "]",
"[Base].[SITUACION]",
"[Base].[SITUACION].&amp;[" &amp; $C87 &amp; "]"
),0)/1000</f>
        <v>-587.03762544389997</v>
      </c>
      <c r="AM87" s="8">
        <f>IFERROR(
GETPIVOTDATA(
"[Base].[Importe]",
TDinamica_R!$A$5,
"[Calendario].[AñoMes]",
"[Calendario].[AñoMes].&amp;[" &amp; TEXT(AM$6,"yyyymm") &amp; "]",
"[Base].[Metrica]",
"[Base].[Metrica].&amp;[" &amp; $A87 &amp; "]",
"[Base].[SEGMENTO_DESCRIP]",
"[Base].[SEGMENTO_DESCRIP].&amp;[" &amp; $C$6 &amp; "]",
"[Base].[SITUACION]",
"[Base].[SITUACION].&amp;[" &amp; $C87 &amp; "]"
),0)/1000</f>
        <v>-596.84472674979997</v>
      </c>
      <c r="AN87" s="8">
        <f>IFERROR(
GETPIVOTDATA(
"[Base].[Importe]",
TDinamica_R!$A$5,
"[Calendario].[AñoMes]",
"[Calendario].[AñoMes].&amp;[" &amp; TEXT(AN$6,"yyyymm") &amp; "]",
"[Base].[Metrica]",
"[Base].[Metrica].&amp;[" &amp; $A87 &amp; "]",
"[Base].[SEGMENTO_DESCRIP]",
"[Base].[SEGMENTO_DESCRIP].&amp;[" &amp; $C$6 &amp; "]",
"[Base].[SITUACION]",
"[Base].[SITUACION].&amp;[" &amp; $C87 &amp; "]"
),0)/1000</f>
        <v>-699.85899501619986</v>
      </c>
      <c r="AO87" s="8">
        <f>IFERROR(
GETPIVOTDATA(
"[Base].[Importe]",
TDinamica_R!$A$5,
"[Calendario].[AñoMes]",
"[Calendario].[AñoMes].&amp;[" &amp; TEXT(AO$6,"yyyymm") &amp; "]",
"[Base].[Metrica]",
"[Base].[Metrica].&amp;[" &amp; $A87 &amp; "]",
"[Base].[SEGMENTO_DESCRIP]",
"[Base].[SEGMENTO_DESCRIP].&amp;[" &amp; $C$6 &amp; "]",
"[Base].[SITUACION]",
"[Base].[SITUACION].&amp;[" &amp; $C87 &amp; "]"
),0)/1000</f>
        <v>-801.76248656060011</v>
      </c>
      <c r="AP87" s="8">
        <f>IFERROR(
GETPIVOTDATA(
"[Base].[Importe]",
TDinamica_R!$A$5,
"[Calendario].[AñoMes]",
"[Calendario].[AñoMes].&amp;[" &amp; TEXT(AP$6,"yyyymm") &amp; "]",
"[Base].[Metrica]",
"[Base].[Metrica].&amp;[" &amp; $A87 &amp; "]",
"[Base].[SEGMENTO_DESCRIP]",
"[Base].[SEGMENTO_DESCRIP].&amp;[" &amp; $C$6 &amp; "]",
"[Base].[SITUACION]",
"[Base].[SITUACION].&amp;[" &amp; $C87 &amp; "]"
),0)/1000</f>
        <v>-808.08753654819998</v>
      </c>
      <c r="AQ87" s="8">
        <f>IFERROR(
GETPIVOTDATA(
"[Base].[Importe]",
TDinamica_R!$A$5,
"[Calendario].[AñoMes]",
"[Calendario].[AñoMes].&amp;[" &amp; TEXT(AQ$6,"yyyymm") &amp; "]",
"[Base].[Metrica]",
"[Base].[Metrica].&amp;[" &amp; $A87 &amp; "]",
"[Base].[SEGMENTO_DESCRIP]",
"[Base].[SEGMENTO_DESCRIP].&amp;[" &amp; $C$6 &amp; "]",
"[Base].[SITUACION]",
"[Base].[SITUACION].&amp;[" &amp; $C87 &amp; "]"
),0)/1000</f>
        <v>-893.4736276601999</v>
      </c>
      <c r="AR87" s="8">
        <f>IFERROR(
GETPIVOTDATA(
"[Base].[Importe]",
TDinamica_R!$A$5,
"[Calendario].[AñoMes]",
"[Calendario].[AñoMes].&amp;[" &amp; TEXT(AR$6,"yyyymm") &amp; "]",
"[Base].[Metrica]",
"[Base].[Metrica].&amp;[" &amp; $A87 &amp; "]",
"[Base].[SEGMENTO_DESCRIP]",
"[Base].[SEGMENTO_DESCRIP].&amp;[" &amp; $C$6 &amp; "]",
"[Base].[SITUACION]",
"[Base].[SITUACION].&amp;[" &amp; $C87 &amp; "]"
),0)/1000</f>
        <v>-839.57607735980002</v>
      </c>
      <c r="AS87" s="8">
        <f>IFERROR(
GETPIVOTDATA(
"[Base].[Importe]",
TDinamica_R!$A$5,
"[Calendario].[AñoMes]",
"[Calendario].[AñoMes].&amp;[" &amp; TEXT(AS$6,"yyyymm") &amp; "]",
"[Base].[Metrica]",
"[Base].[Metrica].&amp;[" &amp; $A87 &amp; "]",
"[Base].[SEGMENTO_DESCRIP]",
"[Base].[SEGMENTO_DESCRIP].&amp;[" &amp; $C$6 &amp; "]",
"[Base].[SITUACION]",
"[Base].[SITUACION].&amp;[" &amp; $C87 &amp; "]"
),0)/1000</f>
        <v>-861.80798335640009</v>
      </c>
      <c r="AT87" s="8">
        <f>IFERROR(
GETPIVOTDATA(
"[Base].[Importe]",
TDinamica_R!$A$5,
"[Calendario].[AñoMes]",
"[Calendario].[AñoMes].&amp;[" &amp; TEXT(AT$6,"yyyymm")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U87" s="8">
        <f>IFERROR(
GETPIVOTDATA(
"[Base].[Importe]",
TDinamica_R!$A$5,
"[Calendario].[AñoMes]",
"[Calendario].[AñoMes].&amp;[" &amp; TEXT(AU$6,"yyyymm")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V87" s="8">
        <f>IFERROR(
GETPIVOTDATA(
"[Base].[Importe]",
TDinamica_R!$A$5,
"[Calendario].[AñoMes]",
"[Calendario].[AñoMes].&amp;[" &amp; TEXT(AV$6,"yyyymm")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W87" s="8">
        <f>IFERROR(
GETPIVOTDATA(
"[Base].[Importe]",
TDinamica_R!$A$5,
"[Calendario].[AñoMes]",
"[Calendario].[AñoMes].&amp;[" &amp; TEXT(AW$6,"yyyymm")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X87" s="8">
        <f>IFERROR(
GETPIVOTDATA(
"[Base].[Importe]",
TDinamica_R!$A$5,
"[Calendario].[AñoMes]",
"[Calendario].[AñoMes].&amp;[" &amp; TEXT(AX$6,"yyyymm")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Y87" s="8">
        <f>IFERROR(
GETPIVOTDATA(
"[Base].[Importe]",
TDinamica_R!$A$5,
"[Calendario].[AñoMes]",
"[Calendario].[AñoMes].&amp;[" &amp; TEXT(AY$6,"yyyymm")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Z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TEXT(AZ$6,"yyyymm") &amp; "]"
),
0
)</f>
        <v>-722.45576103960002</v>
      </c>
      <c r="BA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TEXT(BA$6,"yyyymm") &amp; "]"
),
0
)</f>
        <v>-720.42401024870003</v>
      </c>
      <c r="BB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TEXT(BB$6,"yyyymm") &amp; "]"
),
0
)</f>
        <v>-757.46467499129994</v>
      </c>
      <c r="BC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TEXT(BC$6,"yyyymm") &amp; "]"
),
0
)</f>
        <v>-750.19946349279996</v>
      </c>
      <c r="BD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TEXT(BD$6,"yyyymm") &amp; "]"
),
0
)</f>
        <v>-764.91543702950003</v>
      </c>
      <c r="BE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TEXT(BE$6,"yyyymm") &amp; "]"
),
0
)</f>
        <v>-765.60315870229999</v>
      </c>
      <c r="BF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TEXT(BF$6,"yyyymm") &amp; "]"
),
0
)</f>
        <v>-751.40455795610012</v>
      </c>
      <c r="BG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TEXT(BG$6,"yyyymm") &amp; "]"
),
0
)</f>
        <v>-757.0614339599</v>
      </c>
      <c r="BH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TEXT(BH$6,"yyyymm") &amp; "]"
),
0
)</f>
        <v>-765.53607294510005</v>
      </c>
      <c r="BI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TEXT(BI$6,"yyyymm") &amp; "]"
),
0
)</f>
        <v>-770.00895373430001</v>
      </c>
      <c r="BJ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TEXT(BJ$6,"yyyymm") &amp; "]"
),
0
)</f>
        <v>-763.01806797029997</v>
      </c>
      <c r="BK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TEXT(BK$6,"yyyymm") &amp; "]"
),
0
)</f>
        <v>-756.4816702032</v>
      </c>
      <c r="BO87" s="24">
        <f t="shared" si="69"/>
        <v>-2309.7090181249996</v>
      </c>
      <c r="BP87" s="24">
        <f t="shared" si="69"/>
        <v>-2200.3444462796001</v>
      </c>
      <c r="BQ87" s="24">
        <f t="shared" si="69"/>
        <v>-1501.6214815767999</v>
      </c>
      <c r="BR87" s="24">
        <f t="shared" si="69"/>
        <v>-2139.3210308243001</v>
      </c>
      <c r="BS87" s="24">
        <f t="shared" si="69"/>
        <v>-2297.1413320388001</v>
      </c>
      <c r="BT87" s="24">
        <f t="shared" si="69"/>
        <v>-2601.5820209128997</v>
      </c>
    </row>
    <row r="88" spans="1:72" hidden="1" outlineLevel="1" x14ac:dyDescent="0.25">
      <c r="A88" s="11" t="s">
        <v>76</v>
      </c>
      <c r="C88" s="2" t="s">
        <v>80</v>
      </c>
      <c r="D88" s="8">
        <f>IFERROR(
GETPIVOTDATA(
"[Base].[Importe]",
TDinamica_R!$A$5,
"[Calendario].[AñoMes]",
"[Calendario].[AñoMes].&amp;[" &amp; TEXT(D$6,"yyyymm") &amp; "]",
"[Base].[Metrica]",
"[Base].[Metrica].&amp;[" &amp; $A88 &amp; "]",
"[Base].[SEGMENTO_DESCRIP]",
"[Base].[SEGMENTO_DESCRIP].&amp;[" &amp; $C$6 &amp; "]",
"[Base].[SITUACION]",
"[Base].[SITUACION].&amp;[" &amp; $C88 &amp; "]"
),0)/1000</f>
        <v>-1416.0802763024001</v>
      </c>
      <c r="E88" s="8">
        <f>IFERROR(
GETPIVOTDATA(
"[Base].[Importe]",
TDinamica_R!$A$5,
"[Calendario].[AñoMes]",
"[Calendario].[AñoMes].&amp;[" &amp; TEXT(E$6,"yyyymm") &amp; "]",
"[Base].[Metrica]",
"[Base].[Metrica].&amp;[" &amp; $A88 &amp; "]",
"[Base].[SEGMENTO_DESCRIP]",
"[Base].[SEGMENTO_DESCRIP].&amp;[" &amp; $C$6 &amp; "]",
"[Base].[SITUACION]",
"[Base].[SITUACION].&amp;[" &amp; $C88 &amp; "]"
),0)/1000</f>
        <v>-1592.3351578342999</v>
      </c>
      <c r="F88" s="8">
        <f>IFERROR(
GETPIVOTDATA(
"[Base].[Importe]",
TDinamica_R!$A$5,
"[Calendario].[AñoMes]",
"[Calendario].[AñoMes].&amp;[" &amp; TEXT(F$6,"yyyymm") &amp; "]",
"[Base].[Metrica]",
"[Base].[Metrica].&amp;[" &amp; $A88 &amp; "]",
"[Base].[SEGMENTO_DESCRIP]",
"[Base].[SEGMENTO_DESCRIP].&amp;[" &amp; $C$6 &amp; "]",
"[Base].[SITUACION]",
"[Base].[SITUACION].&amp;[" &amp; $C88 &amp; "]"
),0)/1000</f>
        <v>-1455.1409799231001</v>
      </c>
      <c r="G88" s="8">
        <f>IFERROR(
GETPIVOTDATA(
"[Base].[Importe]",
TDinamica_R!$A$5,
"[Calendario].[AñoMes]",
"[Calendario].[AñoMes].&amp;[" &amp; TEXT(G$6,"yyyymm") &amp; "]",
"[Base].[Metrica]",
"[Base].[Metrica].&amp;[" &amp; $A88 &amp; "]",
"[Base].[SEGMENTO_DESCRIP]",
"[Base].[SEGMENTO_DESCRIP].&amp;[" &amp; $C$6 &amp; "]",
"[Base].[SITUACION]",
"[Base].[SITUACION].&amp;[" &amp; $C88 &amp; "]"
),0)/1000</f>
        <v>-1570.6737922057998</v>
      </c>
      <c r="H88" s="8">
        <f>IFERROR(
GETPIVOTDATA(
"[Base].[Importe]",
TDinamica_R!$A$5,
"[Calendario].[AñoMes]",
"[Calendario].[AñoMes].&amp;[" &amp; TEXT(H$6,"yyyymm") &amp; "]",
"[Base].[Metrica]",
"[Base].[Metrica].&amp;[" &amp; $A88 &amp; "]",
"[Base].[SEGMENTO_DESCRIP]",
"[Base].[SEGMENTO_DESCRIP].&amp;[" &amp; $C$6 &amp; "]",
"[Base].[SITUACION]",
"[Base].[SITUACION].&amp;[" &amp; $C88 &amp; "]"
),0)/1000</f>
        <v>-1525.9357498308998</v>
      </c>
      <c r="I88" s="8">
        <f>IFERROR(
GETPIVOTDATA(
"[Base].[Importe]",
TDinamica_R!$A$5,
"[Calendario].[AñoMes]",
"[Calendario].[AñoMes].&amp;[" &amp; TEXT(I$6,"yyyymm") &amp; "]",
"[Base].[Metrica]",
"[Base].[Metrica].&amp;[" &amp; $A88 &amp; "]",
"[Base].[SEGMENTO_DESCRIP]",
"[Base].[SEGMENTO_DESCRIP].&amp;[" &amp; $C$6 &amp; "]",
"[Base].[SITUACION]",
"[Base].[SITUACION].&amp;[" &amp; $C88 &amp; "]"
),0)/1000</f>
        <v>-1414.2344308802001</v>
      </c>
      <c r="J88" s="8">
        <f>IFERROR(
GETPIVOTDATA(
"[Base].[Importe]",
TDinamica_R!$A$5,
"[Calendario].[AñoMes]",
"[Calendario].[AñoMes].&amp;[" &amp; TEXT(J$6,"yyyymm") &amp; "]",
"[Base].[Metrica]",
"[Base].[Metrica].&amp;[" &amp; $A88 &amp; "]",
"[Base].[SEGMENTO_DESCRIP]",
"[Base].[SEGMENTO_DESCRIP].&amp;[" &amp; $C$6 &amp; "]",
"[Base].[SITUACION]",
"[Base].[SITUACION].&amp;[" &amp; $C88 &amp; "]"
),0)/1000</f>
        <v>-1638.432839243</v>
      </c>
      <c r="K88" s="8">
        <f>IFERROR(
GETPIVOTDATA(
"[Base].[Importe]",
TDinamica_R!$A$5,
"[Calendario].[AñoMes]",
"[Calendario].[AñoMes].&amp;[" &amp; TEXT(K$6,"yyyymm") &amp; "]",
"[Base].[Metrica]",
"[Base].[Metrica].&amp;[" &amp; $A88 &amp; "]",
"[Base].[SEGMENTO_DESCRIP]",
"[Base].[SEGMENTO_DESCRIP].&amp;[" &amp; $C$6 &amp; "]",
"[Base].[SITUACION]",
"[Base].[SITUACION].&amp;[" &amp; $C88 &amp; "]"
),0)/1000</f>
        <v>-1442.3963191388998</v>
      </c>
      <c r="L88" s="8">
        <f>IFERROR(
GETPIVOTDATA(
"[Base].[Importe]",
TDinamica_R!$A$5,
"[Calendario].[AñoMes]",
"[Calendario].[AñoMes].&amp;[" &amp; TEXT(L$6,"yyyymm") &amp; "]",
"[Base].[Metrica]",
"[Base].[Metrica].&amp;[" &amp; $A88 &amp; "]",
"[Base].[SEGMENTO_DESCRIP]",
"[Base].[SEGMENTO_DESCRIP].&amp;[" &amp; $C$6 &amp; "]",
"[Base].[SITUACION]",
"[Base].[SITUACION].&amp;[" &amp; $C88 &amp; "]"
),0)/1000</f>
        <v>-1538.1019253428999</v>
      </c>
      <c r="M88" s="8">
        <f>IFERROR(
GETPIVOTDATA(
"[Base].[Importe]",
TDinamica_R!$A$5,
"[Calendario].[AñoMes]",
"[Calendario].[AñoMes].&amp;[" &amp; TEXT(M$6,"yyyymm") &amp; "]",
"[Base].[Metrica]",
"[Base].[Metrica].&amp;[" &amp; $A88 &amp; "]",
"[Base].[SEGMENTO_DESCRIP]",
"[Base].[SEGMENTO_DESCRIP].&amp;[" &amp; $C$6 &amp; "]",
"[Base].[SITUACION]",
"[Base].[SITUACION].&amp;[" &amp; $C88 &amp; "]"
),0)/1000</f>
        <v>-1518.8950114500001</v>
      </c>
      <c r="N88" s="8">
        <f>IFERROR(
GETPIVOTDATA(
"[Base].[Importe]",
TDinamica_R!$A$5,
"[Calendario].[AñoMes]",
"[Calendario].[AñoMes].&amp;[" &amp; TEXT(N$6,"yyyymm") &amp; "]",
"[Base].[Metrica]",
"[Base].[Metrica].&amp;[" &amp; $A88 &amp; "]",
"[Base].[SEGMENTO_DESCRIP]",
"[Base].[SEGMENTO_DESCRIP].&amp;[" &amp; $C$6 &amp; "]",
"[Base].[SITUACION]",
"[Base].[SITUACION].&amp;[" &amp; $C88 &amp; "]"
),0)/1000</f>
        <v>-1700.7315630315002</v>
      </c>
      <c r="O88" s="8">
        <f>IFERROR(
GETPIVOTDATA(
"[Base].[Importe]",
TDinamica_R!$A$5,
"[Calendario].[AñoMes]",
"[Calendario].[AñoMes].&amp;[" &amp; TEXT(O$6,"yyyymm") &amp; "]",
"[Base].[Metrica]",
"[Base].[Metrica].&amp;[" &amp; $A88 &amp; "]",
"[Base].[SEGMENTO_DESCRIP]",
"[Base].[SEGMENTO_DESCRIP].&amp;[" &amp; $C$6 &amp; "]",
"[Base].[SITUACION]",
"[Base].[SITUACION].&amp;[" &amp; $C88 &amp; "]"
),0)/1000</f>
        <v>-1438.3682420678999</v>
      </c>
      <c r="P88" s="8">
        <f>IFERROR(
GETPIVOTDATA(
"[Base].[Importe]",
TDinamica_R!$A$5,
"[Calendario].[AñoMes]",
"[Calendario].[AñoMes].&amp;[" &amp; TEXT(P$6,"yyyymm") &amp; "]",
"[Base].[Metrica]",
"[Base].[Metrica].&amp;[" &amp; $A88 &amp; "]",
"[Base].[SEGMENTO_DESCRIP]",
"[Base].[SEGMENTO_DESCRIP].&amp;[" &amp; $C$6 &amp; "]",
"[Base].[SITUACION]",
"[Base].[SITUACION].&amp;[" &amp; $C88 &amp; "]"
),0)/1000</f>
        <v>-1360.8400113421999</v>
      </c>
      <c r="Q88" s="8">
        <f>IFERROR(
GETPIVOTDATA(
"[Base].[Importe]",
TDinamica_R!$A$5,
"[Calendario].[AñoMes]",
"[Calendario].[AñoMes].&amp;[" &amp; TEXT(Q$6,"yyyymm") &amp; "]",
"[Base].[Metrica]",
"[Base].[Metrica].&amp;[" &amp; $A88 &amp; "]",
"[Base].[SEGMENTO_DESCRIP]",
"[Base].[SEGMENTO_DESCRIP].&amp;[" &amp; $C$6 &amp; "]",
"[Base].[SITUACION]",
"[Base].[SITUACION].&amp;[" &amp; $C88 &amp; "]"
),0)/1000</f>
        <v>-1421.5221897398999</v>
      </c>
      <c r="R88" s="8">
        <f>IFERROR(
GETPIVOTDATA(
"[Base].[Importe]",
TDinamica_R!$A$5,
"[Calendario].[AñoMes]",
"[Calendario].[AñoMes].&amp;[" &amp; TEXT(R$6,"yyyymm") &amp; "]",
"[Base].[Metrica]",
"[Base].[Metrica].&amp;[" &amp; $A88 &amp; "]",
"[Base].[SEGMENTO_DESCRIP]",
"[Base].[SEGMENTO_DESCRIP].&amp;[" &amp; $C$6 &amp; "]",
"[Base].[SITUACION]",
"[Base].[SITUACION].&amp;[" &amp; $C88 &amp; "]"
),0)/1000</f>
        <v>-1373.7439271644</v>
      </c>
      <c r="S88" s="8">
        <f>IFERROR(
GETPIVOTDATA(
"[Base].[Importe]",
TDinamica_R!$A$5,
"[Calendario].[AñoMes]",
"[Calendario].[AñoMes].&amp;[" &amp; TEXT(S$6,"yyyymm") &amp; "]",
"[Base].[Metrica]",
"[Base].[Metrica].&amp;[" &amp; $A88 &amp; "]",
"[Base].[SEGMENTO_DESCRIP]",
"[Base].[SEGMENTO_DESCRIP].&amp;[" &amp; $C$6 &amp; "]",
"[Base].[SITUACION]",
"[Base].[SITUACION].&amp;[" &amp; $C88 &amp; "]"
),0)/1000</f>
        <v>-1448.3173422026</v>
      </c>
      <c r="T88" s="8">
        <f>IFERROR(
GETPIVOTDATA(
"[Base].[Importe]",
TDinamica_R!$A$5,
"[Calendario].[AñoMes]",
"[Calendario].[AñoMes].&amp;[" &amp; TEXT(T$6,"yyyymm") &amp; "]",
"[Base].[Metrica]",
"[Base].[Metrica].&amp;[" &amp; $A88 &amp; "]",
"[Base].[SEGMENTO_DESCRIP]",
"[Base].[SEGMENTO_DESCRIP].&amp;[" &amp; $C$6 &amp; "]",
"[Base].[SITUACION]",
"[Base].[SITUACION].&amp;[" &amp; $C88 &amp; "]"
),0)/1000</f>
        <v>-1693.7314839973001</v>
      </c>
      <c r="U88" s="8">
        <f>IFERROR(
GETPIVOTDATA(
"[Base].[Importe]",
TDinamica_R!$A$5,
"[Calendario].[AñoMes]",
"[Calendario].[AñoMes].&amp;[" &amp; TEXT(U$6,"yyyymm") &amp; "]",
"[Base].[Metrica]",
"[Base].[Metrica].&amp;[" &amp; $A88 &amp; "]",
"[Base].[SEGMENTO_DESCRIP]",
"[Base].[SEGMENTO_DESCRIP].&amp;[" &amp; $C$6 &amp; "]",
"[Base].[SITUACION]",
"[Base].[SITUACION].&amp;[" &amp; $C88 &amp; "]"
),0)/1000</f>
        <v>-2315.0493610231001</v>
      </c>
      <c r="V88" s="8">
        <f>IFERROR(
GETPIVOTDATA(
"[Base].[Importe]",
TDinamica_R!$A$5,
"[Calendario].[AñoMes]",
"[Calendario].[AñoMes].&amp;[" &amp; TEXT(V$6,"yyyymm") &amp; "]",
"[Base].[Metrica]",
"[Base].[Metrica].&amp;[" &amp; $A88 &amp; "]",
"[Base].[SEGMENTO_DESCRIP]",
"[Base].[SEGMENTO_DESCRIP].&amp;[" &amp; $C$6 &amp; "]",
"[Base].[SITUACION]",
"[Base].[SITUACION].&amp;[" &amp; $C88 &amp; "]"
),0)/1000</f>
        <v>-2011.8564328376999</v>
      </c>
      <c r="W88" s="8">
        <f>IFERROR(
GETPIVOTDATA(
"[Base].[Importe]",
TDinamica_R!$A$5,
"[Calendario].[AñoMes]",
"[Calendario].[AñoMes].&amp;[" &amp; TEXT(W$6,"yyyymm") &amp; "]",
"[Base].[Metrica]",
"[Base].[Metrica].&amp;[" &amp; $A88 &amp; "]",
"[Base].[SEGMENTO_DESCRIP]",
"[Base].[SEGMENTO_DESCRIP].&amp;[" &amp; $C$6 &amp; "]",
"[Base].[SITUACION]",
"[Base].[SITUACION].&amp;[" &amp; $C88 &amp; "]"
),0)/1000</f>
        <v>-1692.6475444263999</v>
      </c>
      <c r="X88" s="8">
        <f>IFERROR(
GETPIVOTDATA(
"[Base].[Importe]",
TDinamica_R!$A$5,
"[Calendario].[AñoMes]",
"[Calendario].[AñoMes].&amp;[" &amp; TEXT(X$6,"yyyymm") &amp; "]",
"[Base].[Metrica]",
"[Base].[Metrica].&amp;[" &amp; $A88 &amp; "]",
"[Base].[SEGMENTO_DESCRIP]",
"[Base].[SEGMENTO_DESCRIP].&amp;[" &amp; $C$6 &amp; "]",
"[Base].[SITUACION]",
"[Base].[SITUACION].&amp;[" &amp; $C88 &amp; "]"
),0)/1000</f>
        <v>-1574.3223616741998</v>
      </c>
      <c r="Y88" s="8">
        <f>IFERROR(
GETPIVOTDATA(
"[Base].[Importe]",
TDinamica_R!$A$5,
"[Calendario].[AñoMes]",
"[Calendario].[AñoMes].&amp;[" &amp; TEXT(Y$6,"yyyymm") &amp; "]",
"[Base].[Metrica]",
"[Base].[Metrica].&amp;[" &amp; $A88 &amp; "]",
"[Base].[SEGMENTO_DESCRIP]",
"[Base].[SEGMENTO_DESCRIP].&amp;[" &amp; $C$6 &amp; "]",
"[Base].[SITUACION]",
"[Base].[SITUACION].&amp;[" &amp; $C88 &amp; "]"
),0)/1000</f>
        <v>-1485.9636979699001</v>
      </c>
      <c r="Z88" s="8">
        <f>IFERROR(
GETPIVOTDATA(
"[Base].[Importe]",
TDinamica_R!$A$5,
"[Calendario].[AñoMes]",
"[Calendario].[AñoMes].&amp;[" &amp; TEXT(Z$6,"yyyymm") &amp; "]",
"[Base].[Metrica]",
"[Base].[Metrica].&amp;[" &amp; $A88 &amp; "]",
"[Base].[SEGMENTO_DESCRIP]",
"[Base].[SEGMENTO_DESCRIP].&amp;[" &amp; $C$6 &amp; "]",
"[Base].[SITUACION]",
"[Base].[SITUACION].&amp;[" &amp; $C88 &amp; "]"
),0)/1000</f>
        <v>-1589.8588686044</v>
      </c>
      <c r="AA88" s="8">
        <f>IFERROR(
GETPIVOTDATA(
"[Base].[Importe]",
TDinamica_R!$A$5,
"[Calendario].[AñoMes]",
"[Calendario].[AñoMes].&amp;[" &amp; TEXT(AA$6,"yyyymm") &amp; "]",
"[Base].[Metrica]",
"[Base].[Metrica].&amp;[" &amp; $A88 &amp; "]",
"[Base].[SEGMENTO_DESCRIP]",
"[Base].[SEGMENTO_DESCRIP].&amp;[" &amp; $C$6 &amp; "]",
"[Base].[SITUACION]",
"[Base].[SITUACION].&amp;[" &amp; $C88 &amp; "]"
),0)/1000</f>
        <v>-1526.9555363249001</v>
      </c>
      <c r="AB88" s="8">
        <f>IFERROR(
GETPIVOTDATA(
"[Base].[Importe]",
TDinamica_R!$A$5,
"[Calendario].[AñoMes]",
"[Calendario].[AñoMes].&amp;[" &amp; TEXT(AB$6,"yyyymm") &amp; "]",
"[Base].[Metrica]",
"[Base].[Metrica].&amp;[" &amp; $A88 &amp; "]",
"[Base].[SEGMENTO_DESCRIP]",
"[Base].[SEGMENTO_DESCRIP].&amp;[" &amp; $C$6 &amp; "]",
"[Base].[SITUACION]",
"[Base].[SITUACION].&amp;[" &amp; $C88 &amp; "]"
),0)/1000</f>
        <v>-1681.0197164890001</v>
      </c>
      <c r="AC88" s="8">
        <f>IFERROR(
GETPIVOTDATA(
"[Base].[Importe]",
TDinamica_R!$A$5,
"[Calendario].[AñoMes]",
"[Calendario].[AñoMes].&amp;[" &amp; TEXT(AC$6,"yyyymm") &amp; "]",
"[Base].[Metrica]",
"[Base].[Metrica].&amp;[" &amp; $A88 &amp; "]",
"[Base].[SEGMENTO_DESCRIP]",
"[Base].[SEGMENTO_DESCRIP].&amp;[" &amp; $C$6 &amp; "]",
"[Base].[SITUACION]",
"[Base].[SITUACION].&amp;[" &amp; $C88 &amp; "]"
),0)/1000</f>
        <v>-1415.7416145410002</v>
      </c>
      <c r="AD88" s="8">
        <f>IFERROR(
GETPIVOTDATA(
"[Base].[Importe]",
TDinamica_R!$A$5,
"[Calendario].[AñoMes]",
"[Calendario].[AñoMes].&amp;[" &amp; TEXT(AD$6,"yyyymm") &amp; "]",
"[Base].[Metrica]",
"[Base].[Metrica].&amp;[" &amp; $A88 &amp; "]",
"[Base].[SEGMENTO_DESCRIP]",
"[Base].[SEGMENTO_DESCRIP].&amp;[" &amp; $C$6 &amp; "]",
"[Base].[SITUACION]",
"[Base].[SITUACION].&amp;[" &amp; $C88 &amp; "]"
),0)/1000</f>
        <v>-1525.3707443985002</v>
      </c>
      <c r="AE88" s="8">
        <f>IFERROR(
GETPIVOTDATA(
"[Base].[Importe]",
TDinamica_R!$A$5,
"[Calendario].[AñoMes]",
"[Calendario].[AñoMes].&amp;[" &amp; TEXT(AE$6,"yyyymm") &amp; "]",
"[Base].[Metrica]",
"[Base].[Metrica].&amp;[" &amp; $A88 &amp; "]",
"[Base].[SEGMENTO_DESCRIP]",
"[Base].[SEGMENTO_DESCRIP].&amp;[" &amp; $C$6 &amp; "]",
"[Base].[SITUACION]",
"[Base].[SITUACION].&amp;[" &amp; $C88 &amp; "]"
),0)/1000</f>
        <v>-1533.6710604855</v>
      </c>
      <c r="AF88" s="8">
        <f>IFERROR(
GETPIVOTDATA(
"[Base].[Importe]",
TDinamica_R!$A$5,
"[Calendario].[AñoMes]",
"[Calendario].[AñoMes].&amp;[" &amp; TEXT(AF$6,"yyyymm") &amp; "]",
"[Base].[Metrica]",
"[Base].[Metrica].&amp;[" &amp; $A88 &amp; "]",
"[Base].[SEGMENTO_DESCRIP]",
"[Base].[SEGMENTO_DESCRIP].&amp;[" &amp; $C$6 &amp; "]",
"[Base].[SITUACION]",
"[Base].[SITUACION].&amp;[" &amp; $C88 &amp; "]"
),0)/1000</f>
        <v>-1591.9990205186</v>
      </c>
      <c r="AG88" s="8">
        <f>IFERROR(
GETPIVOTDATA(
"[Base].[Importe]",
TDinamica_R!$A$5,
"[Calendario].[AñoMes]",
"[Calendario].[AñoMes].&amp;[" &amp; TEXT(AG$6,"yyyymm") &amp; "]",
"[Base].[Metrica]",
"[Base].[Metrica].&amp;[" &amp; $A88 &amp; "]",
"[Base].[SEGMENTO_DESCRIP]",
"[Base].[SEGMENTO_DESCRIP].&amp;[" &amp; $C$6 &amp; "]",
"[Base].[SITUACION]",
"[Base].[SITUACION].&amp;[" &amp; $C88 &amp; "]"
),0)/1000</f>
        <v>-1616.7028846832998</v>
      </c>
      <c r="AH88" s="8">
        <f>IFERROR(
GETPIVOTDATA(
"[Base].[Importe]",
TDinamica_R!$A$5,
"[Calendario].[AñoMes]",
"[Calendario].[AñoMes].&amp;[" &amp; TEXT(AH$6,"yyyymm") &amp; "]",
"[Base].[Metrica]",
"[Base].[Metrica].&amp;[" &amp; $A88 &amp; "]",
"[Base].[SEGMENTO_DESCRIP]",
"[Base].[SEGMENTO_DESCRIP].&amp;[" &amp; $C$6 &amp; "]",
"[Base].[SITUACION]",
"[Base].[SITUACION].&amp;[" &amp; $C88 &amp; "]"
),0)/1000</f>
        <v>-1550.9764469979998</v>
      </c>
      <c r="AI88" s="8">
        <f>IFERROR(
GETPIVOTDATA(
"[Base].[Importe]",
TDinamica_R!$A$5,
"[Calendario].[AñoMes]",
"[Calendario].[AñoMes].&amp;[" &amp; TEXT(AI$6,"yyyymm") &amp; "]",
"[Base].[Metrica]",
"[Base].[Metrica].&amp;[" &amp; $A88 &amp; "]",
"[Base].[SEGMENTO_DESCRIP]",
"[Base].[SEGMENTO_DESCRIP].&amp;[" &amp; $C$6 &amp; "]",
"[Base].[SITUACION]",
"[Base].[SITUACION].&amp;[" &amp; $C88 &amp; "]"
),0)/1000</f>
        <v>-1583.2712008579999</v>
      </c>
      <c r="AJ88" s="8">
        <f>IFERROR(
GETPIVOTDATA(
"[Base].[Importe]",
TDinamica_R!$A$5,
"[Calendario].[AñoMes]",
"[Calendario].[AñoMes].&amp;[" &amp; TEXT(AJ$6,"yyyymm") &amp; "]",
"[Base].[Metrica]",
"[Base].[Metrica].&amp;[" &amp; $A88 &amp; "]",
"[Base].[SEGMENTO_DESCRIP]",
"[Base].[SEGMENTO_DESCRIP].&amp;[" &amp; $C$6 &amp; "]",
"[Base].[SITUACION]",
"[Base].[SITUACION].&amp;[" &amp; $C88 &amp; "]"
),0)/1000</f>
        <v>-1682.5551988300001</v>
      </c>
      <c r="AK88" s="8">
        <f>IFERROR(
GETPIVOTDATA(
"[Base].[Importe]",
TDinamica_R!$A$5,
"[Calendario].[AñoMes]",
"[Calendario].[AñoMes].&amp;[" &amp; TEXT(AK$6,"yyyymm") &amp; "]",
"[Base].[Metrica]",
"[Base].[Metrica].&amp;[" &amp; $A88 &amp; "]",
"[Base].[SEGMENTO_DESCRIP]",
"[Base].[SEGMENTO_DESCRIP].&amp;[" &amp; $C$6 &amp; "]",
"[Base].[SITUACION]",
"[Base].[SITUACION].&amp;[" &amp; $C88 &amp; "]"
),0)/1000</f>
        <v>-1472.1305750411</v>
      </c>
      <c r="AL88" s="8">
        <f>IFERROR(
GETPIVOTDATA(
"[Base].[Importe]",
TDinamica_R!$A$5,
"[Calendario].[AñoMes]",
"[Calendario].[AñoMes].&amp;[" &amp; TEXT(AL$6,"yyyymm") &amp; "]",
"[Base].[Metrica]",
"[Base].[Metrica].&amp;[" &amp; $A88 &amp; "]",
"[Base].[SEGMENTO_DESCRIP]",
"[Base].[SEGMENTO_DESCRIP].&amp;[" &amp; $C$6 &amp; "]",
"[Base].[SITUACION]",
"[Base].[SITUACION].&amp;[" &amp; $C88 &amp; "]"
),0)/1000</f>
        <v>-1792.7635124914998</v>
      </c>
      <c r="AM88" s="8">
        <f>IFERROR(
GETPIVOTDATA(
"[Base].[Importe]",
TDinamica_R!$A$5,
"[Calendario].[AñoMes]",
"[Calendario].[AñoMes].&amp;[" &amp; TEXT(AM$6,"yyyymm") &amp; "]",
"[Base].[Metrica]",
"[Base].[Metrica].&amp;[" &amp; $A88 &amp; "]",
"[Base].[SEGMENTO_DESCRIP]",
"[Base].[SEGMENTO_DESCRIP].&amp;[" &amp; $C$6 &amp; "]",
"[Base].[SITUACION]",
"[Base].[SITUACION].&amp;[" &amp; $C88 &amp; "]"
),0)/1000</f>
        <v>-1642.2494855097002</v>
      </c>
      <c r="AN88" s="8">
        <f>IFERROR(
GETPIVOTDATA(
"[Base].[Importe]",
TDinamica_R!$A$5,
"[Calendario].[AñoMes]",
"[Calendario].[AñoMes].&amp;[" &amp; TEXT(AN$6,"yyyymm") &amp; "]",
"[Base].[Metrica]",
"[Base].[Metrica].&amp;[" &amp; $A88 &amp; "]",
"[Base].[SEGMENTO_DESCRIP]",
"[Base].[SEGMENTO_DESCRIP].&amp;[" &amp; $C$6 &amp; "]",
"[Base].[SITUACION]",
"[Base].[SITUACION].&amp;[" &amp; $C88 &amp; "]"
),0)/1000</f>
        <v>-1922.2016211742002</v>
      </c>
      <c r="AO88" s="8">
        <f>IFERROR(
GETPIVOTDATA(
"[Base].[Importe]",
TDinamica_R!$A$5,
"[Calendario].[AñoMes]",
"[Calendario].[AñoMes].&amp;[" &amp; TEXT(AO$6,"yyyymm") &amp; "]",
"[Base].[Metrica]",
"[Base].[Metrica].&amp;[" &amp; $A88 &amp; "]",
"[Base].[SEGMENTO_DESCRIP]",
"[Base].[SEGMENTO_DESCRIP].&amp;[" &amp; $C$6 &amp; "]",
"[Base].[SITUACION]",
"[Base].[SITUACION].&amp;[" &amp; $C88 &amp; "]"
),0)/1000</f>
        <v>-1776.1789921098998</v>
      </c>
      <c r="AP88" s="8">
        <f>IFERROR(
GETPIVOTDATA(
"[Base].[Importe]",
TDinamica_R!$A$5,
"[Calendario].[AñoMes]",
"[Calendario].[AñoMes].&amp;[" &amp; TEXT(AP$6,"yyyymm") &amp; "]",
"[Base].[Metrica]",
"[Base].[Metrica].&amp;[" &amp; $A88 &amp; "]",
"[Base].[SEGMENTO_DESCRIP]",
"[Base].[SEGMENTO_DESCRIP].&amp;[" &amp; $C$6 &amp; "]",
"[Base].[SITUACION]",
"[Base].[SITUACION].&amp;[" &amp; $C88 &amp; "]"
),0)/1000</f>
        <v>-1837.2915385926999</v>
      </c>
      <c r="AQ88" s="8">
        <f>IFERROR(
GETPIVOTDATA(
"[Base].[Importe]",
TDinamica_R!$A$5,
"[Calendario].[AñoMes]",
"[Calendario].[AñoMes].&amp;[" &amp; TEXT(AQ$6,"yyyymm") &amp; "]",
"[Base].[Metrica]",
"[Base].[Metrica].&amp;[" &amp; $A88 &amp; "]",
"[Base].[SEGMENTO_DESCRIP]",
"[Base].[SEGMENTO_DESCRIP].&amp;[" &amp; $C$6 &amp; "]",
"[Base].[SITUACION]",
"[Base].[SITUACION].&amp;[" &amp; $C88 &amp; "]"
),0)/1000</f>
        <v>-1991.6836350128999</v>
      </c>
      <c r="AR88" s="8">
        <f>IFERROR(
GETPIVOTDATA(
"[Base].[Importe]",
TDinamica_R!$A$5,
"[Calendario].[AñoMes]",
"[Calendario].[AñoMes].&amp;[" &amp; TEXT(AR$6,"yyyymm") &amp; "]",
"[Base].[Metrica]",
"[Base].[Metrica].&amp;[" &amp; $A88 &amp; "]",
"[Base].[SEGMENTO_DESCRIP]",
"[Base].[SEGMENTO_DESCRIP].&amp;[" &amp; $C$6 &amp; "]",
"[Base].[SITUACION]",
"[Base].[SITUACION].&amp;[" &amp; $C88 &amp; "]"
),0)/1000</f>
        <v>-1707.1790683109002</v>
      </c>
      <c r="AS88" s="8">
        <f>IFERROR(
GETPIVOTDATA(
"[Base].[Importe]",
TDinamica_R!$A$5,
"[Calendario].[AñoMes]",
"[Calendario].[AñoMes].&amp;[" &amp; TEXT(AS$6,"yyyymm") &amp; "]",
"[Base].[Metrica]",
"[Base].[Metrica].&amp;[" &amp; $A88 &amp; "]",
"[Base].[SEGMENTO_DESCRIP]",
"[Base].[SEGMENTO_DESCRIP].&amp;[" &amp; $C$6 &amp; "]",
"[Base].[SITUACION]",
"[Base].[SITUACION].&amp;[" &amp; $C88 &amp; "]"
),0)/1000</f>
        <v>-1966.7527686389001</v>
      </c>
      <c r="AT88" s="8">
        <f>IFERROR(
GETPIVOTDATA(
"[Base].[Importe]",
TDinamica_R!$A$5,
"[Calendario].[AñoMes]",
"[Calendario].[AñoMes].&amp;[" &amp; TEXT(AT$6,"yyyymm")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U88" s="8">
        <f>IFERROR(
GETPIVOTDATA(
"[Base].[Importe]",
TDinamica_R!$A$5,
"[Calendario].[AñoMes]",
"[Calendario].[AñoMes].&amp;[" &amp; TEXT(AU$6,"yyyymm")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V88" s="8">
        <f>IFERROR(
GETPIVOTDATA(
"[Base].[Importe]",
TDinamica_R!$A$5,
"[Calendario].[AñoMes]",
"[Calendario].[AñoMes].&amp;[" &amp; TEXT(AV$6,"yyyymm")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W88" s="8">
        <f>IFERROR(
GETPIVOTDATA(
"[Base].[Importe]",
TDinamica_R!$A$5,
"[Calendario].[AñoMes]",
"[Calendario].[AñoMes].&amp;[" &amp; TEXT(AW$6,"yyyymm")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X88" s="8">
        <f>IFERROR(
GETPIVOTDATA(
"[Base].[Importe]",
TDinamica_R!$A$5,
"[Calendario].[AñoMes]",
"[Calendario].[AñoMes].&amp;[" &amp; TEXT(AX$6,"yyyymm")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Y88" s="8">
        <f>IFERROR(
GETPIVOTDATA(
"[Base].[Importe]",
TDinamica_R!$A$5,
"[Calendario].[AñoMes]",
"[Calendario].[AñoMes].&amp;[" &amp; TEXT(AY$6,"yyyymm")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Z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TEXT(AZ$6,"yyyymm") &amp; "]"
),
0
)</f>
        <v>-1802.7082873052</v>
      </c>
      <c r="BA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TEXT(BA$6,"yyyymm") &amp; "]"
),
0
)</f>
        <v>-1789.6503811916</v>
      </c>
      <c r="BB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TEXT(BB$6,"yyyymm") &amp; "]"
),
0
)</f>
        <v>-1828.8213881967001</v>
      </c>
      <c r="BC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TEXT(BC$6,"yyyymm") &amp; "]"
),
0
)</f>
        <v>-1789.0760206505001</v>
      </c>
      <c r="BD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TEXT(BD$6,"yyyymm") &amp; "]"
),
0
)</f>
        <v>-1851.3148730478001</v>
      </c>
      <c r="BE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TEXT(BE$6,"yyyymm") &amp; "]"
),
0
)</f>
        <v>-1905.9068058652999</v>
      </c>
      <c r="BF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TEXT(BF$6,"yyyymm") &amp; "]"
),
0
)</f>
        <v>-1841.6362107006</v>
      </c>
      <c r="BG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TEXT(BG$6,"yyyymm") &amp; "]"
),
0
)</f>
        <v>-1834.2080813750997</v>
      </c>
      <c r="BH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TEXT(BH$6,"yyyymm") &amp; "]"
),
0
)</f>
        <v>-1974.1892553750001</v>
      </c>
      <c r="BI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TEXT(BI$6,"yyyymm") &amp; "]"
),
0
)</f>
        <v>-1891.6509134684002</v>
      </c>
      <c r="BJ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TEXT(BJ$6,"yyyymm") &amp; "]"
),
0
)</f>
        <v>-1875.1689361466999</v>
      </c>
      <c r="BK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TEXT(BK$6,"yyyymm") &amp; "]"
),
0
)</f>
        <v>-1900.8484456726001</v>
      </c>
      <c r="BO88" s="24">
        <f t="shared" si="69"/>
        <v>-5535.6721518767999</v>
      </c>
      <c r="BP88" s="24">
        <f t="shared" si="69"/>
        <v>-5421.1800566934999</v>
      </c>
      <c r="BQ88" s="24">
        <f t="shared" si="69"/>
        <v>-3698.3806132841</v>
      </c>
      <c r="BR88" s="24">
        <f t="shared" si="69"/>
        <v>-4622.1320754285007</v>
      </c>
      <c r="BS88" s="24">
        <f t="shared" si="69"/>
        <v>-4156.1061282464998</v>
      </c>
      <c r="BT88" s="24">
        <f t="shared" si="69"/>
        <v>-4463.5564140597999</v>
      </c>
    </row>
    <row r="89" spans="1:72" collapsed="1" x14ac:dyDescent="0.25">
      <c r="C89" s="3" t="s">
        <v>76</v>
      </c>
      <c r="D89" s="10">
        <f>SUM(D86:D88)</f>
        <v>-3319.7373064338999</v>
      </c>
      <c r="E89" s="10">
        <f t="shared" ref="E89:AY89" si="70">SUM(E86:E88)</f>
        <v>-3493.2976176343</v>
      </c>
      <c r="F89" s="10">
        <f t="shared" si="70"/>
        <v>-3515.8965586163004</v>
      </c>
      <c r="G89" s="10">
        <f t="shared" si="70"/>
        <v>-3542.0905152608993</v>
      </c>
      <c r="H89" s="10">
        <f t="shared" si="70"/>
        <v>-3599.8614255405</v>
      </c>
      <c r="I89" s="10">
        <f t="shared" si="70"/>
        <v>-3517.4531170790005</v>
      </c>
      <c r="J89" s="10">
        <f t="shared" si="70"/>
        <v>-3386.1748818288997</v>
      </c>
      <c r="K89" s="10">
        <f t="shared" si="70"/>
        <v>-3321.4590942289997</v>
      </c>
      <c r="L89" s="10">
        <f t="shared" si="70"/>
        <v>-3350.0421054656999</v>
      </c>
      <c r="M89" s="10">
        <f t="shared" si="70"/>
        <v>-3164.0143296224005</v>
      </c>
      <c r="N89" s="10">
        <f t="shared" si="70"/>
        <v>-3355.5404749499003</v>
      </c>
      <c r="O89" s="10">
        <f t="shared" si="70"/>
        <v>-3039.6725109708004</v>
      </c>
      <c r="P89" s="10">
        <f t="shared" si="70"/>
        <v>-3049.8346209066999</v>
      </c>
      <c r="Q89" s="10">
        <f t="shared" si="70"/>
        <v>-3131.4603873706001</v>
      </c>
      <c r="R89" s="10">
        <f t="shared" si="70"/>
        <v>-2995.8621441463001</v>
      </c>
      <c r="S89" s="10">
        <f t="shared" si="70"/>
        <v>-3158.3722612208003</v>
      </c>
      <c r="T89" s="10">
        <f t="shared" si="70"/>
        <v>-3316.3231464770001</v>
      </c>
      <c r="U89" s="10">
        <f t="shared" si="70"/>
        <v>-3810.2082497752999</v>
      </c>
      <c r="V89" s="10">
        <f t="shared" si="70"/>
        <v>-3719.2349923748998</v>
      </c>
      <c r="W89" s="10">
        <f t="shared" si="70"/>
        <v>-3344.1491962532</v>
      </c>
      <c r="X89" s="10">
        <f t="shared" si="70"/>
        <v>-3245.3899264919996</v>
      </c>
      <c r="Y89" s="10">
        <f t="shared" si="70"/>
        <v>-3076.6703008576005</v>
      </c>
      <c r="Z89" s="10">
        <f t="shared" si="70"/>
        <v>-3032.0468388948002</v>
      </c>
      <c r="AA89" s="10">
        <f t="shared" si="70"/>
        <v>-3004.1915027530003</v>
      </c>
      <c r="AB89" s="10">
        <f t="shared" si="70"/>
        <v>-3177.4348434459998</v>
      </c>
      <c r="AC89" s="10">
        <f t="shared" si="70"/>
        <v>-2850.8939789837004</v>
      </c>
      <c r="AD89" s="10">
        <f t="shared" si="70"/>
        <v>-3170.9446577395001</v>
      </c>
      <c r="AE89" s="10">
        <f t="shared" si="70"/>
        <v>-3135.7717576738005</v>
      </c>
      <c r="AF89" s="10">
        <f t="shared" si="70"/>
        <v>-3213.9435046547001</v>
      </c>
      <c r="AG89" s="10">
        <f t="shared" si="70"/>
        <v>-3227.8975937901</v>
      </c>
      <c r="AH89" s="10">
        <f t="shared" si="70"/>
        <v>-3226.8304093241995</v>
      </c>
      <c r="AI89" s="10">
        <f t="shared" si="70"/>
        <v>-3307.6935767086998</v>
      </c>
      <c r="AJ89" s="10">
        <f t="shared" si="70"/>
        <v>-3185.2052033035998</v>
      </c>
      <c r="AK89" s="10">
        <f t="shared" si="70"/>
        <v>-2959.1477434642002</v>
      </c>
      <c r="AL89" s="10">
        <f t="shared" si="70"/>
        <v>-3229.4559245005998</v>
      </c>
      <c r="AM89" s="10">
        <f t="shared" si="70"/>
        <v>-3499.4654532650002</v>
      </c>
      <c r="AN89" s="10">
        <f t="shared" si="70"/>
        <v>-3499.1158601508</v>
      </c>
      <c r="AO89" s="10">
        <f t="shared" si="70"/>
        <v>-3530.7354958177998</v>
      </c>
      <c r="AP89" s="10">
        <f t="shared" si="70"/>
        <v>-3682.3732243073</v>
      </c>
      <c r="AQ89" s="10">
        <f t="shared" si="70"/>
        <v>-3866.0303464485996</v>
      </c>
      <c r="AR89" s="10">
        <f t="shared" si="70"/>
        <v>-3435.5956053988002</v>
      </c>
      <c r="AS89" s="10">
        <f t="shared" si="70"/>
        <v>-3843.8350061174006</v>
      </c>
      <c r="AT89" s="10">
        <f t="shared" si="70"/>
        <v>0</v>
      </c>
      <c r="AU89" s="10">
        <f t="shared" si="70"/>
        <v>0</v>
      </c>
      <c r="AV89" s="10">
        <f t="shared" si="70"/>
        <v>0</v>
      </c>
      <c r="AW89" s="10">
        <f t="shared" si="70"/>
        <v>0</v>
      </c>
      <c r="AX89" s="10">
        <f t="shared" si="70"/>
        <v>0</v>
      </c>
      <c r="AY89" s="10">
        <f t="shared" si="70"/>
        <v>0</v>
      </c>
      <c r="AZ89" s="10">
        <f t="shared" ref="AZ89:BK89" si="71">SUM(AZ86:AZ88)</f>
        <v>-3464.0601214590001</v>
      </c>
      <c r="BA89" s="10">
        <f t="shared" si="71"/>
        <v>-3422.4113102483998</v>
      </c>
      <c r="BB89" s="10">
        <f t="shared" si="71"/>
        <v>-3516.4448687826998</v>
      </c>
      <c r="BC89" s="10">
        <f t="shared" si="71"/>
        <v>-3479.0366082394003</v>
      </c>
      <c r="BD89" s="10">
        <f t="shared" si="71"/>
        <v>-3581.5223981919999</v>
      </c>
      <c r="BE89" s="10">
        <f t="shared" si="71"/>
        <v>-3726.1885559613002</v>
      </c>
      <c r="BF89" s="10">
        <f t="shared" si="71"/>
        <v>-3544.9833046229005</v>
      </c>
      <c r="BG89" s="10">
        <f t="shared" si="71"/>
        <v>-3582.1872160595995</v>
      </c>
      <c r="BH89" s="10">
        <f t="shared" si="71"/>
        <v>-3767.5971611798004</v>
      </c>
      <c r="BI89" s="10">
        <f t="shared" si="71"/>
        <v>-3644.1886950248004</v>
      </c>
      <c r="BJ89" s="10">
        <f t="shared" si="71"/>
        <v>-3628.7109422381</v>
      </c>
      <c r="BK89" s="10">
        <f t="shared" si="71"/>
        <v>-3653.0461087341</v>
      </c>
      <c r="BO89" s="23">
        <f t="shared" ref="BO89:BT89" si="72">SUM(BO86:BO88)</f>
        <v>-10712.224580275899</v>
      </c>
      <c r="BP89" s="23">
        <f t="shared" si="72"/>
        <v>-10402.9163004901</v>
      </c>
      <c r="BQ89" s="23">
        <f t="shared" si="72"/>
        <v>-7029.8513559685998</v>
      </c>
      <c r="BR89" s="23">
        <f t="shared" si="72"/>
        <v>-9199.2734801692004</v>
      </c>
      <c r="BS89" s="23">
        <f t="shared" si="72"/>
        <v>-9177.1571524235987</v>
      </c>
      <c r="BT89" s="23">
        <f t="shared" si="72"/>
        <v>-10328.9314826845</v>
      </c>
    </row>
    <row r="91" spans="1:72" hidden="1" outlineLevel="1" x14ac:dyDescent="0.25">
      <c r="A91" s="11" t="s">
        <v>81</v>
      </c>
      <c r="C91" s="2" t="s">
        <v>85</v>
      </c>
      <c r="D91" s="8">
        <f>IFERROR(
GETPIVOTDATA(
"[Base].[Importe]",
TDinamica_R!$A$5,
"[Calendario].[AñoMes]",
"[Calendario].[AñoMes].&amp;[" &amp; TEXT(D$6,"yyyymm")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E91" s="8">
        <f>IFERROR(
GETPIVOTDATA(
"[Base].[Importe]",
TDinamica_R!$A$5,
"[Calendario].[AñoMes]",
"[Calendario].[AñoMes].&amp;[" &amp; TEXT(E$6,"yyyymm")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F91" s="8">
        <f>IFERROR(
GETPIVOTDATA(
"[Base].[Importe]",
TDinamica_R!$A$5,
"[Calendario].[AñoMes]",
"[Calendario].[AñoMes].&amp;[" &amp; TEXT(F$6,"yyyymm")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G91" s="8">
        <f>IFERROR(
GETPIVOTDATA(
"[Base].[Importe]",
TDinamica_R!$A$5,
"[Calendario].[AñoMes]",
"[Calendario].[AñoMes].&amp;[" &amp; TEXT(G$6,"yyyymm")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H91" s="8">
        <f>IFERROR(
GETPIVOTDATA(
"[Base].[Importe]",
TDinamica_R!$A$5,
"[Calendario].[AñoMes]",
"[Calendario].[AñoMes].&amp;[" &amp; TEXT(H$6,"yyyymm")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I91" s="8">
        <f>IFERROR(
GETPIVOTDATA(
"[Base].[Importe]",
TDinamica_R!$A$5,
"[Calendario].[AñoMes]",
"[Calendario].[AñoMes].&amp;[" &amp; TEXT(I$6,"yyyymm")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J91" s="8">
        <f>IFERROR(
GETPIVOTDATA(
"[Base].[Importe]",
TDinamica_R!$A$5,
"[Calendario].[AñoMes]",
"[Calendario].[AñoMes].&amp;[" &amp; TEXT(J$6,"yyyymm")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K91" s="8">
        <f>IFERROR(
GETPIVOTDATA(
"[Base].[Importe]",
TDinamica_R!$A$5,
"[Calendario].[AñoMes]",
"[Calendario].[AñoMes].&amp;[" &amp; TEXT(K$6,"yyyymm")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L91" s="8">
        <f>IFERROR(
GETPIVOTDATA(
"[Base].[Importe]",
TDinamica_R!$A$5,
"[Calendario].[AñoMes]",
"[Calendario].[AñoMes].&amp;[" &amp; TEXT(L$6,"yyyymm")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M91" s="8">
        <f>IFERROR(
GETPIVOTDATA(
"[Base].[Importe]",
TDinamica_R!$A$5,
"[Calendario].[AñoMes]",
"[Calendario].[AñoMes].&amp;[" &amp; TEXT(M$6,"yyyymm")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N91" s="8">
        <f>IFERROR(
GETPIVOTDATA(
"[Base].[Importe]",
TDinamica_R!$A$5,
"[Calendario].[AñoMes]",
"[Calendario].[AñoMes].&amp;[" &amp; TEXT(N$6,"yyyymm")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O91" s="8">
        <f>IFERROR(
GETPIVOTDATA(
"[Base].[Importe]",
TDinamica_R!$A$5,
"[Calendario].[AñoMes]",
"[Calendario].[AñoMes].&amp;[" &amp; TEXT(O$6,"yyyymm")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P91" s="8">
        <f>IFERROR(
GETPIVOTDATA(
"[Base].[Importe]",
TDinamica_R!$A$5,
"[Calendario].[AñoMes]",
"[Calendario].[AñoMes].&amp;[" &amp; TEXT(P$6,"yyyymm")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Q91" s="8">
        <f>IFERROR(
GETPIVOTDATA(
"[Base].[Importe]",
TDinamica_R!$A$5,
"[Calendario].[AñoMes]",
"[Calendario].[AñoMes].&amp;[" &amp; TEXT(Q$6,"yyyymm")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R91" s="8">
        <f>IFERROR(
GETPIVOTDATA(
"[Base].[Importe]",
TDinamica_R!$A$5,
"[Calendario].[AñoMes]",
"[Calendario].[AñoMes].&amp;[" &amp; TEXT(R$6,"yyyymm")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S91" s="8">
        <f>IFERROR(
GETPIVOTDATA(
"[Base].[Importe]",
TDinamica_R!$A$5,
"[Calendario].[AñoMes]",
"[Calendario].[AñoMes].&amp;[" &amp; TEXT(S$6,"yyyymm")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T91" s="8">
        <f>IFERROR(
GETPIVOTDATA(
"[Base].[Importe]",
TDinamica_R!$A$5,
"[Calendario].[AñoMes]",
"[Calendario].[AñoMes].&amp;[" &amp; TEXT(T$6,"yyyymm")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U91" s="8">
        <f>IFERROR(
GETPIVOTDATA(
"[Base].[Importe]",
TDinamica_R!$A$5,
"[Calendario].[AñoMes]",
"[Calendario].[AñoMes].&amp;[" &amp; TEXT(U$6,"yyyymm")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V91" s="8">
        <f>IFERROR(
GETPIVOTDATA(
"[Base].[Importe]",
TDinamica_R!$A$5,
"[Calendario].[AñoMes]",
"[Calendario].[AñoMes].&amp;[" &amp; TEXT(V$6,"yyyymm")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W91" s="8">
        <f>IFERROR(
GETPIVOTDATA(
"[Base].[Importe]",
TDinamica_R!$A$5,
"[Calendario].[AñoMes]",
"[Calendario].[AñoMes].&amp;[" &amp; TEXT(W$6,"yyyymm")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X91" s="8">
        <f>IFERROR(
GETPIVOTDATA(
"[Base].[Importe]",
TDinamica_R!$A$5,
"[Calendario].[AñoMes]",
"[Calendario].[AñoMes].&amp;[" &amp; TEXT(X$6,"yyyymm")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Y91" s="8">
        <f>IFERROR(
GETPIVOTDATA(
"[Base].[Importe]",
TDinamica_R!$A$5,
"[Calendario].[AñoMes]",
"[Calendario].[AñoMes].&amp;[" &amp; TEXT(Y$6,"yyyymm")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Z91" s="8">
        <f>IFERROR(
GETPIVOTDATA(
"[Base].[Importe]",
TDinamica_R!$A$5,
"[Calendario].[AñoMes]",
"[Calendario].[AñoMes].&amp;[" &amp; TEXT(Z$6,"yyyymm")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A91" s="8">
        <f>IFERROR(
GETPIVOTDATA(
"[Base].[Importe]",
TDinamica_R!$A$5,
"[Calendario].[AñoMes]",
"[Calendario].[AñoMes].&amp;[" &amp; TEXT(AA$6,"yyyymm")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B91" s="8">
        <f>IFERROR(
GETPIVOTDATA(
"[Base].[Importe]",
TDinamica_R!$A$5,
"[Calendario].[AñoMes]",
"[Calendario].[AñoMes].&amp;[" &amp; TEXT(AB$6,"yyyymm")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C91" s="8">
        <f>IFERROR(
GETPIVOTDATA(
"[Base].[Importe]",
TDinamica_R!$A$5,
"[Calendario].[AñoMes]",
"[Calendario].[AñoMes].&amp;[" &amp; TEXT(AC$6,"yyyymm")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D91" s="8">
        <f>IFERROR(
GETPIVOTDATA(
"[Base].[Importe]",
TDinamica_R!$A$5,
"[Calendario].[AñoMes]",
"[Calendario].[AñoMes].&amp;[" &amp; TEXT(AD$6,"yyyymm")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E91" s="8">
        <f>IFERROR(
GETPIVOTDATA(
"[Base].[Importe]",
TDinamica_R!$A$5,
"[Calendario].[AñoMes]",
"[Calendario].[AñoMes].&amp;[" &amp; TEXT(AE$6,"yyyymm")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F91" s="8">
        <f>IFERROR(
GETPIVOTDATA(
"[Base].[Importe]",
TDinamica_R!$A$5,
"[Calendario].[AñoMes]",
"[Calendario].[AñoMes].&amp;[" &amp; TEXT(AF$6,"yyyymm")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G91" s="8">
        <f>IFERROR(
GETPIVOTDATA(
"[Base].[Importe]",
TDinamica_R!$A$5,
"[Calendario].[AñoMes]",
"[Calendario].[AñoMes].&amp;[" &amp; TEXT(AG$6,"yyyymm")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H91" s="8">
        <f>IFERROR(
GETPIVOTDATA(
"[Base].[Importe]",
TDinamica_R!$A$5,
"[Calendario].[AñoMes]",
"[Calendario].[AñoMes].&amp;[" &amp; TEXT(AH$6,"yyyymm")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I91" s="8">
        <f>IFERROR(
GETPIVOTDATA(
"[Base].[Importe]",
TDinamica_R!$A$5,
"[Calendario].[AñoMes]",
"[Calendario].[AñoMes].&amp;[" &amp; TEXT(AI$6,"yyyymm")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J91" s="8">
        <f>IFERROR(
GETPIVOTDATA(
"[Base].[Importe]",
TDinamica_R!$A$5,
"[Calendario].[AñoMes]",
"[Calendario].[AñoMes].&amp;[" &amp; TEXT(AJ$6,"yyyymm")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K91" s="8">
        <f>IFERROR(
GETPIVOTDATA(
"[Base].[Importe]",
TDinamica_R!$A$5,
"[Calendario].[AñoMes]",
"[Calendario].[AñoMes].&amp;[" &amp; TEXT(AK$6,"yyyymm")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L91" s="8">
        <f>IFERROR(
GETPIVOTDATA(
"[Base].[Importe]",
TDinamica_R!$A$5,
"[Calendario].[AñoMes]",
"[Calendario].[AñoMes].&amp;[" &amp; TEXT(AL$6,"yyyymm")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M91" s="8">
        <f>IFERROR(
GETPIVOTDATA(
"[Base].[Importe]",
TDinamica_R!$A$5,
"[Calendario].[AñoMes]",
"[Calendario].[AñoMes].&amp;[" &amp; TEXT(AM$6,"yyyymm")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N91" s="8">
        <f>IFERROR(
GETPIVOTDATA(
"[Base].[Importe]",
TDinamica_R!$A$5,
"[Calendario].[AñoMes]",
"[Calendario].[AñoMes].&amp;[" &amp; TEXT(AN$6,"yyyymm")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O91" s="8">
        <f>IFERROR(
GETPIVOTDATA(
"[Base].[Importe]",
TDinamica_R!$A$5,
"[Calendario].[AñoMes]",
"[Calendario].[AñoMes].&amp;[" &amp; TEXT(AO$6,"yyyymm")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P91" s="8">
        <f>IFERROR(
GETPIVOTDATA(
"[Base].[Importe]",
TDinamica_R!$A$5,
"[Calendario].[AñoMes]",
"[Calendario].[AñoMes].&amp;[" &amp; TEXT(AP$6,"yyyymm")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Q91" s="8">
        <f>IFERROR(
GETPIVOTDATA(
"[Base].[Importe]",
TDinamica_R!$A$5,
"[Calendario].[AñoMes]",
"[Calendario].[AñoMes].&amp;[" &amp; TEXT(AQ$6,"yyyymm")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R91" s="8">
        <f>IFERROR(
GETPIVOTDATA(
"[Base].[Importe]",
TDinamica_R!$A$5,
"[Calendario].[AñoMes]",
"[Calendario].[AñoMes].&amp;[" &amp; TEXT(AR$6,"yyyymm")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S91" s="8">
        <f>IFERROR(
GETPIVOTDATA(
"[Base].[Importe]",
TDinamica_R!$A$5,
"[Calendario].[AñoMes]",
"[Calendario].[AñoMes].&amp;[" &amp; TEXT(AS$6,"yyyymm")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T91" s="8">
        <f>IFERROR(
GETPIVOTDATA(
"[Base].[Importe]",
TDinamica_R!$A$5,
"[Calendario].[AñoMes]",
"[Calendario].[AñoMes].&amp;[" &amp; TEXT(AT$6,"yyyymm")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U91" s="8">
        <f>IFERROR(
GETPIVOTDATA(
"[Base].[Importe]",
TDinamica_R!$A$5,
"[Calendario].[AñoMes]",
"[Calendario].[AñoMes].&amp;[" &amp; TEXT(AU$6,"yyyymm")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V91" s="8">
        <f>IFERROR(
GETPIVOTDATA(
"[Base].[Importe]",
TDinamica_R!$A$5,
"[Calendario].[AñoMes]",
"[Calendario].[AñoMes].&amp;[" &amp; TEXT(AV$6,"yyyymm")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W91" s="8">
        <f>IFERROR(
GETPIVOTDATA(
"[Base].[Importe]",
TDinamica_R!$A$5,
"[Calendario].[AñoMes]",
"[Calendario].[AñoMes].&amp;[" &amp; TEXT(AW$6,"yyyymm")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X91" s="8">
        <f>IFERROR(
GETPIVOTDATA(
"[Base].[Importe]",
TDinamica_R!$A$5,
"[Calendario].[AñoMes]",
"[Calendario].[AñoMes].&amp;[" &amp; TEXT(AX$6,"yyyymm")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Y91" s="8">
        <f>IFERROR(
GETPIVOTDATA(
"[Base].[Importe]",
TDinamica_R!$A$5,
"[Calendario].[AñoMes]",
"[Calendario].[AñoMes].&amp;[" &amp; TEXT(AY$6,"yyyymm")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Z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TEXT(AZ$6,"yyyymm") &amp; "]"
),
0
)</f>
        <v>0</v>
      </c>
      <c r="BA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TEXT(BA$6,"yyyymm") &amp; "]"
),
0
)</f>
        <v>0</v>
      </c>
      <c r="BB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TEXT(BB$6,"yyyymm") &amp; "]"
),
0
)</f>
        <v>0</v>
      </c>
      <c r="BC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TEXT(BC$6,"yyyymm") &amp; "]"
),
0
)</f>
        <v>0</v>
      </c>
      <c r="BD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TEXT(BD$6,"yyyymm") &amp; "]"
),
0
)</f>
        <v>0</v>
      </c>
      <c r="BE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TEXT(BE$6,"yyyymm") &amp; "]"
),
0
)</f>
        <v>0</v>
      </c>
      <c r="BF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TEXT(BF$6,"yyyymm") &amp; "]"
),
0
)</f>
        <v>0</v>
      </c>
      <c r="BG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TEXT(BG$6,"yyyymm") &amp; "]"
),
0
)</f>
        <v>0</v>
      </c>
      <c r="BH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TEXT(BH$6,"yyyymm") &amp; "]"
),
0
)</f>
        <v>0</v>
      </c>
      <c r="BI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TEXT(BI$6,"yyyymm") &amp; "]"
),
0
)</f>
        <v>0</v>
      </c>
      <c r="BJ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TEXT(BJ$6,"yyyymm") &amp; "]"
),
0
)</f>
        <v>0</v>
      </c>
      <c r="BK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TEXT(BK$6,"yyyymm") &amp; "]"
),
0
)</f>
        <v>0</v>
      </c>
      <c r="BO91" s="24">
        <f t="shared" ref="BO91:BT92" si="73">SUMIFS($D91:$BM91,$D$6:$BM$6,"&gt;="&amp;BO$2,$D$6:$BM$6,"&lt;="&amp;BO$6,$D$5:$BM$5,BO$5)</f>
        <v>0</v>
      </c>
      <c r="BP91" s="24">
        <f t="shared" si="73"/>
        <v>0</v>
      </c>
      <c r="BQ91" s="24">
        <f t="shared" si="73"/>
        <v>0</v>
      </c>
      <c r="BR91" s="24">
        <f t="shared" si="73"/>
        <v>0</v>
      </c>
      <c r="BS91" s="24">
        <f t="shared" si="73"/>
        <v>0</v>
      </c>
      <c r="BT91" s="24">
        <f t="shared" si="73"/>
        <v>0</v>
      </c>
    </row>
    <row r="92" spans="1:72" hidden="1" outlineLevel="1" x14ac:dyDescent="0.25">
      <c r="A92" s="11" t="s">
        <v>81</v>
      </c>
      <c r="C92" s="2" t="s">
        <v>48</v>
      </c>
      <c r="D92" s="8">
        <f>IFERROR(
GETPIVOTDATA(
"[Base].[Importe]",
TDinamica_R!$A$5,
"[Calendario].[AñoMes]",
"[Calendario].[AñoMes].&amp;[" &amp; TEXT(D$6,"yyyymm") &amp; "]",
"[Base].[Metrica]",
"[Base].[Metrica].&amp;[" &amp; $A92 &amp; "]",
"[Base].[SEGMENTO_DESCRIP]",
"[Base].[SEGMENTO_DESCRIP].&amp;[" &amp; $C$6 &amp; "]",
"[Base].[SITUACION]",
"[Base].[SITUACION].&amp;[" &amp; $C92 &amp; "]"
),0)/1000</f>
        <v>-136.3034347610392</v>
      </c>
      <c r="E92" s="8">
        <f>IFERROR(
GETPIVOTDATA(
"[Base].[Importe]",
TDinamica_R!$A$5,
"[Calendario].[AñoMes]",
"[Calendario].[AñoMes].&amp;[" &amp; TEXT(E$6,"yyyymm") &amp; "]",
"[Base].[Metrica]",
"[Base].[Metrica].&amp;[" &amp; $A92 &amp; "]",
"[Base].[SEGMENTO_DESCRIP]",
"[Base].[SEGMENTO_DESCRIP].&amp;[" &amp; $C$6 &amp; "]",
"[Base].[SITUACION]",
"[Base].[SITUACION].&amp;[" &amp; $C92 &amp; "]"
),0)/1000</f>
        <v>-110.4408721095638</v>
      </c>
      <c r="F92" s="8">
        <f>IFERROR(
GETPIVOTDATA(
"[Base].[Importe]",
TDinamica_R!$A$5,
"[Calendario].[AñoMes]",
"[Calendario].[AñoMes].&amp;[" &amp; TEXT(F$6,"yyyymm") &amp; "]",
"[Base].[Metrica]",
"[Base].[Metrica].&amp;[" &amp; $A92 &amp; "]",
"[Base].[SEGMENTO_DESCRIP]",
"[Base].[SEGMENTO_DESCRIP].&amp;[" &amp; $C$6 &amp; "]",
"[Base].[SITUACION]",
"[Base].[SITUACION].&amp;[" &amp; $C92 &amp; "]"
),0)/1000</f>
        <v>-38.235051665647255</v>
      </c>
      <c r="G92" s="8">
        <f>IFERROR(
GETPIVOTDATA(
"[Base].[Importe]",
TDinamica_R!$A$5,
"[Calendario].[AñoMes]",
"[Calendario].[AñoMes].&amp;[" &amp; TEXT(G$6,"yyyymm") &amp; "]",
"[Base].[Metrica]",
"[Base].[Metrica].&amp;[" &amp; $A92 &amp; "]",
"[Base].[SEGMENTO_DESCRIP]",
"[Base].[SEGMENTO_DESCRIP].&amp;[" &amp; $C$6 &amp; "]",
"[Base].[SITUACION]",
"[Base].[SITUACION].&amp;[" &amp; $C92 &amp; "]"
),0)/1000</f>
        <v>-99.727776261884756</v>
      </c>
      <c r="H92" s="8">
        <f>IFERROR(
GETPIVOTDATA(
"[Base].[Importe]",
TDinamica_R!$A$5,
"[Calendario].[AñoMes]",
"[Calendario].[AñoMes].&amp;[" &amp; TEXT(H$6,"yyyymm") &amp; "]",
"[Base].[Metrica]",
"[Base].[Metrica].&amp;[" &amp; $A92 &amp; "]",
"[Base].[SEGMENTO_DESCRIP]",
"[Base].[SEGMENTO_DESCRIP].&amp;[" &amp; $C$6 &amp; "]",
"[Base].[SITUACION]",
"[Base].[SITUACION].&amp;[" &amp; $C92 &amp; "]"
),0)/1000</f>
        <v>-73.189235832732521</v>
      </c>
      <c r="I92" s="8">
        <f>IFERROR(
GETPIVOTDATA(
"[Base].[Importe]",
TDinamica_R!$A$5,
"[Calendario].[AñoMes]",
"[Calendario].[AñoMes].&amp;[" &amp; TEXT(I$6,"yyyymm") &amp; "]",
"[Base].[Metrica]",
"[Base].[Metrica].&amp;[" &amp; $A92 &amp; "]",
"[Base].[SEGMENTO_DESCRIP]",
"[Base].[SEGMENTO_DESCRIP].&amp;[" &amp; $C$6 &amp; "]",
"[Base].[SITUACION]",
"[Base].[SITUACION].&amp;[" &amp; $C92 &amp; "]"
),0)/1000</f>
        <v>-197.04374338623231</v>
      </c>
      <c r="J92" s="8">
        <f>IFERROR(
GETPIVOTDATA(
"[Base].[Importe]",
TDinamica_R!$A$5,
"[Calendario].[AñoMes]",
"[Calendario].[AñoMes].&amp;[" &amp; TEXT(J$6,"yyyymm") &amp; "]",
"[Base].[Metrica]",
"[Base].[Metrica].&amp;[" &amp; $A92 &amp; "]",
"[Base].[SEGMENTO_DESCRIP]",
"[Base].[SEGMENTO_DESCRIP].&amp;[" &amp; $C$6 &amp; "]",
"[Base].[SITUACION]",
"[Base].[SITUACION].&amp;[" &amp; $C92 &amp; "]"
),0)/1000</f>
        <v>-147.14222107947867</v>
      </c>
      <c r="K92" s="8">
        <f>IFERROR(
GETPIVOTDATA(
"[Base].[Importe]",
TDinamica_R!$A$5,
"[Calendario].[AñoMes]",
"[Calendario].[AñoMes].&amp;[" &amp; TEXT(K$6,"yyyymm") &amp; "]",
"[Base].[Metrica]",
"[Base].[Metrica].&amp;[" &amp; $A92 &amp; "]",
"[Base].[SEGMENTO_DESCRIP]",
"[Base].[SEGMENTO_DESCRIP].&amp;[" &amp; $C$6 &amp; "]",
"[Base].[SITUACION]",
"[Base].[SITUACION].&amp;[" &amp; $C92 &amp; "]"
),0)/1000</f>
        <v>-448.25379955738276</v>
      </c>
      <c r="L92" s="8">
        <f>IFERROR(
GETPIVOTDATA(
"[Base].[Importe]",
TDinamica_R!$A$5,
"[Calendario].[AñoMes]",
"[Calendario].[AñoMes].&amp;[" &amp; TEXT(L$6,"yyyymm") &amp; "]",
"[Base].[Metrica]",
"[Base].[Metrica].&amp;[" &amp; $A92 &amp; "]",
"[Base].[SEGMENTO_DESCRIP]",
"[Base].[SEGMENTO_DESCRIP].&amp;[" &amp; $C$6 &amp; "]",
"[Base].[SITUACION]",
"[Base].[SITUACION].&amp;[" &amp; $C92 &amp; "]"
),0)/1000</f>
        <v>-40.170331270135556</v>
      </c>
      <c r="M92" s="8">
        <f>IFERROR(
GETPIVOTDATA(
"[Base].[Importe]",
TDinamica_R!$A$5,
"[Calendario].[AñoMes]",
"[Calendario].[AñoMes].&amp;[" &amp; TEXT(M$6,"yyyymm") &amp; "]",
"[Base].[Metrica]",
"[Base].[Metrica].&amp;[" &amp; $A92 &amp; "]",
"[Base].[SEGMENTO_DESCRIP]",
"[Base].[SEGMENTO_DESCRIP].&amp;[" &amp; $C$6 &amp; "]",
"[Base].[SITUACION]",
"[Base].[SITUACION].&amp;[" &amp; $C92 &amp; "]"
),0)/1000</f>
        <v>-283.66960679841935</v>
      </c>
      <c r="N92" s="8">
        <f>IFERROR(
GETPIVOTDATA(
"[Base].[Importe]",
TDinamica_R!$A$5,
"[Calendario].[AñoMes]",
"[Calendario].[AñoMes].&amp;[" &amp; TEXT(N$6,"yyyymm") &amp; "]",
"[Base].[Metrica]",
"[Base].[Metrica].&amp;[" &amp; $A92 &amp; "]",
"[Base].[SEGMENTO_DESCRIP]",
"[Base].[SEGMENTO_DESCRIP].&amp;[" &amp; $C$6 &amp; "]",
"[Base].[SITUACION]",
"[Base].[SITUACION].&amp;[" &amp; $C92 &amp; "]"
),0)/1000</f>
        <v>-149.98736949805493</v>
      </c>
      <c r="O92" s="8">
        <f>IFERROR(
GETPIVOTDATA(
"[Base].[Importe]",
TDinamica_R!$A$5,
"[Calendario].[AñoMes]",
"[Calendario].[AñoMes].&amp;[" &amp; TEXT(O$6,"yyyymm") &amp; "]",
"[Base].[Metrica]",
"[Base].[Metrica].&amp;[" &amp; $A92 &amp; "]",
"[Base].[SEGMENTO_DESCRIP]",
"[Base].[SEGMENTO_DESCRIP].&amp;[" &amp; $C$6 &amp; "]",
"[Base].[SITUACION]",
"[Base].[SITUACION].&amp;[" &amp; $C92 &amp; "]"
),0)/1000</f>
        <v>-105.74710658669039</v>
      </c>
      <c r="P92" s="8">
        <f>IFERROR(
GETPIVOTDATA(
"[Base].[Importe]",
TDinamica_R!$A$5,
"[Calendario].[AñoMes]",
"[Calendario].[AñoMes].&amp;[" &amp; TEXT(P$6,"yyyymm") &amp; "]",
"[Base].[Metrica]",
"[Base].[Metrica].&amp;[" &amp; $A92 &amp; "]",
"[Base].[SEGMENTO_DESCRIP]",
"[Base].[SEGMENTO_DESCRIP].&amp;[" &amp; $C$6 &amp; "]",
"[Base].[SITUACION]",
"[Base].[SITUACION].&amp;[" &amp; $C92 &amp; "]"
),0)/1000</f>
        <v>-157.6978378414822</v>
      </c>
      <c r="Q92" s="8">
        <f>IFERROR(
GETPIVOTDATA(
"[Base].[Importe]",
TDinamica_R!$A$5,
"[Calendario].[AñoMes]",
"[Calendario].[AñoMes].&amp;[" &amp; TEXT(Q$6,"yyyymm") &amp; "]",
"[Base].[Metrica]",
"[Base].[Metrica].&amp;[" &amp; $A92 &amp; "]",
"[Base].[SEGMENTO_DESCRIP]",
"[Base].[SEGMENTO_DESCRIP].&amp;[" &amp; $C$6 &amp; "]",
"[Base].[SITUACION]",
"[Base].[SITUACION].&amp;[" &amp; $C92 &amp; "]"
),0)/1000</f>
        <v>-124.49084667465722</v>
      </c>
      <c r="R92" s="8">
        <f>IFERROR(
GETPIVOTDATA(
"[Base].[Importe]",
TDinamica_R!$A$5,
"[Calendario].[AñoMes]",
"[Calendario].[AñoMes].&amp;[" &amp; TEXT(R$6,"yyyymm") &amp; "]",
"[Base].[Metrica]",
"[Base].[Metrica].&amp;[" &amp; $A92 &amp; "]",
"[Base].[SEGMENTO_DESCRIP]",
"[Base].[SEGMENTO_DESCRIP].&amp;[" &amp; $C$6 &amp; "]",
"[Base].[SITUACION]",
"[Base].[SITUACION].&amp;[" &amp; $C92 &amp; "]"
),0)/1000</f>
        <v>-76.165456076522673</v>
      </c>
      <c r="S92" s="8">
        <f>IFERROR(
GETPIVOTDATA(
"[Base].[Importe]",
TDinamica_R!$A$5,
"[Calendario].[AñoMes]",
"[Calendario].[AñoMes].&amp;[" &amp; TEXT(S$6,"yyyymm") &amp; "]",
"[Base].[Metrica]",
"[Base].[Metrica].&amp;[" &amp; $A92 &amp; "]",
"[Base].[SEGMENTO_DESCRIP]",
"[Base].[SEGMENTO_DESCRIP].&amp;[" &amp; $C$6 &amp; "]",
"[Base].[SITUACION]",
"[Base].[SITUACION].&amp;[" &amp; $C92 &amp; "]"
),0)/1000</f>
        <v>-208.79042792054923</v>
      </c>
      <c r="T92" s="8">
        <f>IFERROR(
GETPIVOTDATA(
"[Base].[Importe]",
TDinamica_R!$A$5,
"[Calendario].[AñoMes]",
"[Calendario].[AñoMes].&amp;[" &amp; TEXT(T$6,"yyyymm") &amp; "]",
"[Base].[Metrica]",
"[Base].[Metrica].&amp;[" &amp; $A92 &amp; "]",
"[Base].[SEGMENTO_DESCRIP]",
"[Base].[SEGMENTO_DESCRIP].&amp;[" &amp; $C$6 &amp; "]",
"[Base].[SITUACION]",
"[Base].[SITUACION].&amp;[" &amp; $C92 &amp; "]"
),0)/1000</f>
        <v>-299.41555034890865</v>
      </c>
      <c r="U92" s="8">
        <f>IFERROR(
GETPIVOTDATA(
"[Base].[Importe]",
TDinamica_R!$A$5,
"[Calendario].[AñoMes]",
"[Calendario].[AñoMes].&amp;[" &amp; TEXT(U$6,"yyyymm") &amp; "]",
"[Base].[Metrica]",
"[Base].[Metrica].&amp;[" &amp; $A92 &amp; "]",
"[Base].[SEGMENTO_DESCRIP]",
"[Base].[SEGMENTO_DESCRIP].&amp;[" &amp; $C$6 &amp; "]",
"[Base].[SITUACION]",
"[Base].[SITUACION].&amp;[" &amp; $C92 &amp; "]"
),0)/1000</f>
        <v>-302.69151873135758</v>
      </c>
      <c r="V92" s="8">
        <f>IFERROR(
GETPIVOTDATA(
"[Base].[Importe]",
TDinamica_R!$A$5,
"[Calendario].[AñoMes]",
"[Calendario].[AñoMes].&amp;[" &amp; TEXT(V$6,"yyyymm") &amp; "]",
"[Base].[Metrica]",
"[Base].[Metrica].&amp;[" &amp; $A92 &amp; "]",
"[Base].[SEGMENTO_DESCRIP]",
"[Base].[SEGMENTO_DESCRIP].&amp;[" &amp; $C$6 &amp; "]",
"[Base].[SITUACION]",
"[Base].[SITUACION].&amp;[" &amp; $C92 &amp; "]"
),0)/1000</f>
        <v>-192.4304712409488</v>
      </c>
      <c r="W92" s="8">
        <f>IFERROR(
GETPIVOTDATA(
"[Base].[Importe]",
TDinamica_R!$A$5,
"[Calendario].[AñoMes]",
"[Calendario].[AñoMes].&amp;[" &amp; TEXT(W$6,"yyyymm") &amp; "]",
"[Base].[Metrica]",
"[Base].[Metrica].&amp;[" &amp; $A92 &amp; "]",
"[Base].[SEGMENTO_DESCRIP]",
"[Base].[SEGMENTO_DESCRIP].&amp;[" &amp; $C$6 &amp; "]",
"[Base].[SITUACION]",
"[Base].[SITUACION].&amp;[" &amp; $C92 &amp; "]"
),0)/1000</f>
        <v>-177.63668386949732</v>
      </c>
      <c r="X92" s="8">
        <f>IFERROR(
GETPIVOTDATA(
"[Base].[Importe]",
TDinamica_R!$A$5,
"[Calendario].[AñoMes]",
"[Calendario].[AñoMes].&amp;[" &amp; TEXT(X$6,"yyyymm") &amp; "]",
"[Base].[Metrica]",
"[Base].[Metrica].&amp;[" &amp; $A92 &amp; "]",
"[Base].[SEGMENTO_DESCRIP]",
"[Base].[SEGMENTO_DESCRIP].&amp;[" &amp; $C$6 &amp; "]",
"[Base].[SITUACION]",
"[Base].[SITUACION].&amp;[" &amp; $C92 &amp; "]"
),0)/1000</f>
        <v>-341.52383466491864</v>
      </c>
      <c r="Y92" s="8">
        <f>IFERROR(
GETPIVOTDATA(
"[Base].[Importe]",
TDinamica_R!$A$5,
"[Calendario].[AñoMes]",
"[Calendario].[AñoMes].&amp;[" &amp; TEXT(Y$6,"yyyymm") &amp; "]",
"[Base].[Metrica]",
"[Base].[Metrica].&amp;[" &amp; $A92 &amp; "]",
"[Base].[SEGMENTO_DESCRIP]",
"[Base].[SEGMENTO_DESCRIP].&amp;[" &amp; $C$6 &amp; "]",
"[Base].[SITUACION]",
"[Base].[SITUACION].&amp;[" &amp; $C92 &amp; "]"
),0)/1000</f>
        <v>-127.36208089068856</v>
      </c>
      <c r="Z92" s="8">
        <f>IFERROR(
GETPIVOTDATA(
"[Base].[Importe]",
TDinamica_R!$A$5,
"[Calendario].[AñoMes]",
"[Calendario].[AñoMes].&amp;[" &amp; TEXT(Z$6,"yyyymm") &amp; "]",
"[Base].[Metrica]",
"[Base].[Metrica].&amp;[" &amp; $A92 &amp; "]",
"[Base].[SEGMENTO_DESCRIP]",
"[Base].[SEGMENTO_DESCRIP].&amp;[" &amp; $C$6 &amp; "]",
"[Base].[SITUACION]",
"[Base].[SITUACION].&amp;[" &amp; $C92 &amp; "]"
),0)/1000</f>
        <v>-118.39178467749984</v>
      </c>
      <c r="AA92" s="8">
        <f>IFERROR(
GETPIVOTDATA(
"[Base].[Importe]",
TDinamica_R!$A$5,
"[Calendario].[AñoMes]",
"[Calendario].[AñoMes].&amp;[" &amp; TEXT(AA$6,"yyyymm") &amp; "]",
"[Base].[Metrica]",
"[Base].[Metrica].&amp;[" &amp; $A92 &amp; "]",
"[Base].[SEGMENTO_DESCRIP]",
"[Base].[SEGMENTO_DESCRIP].&amp;[" &amp; $C$6 &amp; "]",
"[Base].[SITUACION]",
"[Base].[SITUACION].&amp;[" &amp; $C92 &amp; "]"
),0)/1000</f>
        <v>-170.85611213152521</v>
      </c>
      <c r="AB92" s="8">
        <f>IFERROR(
GETPIVOTDATA(
"[Base].[Importe]",
TDinamica_R!$A$5,
"[Calendario].[AñoMes]",
"[Calendario].[AñoMes].&amp;[" &amp; TEXT(AB$6,"yyyymm") &amp; "]",
"[Base].[Metrica]",
"[Base].[Metrica].&amp;[" &amp; $A92 &amp; "]",
"[Base].[SEGMENTO_DESCRIP]",
"[Base].[SEGMENTO_DESCRIP].&amp;[" &amp; $C$6 &amp; "]",
"[Base].[SITUACION]",
"[Base].[SITUACION].&amp;[" &amp; $C92 &amp; "]"
),0)/1000</f>
        <v>-64.092563313765623</v>
      </c>
      <c r="AC92" s="8">
        <f>IFERROR(
GETPIVOTDATA(
"[Base].[Importe]",
TDinamica_R!$A$5,
"[Calendario].[AñoMes]",
"[Calendario].[AñoMes].&amp;[" &amp; TEXT(AC$6,"yyyymm") &amp; "]",
"[Base].[Metrica]",
"[Base].[Metrica].&amp;[" &amp; $A92 &amp; "]",
"[Base].[SEGMENTO_DESCRIP]",
"[Base].[SEGMENTO_DESCRIP].&amp;[" &amp; $C$6 &amp; "]",
"[Base].[SITUACION]",
"[Base].[SITUACION].&amp;[" &amp; $C92 &amp; "]"
),0)/1000</f>
        <v>-56.872869048513714</v>
      </c>
      <c r="AD92" s="8">
        <f>IFERROR(
GETPIVOTDATA(
"[Base].[Importe]",
TDinamica_R!$A$5,
"[Calendario].[AñoMes]",
"[Calendario].[AñoMes].&amp;[" &amp; TEXT(AD$6,"yyyymm") &amp; "]",
"[Base].[Metrica]",
"[Base].[Metrica].&amp;[" &amp; $A92 &amp; "]",
"[Base].[SEGMENTO_DESCRIP]",
"[Base].[SEGMENTO_DESCRIP].&amp;[" &amp; $C$6 &amp; "]",
"[Base].[SITUACION]",
"[Base].[SITUACION].&amp;[" &amp; $C92 &amp; "]"
),0)/1000</f>
        <v>-52.227475259775318</v>
      </c>
      <c r="AE92" s="8">
        <f>IFERROR(
GETPIVOTDATA(
"[Base].[Importe]",
TDinamica_R!$A$5,
"[Calendario].[AñoMes]",
"[Calendario].[AñoMes].&amp;[" &amp; TEXT(AE$6,"yyyymm") &amp; "]",
"[Base].[Metrica]",
"[Base].[Metrica].&amp;[" &amp; $A92 &amp; "]",
"[Base].[SEGMENTO_DESCRIP]",
"[Base].[SEGMENTO_DESCRIP].&amp;[" &amp; $C$6 &amp; "]",
"[Base].[SITUACION]",
"[Base].[SITUACION].&amp;[" &amp; $C92 &amp; "]"
),0)/1000</f>
        <v>-401.20644296137851</v>
      </c>
      <c r="AF92" s="8">
        <f>IFERROR(
GETPIVOTDATA(
"[Base].[Importe]",
TDinamica_R!$A$5,
"[Calendario].[AñoMes]",
"[Calendario].[AñoMes].&amp;[" &amp; TEXT(AF$6,"yyyymm") &amp; "]",
"[Base].[Metrica]",
"[Base].[Metrica].&amp;[" &amp; $A92 &amp; "]",
"[Base].[SEGMENTO_DESCRIP]",
"[Base].[SEGMENTO_DESCRIP].&amp;[" &amp; $C$6 &amp; "]",
"[Base].[SITUACION]",
"[Base].[SITUACION].&amp;[" &amp; $C92 &amp; "]"
),0)/1000</f>
        <v>-242.44357360994567</v>
      </c>
      <c r="AG92" s="8">
        <f>IFERROR(
GETPIVOTDATA(
"[Base].[Importe]",
TDinamica_R!$A$5,
"[Calendario].[AñoMes]",
"[Calendario].[AñoMes].&amp;[" &amp; TEXT(AG$6,"yyyymm") &amp; "]",
"[Base].[Metrica]",
"[Base].[Metrica].&amp;[" &amp; $A92 &amp; "]",
"[Base].[SEGMENTO_DESCRIP]",
"[Base].[SEGMENTO_DESCRIP].&amp;[" &amp; $C$6 &amp; "]",
"[Base].[SITUACION]",
"[Base].[SITUACION].&amp;[" &amp; $C92 &amp; "]"
),0)/1000</f>
        <v>15.800541871656039</v>
      </c>
      <c r="AH92" s="8">
        <f>IFERROR(
GETPIVOTDATA(
"[Base].[Importe]",
TDinamica_R!$A$5,
"[Calendario].[AñoMes]",
"[Calendario].[AñoMes].&amp;[" &amp; TEXT(AH$6,"yyyymm") &amp; "]",
"[Base].[Metrica]",
"[Base].[Metrica].&amp;[" &amp; $A92 &amp; "]",
"[Base].[SEGMENTO_DESCRIP]",
"[Base].[SEGMENTO_DESCRIP].&amp;[" &amp; $C$6 &amp; "]",
"[Base].[SITUACION]",
"[Base].[SITUACION].&amp;[" &amp; $C92 &amp; "]"
),0)/1000</f>
        <v>-112.52976703648601</v>
      </c>
      <c r="AI92" s="8">
        <f>IFERROR(
GETPIVOTDATA(
"[Base].[Importe]",
TDinamica_R!$A$5,
"[Calendario].[AñoMes]",
"[Calendario].[AñoMes].&amp;[" &amp; TEXT(AI$6,"yyyymm") &amp; "]",
"[Base].[Metrica]",
"[Base].[Metrica].&amp;[" &amp; $A92 &amp; "]",
"[Base].[SEGMENTO_DESCRIP]",
"[Base].[SEGMENTO_DESCRIP].&amp;[" &amp; $C$6 &amp; "]",
"[Base].[SITUACION]",
"[Base].[SITUACION].&amp;[" &amp; $C92 &amp; "]"
),0)/1000</f>
        <v>-37.032294655845995</v>
      </c>
      <c r="AJ92" s="8">
        <f>IFERROR(
GETPIVOTDATA(
"[Base].[Importe]",
TDinamica_R!$A$5,
"[Calendario].[AñoMes]",
"[Calendario].[AñoMes].&amp;[" &amp; TEXT(AJ$6,"yyyymm") &amp; "]",
"[Base].[Metrica]",
"[Base].[Metrica].&amp;[" &amp; $A92 &amp; "]",
"[Base].[SEGMENTO_DESCRIP]",
"[Base].[SEGMENTO_DESCRIP].&amp;[" &amp; $C$6 &amp; "]",
"[Base].[SITUACION]",
"[Base].[SITUACION].&amp;[" &amp; $C92 &amp; "]"
),0)/1000</f>
        <v>-148.38721094012689</v>
      </c>
      <c r="AK92" s="8">
        <f>IFERROR(
GETPIVOTDATA(
"[Base].[Importe]",
TDinamica_R!$A$5,
"[Calendario].[AñoMes]",
"[Calendario].[AñoMes].&amp;[" &amp; TEXT(AK$6,"yyyymm") &amp; "]",
"[Base].[Metrica]",
"[Base].[Metrica].&amp;[" &amp; $A92 &amp; "]",
"[Base].[SEGMENTO_DESCRIP]",
"[Base].[SEGMENTO_DESCRIP].&amp;[" &amp; $C$6 &amp; "]",
"[Base].[SITUACION]",
"[Base].[SITUACION].&amp;[" &amp; $C92 &amp; "]"
),0)/1000</f>
        <v>-55.081662236428997</v>
      </c>
      <c r="AL92" s="8">
        <f>IFERROR(
GETPIVOTDATA(
"[Base].[Importe]",
TDinamica_R!$A$5,
"[Calendario].[AñoMes]",
"[Calendario].[AñoMes].&amp;[" &amp; TEXT(AL$6,"yyyymm") &amp; "]",
"[Base].[Metrica]",
"[Base].[Metrica].&amp;[" &amp; $A92 &amp; "]",
"[Base].[SEGMENTO_DESCRIP]",
"[Base].[SEGMENTO_DESCRIP].&amp;[" &amp; $C$6 &amp; "]",
"[Base].[SITUACION]",
"[Base].[SITUACION].&amp;[" &amp; $C92 &amp; "]"
),0)/1000</f>
        <v>-28.656777572011791</v>
      </c>
      <c r="AM92" s="8">
        <f>IFERROR(
GETPIVOTDATA(
"[Base].[Importe]",
TDinamica_R!$A$5,
"[Calendario].[AñoMes]",
"[Calendario].[AñoMes].&amp;[" &amp; TEXT(AM$6,"yyyymm") &amp; "]",
"[Base].[Metrica]",
"[Base].[Metrica].&amp;[" &amp; $A92 &amp; "]",
"[Base].[SEGMENTO_DESCRIP]",
"[Base].[SEGMENTO_DESCRIP].&amp;[" &amp; $C$6 &amp; "]",
"[Base].[SITUACION]",
"[Base].[SITUACION].&amp;[" &amp; $C92 &amp; "]"
),0)/1000</f>
        <v>-186.36915574521919</v>
      </c>
      <c r="AN92" s="8">
        <f>IFERROR(
GETPIVOTDATA(
"[Base].[Importe]",
TDinamica_R!$A$5,
"[Calendario].[AñoMes]",
"[Calendario].[AñoMes].&amp;[" &amp; TEXT(AN$6,"yyyymm") &amp; "]",
"[Base].[Metrica]",
"[Base].[Metrica].&amp;[" &amp; $A92 &amp; "]",
"[Base].[SEGMENTO_DESCRIP]",
"[Base].[SEGMENTO_DESCRIP].&amp;[" &amp; $C$6 &amp; "]",
"[Base].[SITUACION]",
"[Base].[SITUACION].&amp;[" &amp; $C92 &amp; "]"
),0)/1000</f>
        <v>-23.25330251732186</v>
      </c>
      <c r="AO92" s="8">
        <f>IFERROR(
GETPIVOTDATA(
"[Base].[Importe]",
TDinamica_R!$A$5,
"[Calendario].[AñoMes]",
"[Calendario].[AñoMes].&amp;[" &amp; TEXT(AO$6,"yyyymm") &amp; "]",
"[Base].[Metrica]",
"[Base].[Metrica].&amp;[" &amp; $A92 &amp; "]",
"[Base].[SEGMENTO_DESCRIP]",
"[Base].[SEGMENTO_DESCRIP].&amp;[" &amp; $C$6 &amp; "]",
"[Base].[SITUACION]",
"[Base].[SITUACION].&amp;[" &amp; $C92 &amp; "]"
),0)/1000</f>
        <v>-12.141141061359107</v>
      </c>
      <c r="AP92" s="8">
        <f>IFERROR(
GETPIVOTDATA(
"[Base].[Importe]",
TDinamica_R!$A$5,
"[Calendario].[AñoMes]",
"[Calendario].[AñoMes].&amp;[" &amp; TEXT(AP$6,"yyyymm") &amp; "]",
"[Base].[Metrica]",
"[Base].[Metrica].&amp;[" &amp; $A92 &amp; "]",
"[Base].[SEGMENTO_DESCRIP]",
"[Base].[SEGMENTO_DESCRIP].&amp;[" &amp; $C$6 &amp; "]",
"[Base].[SITUACION]",
"[Base].[SITUACION].&amp;[" &amp; $C92 &amp; "]"
),0)/1000</f>
        <v>-96.222144161341333</v>
      </c>
      <c r="AQ92" s="8">
        <f>IFERROR(
GETPIVOTDATA(
"[Base].[Importe]",
TDinamica_R!$A$5,
"[Calendario].[AñoMes]",
"[Calendario].[AñoMes].&amp;[" &amp; TEXT(AQ$6,"yyyymm") &amp; "]",
"[Base].[Metrica]",
"[Base].[Metrica].&amp;[" &amp; $A92 &amp; "]",
"[Base].[SEGMENTO_DESCRIP]",
"[Base].[SEGMENTO_DESCRIP].&amp;[" &amp; $C$6 &amp; "]",
"[Base].[SITUACION]",
"[Base].[SITUACION].&amp;[" &amp; $C92 &amp; "]"
),0)/1000</f>
        <v>-18.270321943745948</v>
      </c>
      <c r="AR92" s="8">
        <f>IFERROR(
GETPIVOTDATA(
"[Base].[Importe]",
TDinamica_R!$A$5,
"[Calendario].[AñoMes]",
"[Calendario].[AñoMes].&amp;[" &amp; TEXT(AR$6,"yyyymm") &amp; "]",
"[Base].[Metrica]",
"[Base].[Metrica].&amp;[" &amp; $A92 &amp; "]",
"[Base].[SEGMENTO_DESCRIP]",
"[Base].[SEGMENTO_DESCRIP].&amp;[" &amp; $C$6 &amp; "]",
"[Base].[SITUACION]",
"[Base].[SITUACION].&amp;[" &amp; $C92 &amp; "]"
),0)/1000</f>
        <v>-21.322359341802336</v>
      </c>
      <c r="AS92" s="8">
        <f>IFERROR(
GETPIVOTDATA(
"[Base].[Importe]",
TDinamica_R!$A$5,
"[Calendario].[AñoMes]",
"[Calendario].[AñoMes].&amp;[" &amp; TEXT(AS$6,"yyyymm") &amp; "]",
"[Base].[Metrica]",
"[Base].[Metrica].&amp;[" &amp; $A92 &amp; "]",
"[Base].[SEGMENTO_DESCRIP]",
"[Base].[SEGMENTO_DESCRIP].&amp;[" &amp; $C$6 &amp; "]",
"[Base].[SITUACION]",
"[Base].[SITUACION].&amp;[" &amp; $C92 &amp; "]"
),0)/1000</f>
        <v>-84.838961783874339</v>
      </c>
      <c r="AT92" s="8">
        <f>IFERROR(
GETPIVOTDATA(
"[Base].[Importe]",
TDinamica_R!$A$5,
"[Calendario].[AñoMes]",
"[Calendario].[AñoMes].&amp;[" &amp; TEXT(AT$6,"yyyymm")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U92" s="8">
        <f>IFERROR(
GETPIVOTDATA(
"[Base].[Importe]",
TDinamica_R!$A$5,
"[Calendario].[AñoMes]",
"[Calendario].[AñoMes].&amp;[" &amp; TEXT(AU$6,"yyyymm")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V92" s="8">
        <f>IFERROR(
GETPIVOTDATA(
"[Base].[Importe]",
TDinamica_R!$A$5,
"[Calendario].[AñoMes]",
"[Calendario].[AñoMes].&amp;[" &amp; TEXT(AV$6,"yyyymm")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W92" s="8">
        <f>IFERROR(
GETPIVOTDATA(
"[Base].[Importe]",
TDinamica_R!$A$5,
"[Calendario].[AñoMes]",
"[Calendario].[AñoMes].&amp;[" &amp; TEXT(AW$6,"yyyymm")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X92" s="8">
        <f>IFERROR(
GETPIVOTDATA(
"[Base].[Importe]",
TDinamica_R!$A$5,
"[Calendario].[AñoMes]",
"[Calendario].[AñoMes].&amp;[" &amp; TEXT(AX$6,"yyyymm")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Y92" s="8">
        <f>IFERROR(
GETPIVOTDATA(
"[Base].[Importe]",
TDinamica_R!$A$5,
"[Calendario].[AñoMes]",
"[Calendario].[AñoMes].&amp;[" &amp; TEXT(AY$6,"yyyymm")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Z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TEXT(AZ$6,"yyyymm") &amp; "]"
),
0
)</f>
        <v>-162.1599381456972</v>
      </c>
      <c r="BA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TEXT(BA$6,"yyyymm") &amp; "]"
),
0
)</f>
        <v>-164.29889021117313</v>
      </c>
      <c r="BB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TEXT(BB$6,"yyyymm") &amp; "]"
),
0
)</f>
        <v>-174.51246175948927</v>
      </c>
      <c r="BC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TEXT(BC$6,"yyyymm") &amp; "]"
),
0
)</f>
        <v>-174.01921517249079</v>
      </c>
      <c r="BD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TEXT(BD$6,"yyyymm") &amp; "]"
),
0
)</f>
        <v>-173.4600398182009</v>
      </c>
      <c r="BE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TEXT(BE$6,"yyyymm") &amp; "]"
),
0
)</f>
        <v>-180.24338737373472</v>
      </c>
      <c r="BF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TEXT(BF$6,"yyyymm") &amp; "]"
),
0
)</f>
        <v>-171.62416954627722</v>
      </c>
      <c r="BG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TEXT(BG$6,"yyyymm") &amp; "]"
),
0
)</f>
        <v>-169.95105221457854</v>
      </c>
      <c r="BH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TEXT(BH$6,"yyyymm") &amp; "]"
),
0
)</f>
        <v>-173.58545143857293</v>
      </c>
      <c r="BI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TEXT(BI$6,"yyyymm") &amp; "]"
),
0
)</f>
        <v>-168.67501092568963</v>
      </c>
      <c r="BJ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TEXT(BJ$6,"yyyymm") &amp; "]"
),
0
)</f>
        <v>-168.67501092568963</v>
      </c>
      <c r="BK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TEXT(BK$6,"yyyymm") &amp; "]"
),
0
)</f>
        <v>-175.21106277443192</v>
      </c>
      <c r="BO92" s="24">
        <f t="shared" si="73"/>
        <v>-131.61658774002228</v>
      </c>
      <c r="BP92" s="24">
        <f t="shared" si="73"/>
        <v>-500.97129011635957</v>
      </c>
      <c r="BQ92" s="24">
        <f t="shared" si="73"/>
        <v>-35.394443578680963</v>
      </c>
      <c r="BR92" s="24">
        <f t="shared" si="73"/>
        <v>-173.19290762205463</v>
      </c>
      <c r="BS92" s="24">
        <f t="shared" si="73"/>
        <v>-358.35414059266208</v>
      </c>
      <c r="BT92" s="24">
        <f t="shared" si="73"/>
        <v>-284.97935853625023</v>
      </c>
    </row>
    <row r="93" spans="1:72" collapsed="1" x14ac:dyDescent="0.25">
      <c r="C93" s="3" t="s">
        <v>81</v>
      </c>
      <c r="D93" s="10">
        <f>SUM(D91:D92)</f>
        <v>-136.3034347610392</v>
      </c>
      <c r="E93" s="10">
        <f t="shared" ref="E93:AY93" si="74">SUM(E91:E92)</f>
        <v>-110.4408721095638</v>
      </c>
      <c r="F93" s="10">
        <f t="shared" si="74"/>
        <v>-38.235051665647255</v>
      </c>
      <c r="G93" s="10">
        <f t="shared" si="74"/>
        <v>-99.727776261884756</v>
      </c>
      <c r="H93" s="10">
        <f t="shared" si="74"/>
        <v>-73.189235832732521</v>
      </c>
      <c r="I93" s="10">
        <f t="shared" si="74"/>
        <v>-197.04374338623231</v>
      </c>
      <c r="J93" s="10">
        <f t="shared" si="74"/>
        <v>-147.14222107947867</v>
      </c>
      <c r="K93" s="10">
        <f t="shared" si="74"/>
        <v>-448.25379955738276</v>
      </c>
      <c r="L93" s="10">
        <f t="shared" si="74"/>
        <v>-40.170331270135556</v>
      </c>
      <c r="M93" s="10">
        <f t="shared" si="74"/>
        <v>-283.66960679841935</v>
      </c>
      <c r="N93" s="10">
        <f t="shared" si="74"/>
        <v>-149.98736949805493</v>
      </c>
      <c r="O93" s="10">
        <f t="shared" si="74"/>
        <v>-105.74710658669039</v>
      </c>
      <c r="P93" s="10">
        <f t="shared" si="74"/>
        <v>-157.6978378414822</v>
      </c>
      <c r="Q93" s="10">
        <f t="shared" si="74"/>
        <v>-124.49084667465722</v>
      </c>
      <c r="R93" s="10">
        <f t="shared" si="74"/>
        <v>-76.165456076522673</v>
      </c>
      <c r="S93" s="10">
        <f t="shared" si="74"/>
        <v>-208.79042792054923</v>
      </c>
      <c r="T93" s="10">
        <f t="shared" si="74"/>
        <v>-299.41555034890865</v>
      </c>
      <c r="U93" s="10">
        <f t="shared" si="74"/>
        <v>-302.69151873135758</v>
      </c>
      <c r="V93" s="10">
        <f t="shared" si="74"/>
        <v>-192.4304712409488</v>
      </c>
      <c r="W93" s="10">
        <f t="shared" si="74"/>
        <v>-177.63668386949732</v>
      </c>
      <c r="X93" s="10">
        <f t="shared" si="74"/>
        <v>-341.52383466491864</v>
      </c>
      <c r="Y93" s="10">
        <f t="shared" si="74"/>
        <v>-127.36208089068856</v>
      </c>
      <c r="Z93" s="10">
        <f t="shared" si="74"/>
        <v>-118.39178467749984</v>
      </c>
      <c r="AA93" s="10">
        <f t="shared" si="74"/>
        <v>-170.85611213152521</v>
      </c>
      <c r="AB93" s="10">
        <f t="shared" si="74"/>
        <v>-64.092563313765623</v>
      </c>
      <c r="AC93" s="10">
        <f t="shared" si="74"/>
        <v>-56.872869048513714</v>
      </c>
      <c r="AD93" s="10">
        <f t="shared" si="74"/>
        <v>-52.227475259775318</v>
      </c>
      <c r="AE93" s="10">
        <f t="shared" si="74"/>
        <v>-401.20644296137851</v>
      </c>
      <c r="AF93" s="10">
        <f t="shared" si="74"/>
        <v>-242.44357360994567</v>
      </c>
      <c r="AG93" s="10">
        <f t="shared" si="74"/>
        <v>15.800541871656039</v>
      </c>
      <c r="AH93" s="10">
        <f t="shared" si="74"/>
        <v>-112.52976703648601</v>
      </c>
      <c r="AI93" s="10">
        <f t="shared" si="74"/>
        <v>-37.032294655845995</v>
      </c>
      <c r="AJ93" s="10">
        <f t="shared" si="74"/>
        <v>-148.38721094012689</v>
      </c>
      <c r="AK93" s="10">
        <f t="shared" si="74"/>
        <v>-55.081662236428997</v>
      </c>
      <c r="AL93" s="10">
        <f t="shared" si="74"/>
        <v>-28.656777572011791</v>
      </c>
      <c r="AM93" s="10">
        <f t="shared" si="74"/>
        <v>-186.36915574521919</v>
      </c>
      <c r="AN93" s="10">
        <f t="shared" si="74"/>
        <v>-23.25330251732186</v>
      </c>
      <c r="AO93" s="10">
        <f t="shared" si="74"/>
        <v>-12.141141061359107</v>
      </c>
      <c r="AP93" s="10">
        <f t="shared" si="74"/>
        <v>-96.222144161341333</v>
      </c>
      <c r="AQ93" s="10">
        <f t="shared" si="74"/>
        <v>-18.270321943745948</v>
      </c>
      <c r="AR93" s="10">
        <f t="shared" si="74"/>
        <v>-21.322359341802336</v>
      </c>
      <c r="AS93" s="10">
        <f t="shared" si="74"/>
        <v>-84.838961783874339</v>
      </c>
      <c r="AT93" s="10">
        <f t="shared" si="74"/>
        <v>0</v>
      </c>
      <c r="AU93" s="10">
        <f t="shared" si="74"/>
        <v>0</v>
      </c>
      <c r="AV93" s="10">
        <f t="shared" si="74"/>
        <v>0</v>
      </c>
      <c r="AW93" s="10">
        <f t="shared" si="74"/>
        <v>0</v>
      </c>
      <c r="AX93" s="10">
        <f t="shared" si="74"/>
        <v>0</v>
      </c>
      <c r="AY93" s="10">
        <f t="shared" si="74"/>
        <v>0</v>
      </c>
      <c r="AZ93" s="10">
        <f t="shared" ref="AZ93:BK93" si="75">SUM(AZ91:AZ92)</f>
        <v>-162.1599381456972</v>
      </c>
      <c r="BA93" s="10">
        <f t="shared" si="75"/>
        <v>-164.29889021117313</v>
      </c>
      <c r="BB93" s="10">
        <f t="shared" si="75"/>
        <v>-174.51246175948927</v>
      </c>
      <c r="BC93" s="10">
        <f t="shared" si="75"/>
        <v>-174.01921517249079</v>
      </c>
      <c r="BD93" s="10">
        <f t="shared" si="75"/>
        <v>-173.4600398182009</v>
      </c>
      <c r="BE93" s="10">
        <f t="shared" si="75"/>
        <v>-180.24338737373472</v>
      </c>
      <c r="BF93" s="10">
        <f t="shared" si="75"/>
        <v>-171.62416954627722</v>
      </c>
      <c r="BG93" s="10">
        <f t="shared" si="75"/>
        <v>-169.95105221457854</v>
      </c>
      <c r="BH93" s="10">
        <f t="shared" si="75"/>
        <v>-173.58545143857293</v>
      </c>
      <c r="BI93" s="10">
        <f t="shared" si="75"/>
        <v>-168.67501092568963</v>
      </c>
      <c r="BJ93" s="10">
        <f t="shared" si="75"/>
        <v>-168.67501092568963</v>
      </c>
      <c r="BK93" s="10">
        <f t="shared" si="75"/>
        <v>-175.21106277443192</v>
      </c>
      <c r="BO93" s="23">
        <f t="shared" ref="BO93:BT93" si="76">SUM(BO91:BO92)</f>
        <v>-131.61658774002228</v>
      </c>
      <c r="BP93" s="23">
        <f t="shared" si="76"/>
        <v>-500.97129011635957</v>
      </c>
      <c r="BQ93" s="23">
        <f t="shared" si="76"/>
        <v>-35.394443578680963</v>
      </c>
      <c r="BR93" s="23">
        <f t="shared" si="76"/>
        <v>-173.19290762205463</v>
      </c>
      <c r="BS93" s="23">
        <f t="shared" si="76"/>
        <v>-358.35414059266208</v>
      </c>
      <c r="BT93" s="23">
        <f t="shared" si="76"/>
        <v>-284.97935853625023</v>
      </c>
    </row>
    <row r="95" spans="1:72" hidden="1" outlineLevel="1" x14ac:dyDescent="0.25">
      <c r="A95" s="11" t="s">
        <v>82</v>
      </c>
      <c r="C95" s="2" t="s">
        <v>83</v>
      </c>
      <c r="D95" s="8">
        <f>IFERROR(
GETPIVOTDATA(
"[Base].[Importe]",
TDinamica_R!$A$5,
"[Calendario].[AñoMes]",
"[Calendario].[AñoMes].&amp;[" &amp; TEXT(D$6,"yyyymm")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E95" s="8">
        <f>IFERROR(
GETPIVOTDATA(
"[Base].[Importe]",
TDinamica_R!$A$5,
"[Calendario].[AñoMes]",
"[Calendario].[AñoMes].&amp;[" &amp; TEXT(E$6,"yyyymm")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F95" s="8">
        <f>IFERROR(
GETPIVOTDATA(
"[Base].[Importe]",
TDinamica_R!$A$5,
"[Calendario].[AñoMes]",
"[Calendario].[AñoMes].&amp;[" &amp; TEXT(F$6,"yyyymm")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G95" s="8">
        <f>IFERROR(
GETPIVOTDATA(
"[Base].[Importe]",
TDinamica_R!$A$5,
"[Calendario].[AñoMes]",
"[Calendario].[AñoMes].&amp;[" &amp; TEXT(G$6,"yyyymm")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H95" s="8">
        <f>IFERROR(
GETPIVOTDATA(
"[Base].[Importe]",
TDinamica_R!$A$5,
"[Calendario].[AñoMes]",
"[Calendario].[AñoMes].&amp;[" &amp; TEXT(H$6,"yyyymm")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I95" s="8">
        <f>IFERROR(
GETPIVOTDATA(
"[Base].[Importe]",
TDinamica_R!$A$5,
"[Calendario].[AñoMes]",
"[Calendario].[AñoMes].&amp;[" &amp; TEXT(I$6,"yyyymm")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J95" s="8">
        <f>IFERROR(
GETPIVOTDATA(
"[Base].[Importe]",
TDinamica_R!$A$5,
"[Calendario].[AñoMes]",
"[Calendario].[AñoMes].&amp;[" &amp; TEXT(J$6,"yyyymm")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K95" s="8">
        <f>IFERROR(
GETPIVOTDATA(
"[Base].[Importe]",
TDinamica_R!$A$5,
"[Calendario].[AñoMes]",
"[Calendario].[AñoMes].&amp;[" &amp; TEXT(K$6,"yyyymm") &amp; "]",
"[Base].[Metrica]",
"[Base].[Metrica].&amp;[" &amp; $A95 &amp; "]",
"[Base].[SEGMENTO_DESCRIP]",
"[Base].[SEGMENTO_DESCRIP].&amp;[" &amp; $C$6 &amp; "]",
"[Base].[SITUACION]",
"[Base].[SITUACION].&amp;[" &amp; $C95 &amp; "]"
),0)/1000</f>
        <v>1757.8767319177718</v>
      </c>
      <c r="L95" s="8">
        <f>IFERROR(
GETPIVOTDATA(
"[Base].[Importe]",
TDinamica_R!$A$5,
"[Calendario].[AñoMes]",
"[Calendario].[AñoMes].&amp;[" &amp; TEXT(L$6,"yyyymm")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M95" s="8">
        <f>IFERROR(
GETPIVOTDATA(
"[Base].[Importe]",
TDinamica_R!$A$5,
"[Calendario].[AñoMes]",
"[Calendario].[AñoMes].&amp;[" &amp; TEXT(M$6,"yyyymm") &amp; "]",
"[Base].[Metrica]",
"[Base].[Metrica].&amp;[" &amp; $A95 &amp; "]",
"[Base].[SEGMENTO_DESCRIP]",
"[Base].[SEGMENTO_DESCRIP].&amp;[" &amp; $C$6 &amp; "]",
"[Base].[SITUACION]",
"[Base].[SITUACION].&amp;[" &amp; $C95 &amp; "]"
),0)/1000</f>
        <v>874.08402138498411</v>
      </c>
      <c r="N95" s="8">
        <f>IFERROR(
GETPIVOTDATA(
"[Base].[Importe]",
TDinamica_R!$A$5,
"[Calendario].[AñoMes]",
"[Calendario].[AñoMes].&amp;[" &amp; TEXT(N$6,"yyyymm")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O95" s="8">
        <f>IFERROR(
GETPIVOTDATA(
"[Base].[Importe]",
TDinamica_R!$A$5,
"[Calendario].[AñoMes]",
"[Calendario].[AñoMes].&amp;[" &amp; TEXT(O$6,"yyyymm")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P95" s="8">
        <f>IFERROR(
GETPIVOTDATA(
"[Base].[Importe]",
TDinamica_R!$A$5,
"[Calendario].[AñoMes]",
"[Calendario].[AñoMes].&amp;[" &amp; TEXT(P$6,"yyyymm")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Q95" s="8">
        <f>IFERROR(
GETPIVOTDATA(
"[Base].[Importe]",
TDinamica_R!$A$5,
"[Calendario].[AñoMes]",
"[Calendario].[AñoMes].&amp;[" &amp; TEXT(Q$6,"yyyymm")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R95" s="8">
        <f>IFERROR(
GETPIVOTDATA(
"[Base].[Importe]",
TDinamica_R!$A$5,
"[Calendario].[AñoMes]",
"[Calendario].[AñoMes].&amp;[" &amp; TEXT(R$6,"yyyymm")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S95" s="8">
        <f>IFERROR(
GETPIVOTDATA(
"[Base].[Importe]",
TDinamica_R!$A$5,
"[Calendario].[AñoMes]",
"[Calendario].[AñoMes].&amp;[" &amp; TEXT(S$6,"yyyymm")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T95" s="8">
        <f>IFERROR(
GETPIVOTDATA(
"[Base].[Importe]",
TDinamica_R!$A$5,
"[Calendario].[AñoMes]",
"[Calendario].[AñoMes].&amp;[" &amp; TEXT(T$6,"yyyymm")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U95" s="8">
        <f>IFERROR(
GETPIVOTDATA(
"[Base].[Importe]",
TDinamica_R!$A$5,
"[Calendario].[AñoMes]",
"[Calendario].[AñoMes].&amp;[" &amp; TEXT(U$6,"yyyymm")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V95" s="8">
        <f>IFERROR(
GETPIVOTDATA(
"[Base].[Importe]",
TDinamica_R!$A$5,
"[Calendario].[AñoMes]",
"[Calendario].[AñoMes].&amp;[" &amp; TEXT(V$6,"yyyymm")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W95" s="8">
        <f>IFERROR(
GETPIVOTDATA(
"[Base].[Importe]",
TDinamica_R!$A$5,
"[Calendario].[AñoMes]",
"[Calendario].[AñoMes].&amp;[" &amp; TEXT(W$6,"yyyymm")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X95" s="8">
        <f>IFERROR(
GETPIVOTDATA(
"[Base].[Importe]",
TDinamica_R!$A$5,
"[Calendario].[AñoMes]",
"[Calendario].[AñoMes].&amp;[" &amp; TEXT(X$6,"yyyymm")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Y95" s="8">
        <f>IFERROR(
GETPIVOTDATA(
"[Base].[Importe]",
TDinamica_R!$A$5,
"[Calendario].[AñoMes]",
"[Calendario].[AñoMes].&amp;[" &amp; TEXT(Y$6,"yyyymm") &amp; "]",
"[Base].[Metrica]",
"[Base].[Metrica].&amp;[" &amp; $A95 &amp; "]",
"[Base].[SEGMENTO_DESCRIP]",
"[Base].[SEGMENTO_DESCRIP].&amp;[" &amp; $C$6 &amp; "]",
"[Base].[SITUACION]",
"[Base].[SITUACION].&amp;[" &amp; $C95 &amp; "]"
),0)/1000</f>
        <v>280.63539959999997</v>
      </c>
      <c r="Z95" s="8">
        <f>IFERROR(
GETPIVOTDATA(
"[Base].[Importe]",
TDinamica_R!$A$5,
"[Calendario].[AñoMes]",
"[Calendario].[AñoMes].&amp;[" &amp; TEXT(Z$6,"yyyymm") &amp; "]",
"[Base].[Metrica]",
"[Base].[Metrica].&amp;[" &amp; $A95 &amp; "]",
"[Base].[SEGMENTO_DESCRIP]",
"[Base].[SEGMENTO_DESCRIP].&amp;[" &amp; $C$6 &amp; "]",
"[Base].[SITUACION]",
"[Base].[SITUACION].&amp;[" &amp; $C95 &amp; "]"
),0)/1000</f>
        <v>4.1122429566400003</v>
      </c>
      <c r="AA95" s="8">
        <f>IFERROR(
GETPIVOTDATA(
"[Base].[Importe]",
TDinamica_R!$A$5,
"[Calendario].[AñoMes]",
"[Calendario].[AñoMes].&amp;[" &amp; TEXT(AA$6,"yyyymm") &amp; "]",
"[Base].[Metrica]",
"[Base].[Metrica].&amp;[" &amp; $A95 &amp; "]",
"[Base].[SEGMENTO_DESCRIP]",
"[Base].[SEGMENTO_DESCRIP].&amp;[" &amp; $C$6 &amp; "]",
"[Base].[SITUACION]",
"[Base].[SITUACION].&amp;[" &amp; $C95 &amp; "]"
),0)/1000</f>
        <v>-0.53738438954800005</v>
      </c>
      <c r="AB95" s="8">
        <f>IFERROR(
GETPIVOTDATA(
"[Base].[Importe]",
TDinamica_R!$A$5,
"[Calendario].[AñoMes]",
"[Calendario].[AñoMes].&amp;[" &amp; TEXT(AB$6,"yyyymm")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C95" s="8">
        <f>IFERROR(
GETPIVOTDATA(
"[Base].[Importe]",
TDinamica_R!$A$5,
"[Calendario].[AñoMes]",
"[Calendario].[AñoMes].&amp;[" &amp; TEXT(AC$6,"yyyymm")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D95" s="8">
        <f>IFERROR(
GETPIVOTDATA(
"[Base].[Importe]",
TDinamica_R!$A$5,
"[Calendario].[AñoMes]",
"[Calendario].[AñoMes].&amp;[" &amp; TEXT(AD$6,"yyyymm") &amp; "]",
"[Base].[Metrica]",
"[Base].[Metrica].&amp;[" &amp; $A95 &amp; "]",
"[Base].[SEGMENTO_DESCRIP]",
"[Base].[SEGMENTO_DESCRIP].&amp;[" &amp; $C$6 &amp; "]",
"[Base].[SITUACION]",
"[Base].[SITUACION].&amp;[" &amp; $C95 &amp; "]"
),0)/1000</f>
        <v>1585.6698430023998</v>
      </c>
      <c r="AE95" s="8">
        <f>IFERROR(
GETPIVOTDATA(
"[Base].[Importe]",
TDinamica_R!$A$5,
"[Calendario].[AñoMes]",
"[Calendario].[AñoMes].&amp;[" &amp; TEXT(AE$6,"yyyymm") &amp; "]",
"[Base].[Metrica]",
"[Base].[Metrica].&amp;[" &amp; $A95 &amp; "]",
"[Base].[SEGMENTO_DESCRIP]",
"[Base].[SEGMENTO_DESCRIP].&amp;[" &amp; $C$6 &amp; "]",
"[Base].[SITUACION]",
"[Base].[SITUACION].&amp;[" &amp; $C95 &amp; "]"
),0)/1000</f>
        <v>-11.785692684150002</v>
      </c>
      <c r="AF95" s="8">
        <f>IFERROR(
GETPIVOTDATA(
"[Base].[Importe]",
TDinamica_R!$A$5,
"[Calendario].[AñoMes]",
"[Calendario].[AñoMes].&amp;[" &amp; TEXT(AF$6,"yyyymm")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G95" s="8">
        <f>IFERROR(
GETPIVOTDATA(
"[Base].[Importe]",
TDinamica_R!$A$5,
"[Calendario].[AñoMes]",
"[Calendario].[AñoMes].&amp;[" &amp; TEXT(AG$6,"yyyymm") &amp; "]",
"[Base].[Metrica]",
"[Base].[Metrica].&amp;[" &amp; $A95 &amp; "]",
"[Base].[SEGMENTO_DESCRIP]",
"[Base].[SEGMENTO_DESCRIP].&amp;[" &amp; $C$6 &amp; "]",
"[Base].[SITUACION]",
"[Base].[SITUACION].&amp;[" &amp; $C95 &amp; "]"
),0)/1000</f>
        <v>1951.7657719169999</v>
      </c>
      <c r="AH95" s="8">
        <f>IFERROR(
GETPIVOTDATA(
"[Base].[Importe]",
TDinamica_R!$A$5,
"[Calendario].[AñoMes]",
"[Calendario].[AñoMes].&amp;[" &amp; TEXT(AH$6,"yyyymm")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I95" s="8">
        <f>IFERROR(
GETPIVOTDATA(
"[Base].[Importe]",
TDinamica_R!$A$5,
"[Calendario].[AñoMes]",
"[Calendario].[AñoMes].&amp;[" &amp; TEXT(AI$6,"yyyymm")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J95" s="8">
        <f>IFERROR(
GETPIVOTDATA(
"[Base].[Importe]",
TDinamica_R!$A$5,
"[Calendario].[AñoMes]",
"[Calendario].[AñoMes].&amp;[" &amp; TEXT(AJ$6,"yyyymm") &amp; "]",
"[Base].[Metrica]",
"[Base].[Metrica].&amp;[" &amp; $A95 &amp; "]",
"[Base].[SEGMENTO_DESCRIP]",
"[Base].[SEGMENTO_DESCRIP].&amp;[" &amp; $C$6 &amp; "]",
"[Base].[SITUACION]",
"[Base].[SITUACION].&amp;[" &amp; $C95 &amp; "]"
),0)/1000</f>
        <v>1765.1867590141001</v>
      </c>
      <c r="AK95" s="8">
        <f>IFERROR(
GETPIVOTDATA(
"[Base].[Importe]",
TDinamica_R!$A$5,
"[Calendario].[AñoMes]",
"[Calendario].[AñoMes].&amp;[" &amp; TEXT(AK$6,"yyyymm") &amp; "]",
"[Base].[Metrica]",
"[Base].[Metrica].&amp;[" &amp; $A95 &amp; "]",
"[Base].[SEGMENTO_DESCRIP]",
"[Base].[SEGMENTO_DESCRIP].&amp;[" &amp; $C$6 &amp; "]",
"[Base].[SITUACION]",
"[Base].[SITUACION].&amp;[" &amp; $C95 &amp; "]"
),0)/1000</f>
        <v>-0.16335834736000002</v>
      </c>
      <c r="AL95" s="8">
        <f>IFERROR(
GETPIVOTDATA(
"[Base].[Importe]",
TDinamica_R!$A$5,
"[Calendario].[AñoMes]",
"[Calendario].[AñoMes].&amp;[" &amp; TEXT(AL$6,"yyyymm") &amp; "]",
"[Base].[Metrica]",
"[Base].[Metrica].&amp;[" &amp; $A95 &amp; "]",
"[Base].[SEGMENTO_DESCRIP]",
"[Base].[SEGMENTO_DESCRIP].&amp;[" &amp; $C$6 &amp; "]",
"[Base].[SITUACION]",
"[Base].[SITUACION].&amp;[" &amp; $C95 &amp; "]"
),0)/1000</f>
        <v>1825.4583009339301</v>
      </c>
      <c r="AM95" s="8">
        <f>IFERROR(
GETPIVOTDATA(
"[Base].[Importe]",
TDinamica_R!$A$5,
"[Calendario].[AñoMes]",
"[Calendario].[AñoMes].&amp;[" &amp; TEXT(AM$6,"yyyymm") &amp; "]",
"[Base].[Metrica]",
"[Base].[Metrica].&amp;[" &amp; $A95 &amp; "]",
"[Base].[SEGMENTO_DESCRIP]",
"[Base].[SEGMENTO_DESCRIP].&amp;[" &amp; $C$6 &amp; "]",
"[Base].[SITUACION]",
"[Base].[SITUACION].&amp;[" &amp; $C95 &amp; "]"
),0)/1000</f>
        <v>-0.57475053647200003</v>
      </c>
      <c r="AN95" s="8">
        <f>IFERROR(
GETPIVOTDATA(
"[Base].[Importe]",
TDinamica_R!$A$5,
"[Calendario].[AñoMes]",
"[Calendario].[AñoMes].&amp;[" &amp; TEXT(AN$6,"yyyymm")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O95" s="8">
        <f>IFERROR(
GETPIVOTDATA(
"[Base].[Importe]",
TDinamica_R!$A$5,
"[Calendario].[AñoMes]",
"[Calendario].[AñoMes].&amp;[" &amp; TEXT(AO$6,"yyyymm")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P95" s="8">
        <f>IFERROR(
GETPIVOTDATA(
"[Base].[Importe]",
TDinamica_R!$A$5,
"[Calendario].[AñoMes]",
"[Calendario].[AñoMes].&amp;[" &amp; TEXT(AP$6,"yyyymm")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Q95" s="8">
        <f>IFERROR(
GETPIVOTDATA(
"[Base].[Importe]",
TDinamica_R!$A$5,
"[Calendario].[AñoMes]",
"[Calendario].[AñoMes].&amp;[" &amp; TEXT(AQ$6,"yyyymm")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R95" s="8">
        <f>IFERROR(
GETPIVOTDATA(
"[Base].[Importe]",
TDinamica_R!$A$5,
"[Calendario].[AñoMes]",
"[Calendario].[AñoMes].&amp;[" &amp; TEXT(AR$6,"yyyymm")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S95" s="8">
        <f>IFERROR(
GETPIVOTDATA(
"[Base].[Importe]",
TDinamica_R!$A$5,
"[Calendario].[AñoMes]",
"[Calendario].[AñoMes].&amp;[" &amp; TEXT(AS$6,"yyyymm") &amp; "]",
"[Base].[Metrica]",
"[Base].[Metrica].&amp;[" &amp; $A95 &amp; "]",
"[Base].[SEGMENTO_DESCRIP]",
"[Base].[SEGMENTO_DESCRIP].&amp;[" &amp; $C$6 &amp; "]",
"[Base].[SITUACION]",
"[Base].[SITUACION].&amp;[" &amp; $C95 &amp; "]"
),0)/1000</f>
        <v>1429.914793633043</v>
      </c>
      <c r="AT95" s="8">
        <f>IFERROR(
GETPIVOTDATA(
"[Base].[Importe]",
TDinamica_R!$A$5,
"[Calendario].[AñoMes]",
"[Calendario].[AñoMes].&amp;[" &amp; TEXT(AT$6,"yyyymm")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U95" s="8">
        <f>IFERROR(
GETPIVOTDATA(
"[Base].[Importe]",
TDinamica_R!$A$5,
"[Calendario].[AñoMes]",
"[Calendario].[AñoMes].&amp;[" &amp; TEXT(AU$6,"yyyymm")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V95" s="8">
        <f>IFERROR(
GETPIVOTDATA(
"[Base].[Importe]",
TDinamica_R!$A$5,
"[Calendario].[AñoMes]",
"[Calendario].[AñoMes].&amp;[" &amp; TEXT(AV$6,"yyyymm")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W95" s="8">
        <f>IFERROR(
GETPIVOTDATA(
"[Base].[Importe]",
TDinamica_R!$A$5,
"[Calendario].[AñoMes]",
"[Calendario].[AñoMes].&amp;[" &amp; TEXT(AW$6,"yyyymm")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X95" s="8">
        <f>IFERROR(
GETPIVOTDATA(
"[Base].[Importe]",
TDinamica_R!$A$5,
"[Calendario].[AñoMes]",
"[Calendario].[AñoMes].&amp;[" &amp; TEXT(AX$6,"yyyymm")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Y95" s="8">
        <f>IFERROR(
GETPIVOTDATA(
"[Base].[Importe]",
TDinamica_R!$A$5,
"[Calendario].[AñoMes]",
"[Calendario].[AñoMes].&amp;[" &amp; TEXT(AY$6,"yyyymm")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Z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TEXT(AZ$6,"yyyymm") &amp; "]"
),
0
)</f>
        <v>0</v>
      </c>
      <c r="BA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TEXT(BA$6,"yyyymm") &amp; "]"
),
0
)</f>
        <v>0</v>
      </c>
      <c r="BB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TEXT(BB$6,"yyyymm") &amp; "]"
),
0
)</f>
        <v>0</v>
      </c>
      <c r="BC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TEXT(BC$6,"yyyymm") &amp; "]"
),
0
)</f>
        <v>0</v>
      </c>
      <c r="BD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TEXT(BD$6,"yyyymm") &amp; "]"
),
0
)</f>
        <v>0</v>
      </c>
      <c r="BE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TEXT(BE$6,"yyyymm") &amp; "]"
),
0
)</f>
        <v>1509.9041956614274</v>
      </c>
      <c r="BF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TEXT(BF$6,"yyyymm") &amp; "]"
),
0
)</f>
        <v>0</v>
      </c>
      <c r="BG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TEXT(BG$6,"yyyymm") &amp; "]"
),
0
)</f>
        <v>0</v>
      </c>
      <c r="BH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TEXT(BH$6,"yyyymm") &amp; "]"
),
0
)</f>
        <v>3064.9726841346996</v>
      </c>
      <c r="BI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TEXT(BI$6,"yyyymm") &amp; "]"
),
0
)</f>
        <v>0</v>
      </c>
      <c r="BJ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TEXT(BJ$6,"yyyymm") &amp; "]"
),
0
)</f>
        <v>0</v>
      </c>
      <c r="BK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TEXT(BK$6,"yyyymm") &amp; "]"
),
0
)</f>
        <v>0</v>
      </c>
      <c r="BO95" s="24">
        <f t="shared" ref="BO95:BT95" si="77">SUMIFS($D95:$BM95,$D$6:$BM$6,"&gt;="&amp;BO$2,$D$6:$BM$6,"&lt;="&amp;BO$6,$D$5:$BM$5,BO$5)</f>
        <v>0</v>
      </c>
      <c r="BP95" s="24">
        <f t="shared" si="77"/>
        <v>0</v>
      </c>
      <c r="BQ95" s="24">
        <f t="shared" si="77"/>
        <v>0</v>
      </c>
      <c r="BR95" s="24">
        <f t="shared" si="77"/>
        <v>1585.6698430023998</v>
      </c>
      <c r="BS95" s="24">
        <f t="shared" si="77"/>
        <v>0</v>
      </c>
      <c r="BT95" s="24">
        <f t="shared" si="77"/>
        <v>0</v>
      </c>
    </row>
    <row r="96" spans="1:72" collapsed="1" x14ac:dyDescent="0.25">
      <c r="C96" s="3" t="s">
        <v>82</v>
      </c>
      <c r="D96" s="10">
        <f>SUM(D95:D95)</f>
        <v>0</v>
      </c>
      <c r="E96" s="10">
        <f t="shared" ref="E96:AY96" si="78">SUM(E95:E95)</f>
        <v>0</v>
      </c>
      <c r="F96" s="10">
        <f t="shared" si="78"/>
        <v>0</v>
      </c>
      <c r="G96" s="10">
        <f t="shared" si="78"/>
        <v>0</v>
      </c>
      <c r="H96" s="10">
        <f t="shared" si="78"/>
        <v>0</v>
      </c>
      <c r="I96" s="10">
        <f t="shared" si="78"/>
        <v>0</v>
      </c>
      <c r="J96" s="10">
        <f t="shared" si="78"/>
        <v>0</v>
      </c>
      <c r="K96" s="10">
        <f t="shared" si="78"/>
        <v>1757.8767319177718</v>
      </c>
      <c r="L96" s="10">
        <f t="shared" si="78"/>
        <v>0</v>
      </c>
      <c r="M96" s="10">
        <f t="shared" si="78"/>
        <v>874.08402138498411</v>
      </c>
      <c r="N96" s="10">
        <f t="shared" si="78"/>
        <v>0</v>
      </c>
      <c r="O96" s="10">
        <f t="shared" si="78"/>
        <v>0</v>
      </c>
      <c r="P96" s="10">
        <f t="shared" si="78"/>
        <v>0</v>
      </c>
      <c r="Q96" s="10">
        <f t="shared" si="78"/>
        <v>0</v>
      </c>
      <c r="R96" s="10">
        <f t="shared" si="78"/>
        <v>0</v>
      </c>
      <c r="S96" s="10">
        <f t="shared" si="78"/>
        <v>0</v>
      </c>
      <c r="T96" s="10">
        <f t="shared" si="78"/>
        <v>0</v>
      </c>
      <c r="U96" s="10">
        <f t="shared" si="78"/>
        <v>0</v>
      </c>
      <c r="V96" s="10">
        <f t="shared" si="78"/>
        <v>0</v>
      </c>
      <c r="W96" s="10">
        <f t="shared" si="78"/>
        <v>0</v>
      </c>
      <c r="X96" s="10">
        <f t="shared" si="78"/>
        <v>0</v>
      </c>
      <c r="Y96" s="10">
        <f t="shared" si="78"/>
        <v>280.63539959999997</v>
      </c>
      <c r="Z96" s="10">
        <f t="shared" si="78"/>
        <v>4.1122429566400003</v>
      </c>
      <c r="AA96" s="10">
        <f t="shared" si="78"/>
        <v>-0.53738438954800005</v>
      </c>
      <c r="AB96" s="10">
        <f t="shared" si="78"/>
        <v>0</v>
      </c>
      <c r="AC96" s="10">
        <f t="shared" si="78"/>
        <v>0</v>
      </c>
      <c r="AD96" s="10">
        <f t="shared" si="78"/>
        <v>1585.6698430023998</v>
      </c>
      <c r="AE96" s="10">
        <f t="shared" si="78"/>
        <v>-11.785692684150002</v>
      </c>
      <c r="AF96" s="10">
        <f t="shared" si="78"/>
        <v>0</v>
      </c>
      <c r="AG96" s="10">
        <f t="shared" si="78"/>
        <v>1951.7657719169999</v>
      </c>
      <c r="AH96" s="10">
        <f t="shared" si="78"/>
        <v>0</v>
      </c>
      <c r="AI96" s="10">
        <f t="shared" si="78"/>
        <v>0</v>
      </c>
      <c r="AJ96" s="10">
        <f t="shared" si="78"/>
        <v>1765.1867590141001</v>
      </c>
      <c r="AK96" s="10">
        <f t="shared" si="78"/>
        <v>-0.16335834736000002</v>
      </c>
      <c r="AL96" s="10">
        <f t="shared" si="78"/>
        <v>1825.4583009339301</v>
      </c>
      <c r="AM96" s="10">
        <f t="shared" si="78"/>
        <v>-0.57475053647200003</v>
      </c>
      <c r="AN96" s="10">
        <f t="shared" si="78"/>
        <v>0</v>
      </c>
      <c r="AO96" s="10">
        <f t="shared" si="78"/>
        <v>0</v>
      </c>
      <c r="AP96" s="10">
        <f t="shared" si="78"/>
        <v>0</v>
      </c>
      <c r="AQ96" s="10">
        <f t="shared" si="78"/>
        <v>0</v>
      </c>
      <c r="AR96" s="10">
        <f t="shared" si="78"/>
        <v>0</v>
      </c>
      <c r="AS96" s="10">
        <f t="shared" si="78"/>
        <v>1429.914793633043</v>
      </c>
      <c r="AT96" s="10">
        <f t="shared" si="78"/>
        <v>0</v>
      </c>
      <c r="AU96" s="10">
        <f t="shared" si="78"/>
        <v>0</v>
      </c>
      <c r="AV96" s="10">
        <f t="shared" si="78"/>
        <v>0</v>
      </c>
      <c r="AW96" s="10">
        <f t="shared" si="78"/>
        <v>0</v>
      </c>
      <c r="AX96" s="10">
        <f t="shared" si="78"/>
        <v>0</v>
      </c>
      <c r="AY96" s="10">
        <f t="shared" si="78"/>
        <v>0</v>
      </c>
      <c r="AZ96" s="10">
        <f t="shared" ref="AZ96:BK96" si="79">SUM(AZ95)</f>
        <v>0</v>
      </c>
      <c r="BA96" s="10">
        <f t="shared" si="79"/>
        <v>0</v>
      </c>
      <c r="BB96" s="10">
        <f t="shared" si="79"/>
        <v>0</v>
      </c>
      <c r="BC96" s="10">
        <f t="shared" si="79"/>
        <v>0</v>
      </c>
      <c r="BD96" s="10">
        <f t="shared" si="79"/>
        <v>0</v>
      </c>
      <c r="BE96" s="10">
        <f t="shared" si="79"/>
        <v>1509.9041956614274</v>
      </c>
      <c r="BF96" s="10">
        <f t="shared" si="79"/>
        <v>0</v>
      </c>
      <c r="BG96" s="10">
        <f t="shared" si="79"/>
        <v>0</v>
      </c>
      <c r="BH96" s="10">
        <f t="shared" si="79"/>
        <v>3064.9726841346996</v>
      </c>
      <c r="BI96" s="10">
        <f t="shared" si="79"/>
        <v>0</v>
      </c>
      <c r="BJ96" s="10">
        <f t="shared" si="79"/>
        <v>0</v>
      </c>
      <c r="BK96" s="10">
        <f t="shared" si="79"/>
        <v>0</v>
      </c>
      <c r="BO96" s="23">
        <f>SUM(BO95)</f>
        <v>0</v>
      </c>
      <c r="BP96" s="23">
        <f t="shared" ref="BP96:BT96" si="80">SUM(BP95)</f>
        <v>0</v>
      </c>
      <c r="BQ96" s="23">
        <f t="shared" si="80"/>
        <v>0</v>
      </c>
      <c r="BR96" s="23">
        <f t="shared" si="80"/>
        <v>1585.6698430023998</v>
      </c>
      <c r="BS96" s="23">
        <f t="shared" si="80"/>
        <v>0</v>
      </c>
      <c r="BT96" s="23">
        <f t="shared" si="80"/>
        <v>0</v>
      </c>
    </row>
    <row r="98" spans="3:72" x14ac:dyDescent="0.25">
      <c r="C98" s="3" t="s">
        <v>84</v>
      </c>
      <c r="D98" s="10">
        <f t="shared" ref="D98:BK98" si="81">D60+D83+D89+D93+D96</f>
        <v>-2526.7852508325686</v>
      </c>
      <c r="E98" s="10">
        <f t="shared" si="81"/>
        <v>5287.6164352184733</v>
      </c>
      <c r="F98" s="10">
        <f t="shared" si="81"/>
        <v>-3048.6207179120106</v>
      </c>
      <c r="G98" s="10">
        <f t="shared" si="81"/>
        <v>-3198.8808894111748</v>
      </c>
      <c r="H98" s="10">
        <f t="shared" si="81"/>
        <v>-13568.686543332102</v>
      </c>
      <c r="I98" s="10">
        <f t="shared" si="81"/>
        <v>-21821.003256827666</v>
      </c>
      <c r="J98" s="10">
        <f t="shared" si="81"/>
        <v>-23548.918172051919</v>
      </c>
      <c r="K98" s="10">
        <f t="shared" si="81"/>
        <v>-39207.309743998616</v>
      </c>
      <c r="L98" s="10">
        <f t="shared" si="81"/>
        <v>-22032.665462444071</v>
      </c>
      <c r="M98" s="10">
        <f t="shared" si="81"/>
        <v>-46087.420098012306</v>
      </c>
      <c r="N98" s="10">
        <f t="shared" si="81"/>
        <v>-27750.130684063006</v>
      </c>
      <c r="O98" s="10">
        <f t="shared" si="81"/>
        <v>-39596.588074813197</v>
      </c>
      <c r="P98" s="10">
        <f t="shared" si="81"/>
        <v>-61365.03161167146</v>
      </c>
      <c r="Q98" s="10">
        <f t="shared" si="81"/>
        <v>-36191.187984549397</v>
      </c>
      <c r="R98" s="10">
        <f t="shared" si="81"/>
        <v>-52229.300622112503</v>
      </c>
      <c r="S98" s="10">
        <f t="shared" si="81"/>
        <v>-47568.817250758861</v>
      </c>
      <c r="T98" s="10">
        <f t="shared" si="81"/>
        <v>-41493.089767716541</v>
      </c>
      <c r="U98" s="10">
        <f t="shared" si="81"/>
        <v>-33894.373733092172</v>
      </c>
      <c r="V98" s="10">
        <f t="shared" si="81"/>
        <v>-24354.769478268416</v>
      </c>
      <c r="W98" s="10">
        <f t="shared" si="81"/>
        <v>-17052.676599867271</v>
      </c>
      <c r="X98" s="10">
        <f t="shared" si="81"/>
        <v>-15706.037942479346</v>
      </c>
      <c r="Y98" s="10">
        <f t="shared" si="81"/>
        <v>-19860.838473941112</v>
      </c>
      <c r="Z98" s="10">
        <f t="shared" si="81"/>
        <v>-3641.722915943416</v>
      </c>
      <c r="AA98" s="10">
        <f t="shared" si="81"/>
        <v>-10138.988818554421</v>
      </c>
      <c r="AB98" s="10">
        <f t="shared" si="81"/>
        <v>-19430.396819464338</v>
      </c>
      <c r="AC98" s="10">
        <f t="shared" si="81"/>
        <v>-5855.4905122183291</v>
      </c>
      <c r="AD98" s="10">
        <f t="shared" si="81"/>
        <v>-7975.6224291250082</v>
      </c>
      <c r="AE98" s="10">
        <f t="shared" si="81"/>
        <v>-10462.330729072868</v>
      </c>
      <c r="AF98" s="10">
        <f t="shared" si="81"/>
        <v>-5241.2290344311259</v>
      </c>
      <c r="AG98" s="10">
        <f t="shared" si="81"/>
        <v>-5138.4364225294912</v>
      </c>
      <c r="AH98" s="10">
        <f t="shared" si="81"/>
        <v>-4497.4485622897355</v>
      </c>
      <c r="AI98" s="10">
        <f t="shared" si="81"/>
        <v>-2965.4060058358486</v>
      </c>
      <c r="AJ98" s="10">
        <f t="shared" si="81"/>
        <v>-159.74853669683262</v>
      </c>
      <c r="AK98" s="10">
        <f t="shared" si="81"/>
        <v>-6447.10462061629</v>
      </c>
      <c r="AL98" s="10">
        <f t="shared" si="81"/>
        <v>6789.6551549352243</v>
      </c>
      <c r="AM98" s="10">
        <f t="shared" si="81"/>
        <v>4473.6489266783528</v>
      </c>
      <c r="AN98" s="10">
        <f t="shared" si="81"/>
        <v>5315.7985496824604</v>
      </c>
      <c r="AO98" s="10">
        <f t="shared" si="81"/>
        <v>3018.5866242061579</v>
      </c>
      <c r="AP98" s="10">
        <f t="shared" si="81"/>
        <v>6137.6750275121594</v>
      </c>
      <c r="AQ98" s="10">
        <f t="shared" si="81"/>
        <v>4346.690369851679</v>
      </c>
      <c r="AR98" s="10">
        <f t="shared" si="81"/>
        <v>5724.7979837752655</v>
      </c>
      <c r="AS98" s="10">
        <f t="shared" si="81"/>
        <v>5207.0687830349307</v>
      </c>
      <c r="AT98" s="10">
        <f t="shared" si="81"/>
        <v>0</v>
      </c>
      <c r="AU98" s="10">
        <f t="shared" si="81"/>
        <v>0</v>
      </c>
      <c r="AV98" s="10">
        <f t="shared" si="81"/>
        <v>0</v>
      </c>
      <c r="AW98" s="10">
        <f t="shared" si="81"/>
        <v>0</v>
      </c>
      <c r="AX98" s="10">
        <f t="shared" si="81"/>
        <v>0</v>
      </c>
      <c r="AY98" s="10">
        <f t="shared" si="81"/>
        <v>0</v>
      </c>
      <c r="AZ98" s="10">
        <f t="shared" si="81"/>
        <v>-3437.4469750336152</v>
      </c>
      <c r="BA98" s="10">
        <f t="shared" si="81"/>
        <v>-3399.0758805642281</v>
      </c>
      <c r="BB98" s="10">
        <f t="shared" si="81"/>
        <v>-3503.5159123714507</v>
      </c>
      <c r="BC98" s="10">
        <f t="shared" si="81"/>
        <v>-3464.310843402357</v>
      </c>
      <c r="BD98" s="10">
        <f t="shared" si="81"/>
        <v>-3564.0497733506309</v>
      </c>
      <c r="BE98" s="10">
        <f t="shared" si="81"/>
        <v>-2203.7376498140261</v>
      </c>
      <c r="BF98" s="10">
        <f t="shared" si="81"/>
        <v>-3523.1271116994913</v>
      </c>
      <c r="BG98" s="10">
        <f t="shared" si="81"/>
        <v>-3557.3277609853012</v>
      </c>
      <c r="BH98" s="10">
        <f t="shared" si="81"/>
        <v>-678.72173898015853</v>
      </c>
      <c r="BI98" s="10">
        <f t="shared" si="81"/>
        <v>-3612.0661963263292</v>
      </c>
      <c r="BJ98" s="10">
        <f t="shared" si="81"/>
        <v>-3594.2547147891178</v>
      </c>
      <c r="BK98" s="10">
        <f t="shared" si="81"/>
        <v>-3624.1009250233396</v>
      </c>
      <c r="BO98" s="23">
        <f>BO60+BO83+BO89+BO93+BO96</f>
        <v>14472.060201400776</v>
      </c>
      <c r="BP98" s="23">
        <f t="shared" ref="BP98:BT98" si="82">BP60+BP83+BP89+BP93+BP96</f>
        <v>-9872.6145764848698</v>
      </c>
      <c r="BQ98" s="23">
        <f t="shared" si="82"/>
        <v>8334.3851738886078</v>
      </c>
      <c r="BR98" s="23">
        <f t="shared" si="82"/>
        <v>-33261.509760807676</v>
      </c>
      <c r="BS98" s="23">
        <f t="shared" si="82"/>
        <v>-149785.52021833337</v>
      </c>
      <c r="BT98" s="23">
        <f t="shared" si="82"/>
        <v>-287.78953352610989</v>
      </c>
    </row>
    <row r="102" spans="3:72" s="48" customFormat="1" x14ac:dyDescent="0.25">
      <c r="C102" s="46" t="s">
        <v>110</v>
      </c>
      <c r="D102" s="47">
        <f>D11</f>
        <v>2463219.0769222798</v>
      </c>
      <c r="E102" s="47">
        <f>IFERROR(AVERAGE(D11:E11),0)</f>
        <v>2496041.4747476401</v>
      </c>
      <c r="F102" s="47">
        <f t="shared" ref="F102:BK102" si="83">IFERROR(AVERAGE(E11:F11),0)</f>
        <v>2574557.4389338801</v>
      </c>
      <c r="G102" s="47">
        <f t="shared" si="83"/>
        <v>2645761.2621288053</v>
      </c>
      <c r="H102" s="47">
        <f t="shared" si="83"/>
        <v>2695698.9618093548</v>
      </c>
      <c r="I102" s="47">
        <f t="shared" si="83"/>
        <v>2742342.7172436798</v>
      </c>
      <c r="J102" s="48">
        <f t="shared" si="83"/>
        <v>2779121.6054457603</v>
      </c>
      <c r="K102" s="48">
        <f t="shared" si="83"/>
        <v>2838421.4788623848</v>
      </c>
      <c r="L102" s="48">
        <f t="shared" si="83"/>
        <v>2885955.6615853198</v>
      </c>
      <c r="M102" s="48">
        <f t="shared" si="83"/>
        <v>2888948.7521962752</v>
      </c>
      <c r="N102" s="48">
        <f t="shared" si="83"/>
        <v>2873802.1828661901</v>
      </c>
      <c r="O102" s="48">
        <f t="shared" si="83"/>
        <v>2823883.6994235301</v>
      </c>
      <c r="P102" s="48">
        <f t="shared" si="83"/>
        <v>2759025.5861959402</v>
      </c>
      <c r="Q102" s="48">
        <f t="shared" si="83"/>
        <v>2691271.6928641703</v>
      </c>
      <c r="R102" s="48">
        <f t="shared" si="83"/>
        <v>2631798.59683361</v>
      </c>
      <c r="S102" s="48">
        <f t="shared" si="83"/>
        <v>2580378.4423730201</v>
      </c>
      <c r="T102" s="48">
        <f t="shared" si="83"/>
        <v>2513186.95285457</v>
      </c>
      <c r="U102" s="48">
        <f t="shared" si="83"/>
        <v>2436369.7996158404</v>
      </c>
      <c r="V102" s="48">
        <f t="shared" si="83"/>
        <v>2353562.8959978353</v>
      </c>
      <c r="W102" s="47">
        <f t="shared" si="83"/>
        <v>2281456.7488604747</v>
      </c>
      <c r="X102" s="47">
        <f t="shared" si="83"/>
        <v>2229815.9967727349</v>
      </c>
      <c r="Y102" s="47">
        <f t="shared" si="83"/>
        <v>2188483.4007672146</v>
      </c>
      <c r="Z102" s="47">
        <f t="shared" si="83"/>
        <v>2141844.4783325698</v>
      </c>
      <c r="AA102" s="47">
        <f t="shared" si="83"/>
        <v>2095958.2899017697</v>
      </c>
      <c r="AB102" s="47">
        <f t="shared" si="83"/>
        <v>2060567.4825160699</v>
      </c>
      <c r="AC102" s="48">
        <f t="shared" si="83"/>
        <v>2028990.0884182903</v>
      </c>
      <c r="AD102" s="48">
        <f t="shared" si="83"/>
        <v>2017629.3543659505</v>
      </c>
      <c r="AE102" s="48">
        <f t="shared" si="83"/>
        <v>2008861.835740705</v>
      </c>
      <c r="AF102" s="48">
        <f t="shared" si="83"/>
        <v>1992195.5084575848</v>
      </c>
      <c r="AG102" s="48">
        <f t="shared" si="83"/>
        <v>1972471.6224776902</v>
      </c>
      <c r="AH102" s="48">
        <f t="shared" si="83"/>
        <v>1955992.286936715</v>
      </c>
      <c r="AI102" s="48">
        <f t="shared" si="83"/>
        <v>1958874.5295698596</v>
      </c>
      <c r="AJ102" s="48">
        <f t="shared" si="83"/>
        <v>1959092.9691149751</v>
      </c>
      <c r="AK102" s="48">
        <f t="shared" si="83"/>
        <v>1959847.2908904999</v>
      </c>
      <c r="AL102" s="48">
        <f t="shared" si="83"/>
        <v>1958529.9619180998</v>
      </c>
      <c r="AM102" s="48">
        <f t="shared" si="83"/>
        <v>1947003.0612190398</v>
      </c>
      <c r="AN102" s="48">
        <f t="shared" si="83"/>
        <v>1950207.0079025899</v>
      </c>
      <c r="AO102" s="48">
        <f t="shared" si="83"/>
        <v>1969450.595</v>
      </c>
      <c r="AP102" s="48">
        <f t="shared" si="83"/>
        <v>1984746.8149999999</v>
      </c>
      <c r="AQ102" s="48">
        <f t="shared" si="83"/>
        <v>1999865.6017781049</v>
      </c>
      <c r="AR102" s="48">
        <f t="shared" si="83"/>
        <v>2025255.110943675</v>
      </c>
      <c r="AS102" s="48">
        <f t="shared" si="83"/>
        <v>2057551.0985097205</v>
      </c>
      <c r="AT102" s="48">
        <f t="shared" si="83"/>
        <v>1038037.0893441502</v>
      </c>
      <c r="AU102" s="48">
        <f t="shared" si="83"/>
        <v>0</v>
      </c>
      <c r="AV102" s="48">
        <f t="shared" si="83"/>
        <v>0</v>
      </c>
      <c r="AW102" s="48">
        <f t="shared" si="83"/>
        <v>0</v>
      </c>
      <c r="AX102" s="48">
        <f t="shared" si="83"/>
        <v>0</v>
      </c>
      <c r="AY102" s="48">
        <f t="shared" si="83"/>
        <v>0</v>
      </c>
      <c r="AZ102" s="48">
        <f>AZ11</f>
        <v>1949481.7824677699</v>
      </c>
      <c r="BA102" s="48">
        <f t="shared" si="83"/>
        <v>1943127.9581405404</v>
      </c>
      <c r="BB102" s="48">
        <f t="shared" si="83"/>
        <v>1940534.3461935804</v>
      </c>
      <c r="BC102" s="48">
        <f t="shared" si="83"/>
        <v>1950668.1726146087</v>
      </c>
      <c r="BD102" s="48">
        <f t="shared" si="83"/>
        <v>1968504.5046835104</v>
      </c>
      <c r="BE102" s="48">
        <f t="shared" si="83"/>
        <v>1983310.7101716583</v>
      </c>
      <c r="BF102" s="48">
        <f t="shared" si="83"/>
        <v>1988425.2964971864</v>
      </c>
      <c r="BG102" s="48">
        <f t="shared" si="83"/>
        <v>1998914.6391158432</v>
      </c>
      <c r="BH102" s="48">
        <f t="shared" si="83"/>
        <v>2020819.5646864509</v>
      </c>
      <c r="BI102" s="48">
        <f t="shared" si="83"/>
        <v>2048314.0761732073</v>
      </c>
      <c r="BJ102" s="48">
        <f t="shared" si="83"/>
        <v>2067688.4328470905</v>
      </c>
      <c r="BK102" s="48">
        <f t="shared" si="83"/>
        <v>2075932.257313166</v>
      </c>
      <c r="BO102" s="48">
        <f>IFERROR(AVERAGEIFS($D11:$BM11,$D$6:$BM$6,"&gt;="&amp;EOMONTH(BO$2,-1),$D$6:$BM$6,"&lt;="&amp;BO$6,$D$5:$BM$5,BO$5,$D11:$BM11,"&lt;&gt;0"),0)</f>
        <v>1967476.911451295</v>
      </c>
      <c r="BP102" s="48">
        <f>IFERROR(AVERAGEIFS($D11:$BM11,$D$6:$BM$6,"&gt;="&amp;EOMONTH(BP$2,-1),$D$6:$BM$6,"&lt;="&amp;BP$6,$D$5:$BM$5,BP$5,$D11:$BM11,"&lt;&gt;0"),0)</f>
        <v>1943516.8249516434</v>
      </c>
      <c r="BQ102" s="48">
        <f>IFERROR(AVERAGEIFS($D11:$BM11,$D$6:$BM$6,"&gt;="&amp;EOMONTH(BQ$2,-1),$D$6:$BM$6,"&lt;="&amp;BQ$6,$D$5:$BM$5,BQ$5,$D11:$BM11,"&lt;&gt;0"),0)</f>
        <v>1960552.88193506</v>
      </c>
      <c r="BR102" s="48">
        <f>IFERROR(AVERAGEIFS($D11:$BM11,$D$6:$BM$6,"&gt;="&amp;EOMONTH(BR$2,-1),$D$6:$BM$6,"&lt;="&amp;BR$6,$D$5:$BM$5,BR$5,$D11:$BM11,"&lt;&gt;0"),0)</f>
        <v>2039098.4184410102</v>
      </c>
      <c r="BS102" s="48">
        <f t="shared" ref="BS102:BT102" si="84">IFERROR(AVERAGEIFS($D11:$BM11,$D$6:$BM$6,"&gt;="&amp;EOMONTH(BS$2,-1),$D$6:$BM$6,"&lt;="&amp;BS$6,$D$5:$BM$5,BS$5,$D11:$BM11,"&lt;&gt;0"),0)</f>
        <v>2695412.0915147751</v>
      </c>
      <c r="BT102" s="48">
        <f t="shared" si="84"/>
        <v>2537444.6515966803</v>
      </c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7214-1D3D-4857-8F9A-2F14974E1858}">
  <sheetPr codeName="Hoja9"/>
  <dimension ref="A1:CC102"/>
  <sheetViews>
    <sheetView showGridLines="0" zoomScale="80" zoomScaleNormal="80" workbookViewId="0">
      <pane xSplit="3" ySplit="6" topLeftCell="AS7" activePane="bottomRight" state="frozen"/>
      <selection activeCell="AO24" sqref="AO24"/>
      <selection pane="topRight" activeCell="AO24" sqref="AO24"/>
      <selection pane="bottomLeft" activeCell="AO24" sqref="AO24"/>
      <selection pane="bottomRight" activeCell="AT11" sqref="AT11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hidden="1" customWidth="1" outlineLevel="1"/>
    <col min="15" max="15" width="11.28515625" bestFit="1" customWidth="1" collapsed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51" width="10.5703125" customWidth="1"/>
    <col min="52" max="63" width="12.28515625" bestFit="1" customWidth="1"/>
    <col min="77" max="77" width="11.28515625" bestFit="1" customWidth="1"/>
  </cols>
  <sheetData>
    <row r="1" spans="1:81" ht="15.75" x14ac:dyDescent="0.25">
      <c r="D1" s="67" t="s">
        <v>92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8" t="s">
        <v>93</v>
      </c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O1" s="69" t="s">
        <v>90</v>
      </c>
      <c r="BP1" s="69"/>
      <c r="BQ1" s="69"/>
      <c r="BR1" s="69"/>
      <c r="BS1" s="69"/>
      <c r="BT1" s="69"/>
      <c r="BW1" s="69" t="s">
        <v>91</v>
      </c>
      <c r="BX1" s="69"/>
      <c r="BY1" s="69"/>
      <c r="BZ1" s="69"/>
      <c r="CA1" s="69"/>
      <c r="CB1" s="69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</v>
      </c>
      <c r="BP3" s="12">
        <f t="shared" ref="BP3:BT4" si="2">AVERAGEIFS($D3:$BM3,$D$6:$BM$6,"&gt;="&amp;BP$2,$D$6:$BM$6,"&lt;="&amp;BP$6,$D$5:$BM$5,BP$5)</f>
        <v>30</v>
      </c>
      <c r="BQ3" s="12">
        <f t="shared" si="2"/>
        <v>29.5</v>
      </c>
      <c r="BR3" s="12">
        <f t="shared" si="2"/>
        <v>30</v>
      </c>
      <c r="BS3" s="12">
        <f t="shared" si="2"/>
        <v>30.333333333333332</v>
      </c>
      <c r="BT3" s="12">
        <f t="shared" si="2"/>
        <v>30</v>
      </c>
    </row>
    <row r="4" spans="1:81" x14ac:dyDescent="0.25">
      <c r="C4" s="13" t="s">
        <v>62</v>
      </c>
      <c r="D4" s="12">
        <f>DAY(D6)</f>
        <v>31</v>
      </c>
      <c r="E4" s="12">
        <f t="shared" ref="E4:BK4" si="3">DAY(E6)</f>
        <v>28</v>
      </c>
      <c r="F4" s="12">
        <f t="shared" si="3"/>
        <v>31</v>
      </c>
      <c r="G4" s="12">
        <f t="shared" si="3"/>
        <v>30</v>
      </c>
      <c r="H4" s="12">
        <f t="shared" si="3"/>
        <v>31</v>
      </c>
      <c r="I4" s="12">
        <f t="shared" si="3"/>
        <v>30</v>
      </c>
      <c r="J4" s="12">
        <f t="shared" si="3"/>
        <v>31</v>
      </c>
      <c r="K4" s="12">
        <f t="shared" si="3"/>
        <v>31</v>
      </c>
      <c r="L4" s="12">
        <f t="shared" si="3"/>
        <v>30</v>
      </c>
      <c r="M4" s="12">
        <f t="shared" si="3"/>
        <v>31</v>
      </c>
      <c r="N4" s="12">
        <f t="shared" si="3"/>
        <v>30</v>
      </c>
      <c r="O4" s="12">
        <f t="shared" si="3"/>
        <v>31</v>
      </c>
      <c r="P4" s="12">
        <f t="shared" si="3"/>
        <v>31</v>
      </c>
      <c r="Q4" s="12">
        <f t="shared" si="3"/>
        <v>29</v>
      </c>
      <c r="R4" s="12">
        <f t="shared" si="3"/>
        <v>31</v>
      </c>
      <c r="S4" s="12">
        <f t="shared" si="3"/>
        <v>30</v>
      </c>
      <c r="T4" s="12">
        <f t="shared" si="3"/>
        <v>31</v>
      </c>
      <c r="U4" s="12">
        <f t="shared" si="3"/>
        <v>30</v>
      </c>
      <c r="V4" s="12">
        <f t="shared" si="3"/>
        <v>31</v>
      </c>
      <c r="W4" s="12">
        <f t="shared" si="3"/>
        <v>31</v>
      </c>
      <c r="X4" s="12">
        <f t="shared" si="3"/>
        <v>30</v>
      </c>
      <c r="Y4" s="12">
        <f t="shared" si="3"/>
        <v>31</v>
      </c>
      <c r="Z4" s="12">
        <f t="shared" si="3"/>
        <v>30</v>
      </c>
      <c r="AA4" s="12">
        <f t="shared" si="3"/>
        <v>31</v>
      </c>
      <c r="AB4" s="12">
        <f t="shared" si="3"/>
        <v>31</v>
      </c>
      <c r="AC4" s="12">
        <f t="shared" si="3"/>
        <v>28</v>
      </c>
      <c r="AD4" s="12">
        <f t="shared" si="3"/>
        <v>31</v>
      </c>
      <c r="AE4" s="12">
        <f t="shared" si="3"/>
        <v>30</v>
      </c>
      <c r="AF4" s="12">
        <f t="shared" si="3"/>
        <v>31</v>
      </c>
      <c r="AG4" s="12">
        <f t="shared" si="3"/>
        <v>30</v>
      </c>
      <c r="AH4" s="12">
        <f t="shared" si="3"/>
        <v>31</v>
      </c>
      <c r="AI4" s="12">
        <f t="shared" si="3"/>
        <v>31</v>
      </c>
      <c r="AJ4" s="12">
        <f t="shared" si="3"/>
        <v>30</v>
      </c>
      <c r="AK4" s="12">
        <f t="shared" si="3"/>
        <v>31</v>
      </c>
      <c r="AL4" s="12">
        <f t="shared" si="3"/>
        <v>30</v>
      </c>
      <c r="AM4" s="12">
        <f t="shared" si="3"/>
        <v>31</v>
      </c>
      <c r="AN4" s="12">
        <f t="shared" si="3"/>
        <v>31</v>
      </c>
      <c r="AO4" s="12">
        <f t="shared" si="3"/>
        <v>28</v>
      </c>
      <c r="AP4" s="12">
        <f t="shared" si="3"/>
        <v>31</v>
      </c>
      <c r="AQ4" s="12">
        <f t="shared" si="3"/>
        <v>30</v>
      </c>
      <c r="AR4" s="12">
        <f t="shared" si="3"/>
        <v>31</v>
      </c>
      <c r="AS4" s="12">
        <f t="shared" si="3"/>
        <v>30</v>
      </c>
      <c r="AT4" s="12">
        <f t="shared" si="3"/>
        <v>31</v>
      </c>
      <c r="AU4" s="12">
        <f t="shared" si="3"/>
        <v>31</v>
      </c>
      <c r="AV4" s="12">
        <f t="shared" si="3"/>
        <v>30</v>
      </c>
      <c r="AW4" s="12">
        <f t="shared" si="3"/>
        <v>31</v>
      </c>
      <c r="AX4" s="12">
        <f t="shared" si="3"/>
        <v>30</v>
      </c>
      <c r="AY4" s="12">
        <f t="shared" si="3"/>
        <v>31</v>
      </c>
      <c r="AZ4" s="12">
        <f t="shared" si="3"/>
        <v>31</v>
      </c>
      <c r="BA4" s="12">
        <f t="shared" si="3"/>
        <v>28</v>
      </c>
      <c r="BB4" s="12">
        <f t="shared" si="3"/>
        <v>31</v>
      </c>
      <c r="BC4" s="12">
        <f t="shared" si="3"/>
        <v>30</v>
      </c>
      <c r="BD4" s="12">
        <f t="shared" si="3"/>
        <v>31</v>
      </c>
      <c r="BE4" s="12">
        <f t="shared" si="3"/>
        <v>30</v>
      </c>
      <c r="BF4" s="12">
        <f t="shared" si="3"/>
        <v>31</v>
      </c>
      <c r="BG4" s="12">
        <f t="shared" si="3"/>
        <v>31</v>
      </c>
      <c r="BH4" s="12">
        <f t="shared" si="3"/>
        <v>30</v>
      </c>
      <c r="BI4" s="12">
        <f t="shared" si="3"/>
        <v>31</v>
      </c>
      <c r="BJ4" s="12">
        <f t="shared" si="3"/>
        <v>30</v>
      </c>
      <c r="BK4" s="12">
        <f t="shared" si="3"/>
        <v>31</v>
      </c>
      <c r="BO4" s="27">
        <f>AVERAGEIFS($D4:$BM4,$D$6:$BM$6,"&gt;="&amp;BO$2,$D$6:$BM$6,"&lt;="&amp;BO$6,$D$5:$BM$5,BO$5)</f>
        <v>30</v>
      </c>
      <c r="BP4" s="27">
        <f t="shared" si="2"/>
        <v>30</v>
      </c>
      <c r="BQ4" s="27">
        <f t="shared" si="2"/>
        <v>29.5</v>
      </c>
      <c r="BR4" s="27">
        <f t="shared" si="2"/>
        <v>30</v>
      </c>
      <c r="BS4" s="27">
        <f t="shared" si="2"/>
        <v>30.333333333333332</v>
      </c>
      <c r="BT4" s="27">
        <f t="shared" si="2"/>
        <v>30</v>
      </c>
    </row>
    <row r="5" spans="1:81" ht="15.75" thickBot="1" x14ac:dyDescent="0.3">
      <c r="C5" s="13" t="s">
        <v>86</v>
      </c>
      <c r="D5" s="12" t="s">
        <v>87</v>
      </c>
      <c r="E5" s="12" t="s">
        <v>87</v>
      </c>
      <c r="F5" s="12" t="s">
        <v>87</v>
      </c>
      <c r="G5" s="12" t="s">
        <v>87</v>
      </c>
      <c r="H5" s="12" t="s">
        <v>87</v>
      </c>
      <c r="I5" s="12" t="s">
        <v>87</v>
      </c>
      <c r="J5" s="12" t="s">
        <v>87</v>
      </c>
      <c r="K5" s="12" t="s">
        <v>87</v>
      </c>
      <c r="L5" s="12" t="s">
        <v>87</v>
      </c>
      <c r="M5" s="12" t="s">
        <v>87</v>
      </c>
      <c r="N5" s="12" t="s">
        <v>87</v>
      </c>
      <c r="O5" s="12" t="s">
        <v>87</v>
      </c>
      <c r="P5" s="12" t="s">
        <v>87</v>
      </c>
      <c r="Q5" s="12" t="s">
        <v>87</v>
      </c>
      <c r="R5" s="12" t="s">
        <v>87</v>
      </c>
      <c r="S5" s="12" t="s">
        <v>87</v>
      </c>
      <c r="T5" s="12" t="s">
        <v>87</v>
      </c>
      <c r="U5" s="12" t="s">
        <v>87</v>
      </c>
      <c r="V5" s="12" t="s">
        <v>87</v>
      </c>
      <c r="W5" s="12" t="s">
        <v>87</v>
      </c>
      <c r="X5" s="12" t="s">
        <v>87</v>
      </c>
      <c r="Y5" s="12" t="s">
        <v>87</v>
      </c>
      <c r="Z5" s="12" t="s">
        <v>87</v>
      </c>
      <c r="AA5" s="12" t="s">
        <v>87</v>
      </c>
      <c r="AB5" s="12" t="s">
        <v>87</v>
      </c>
      <c r="AC5" s="12" t="s">
        <v>87</v>
      </c>
      <c r="AD5" s="12" t="s">
        <v>87</v>
      </c>
      <c r="AE5" s="12" t="s">
        <v>87</v>
      </c>
      <c r="AF5" s="12" t="s">
        <v>87</v>
      </c>
      <c r="AG5" s="12" t="s">
        <v>87</v>
      </c>
      <c r="AH5" s="12" t="s">
        <v>87</v>
      </c>
      <c r="AI5" s="12" t="s">
        <v>87</v>
      </c>
      <c r="AJ5" s="12" t="s">
        <v>87</v>
      </c>
      <c r="AK5" s="12" t="s">
        <v>87</v>
      </c>
      <c r="AL5" s="12" t="s">
        <v>87</v>
      </c>
      <c r="AM5" s="12" t="s">
        <v>87</v>
      </c>
      <c r="AN5" s="12" t="s">
        <v>87</v>
      </c>
      <c r="AO5" s="12" t="s">
        <v>87</v>
      </c>
      <c r="AP5" s="12" t="s">
        <v>87</v>
      </c>
      <c r="AQ5" s="12" t="s">
        <v>87</v>
      </c>
      <c r="AR5" s="12" t="s">
        <v>87</v>
      </c>
      <c r="AS5" s="12" t="s">
        <v>87</v>
      </c>
      <c r="AT5" s="12" t="s">
        <v>87</v>
      </c>
      <c r="AU5" s="12" t="s">
        <v>87</v>
      </c>
      <c r="AV5" s="12" t="s">
        <v>87</v>
      </c>
      <c r="AW5" s="12" t="s">
        <v>87</v>
      </c>
      <c r="AX5" s="12" t="s">
        <v>87</v>
      </c>
      <c r="AY5" s="12" t="s">
        <v>87</v>
      </c>
      <c r="AZ5" s="12" t="s">
        <v>88</v>
      </c>
      <c r="BA5" s="12" t="s">
        <v>88</v>
      </c>
      <c r="BB5" s="12" t="s">
        <v>88</v>
      </c>
      <c r="BC5" s="12" t="s">
        <v>88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O5" s="12" t="s">
        <v>87</v>
      </c>
      <c r="BP5" s="12" t="s">
        <v>88</v>
      </c>
      <c r="BQ5" s="12" t="s">
        <v>87</v>
      </c>
      <c r="BR5" s="12" t="s">
        <v>87</v>
      </c>
      <c r="BS5" s="12" t="s">
        <v>87</v>
      </c>
      <c r="BT5" s="12" t="s">
        <v>87</v>
      </c>
    </row>
    <row r="6" spans="1:81" ht="16.5" thickTop="1" thickBot="1" x14ac:dyDescent="0.3">
      <c r="C6" s="45" t="s">
        <v>46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46112</v>
      </c>
      <c r="BP6" s="22">
        <f>BO6</f>
        <v>46112</v>
      </c>
      <c r="BQ6" s="1">
        <f>EOMONTH(BO6,-1)</f>
        <v>46081</v>
      </c>
      <c r="BR6" s="1">
        <f>EOMONTH(BO6,-12)</f>
        <v>45747</v>
      </c>
      <c r="BS6" s="1">
        <f>EOMONTH(BO6,-24)</f>
        <v>45382</v>
      </c>
      <c r="BT6" s="1">
        <f>EOMONTH(BO6,-36)</f>
        <v>45016</v>
      </c>
      <c r="BW6" s="1">
        <f>BO6</f>
        <v>46112</v>
      </c>
      <c r="BX6" s="22">
        <f t="shared" ref="BX6:CB6" si="4">BP6</f>
        <v>46112</v>
      </c>
      <c r="BY6" s="1">
        <f t="shared" si="4"/>
        <v>46081</v>
      </c>
      <c r="BZ6" s="1">
        <f t="shared" si="4"/>
        <v>45747</v>
      </c>
      <c r="CA6" s="1">
        <f t="shared" si="4"/>
        <v>45382</v>
      </c>
      <c r="CB6" s="1">
        <f t="shared" si="4"/>
        <v>45016</v>
      </c>
      <c r="CC6" s="26"/>
    </row>
    <row r="7" spans="1:81" ht="15.75" thickTop="1" x14ac:dyDescent="0.25"/>
    <row r="8" spans="1:81" hidden="1" outlineLevel="1" x14ac:dyDescent="0.25">
      <c r="A8" s="11" t="s">
        <v>51</v>
      </c>
      <c r="C8" s="2" t="s">
        <v>0</v>
      </c>
      <c r="D8" s="8">
        <f>IFERROR(
GETPIVOTDATA(
"[Base].[Importe]",
TDinamica_R!$A$5,
"[Calendario].[AñoMes]",
"[Calendario].[AñoMes].&amp;[" &amp; TEXT(D$6,"yyyymm") &amp; "]",
"[Base].[Metrica]",
"[Base].[Metrica].&amp;[" &amp; $A8 &amp; "]",
"[Base].[SEGMENTO_DESCRIP]",
"[Base].[SEGMENTO_DESCRIP].&amp;[" &amp; $C$6 &amp; "]",
"[Base].[SITUACION]",
"[Base].[SITUACION].&amp;[" &amp; $C8 &amp; "]"
),0)/1000</f>
        <v>46674.944999280007</v>
      </c>
      <c r="E8" s="8">
        <f>IFERROR(
GETPIVOTDATA(
"[Base].[Importe]",
TDinamica_R!$A$5,
"[Calendario].[AñoMes]",
"[Calendario].[AñoMes].&amp;[" &amp; TEXT(E$6,"yyyymm") &amp; "]",
"[Base].[Metrica]",
"[Base].[Metrica].&amp;[" &amp; $A8 &amp; "]",
"[Base].[SEGMENTO_DESCRIP]",
"[Base].[SEGMENTO_DESCRIP].&amp;[" &amp; $C$6 &amp; "]",
"[Base].[SITUACION]",
"[Base].[SITUACION].&amp;[" &amp; $C8 &amp; "]"
),0)/1000</f>
        <v>47574.52375434</v>
      </c>
      <c r="F8" s="8">
        <f>IFERROR(
GETPIVOTDATA(
"[Base].[Importe]",
TDinamica_R!$A$5,
"[Calendario].[AñoMes]",
"[Calendario].[AñoMes].&amp;[" &amp; TEXT(F$6,"yyyymm") &amp; "]",
"[Base].[Metrica]",
"[Base].[Metrica].&amp;[" &amp; $A8 &amp; "]",
"[Base].[SEGMENTO_DESCRIP]",
"[Base].[SEGMENTO_DESCRIP].&amp;[" &amp; $C$6 &amp; "]",
"[Base].[SITUACION]",
"[Base].[SITUACION].&amp;[" &amp; $C8 &amp; "]"
),0)/1000</f>
        <v>49554.653999340007</v>
      </c>
      <c r="G8" s="8">
        <f>IFERROR(
GETPIVOTDATA(
"[Base].[Importe]",
TDinamica_R!$A$5,
"[Calendario].[AñoMes]",
"[Calendario].[AñoMes].&amp;[" &amp; TEXT(G$6,"yyyymm") &amp; "]",
"[Base].[Metrica]",
"[Base].[Metrica].&amp;[" &amp; $A8 &amp; "]",
"[Base].[SEGMENTO_DESCRIP]",
"[Base].[SEGMENTO_DESCRIP].&amp;[" &amp; $C$6 &amp; "]",
"[Base].[SITUACION]",
"[Base].[SITUACION].&amp;[" &amp; $C8 &amp; "]"
),0)/1000</f>
        <v>49252.37722894999</v>
      </c>
      <c r="H8" s="8">
        <f>IFERROR(
GETPIVOTDATA(
"[Base].[Importe]",
TDinamica_R!$A$5,
"[Calendario].[AñoMes]",
"[Calendario].[AñoMes].&amp;[" &amp; TEXT(H$6,"yyyymm") &amp; "]",
"[Base].[Metrica]",
"[Base].[Metrica].&amp;[" &amp; $A8 &amp; "]",
"[Base].[SEGMENTO_DESCRIP]",
"[Base].[SEGMENTO_DESCRIP].&amp;[" &amp; $C$6 &amp; "]",
"[Base].[SITUACION]",
"[Base].[SITUACION].&amp;[" &amp; $C8 &amp; "]"
),0)/1000</f>
        <v>49919.508194589995</v>
      </c>
      <c r="I8" s="8">
        <f>IFERROR(
GETPIVOTDATA(
"[Base].[Importe]",
TDinamica_R!$A$5,
"[Calendario].[AñoMes]",
"[Calendario].[AñoMes].&amp;[" &amp; TEXT(I$6,"yyyymm") &amp; "]",
"[Base].[Metrica]",
"[Base].[Metrica].&amp;[" &amp; $A8 &amp; "]",
"[Base].[SEGMENTO_DESCRIP]",
"[Base].[SEGMENTO_DESCRIP].&amp;[" &amp; $C$6 &amp; "]",
"[Base].[SITUACION]",
"[Base].[SITUACION].&amp;[" &amp; $C8 &amp; "]"
),0)/1000</f>
        <v>50041.766334520005</v>
      </c>
      <c r="J8" s="8">
        <f>IFERROR(
GETPIVOTDATA(
"[Base].[Importe]",
TDinamica_R!$A$5,
"[Calendario].[AñoMes]",
"[Calendario].[AñoMes].&amp;[" &amp; TEXT(J$6,"yyyymm") &amp; "]",
"[Base].[Metrica]",
"[Base].[Metrica].&amp;[" &amp; $A8 &amp; "]",
"[Base].[SEGMENTO_DESCRIP]",
"[Base].[SEGMENTO_DESCRIP].&amp;[" &amp; $C$6 &amp; "]",
"[Base].[SITUACION]",
"[Base].[SITUACION].&amp;[" &amp; $C8 &amp; "]"
),0)/1000</f>
        <v>49123.734503200008</v>
      </c>
      <c r="K8" s="8">
        <f>IFERROR(
GETPIVOTDATA(
"[Base].[Importe]",
TDinamica_R!$A$5,
"[Calendario].[AñoMes]",
"[Calendario].[AñoMes].&amp;[" &amp; TEXT(K$6,"yyyymm") &amp; "]",
"[Base].[Metrica]",
"[Base].[Metrica].&amp;[" &amp; $A8 &amp; "]",
"[Base].[SEGMENTO_DESCRIP]",
"[Base].[SEGMENTO_DESCRIP].&amp;[" &amp; $C$6 &amp; "]",
"[Base].[SITUACION]",
"[Base].[SITUACION].&amp;[" &amp; $C8 &amp; "]"
),0)/1000</f>
        <v>47902.202889799999</v>
      </c>
      <c r="L8" s="8">
        <f>IFERROR(
GETPIVOTDATA(
"[Base].[Importe]",
TDinamica_R!$A$5,
"[Calendario].[AñoMes]",
"[Calendario].[AñoMes].&amp;[" &amp; TEXT(L$6,"yyyymm") &amp; "]",
"[Base].[Metrica]",
"[Base].[Metrica].&amp;[" &amp; $A8 &amp; "]",
"[Base].[SEGMENTO_DESCRIP]",
"[Base].[SEGMENTO_DESCRIP].&amp;[" &amp; $C$6 &amp; "]",
"[Base].[SITUACION]",
"[Base].[SITUACION].&amp;[" &amp; $C8 &amp; "]"
),0)/1000</f>
        <v>46783.631209999992</v>
      </c>
      <c r="M8" s="8">
        <f>IFERROR(
GETPIVOTDATA(
"[Base].[Importe]",
TDinamica_R!$A$5,
"[Calendario].[AñoMes]",
"[Calendario].[AñoMes].&amp;[" &amp; TEXT(M$6,"yyyymm") &amp; "]",
"[Base].[Metrica]",
"[Base].[Metrica].&amp;[" &amp; $A8 &amp; "]",
"[Base].[SEGMENTO_DESCRIP]",
"[Base].[SEGMENTO_DESCRIP].&amp;[" &amp; $C$6 &amp; "]",
"[Base].[SITUACION]",
"[Base].[SITUACION].&amp;[" &amp; $C8 &amp; "]"
),0)/1000</f>
        <v>45034.259960000003</v>
      </c>
      <c r="N8" s="8">
        <f>IFERROR(
GETPIVOTDATA(
"[Base].[Importe]",
TDinamica_R!$A$5,
"[Calendario].[AñoMes]",
"[Calendario].[AñoMes].&amp;[" &amp; TEXT(N$6,"yyyymm") &amp; "]",
"[Base].[Metrica]",
"[Base].[Metrica].&amp;[" &amp; $A8 &amp; "]",
"[Base].[SEGMENTO_DESCRIP]",
"[Base].[SEGMENTO_DESCRIP].&amp;[" &amp; $C$6 &amp; "]",
"[Base].[SITUACION]",
"[Base].[SITUACION].&amp;[" &amp; $C8 &amp; "]"
),0)/1000</f>
        <v>43931.616630000004</v>
      </c>
      <c r="O8" s="8">
        <f>IFERROR(
GETPIVOTDATA(
"[Base].[Importe]",
TDinamica_R!$A$5,
"[Calendario].[AñoMes]",
"[Calendario].[AñoMes].&amp;[" &amp; TEXT(O$6,"yyyymm") &amp; "]",
"[Base].[Metrica]",
"[Base].[Metrica].&amp;[" &amp; $A8 &amp; "]",
"[Base].[SEGMENTO_DESCRIP]",
"[Base].[SEGMENTO_DESCRIP].&amp;[" &amp; $C$6 &amp; "]",
"[Base].[SITUACION]",
"[Base].[SITUACION].&amp;[" &amp; $C8 &amp; "]"
),0)/1000</f>
        <v>41857.522819999998</v>
      </c>
      <c r="P8" s="8">
        <f>IFERROR(
GETPIVOTDATA(
"[Base].[Importe]",
TDinamica_R!$A$5,
"[Calendario].[AñoMes]",
"[Calendario].[AñoMes].&amp;[" &amp; TEXT(P$6,"yyyymm") &amp; "]",
"[Base].[Metrica]",
"[Base].[Metrica].&amp;[" &amp; $A8 &amp; "]",
"[Base].[SEGMENTO_DESCRIP]",
"[Base].[SEGMENTO_DESCRIP].&amp;[" &amp; $C$6 &amp; "]",
"[Base].[SITUACION]",
"[Base].[SITUACION].&amp;[" &amp; $C8 &amp; "]"
),0)/1000</f>
        <v>38636.075499999999</v>
      </c>
      <c r="Q8" s="8">
        <f>IFERROR(
GETPIVOTDATA(
"[Base].[Importe]",
TDinamica_R!$A$5,
"[Calendario].[AñoMes]",
"[Calendario].[AñoMes].&amp;[" &amp; TEXT(Q$6,"yyyymm") &amp; "]",
"[Base].[Metrica]",
"[Base].[Metrica].&amp;[" &amp; $A8 &amp; "]",
"[Base].[SEGMENTO_DESCRIP]",
"[Base].[SEGMENTO_DESCRIP].&amp;[" &amp; $C$6 &amp; "]",
"[Base].[SITUACION]",
"[Base].[SITUACION].&amp;[" &amp; $C8 &amp; "]"
),0)/1000</f>
        <v>36710.841189999999</v>
      </c>
      <c r="R8" s="8">
        <f>IFERROR(
GETPIVOTDATA(
"[Base].[Importe]",
TDinamica_R!$A$5,
"[Calendario].[AñoMes]",
"[Calendario].[AñoMes].&amp;[" &amp; TEXT(R$6,"yyyymm") &amp; "]",
"[Base].[Metrica]",
"[Base].[Metrica].&amp;[" &amp; $A8 &amp; "]",
"[Base].[SEGMENTO_DESCRIP]",
"[Base].[SEGMENTO_DESCRIP].&amp;[" &amp; $C$6 &amp; "]",
"[Base].[SITUACION]",
"[Base].[SITUACION].&amp;[" &amp; $C8 &amp; "]"
),0)/1000</f>
        <v>35586.837659999997</v>
      </c>
      <c r="S8" s="8">
        <f>IFERROR(
GETPIVOTDATA(
"[Base].[Importe]",
TDinamica_R!$A$5,
"[Calendario].[AñoMes]",
"[Calendario].[AñoMes].&amp;[" &amp; TEXT(S$6,"yyyymm") &amp; "]",
"[Base].[Metrica]",
"[Base].[Metrica].&amp;[" &amp; $A8 &amp; "]",
"[Base].[SEGMENTO_DESCRIP]",
"[Base].[SEGMENTO_DESCRIP].&amp;[" &amp; $C$6 &amp; "]",
"[Base].[SITUACION]",
"[Base].[SITUACION].&amp;[" &amp; $C8 &amp; "]"
),0)/1000</f>
        <v>34585.607889999999</v>
      </c>
      <c r="T8" s="8">
        <f>IFERROR(
GETPIVOTDATA(
"[Base].[Importe]",
TDinamica_R!$A$5,
"[Calendario].[AñoMes]",
"[Calendario].[AñoMes].&amp;[" &amp; TEXT(T$6,"yyyymm") &amp; "]",
"[Base].[Metrica]",
"[Base].[Metrica].&amp;[" &amp; $A8 &amp; "]",
"[Base].[SEGMENTO_DESCRIP]",
"[Base].[SEGMENTO_DESCRIP].&amp;[" &amp; $C$6 &amp; "]",
"[Base].[SITUACION]",
"[Base].[SITUACION].&amp;[" &amp; $C8 &amp; "]"
),0)/1000</f>
        <v>32772.706110539999</v>
      </c>
      <c r="U8" s="8">
        <f>IFERROR(
GETPIVOTDATA(
"[Base].[Importe]",
TDinamica_R!$A$5,
"[Calendario].[AñoMes]",
"[Calendario].[AñoMes].&amp;[" &amp; TEXT(U$6,"yyyymm") &amp; "]",
"[Base].[Metrica]",
"[Base].[Metrica].&amp;[" &amp; $A8 &amp; "]",
"[Base].[SEGMENTO_DESCRIP]",
"[Base].[SEGMENTO_DESCRIP].&amp;[" &amp; $C$6 &amp; "]",
"[Base].[SITUACION]",
"[Base].[SITUACION].&amp;[" &amp; $C8 &amp; "]"
),0)/1000</f>
        <v>31874.812739289999</v>
      </c>
      <c r="V8" s="8">
        <f>IFERROR(
GETPIVOTDATA(
"[Base].[Importe]",
TDinamica_R!$A$5,
"[Calendario].[AñoMes]",
"[Calendario].[AñoMes].&amp;[" &amp; TEXT(V$6,"yyyymm") &amp; "]",
"[Base].[Metrica]",
"[Base].[Metrica].&amp;[" &amp; $A8 &amp; "]",
"[Base].[SEGMENTO_DESCRIP]",
"[Base].[SEGMENTO_DESCRIP].&amp;[" &amp; $C$6 &amp; "]",
"[Base].[SITUACION]",
"[Base].[SITUACION].&amp;[" &amp; $C8 &amp; "]"
),0)/1000</f>
        <v>30641.69681877</v>
      </c>
      <c r="W8" s="8">
        <f>IFERROR(
GETPIVOTDATA(
"[Base].[Importe]",
TDinamica_R!$A$5,
"[Calendario].[AñoMes]",
"[Calendario].[AñoMes].&amp;[" &amp; TEXT(W$6,"yyyymm") &amp; "]",
"[Base].[Metrica]",
"[Base].[Metrica].&amp;[" &amp; $A8 &amp; "]",
"[Base].[SEGMENTO_DESCRIP]",
"[Base].[SEGMENTO_DESCRIP].&amp;[" &amp; $C$6 &amp; "]",
"[Base].[SITUACION]",
"[Base].[SITUACION].&amp;[" &amp; $C8 &amp; "]"
),0)/1000</f>
        <v>30233.977515679999</v>
      </c>
      <c r="X8" s="8">
        <f>IFERROR(
GETPIVOTDATA(
"[Base].[Importe]",
TDinamica_R!$A$5,
"[Calendario].[AñoMes]",
"[Calendario].[AñoMes].&amp;[" &amp; TEXT(X$6,"yyyymm") &amp; "]",
"[Base].[Metrica]",
"[Base].[Metrica].&amp;[" &amp; $A8 &amp; "]",
"[Base].[SEGMENTO_DESCRIP]",
"[Base].[SEGMENTO_DESCRIP].&amp;[" &amp; $C$6 &amp; "]",
"[Base].[SITUACION]",
"[Base].[SITUACION].&amp;[" &amp; $C8 &amp; "]"
),0)/1000</f>
        <v>29738.490964230001</v>
      </c>
      <c r="Y8" s="8">
        <f>IFERROR(
GETPIVOTDATA(
"[Base].[Importe]",
TDinamica_R!$A$5,
"[Calendario].[AñoMes]",
"[Calendario].[AñoMes].&amp;[" &amp; TEXT(Y$6,"yyyymm") &amp; "]",
"[Base].[Metrica]",
"[Base].[Metrica].&amp;[" &amp; $A8 &amp; "]",
"[Base].[SEGMENTO_DESCRIP]",
"[Base].[SEGMENTO_DESCRIP].&amp;[" &amp; $C$6 &amp; "]",
"[Base].[SITUACION]",
"[Base].[SITUACION].&amp;[" &amp; $C8 &amp; "]"
),0)/1000</f>
        <v>29062.585223520004</v>
      </c>
      <c r="Z8" s="8">
        <f>IFERROR(
GETPIVOTDATA(
"[Base].[Importe]",
TDinamica_R!$A$5,
"[Calendario].[AñoMes]",
"[Calendario].[AñoMes].&amp;[" &amp; TEXT(Z$6,"yyyymm") &amp; "]",
"[Base].[Metrica]",
"[Base].[Metrica].&amp;[" &amp; $A8 &amp; "]",
"[Base].[SEGMENTO_DESCRIP]",
"[Base].[SEGMENTO_DESCRIP].&amp;[" &amp; $C$6 &amp; "]",
"[Base].[SITUACION]",
"[Base].[SITUACION].&amp;[" &amp; $C8 &amp; "]"
),0)/1000</f>
        <v>27785.772574980005</v>
      </c>
      <c r="AA8" s="8">
        <f>IFERROR(
GETPIVOTDATA(
"[Base].[Importe]",
TDinamica_R!$A$5,
"[Calendario].[AñoMes]",
"[Calendario].[AñoMes].&amp;[" &amp; TEXT(AA$6,"yyyymm") &amp; "]",
"[Base].[Metrica]",
"[Base].[Metrica].&amp;[" &amp; $A8 &amp; "]",
"[Base].[SEGMENTO_DESCRIP]",
"[Base].[SEGMENTO_DESCRIP].&amp;[" &amp; $C$6 &amp; "]",
"[Base].[SITUACION]",
"[Base].[SITUACION].&amp;[" &amp; $C8 &amp; "]"
),0)/1000</f>
        <v>26302.389753159998</v>
      </c>
      <c r="AB8" s="8">
        <f>IFERROR(
GETPIVOTDATA(
"[Base].[Importe]",
TDinamica_R!$A$5,
"[Calendario].[AñoMes]",
"[Calendario].[AñoMes].&amp;[" &amp; TEXT(AB$6,"yyyymm") &amp; "]",
"[Base].[Metrica]",
"[Base].[Metrica].&amp;[" &amp; $A8 &amp; "]",
"[Base].[SEGMENTO_DESCRIP]",
"[Base].[SEGMENTO_DESCRIP].&amp;[" &amp; $C$6 &amp; "]",
"[Base].[SITUACION]",
"[Base].[SITUACION].&amp;[" &amp; $C8 &amp; "]"
),0)/1000</f>
        <v>25312.433431380003</v>
      </c>
      <c r="AC8" s="8">
        <f>IFERROR(
GETPIVOTDATA(
"[Base].[Importe]",
TDinamica_R!$A$5,
"[Calendario].[AñoMes]",
"[Calendario].[AñoMes].&amp;[" &amp; TEXT(AC$6,"yyyymm") &amp; "]",
"[Base].[Metrica]",
"[Base].[Metrica].&amp;[" &amp; $A8 &amp; "]",
"[Base].[SEGMENTO_DESCRIP]",
"[Base].[SEGMENTO_DESCRIP].&amp;[" &amp; $C$6 &amp; "]",
"[Base].[SITUACION]",
"[Base].[SITUACION].&amp;[" &amp; $C8 &amp; "]"
),0)/1000</f>
        <v>24385.656860650004</v>
      </c>
      <c r="AD8" s="8">
        <f>IFERROR(
GETPIVOTDATA(
"[Base].[Importe]",
TDinamica_R!$A$5,
"[Calendario].[AñoMes]",
"[Calendario].[AñoMes].&amp;[" &amp; TEXT(AD$6,"yyyymm") &amp; "]",
"[Base].[Metrica]",
"[Base].[Metrica].&amp;[" &amp; $A8 &amp; "]",
"[Base].[SEGMENTO_DESCRIP]",
"[Base].[SEGMENTO_DESCRIP].&amp;[" &amp; $C$6 &amp; "]",
"[Base].[SITUACION]",
"[Base].[SITUACION].&amp;[" &amp; $C8 &amp; "]"
),0)/1000</f>
        <v>23920.531946800002</v>
      </c>
      <c r="AE8" s="8">
        <f>IFERROR(
GETPIVOTDATA(
"[Base].[Importe]",
TDinamica_R!$A$5,
"[Calendario].[AñoMes]",
"[Calendario].[AñoMes].&amp;[" &amp; TEXT(AE$6,"yyyymm") &amp; "]",
"[Base].[Metrica]",
"[Base].[Metrica].&amp;[" &amp; $A8 &amp; "]",
"[Base].[SEGMENTO_DESCRIP]",
"[Base].[SEGMENTO_DESCRIP].&amp;[" &amp; $C$6 &amp; "]",
"[Base].[SITUACION]",
"[Base].[SITUACION].&amp;[" &amp; $C8 &amp; "]"
),0)/1000</f>
        <v>23421.190608500001</v>
      </c>
      <c r="AF8" s="8">
        <f>IFERROR(
GETPIVOTDATA(
"[Base].[Importe]",
TDinamica_R!$A$5,
"[Calendario].[AñoMes]",
"[Calendario].[AñoMes].&amp;[" &amp; TEXT(AF$6,"yyyymm") &amp; "]",
"[Base].[Metrica]",
"[Base].[Metrica].&amp;[" &amp; $A8 &amp; "]",
"[Base].[SEGMENTO_DESCRIP]",
"[Base].[SEGMENTO_DESCRIP].&amp;[" &amp; $C$6 &amp; "]",
"[Base].[SITUACION]",
"[Base].[SITUACION].&amp;[" &amp; $C8 &amp; "]"
),0)/1000</f>
        <v>23154.931826279997</v>
      </c>
      <c r="AG8" s="8">
        <f>IFERROR(
GETPIVOTDATA(
"[Base].[Importe]",
TDinamica_R!$A$5,
"[Calendario].[AñoMes]",
"[Calendario].[AñoMes].&amp;[" &amp; TEXT(AG$6,"yyyymm") &amp; "]",
"[Base].[Metrica]",
"[Base].[Metrica].&amp;[" &amp; $A8 &amp; "]",
"[Base].[SEGMENTO_DESCRIP]",
"[Base].[SEGMENTO_DESCRIP].&amp;[" &amp; $C$6 &amp; "]",
"[Base].[SITUACION]",
"[Base].[SITUACION].&amp;[" &amp; $C8 &amp; "]"
),0)/1000</f>
        <v>22811.500901639996</v>
      </c>
      <c r="AH8" s="8">
        <f>IFERROR(
GETPIVOTDATA(
"[Base].[Importe]",
TDinamica_R!$A$5,
"[Calendario].[AñoMes]",
"[Calendario].[AñoMes].&amp;[" &amp; TEXT(AH$6,"yyyymm") &amp; "]",
"[Base].[Metrica]",
"[Base].[Metrica].&amp;[" &amp; $A8 &amp; "]",
"[Base].[SEGMENTO_DESCRIP]",
"[Base].[SEGMENTO_DESCRIP].&amp;[" &amp; $C$6 &amp; "]",
"[Base].[SITUACION]",
"[Base].[SITUACION].&amp;[" &amp; $C8 &amp; "]"
),0)/1000</f>
        <v>22308.845429449997</v>
      </c>
      <c r="AI8" s="8">
        <f>IFERROR(
GETPIVOTDATA(
"[Base].[Importe]",
TDinamica_R!$A$5,
"[Calendario].[AñoMes]",
"[Calendario].[AñoMes].&amp;[" &amp; TEXT(AI$6,"yyyymm") &amp; "]",
"[Base].[Metrica]",
"[Base].[Metrica].&amp;[" &amp; $A8 &amp; "]",
"[Base].[SEGMENTO_DESCRIP]",
"[Base].[SEGMENTO_DESCRIP].&amp;[" &amp; $C$6 &amp; "]",
"[Base].[SITUACION]",
"[Base].[SITUACION].&amp;[" &amp; $C8 &amp; "]"
),0)/1000</f>
        <v>22291.830361449996</v>
      </c>
      <c r="AJ8" s="8">
        <f>IFERROR(
GETPIVOTDATA(
"[Base].[Importe]",
TDinamica_R!$A$5,
"[Calendario].[AñoMes]",
"[Calendario].[AñoMes].&amp;[" &amp; TEXT(AJ$6,"yyyymm") &amp; "]",
"[Base].[Metrica]",
"[Base].[Metrica].&amp;[" &amp; $A8 &amp; "]",
"[Base].[SEGMENTO_DESCRIP]",
"[Base].[SEGMENTO_DESCRIP].&amp;[" &amp; $C$6 &amp; "]",
"[Base].[SITUACION]",
"[Base].[SITUACION].&amp;[" &amp; $C8 &amp; "]"
),0)/1000</f>
        <v>22045.8595007</v>
      </c>
      <c r="AK8" s="8">
        <f>IFERROR(
GETPIVOTDATA(
"[Base].[Importe]",
TDinamica_R!$A$5,
"[Calendario].[AñoMes]",
"[Calendario].[AñoMes].&amp;[" &amp; TEXT(AK$6,"yyyymm") &amp; "]",
"[Base].[Metrica]",
"[Base].[Metrica].&amp;[" &amp; $A8 &amp; "]",
"[Base].[SEGMENTO_DESCRIP]",
"[Base].[SEGMENTO_DESCRIP].&amp;[" &amp; $C$6 &amp; "]",
"[Base].[SITUACION]",
"[Base].[SITUACION].&amp;[" &amp; $C8 &amp; "]"
),0)/1000</f>
        <v>21831.129290000001</v>
      </c>
      <c r="AL8" s="8">
        <f>IFERROR(
GETPIVOTDATA(
"[Base].[Importe]",
TDinamica_R!$A$5,
"[Calendario].[AñoMes]",
"[Calendario].[AñoMes].&amp;[" &amp; TEXT(AL$6,"yyyymm") &amp; "]",
"[Base].[Metrica]",
"[Base].[Metrica].&amp;[" &amp; $A8 &amp; "]",
"[Base].[SEGMENTO_DESCRIP]",
"[Base].[SEGMENTO_DESCRIP].&amp;[" &amp; $C$6 &amp; "]",
"[Base].[SITUACION]",
"[Base].[SITUACION].&amp;[" &amp; $C8 &amp; "]"
),0)/1000</f>
        <v>21974.247740000003</v>
      </c>
      <c r="AM8" s="8">
        <f>IFERROR(
GETPIVOTDATA(
"[Base].[Importe]",
TDinamica_R!$A$5,
"[Calendario].[AñoMes]",
"[Calendario].[AñoMes].&amp;[" &amp; TEXT(AM$6,"yyyymm") &amp; "]",
"[Base].[Metrica]",
"[Base].[Metrica].&amp;[" &amp; $A8 &amp; "]",
"[Base].[SEGMENTO_DESCRIP]",
"[Base].[SEGMENTO_DESCRIP].&amp;[" &amp; $C$6 &amp; "]",
"[Base].[SITUACION]",
"[Base].[SITUACION].&amp;[" &amp; $C8 &amp; "]"
),0)/1000</f>
        <v>23365.291831369996</v>
      </c>
      <c r="AN8" s="8">
        <f>IFERROR(
GETPIVOTDATA(
"[Base].[Importe]",
TDinamica_R!$A$5,
"[Calendario].[AñoMes]",
"[Calendario].[AñoMes].&amp;[" &amp; TEXT(AN$6,"yyyymm") &amp; "]",
"[Base].[Metrica]",
"[Base].[Metrica].&amp;[" &amp; $A8 &amp; "]",
"[Base].[SEGMENTO_DESCRIP]",
"[Base].[SEGMENTO_DESCRIP].&amp;[" &amp; $C$6 &amp; "]",
"[Base].[SITUACION]",
"[Base].[SITUACION].&amp;[" &amp; $C8 &amp; "]"
),0)/1000</f>
        <v>26038.35</v>
      </c>
      <c r="AO8" s="8">
        <f>IFERROR(
GETPIVOTDATA(
"[Base].[Importe]",
TDinamica_R!$A$5,
"[Calendario].[AñoMes]",
"[Calendario].[AñoMes].&amp;[" &amp; TEXT(AO$6,"yyyymm") &amp; "]",
"[Base].[Metrica]",
"[Base].[Metrica].&amp;[" &amp; $A8 &amp; "]",
"[Base].[SEGMENTO_DESCRIP]",
"[Base].[SEGMENTO_DESCRIP].&amp;[" &amp; $C$6 &amp; "]",
"[Base].[SITUACION]",
"[Base].[SITUACION].&amp;[" &amp; $C8 &amp; "]"
),0)/1000</f>
        <v>29027.9</v>
      </c>
      <c r="AP8" s="8">
        <f>IFERROR(
GETPIVOTDATA(
"[Base].[Importe]",
TDinamica_R!$A$5,
"[Calendario].[AñoMes]",
"[Calendario].[AñoMes].&amp;[" &amp; TEXT(AP$6,"yyyymm") &amp; "]",
"[Base].[Metrica]",
"[Base].[Metrica].&amp;[" &amp; $A8 &amp; "]",
"[Base].[SEGMENTO_DESCRIP]",
"[Base].[SEGMENTO_DESCRIP].&amp;[" &amp; $C$6 &amp; "]",
"[Base].[SITUACION]",
"[Base].[SITUACION].&amp;[" &amp; $C8 &amp; "]"
),0)/1000</f>
        <v>31726.45</v>
      </c>
      <c r="AQ8" s="8">
        <f>IFERROR(
GETPIVOTDATA(
"[Base].[Importe]",
TDinamica_R!$A$5,
"[Calendario].[AñoMes]",
"[Calendario].[AñoMes].&amp;[" &amp; TEXT(AQ$6,"yyyymm") &amp; "]",
"[Base].[Metrica]",
"[Base].[Metrica].&amp;[" &amp; $A8 &amp; "]",
"[Base].[SEGMENTO_DESCRIP]",
"[Base].[SEGMENTO_DESCRIP].&amp;[" &amp; $C$6 &amp; "]",
"[Base].[SITUACION]",
"[Base].[SITUACION].&amp;[" &amp; $C8 &amp; "]"
),0)/1000</f>
        <v>35634.593487019993</v>
      </c>
      <c r="AR8" s="8">
        <f>IFERROR(
GETPIVOTDATA(
"[Base].[Importe]",
TDinamica_R!$A$5,
"[Calendario].[AñoMes]",
"[Calendario].[AñoMes].&amp;[" &amp; TEXT(AR$6,"yyyymm") &amp; "]",
"[Base].[Metrica]",
"[Base].[Metrica].&amp;[" &amp; $A8 &amp; "]",
"[Base].[SEGMENTO_DESCRIP]",
"[Base].[SEGMENTO_DESCRIP].&amp;[" &amp; $C$6 &amp; "]",
"[Base].[SITUACION]",
"[Base].[SITUACION].&amp;[" &amp; $C8 &amp; "]"
),0)/1000</f>
        <v>39462.902771939996</v>
      </c>
      <c r="AS8" s="8">
        <f>IFERROR(
GETPIVOTDATA(
"[Base].[Importe]",
TDinamica_R!$A$5,
"[Calendario].[AñoMes]",
"[Calendario].[AñoMes].&amp;[" &amp; TEXT(AS$6,"yyyymm") &amp; "]",
"[Base].[Metrica]",
"[Base].[Metrica].&amp;[" &amp; $A8 &amp; "]",
"[Base].[SEGMENTO_DESCRIP]",
"[Base].[SEGMENTO_DESCRIP].&amp;[" &amp; $C$6 &amp; "]",
"[Base].[SITUACION]",
"[Base].[SITUACION].&amp;[" &amp; $C8 &amp; "]"
),0)/1000</f>
        <v>43192.049334199997</v>
      </c>
      <c r="AT8" s="8">
        <f>IFERROR(
GETPIVOTDATA(
"[Base].[Importe]",
TDinamica_R!$A$5,
"[Calendario].[AñoMes]",
"[Calendario].[AñoMes].&amp;[" &amp; TEXT(AT$6,"yyyymm")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U8" s="8">
        <f>IFERROR(
GETPIVOTDATA(
"[Base].[Importe]",
TDinamica_R!$A$5,
"[Calendario].[AñoMes]",
"[Calendario].[AñoMes].&amp;[" &amp; TEXT(AU$6,"yyyymm")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V8" s="8">
        <f>IFERROR(
GETPIVOTDATA(
"[Base].[Importe]",
TDinamica_R!$A$5,
"[Calendario].[AñoMes]",
"[Calendario].[AñoMes].&amp;[" &amp; TEXT(AV$6,"yyyymm")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W8" s="8">
        <f>IFERROR(
GETPIVOTDATA(
"[Base].[Importe]",
TDinamica_R!$A$5,
"[Calendario].[AñoMes]",
"[Calendario].[AñoMes].&amp;[" &amp; TEXT(AW$6,"yyyymm")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X8" s="8">
        <f>IFERROR(
GETPIVOTDATA(
"[Base].[Importe]",
TDinamica_R!$A$5,
"[Calendario].[AñoMes]",
"[Calendario].[AñoMes].&amp;[" &amp; TEXT(AX$6,"yyyymm")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Y8" s="8">
        <f>IFERROR(
GETPIVOTDATA(
"[Base].[Importe]",
TDinamica_R!$A$5,
"[Calendario].[AñoMes]",
"[Calendario].[AñoMes].&amp;[" &amp; TEXT(AY$6,"yyyymm")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Z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TEXT(AZ$6,"yyyymm") &amp; "]"
),
0
)</f>
        <v>20089.803072043047</v>
      </c>
      <c r="BA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TEXT(BA$6,"yyyymm") &amp; "]"
),
0
)</f>
        <v>19791.53977316794</v>
      </c>
      <c r="BB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TEXT(BB$6,"yyyymm") &amp; "]"
),
0
)</f>
        <v>19388.060954078635</v>
      </c>
      <c r="BC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TEXT(BC$6,"yyyymm") &amp; "]"
),
0
)</f>
        <v>19153.905044801326</v>
      </c>
      <c r="BD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TEXT(BD$6,"yyyymm") &amp; "]"
),
0
)</f>
        <v>19029.835991474316</v>
      </c>
      <c r="BE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TEXT(BE$6,"yyyymm") &amp; "]"
),
0
)</f>
        <v>18744.990253302614</v>
      </c>
      <c r="BF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TEXT(BF$6,"yyyymm") &amp; "]"
),
0
)</f>
        <v>18566.702350808271</v>
      </c>
      <c r="BG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TEXT(BG$6,"yyyymm") &amp; "]"
),
0
)</f>
        <v>18403.095427374432</v>
      </c>
      <c r="BH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TEXT(BH$6,"yyyymm") &amp; "]"
),
0
)</f>
        <v>18333.866136101831</v>
      </c>
      <c r="BI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TEXT(BI$6,"yyyymm") &amp; "]"
),
0
)</f>
        <v>18307.19085715017</v>
      </c>
      <c r="BJ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TEXT(BJ$6,"yyyymm") &amp; "]"
),
0
)</f>
        <v>18202.004792883145</v>
      </c>
      <c r="BK8" s="8">
        <f>IFERROR(
GETPIVOTDATA(
"[Base_PPE].[Importe]",
TDinamica_P!$A$4,
"[Base_PPE].[Metrica]",
"[Base_PPE].[Metrica].&amp;[" &amp; TRIM($A8) &amp; "]",
"[Base_PPE].[SITUACION]",
"[Base_PPE].[SITUACION].&amp;[" &amp; TRIM($C8) &amp; "]",
"[Base_PPE].[SEGMENTO_DESCRIP]",
"[Base_PPE].[SEGMENTO_DESCRIP].&amp;[" &amp; TRIM($C$6) &amp; "]",
"[Base_PPE].[Periodo]",
"[Base_PPE].[Periodo].&amp;[" &amp; TEXT(BK$6,"yyyymm") &amp; "]"
),
0
)</f>
        <v>18128.649205560345</v>
      </c>
      <c r="BO8" s="24">
        <f t="shared" ref="BO8:BO10" si="5">_xlfn.XLOOKUP(BO$6,$D$6:$BM$6,$D8:$BM8,,0,1)</f>
        <v>31726.45</v>
      </c>
      <c r="BP8" s="24">
        <f>_xlfn.XLOOKUP(BP$6,$D$6:$BM$6,$D8:$BM8,,0,-1)</f>
        <v>19388.060954078635</v>
      </c>
      <c r="BQ8" s="24">
        <f t="shared" ref="BQ8:BT10" si="6">_xlfn.XLOOKUP(BQ$6,$D$6:$BM$6,$D8:$BM8,,0,1)</f>
        <v>29027.9</v>
      </c>
      <c r="BR8" s="24">
        <f t="shared" si="6"/>
        <v>23920.531946800002</v>
      </c>
      <c r="BS8" s="24">
        <f t="shared" si="6"/>
        <v>35586.837659999997</v>
      </c>
      <c r="BT8" s="24">
        <f t="shared" si="6"/>
        <v>49554.653999340007</v>
      </c>
    </row>
    <row r="9" spans="1:81" hidden="1" outlineLevel="1" x14ac:dyDescent="0.25">
      <c r="A9" s="11" t="s">
        <v>51</v>
      </c>
      <c r="C9" s="2" t="s">
        <v>1</v>
      </c>
      <c r="D9" s="8">
        <f>IFERROR(
GETPIVOTDATA(
"[Base].[Importe]",
TDinamica_R!$A$5,
"[Calendario].[AñoMes]",
"[Calendario].[AñoMes].&amp;[" &amp; TEXT(D$6,"yyyymm") &amp; "]",
"[Base].[Metrica]",
"[Base].[Metrica].&amp;[" &amp; $A9 &amp; "]",
"[Base].[SEGMENTO_DESCRIP]",
"[Base].[SEGMENTO_DESCRIP].&amp;[" &amp; $C$6 &amp; "]",
"[Base].[SITUACION]",
"[Base].[SITUACION].&amp;[" &amp; $C9 &amp; "]"
),0)/1000</f>
        <v>385.24331000000001</v>
      </c>
      <c r="E9" s="8">
        <f>IFERROR(
GETPIVOTDATA(
"[Base].[Importe]",
TDinamica_R!$A$5,
"[Calendario].[AñoMes]",
"[Calendario].[AñoMes].&amp;[" &amp; TEXT(E$6,"yyyymm") &amp; "]",
"[Base].[Metrica]",
"[Base].[Metrica].&amp;[" &amp; $A9 &amp; "]",
"[Base].[SEGMENTO_DESCRIP]",
"[Base].[SEGMENTO_DESCRIP].&amp;[" &amp; $C$6 &amp; "]",
"[Base].[SITUACION]",
"[Base].[SITUACION].&amp;[" &amp; $C9 &amp; "]"
),0)/1000</f>
        <v>383.92640999999998</v>
      </c>
      <c r="F9" s="8">
        <f>IFERROR(
GETPIVOTDATA(
"[Base].[Importe]",
TDinamica_R!$A$5,
"[Calendario].[AñoMes]",
"[Calendario].[AñoMes].&amp;[" &amp; TEXT(F$6,"yyyymm") &amp; "]",
"[Base].[Metrica]",
"[Base].[Metrica].&amp;[" &amp; $A9 &amp; "]",
"[Base].[SEGMENTO_DESCRIP]",
"[Base].[SEGMENTO_DESCRIP].&amp;[" &amp; $C$6 &amp; "]",
"[Base].[SITUACION]",
"[Base].[SITUACION].&amp;[" &amp; $C9 &amp; "]"
),0)/1000</f>
        <v>459.05932000000001</v>
      </c>
      <c r="G9" s="8">
        <f>IFERROR(
GETPIVOTDATA(
"[Base].[Importe]",
TDinamica_R!$A$5,
"[Calendario].[AñoMes]",
"[Calendario].[AñoMes].&amp;[" &amp; TEXT(G$6,"yyyymm") &amp; "]",
"[Base].[Metrica]",
"[Base].[Metrica].&amp;[" &amp; $A9 &amp; "]",
"[Base].[SEGMENTO_DESCRIP]",
"[Base].[SEGMENTO_DESCRIP].&amp;[" &amp; $C$6 &amp; "]",
"[Base].[SITUACION]",
"[Base].[SITUACION].&amp;[" &amp; $C9 &amp; "]"
),0)/1000</f>
        <v>492.48901000000001</v>
      </c>
      <c r="H9" s="8">
        <f>IFERROR(
GETPIVOTDATA(
"[Base].[Importe]",
TDinamica_R!$A$5,
"[Calendario].[AñoMes]",
"[Calendario].[AñoMes].&amp;[" &amp; TEXT(H$6,"yyyymm") &amp; "]",
"[Base].[Metrica]",
"[Base].[Metrica].&amp;[" &amp; $A9 &amp; "]",
"[Base].[SEGMENTO_DESCRIP]",
"[Base].[SEGMENTO_DESCRIP].&amp;[" &amp; $C$6 &amp; "]",
"[Base].[SITUACION]",
"[Base].[SITUACION].&amp;[" &amp; $C9 &amp; "]"
),0)/1000</f>
        <v>486.44963999999999</v>
      </c>
      <c r="I9" s="8">
        <f>IFERROR(
GETPIVOTDATA(
"[Base].[Importe]",
TDinamica_R!$A$5,
"[Calendario].[AñoMes]",
"[Calendario].[AñoMes].&amp;[" &amp; TEXT(I$6,"yyyymm") &amp; "]",
"[Base].[Metrica]",
"[Base].[Metrica].&amp;[" &amp; $A9 &amp; "]",
"[Base].[SEGMENTO_DESCRIP]",
"[Base].[SEGMENTO_DESCRIP].&amp;[" &amp; $C$6 &amp; "]",
"[Base].[SITUACION]",
"[Base].[SITUACION].&amp;[" &amp; $C9 &amp; "]"
),0)/1000</f>
        <v>419.01628000000005</v>
      </c>
      <c r="J9" s="8">
        <f>IFERROR(
GETPIVOTDATA(
"[Base].[Importe]",
TDinamica_R!$A$5,
"[Calendario].[AñoMes]",
"[Calendario].[AñoMes].&amp;[" &amp; TEXT(J$6,"yyyymm") &amp; "]",
"[Base].[Metrica]",
"[Base].[Metrica].&amp;[" &amp; $A9 &amp; "]",
"[Base].[SEGMENTO_DESCRIP]",
"[Base].[SEGMENTO_DESCRIP].&amp;[" &amp; $C$6 &amp; "]",
"[Base].[SITUACION]",
"[Base].[SITUACION].&amp;[" &amp; $C9 &amp; "]"
),0)/1000</f>
        <v>423.85685999999998</v>
      </c>
      <c r="K9" s="8">
        <f>IFERROR(
GETPIVOTDATA(
"[Base].[Importe]",
TDinamica_R!$A$5,
"[Calendario].[AñoMes]",
"[Calendario].[AñoMes].&amp;[" &amp; TEXT(K$6,"yyyymm") &amp; "]",
"[Base].[Metrica]",
"[Base].[Metrica].&amp;[" &amp; $A9 &amp; "]",
"[Base].[SEGMENTO_DESCRIP]",
"[Base].[SEGMENTO_DESCRIP].&amp;[" &amp; $C$6 &amp; "]",
"[Base].[SITUACION]",
"[Base].[SITUACION].&amp;[" &amp; $C9 &amp; "]"
),0)/1000</f>
        <v>371.96915999999999</v>
      </c>
      <c r="L9" s="8">
        <f>IFERROR(
GETPIVOTDATA(
"[Base].[Importe]",
TDinamica_R!$A$5,
"[Calendario].[AñoMes]",
"[Calendario].[AñoMes].&amp;[" &amp; TEXT(L$6,"yyyymm") &amp; "]",
"[Base].[Metrica]",
"[Base].[Metrica].&amp;[" &amp; $A9 &amp; "]",
"[Base].[SEGMENTO_DESCRIP]",
"[Base].[SEGMENTO_DESCRIP].&amp;[" &amp; $C$6 &amp; "]",
"[Base].[SITUACION]",
"[Base].[SITUACION].&amp;[" &amp; $C9 &amp; "]"
),0)/1000</f>
        <v>332.15934000000004</v>
      </c>
      <c r="M9" s="8">
        <f>IFERROR(
GETPIVOTDATA(
"[Base].[Importe]",
TDinamica_R!$A$5,
"[Calendario].[AñoMes]",
"[Calendario].[AñoMes].&amp;[" &amp; TEXT(M$6,"yyyymm") &amp; "]",
"[Base].[Metrica]",
"[Base].[Metrica].&amp;[" &amp; $A9 &amp; "]",
"[Base].[SEGMENTO_DESCRIP]",
"[Base].[SEGMENTO_DESCRIP].&amp;[" &amp; $C$6 &amp; "]",
"[Base].[SITUACION]",
"[Base].[SITUACION].&amp;[" &amp; $C9 &amp; "]"
),0)/1000</f>
        <v>271.23115000000001</v>
      </c>
      <c r="N9" s="8">
        <f>IFERROR(
GETPIVOTDATA(
"[Base].[Importe]",
TDinamica_R!$A$5,
"[Calendario].[AñoMes]",
"[Calendario].[AñoMes].&amp;[" &amp; TEXT(N$6,"yyyymm") &amp; "]",
"[Base].[Metrica]",
"[Base].[Metrica].&amp;[" &amp; $A9 &amp; "]",
"[Base].[SEGMENTO_DESCRIP]",
"[Base].[SEGMENTO_DESCRIP].&amp;[" &amp; $C$6 &amp; "]",
"[Base].[SITUACION]",
"[Base].[SITUACION].&amp;[" &amp; $C9 &amp; "]"
),0)/1000</f>
        <v>226.84959000000001</v>
      </c>
      <c r="O9" s="8">
        <f>IFERROR(
GETPIVOTDATA(
"[Base].[Importe]",
TDinamica_R!$A$5,
"[Calendario].[AñoMes]",
"[Calendario].[AñoMes].&amp;[" &amp; TEXT(O$6,"yyyymm") &amp; "]",
"[Base].[Metrica]",
"[Base].[Metrica].&amp;[" &amp; $A9 &amp; "]",
"[Base].[SEGMENTO_DESCRIP]",
"[Base].[SEGMENTO_DESCRIP].&amp;[" &amp; $C$6 &amp; "]",
"[Base].[SITUACION]",
"[Base].[SITUACION].&amp;[" &amp; $C9 &amp; "]"
),0)/1000</f>
        <v>197.56038000000001</v>
      </c>
      <c r="P9" s="8">
        <f>IFERROR(
GETPIVOTDATA(
"[Base].[Importe]",
TDinamica_R!$A$5,
"[Calendario].[AñoMes]",
"[Calendario].[AñoMes].&amp;[" &amp; TEXT(P$6,"yyyymm") &amp; "]",
"[Base].[Metrica]",
"[Base].[Metrica].&amp;[" &amp; $A9 &amp; "]",
"[Base].[SEGMENTO_DESCRIP]",
"[Base].[SEGMENTO_DESCRIP].&amp;[" &amp; $C$6 &amp; "]",
"[Base].[SITUACION]",
"[Base].[SITUACION].&amp;[" &amp; $C9 &amp; "]"
),0)/1000</f>
        <v>164.81245000000001</v>
      </c>
      <c r="Q9" s="8">
        <f>IFERROR(
GETPIVOTDATA(
"[Base].[Importe]",
TDinamica_R!$A$5,
"[Calendario].[AñoMes]",
"[Calendario].[AñoMes].&amp;[" &amp; TEXT(Q$6,"yyyymm") &amp; "]",
"[Base].[Metrica]",
"[Base].[Metrica].&amp;[" &amp; $A9 &amp; "]",
"[Base].[SEGMENTO_DESCRIP]",
"[Base].[SEGMENTO_DESCRIP].&amp;[" &amp; $C$6 &amp; "]",
"[Base].[SITUACION]",
"[Base].[SITUACION].&amp;[" &amp; $C9 &amp; "]"
),0)/1000</f>
        <v>125.35428999999999</v>
      </c>
      <c r="R9" s="8">
        <f>IFERROR(
GETPIVOTDATA(
"[Base].[Importe]",
TDinamica_R!$A$5,
"[Calendario].[AñoMes]",
"[Calendario].[AñoMes].&amp;[" &amp; TEXT(R$6,"yyyymm") &amp; "]",
"[Base].[Metrica]",
"[Base].[Metrica].&amp;[" &amp; $A9 &amp; "]",
"[Base].[SEGMENTO_DESCRIP]",
"[Base].[SEGMENTO_DESCRIP].&amp;[" &amp; $C$6 &amp; "]",
"[Base].[SITUACION]",
"[Base].[SITUACION].&amp;[" &amp; $C9 &amp; "]"
),0)/1000</f>
        <v>167.27686</v>
      </c>
      <c r="S9" s="8">
        <f>IFERROR(
GETPIVOTDATA(
"[Base].[Importe]",
TDinamica_R!$A$5,
"[Calendario].[AñoMes]",
"[Calendario].[AñoMes].&amp;[" &amp; TEXT(S$6,"yyyymm") &amp; "]",
"[Base].[Metrica]",
"[Base].[Metrica].&amp;[" &amp; $A9 &amp; "]",
"[Base].[SEGMENTO_DESCRIP]",
"[Base].[SEGMENTO_DESCRIP].&amp;[" &amp; $C$6 &amp; "]",
"[Base].[SITUACION]",
"[Base].[SITUACION].&amp;[" &amp; $C9 &amp; "]"
),0)/1000</f>
        <v>257.51333999999997</v>
      </c>
      <c r="T9" s="8">
        <f>IFERROR(
GETPIVOTDATA(
"[Base].[Importe]",
TDinamica_R!$A$5,
"[Calendario].[AñoMes]",
"[Calendario].[AñoMes].&amp;[" &amp; TEXT(T$6,"yyyymm") &amp; "]",
"[Base].[Metrica]",
"[Base].[Metrica].&amp;[" &amp; $A9 &amp; "]",
"[Base].[SEGMENTO_DESCRIP]",
"[Base].[SEGMENTO_DESCRIP].&amp;[" &amp; $C$6 &amp; "]",
"[Base].[SITUACION]",
"[Base].[SITUACION].&amp;[" &amp; $C9 &amp; "]"
),0)/1000</f>
        <v>568.45872999999995</v>
      </c>
      <c r="U9" s="8">
        <f>IFERROR(
GETPIVOTDATA(
"[Base].[Importe]",
TDinamica_R!$A$5,
"[Calendario].[AñoMes]",
"[Calendario].[AñoMes].&amp;[" &amp; TEXT(U$6,"yyyymm") &amp; "]",
"[Base].[Metrica]",
"[Base].[Metrica].&amp;[" &amp; $A9 &amp; "]",
"[Base].[SEGMENTO_DESCRIP]",
"[Base].[SEGMENTO_DESCRIP].&amp;[" &amp; $C$6 &amp; "]",
"[Base].[SITUACION]",
"[Base].[SITUACION].&amp;[" &amp; $C9 &amp; "]"
),0)/1000</f>
        <v>647.91968999999995</v>
      </c>
      <c r="V9" s="8">
        <f>IFERROR(
GETPIVOTDATA(
"[Base].[Importe]",
TDinamica_R!$A$5,
"[Calendario].[AñoMes]",
"[Calendario].[AñoMes].&amp;[" &amp; TEXT(V$6,"yyyymm") &amp; "]",
"[Base].[Metrica]",
"[Base].[Metrica].&amp;[" &amp; $A9 &amp; "]",
"[Base].[SEGMENTO_DESCRIP]",
"[Base].[SEGMENTO_DESCRIP].&amp;[" &amp; $C$6 &amp; "]",
"[Base].[SITUACION]",
"[Base].[SITUACION].&amp;[" &amp; $C9 &amp; "]"
),0)/1000</f>
        <v>727.84181999999998</v>
      </c>
      <c r="W9" s="8">
        <f>IFERROR(
GETPIVOTDATA(
"[Base].[Importe]",
TDinamica_R!$A$5,
"[Calendario].[AñoMes]",
"[Calendario].[AñoMes].&amp;[" &amp; TEXT(W$6,"yyyymm") &amp; "]",
"[Base].[Metrica]",
"[Base].[Metrica].&amp;[" &amp; $A9 &amp; "]",
"[Base].[SEGMENTO_DESCRIP]",
"[Base].[SEGMENTO_DESCRIP].&amp;[" &amp; $C$6 &amp; "]",
"[Base].[SITUACION]",
"[Base].[SITUACION].&amp;[" &amp; $C9 &amp; "]"
),0)/1000</f>
        <v>664.57105000000001</v>
      </c>
      <c r="X9" s="8">
        <f>IFERROR(
GETPIVOTDATA(
"[Base].[Importe]",
TDinamica_R!$A$5,
"[Calendario].[AñoMes]",
"[Calendario].[AñoMes].&amp;[" &amp; TEXT(X$6,"yyyymm") &amp; "]",
"[Base].[Metrica]",
"[Base].[Metrica].&amp;[" &amp; $A9 &amp; "]",
"[Base].[SEGMENTO_DESCRIP]",
"[Base].[SEGMENTO_DESCRIP].&amp;[" &amp; $C$6 &amp; "]",
"[Base].[SITUACION]",
"[Base].[SITUACION].&amp;[" &amp; $C9 &amp; "]"
),0)/1000</f>
        <v>722.47296999999992</v>
      </c>
      <c r="Y9" s="8">
        <f>IFERROR(
GETPIVOTDATA(
"[Base].[Importe]",
TDinamica_R!$A$5,
"[Calendario].[AñoMes]",
"[Calendario].[AñoMes].&amp;[" &amp; TEXT(Y$6,"yyyymm") &amp; "]",
"[Base].[Metrica]",
"[Base].[Metrica].&amp;[" &amp; $A9 &amp; "]",
"[Base].[SEGMENTO_DESCRIP]",
"[Base].[SEGMENTO_DESCRIP].&amp;[" &amp; $C$6 &amp; "]",
"[Base].[SITUACION]",
"[Base].[SITUACION].&amp;[" &amp; $C9 &amp; "]"
),0)/1000</f>
        <v>670.13946999999996</v>
      </c>
      <c r="Z9" s="8">
        <f>IFERROR(
GETPIVOTDATA(
"[Base].[Importe]",
TDinamica_R!$A$5,
"[Calendario].[AñoMes]",
"[Calendario].[AñoMes].&amp;[" &amp; TEXT(Z$6,"yyyymm") &amp; "]",
"[Base].[Metrica]",
"[Base].[Metrica].&amp;[" &amp; $A9 &amp; "]",
"[Base].[SEGMENTO_DESCRIP]",
"[Base].[SEGMENTO_DESCRIP].&amp;[" &amp; $C$6 &amp; "]",
"[Base].[SITUACION]",
"[Base].[SITUACION].&amp;[" &amp; $C9 &amp; "]"
),0)/1000</f>
        <v>741.25916000000007</v>
      </c>
      <c r="AA9" s="8">
        <f>IFERROR(
GETPIVOTDATA(
"[Base].[Importe]",
TDinamica_R!$A$5,
"[Calendario].[AñoMes]",
"[Calendario].[AñoMes].&amp;[" &amp; TEXT(AA$6,"yyyymm") &amp; "]",
"[Base].[Metrica]",
"[Base].[Metrica].&amp;[" &amp; $A9 &amp; "]",
"[Base].[SEGMENTO_DESCRIP]",
"[Base].[SEGMENTO_DESCRIP].&amp;[" &amp; $C$6 &amp; "]",
"[Base].[SITUACION]",
"[Base].[SITUACION].&amp;[" &amp; $C9 &amp; "]"
),0)/1000</f>
        <v>767.77670999999998</v>
      </c>
      <c r="AB9" s="8">
        <f>IFERROR(
GETPIVOTDATA(
"[Base].[Importe]",
TDinamica_R!$A$5,
"[Calendario].[AñoMes]",
"[Calendario].[AñoMes].&amp;[" &amp; TEXT(AB$6,"yyyymm") &amp; "]",
"[Base].[Metrica]",
"[Base].[Metrica].&amp;[" &amp; $A9 &amp; "]",
"[Base].[SEGMENTO_DESCRIP]",
"[Base].[SEGMENTO_DESCRIP].&amp;[" &amp; $C$6 &amp; "]",
"[Base].[SITUACION]",
"[Base].[SITUACION].&amp;[" &amp; $C9 &amp; "]"
),0)/1000</f>
        <v>777.70474999999999</v>
      </c>
      <c r="AC9" s="8">
        <f>IFERROR(
GETPIVOTDATA(
"[Base].[Importe]",
TDinamica_R!$A$5,
"[Calendario].[AñoMes]",
"[Calendario].[AñoMes].&amp;[" &amp; TEXT(AC$6,"yyyymm") &amp; "]",
"[Base].[Metrica]",
"[Base].[Metrica].&amp;[" &amp; $A9 &amp; "]",
"[Base].[SEGMENTO_DESCRIP]",
"[Base].[SEGMENTO_DESCRIP].&amp;[" &amp; $C$6 &amp; "]",
"[Base].[SITUACION]",
"[Base].[SITUACION].&amp;[" &amp; $C9 &amp; "]"
),0)/1000</f>
        <v>767.39508999999998</v>
      </c>
      <c r="AD9" s="8">
        <f>IFERROR(
GETPIVOTDATA(
"[Base].[Importe]",
TDinamica_R!$A$5,
"[Calendario].[AñoMes]",
"[Calendario].[AñoMes].&amp;[" &amp; TEXT(AD$6,"yyyymm") &amp; "]",
"[Base].[Metrica]",
"[Base].[Metrica].&amp;[" &amp; $A9 &amp; "]",
"[Base].[SEGMENTO_DESCRIP]",
"[Base].[SEGMENTO_DESCRIP].&amp;[" &amp; $C$6 &amp; "]",
"[Base].[SITUACION]",
"[Base].[SITUACION].&amp;[" &amp; $C9 &amp; "]"
),0)/1000</f>
        <v>798.6499399999999</v>
      </c>
      <c r="AE9" s="8">
        <f>IFERROR(
GETPIVOTDATA(
"[Base].[Importe]",
TDinamica_R!$A$5,
"[Calendario].[AñoMes]",
"[Calendario].[AñoMes].&amp;[" &amp; TEXT(AE$6,"yyyymm") &amp; "]",
"[Base].[Metrica]",
"[Base].[Metrica].&amp;[" &amp; $A9 &amp; "]",
"[Base].[SEGMENTO_DESCRIP]",
"[Base].[SEGMENTO_DESCRIP].&amp;[" &amp; $C$6 &amp; "]",
"[Base].[SITUACION]",
"[Base].[SITUACION].&amp;[" &amp; $C9 &amp; "]"
),0)/1000</f>
        <v>749.70815000000005</v>
      </c>
      <c r="AF9" s="8">
        <f>IFERROR(
GETPIVOTDATA(
"[Base].[Importe]",
TDinamica_R!$A$5,
"[Calendario].[AñoMes]",
"[Calendario].[AñoMes].&amp;[" &amp; TEXT(AF$6,"yyyymm") &amp; "]",
"[Base].[Metrica]",
"[Base].[Metrica].&amp;[" &amp; $A9 &amp; "]",
"[Base].[SEGMENTO_DESCRIP]",
"[Base].[SEGMENTO_DESCRIP].&amp;[" &amp; $C$6 &amp; "]",
"[Base].[SITUACION]",
"[Base].[SITUACION].&amp;[" &amp; $C9 &amp; "]"
),0)/1000</f>
        <v>684.81353999999999</v>
      </c>
      <c r="AG9" s="8">
        <f>IFERROR(
GETPIVOTDATA(
"[Base].[Importe]",
TDinamica_R!$A$5,
"[Calendario].[AñoMes]",
"[Calendario].[AñoMes].&amp;[" &amp; TEXT(AG$6,"yyyymm") &amp; "]",
"[Base].[Metrica]",
"[Base].[Metrica].&amp;[" &amp; $A9 &amp; "]",
"[Base].[SEGMENTO_DESCRIP]",
"[Base].[SEGMENTO_DESCRIP].&amp;[" &amp; $C$6 &amp; "]",
"[Base].[SITUACION]",
"[Base].[SITUACION].&amp;[" &amp; $C9 &amp; "]"
),0)/1000</f>
        <v>636.11275999999998</v>
      </c>
      <c r="AH9" s="8">
        <f>IFERROR(
GETPIVOTDATA(
"[Base].[Importe]",
TDinamica_R!$A$5,
"[Calendario].[AñoMes]",
"[Calendario].[AñoMes].&amp;[" &amp; TEXT(AH$6,"yyyymm") &amp; "]",
"[Base].[Metrica]",
"[Base].[Metrica].&amp;[" &amp; $A9 &amp; "]",
"[Base].[SEGMENTO_DESCRIP]",
"[Base].[SEGMENTO_DESCRIP].&amp;[" &amp; $C$6 &amp; "]",
"[Base].[SITUACION]",
"[Base].[SITUACION].&amp;[" &amp; $C9 &amp; "]"
),0)/1000</f>
        <v>598.78956000000005</v>
      </c>
      <c r="AI9" s="8">
        <f>IFERROR(
GETPIVOTDATA(
"[Base].[Importe]",
TDinamica_R!$A$5,
"[Calendario].[AñoMes]",
"[Calendario].[AñoMes].&amp;[" &amp; TEXT(AI$6,"yyyymm") &amp; "]",
"[Base].[Metrica]",
"[Base].[Metrica].&amp;[" &amp; $A9 &amp; "]",
"[Base].[SEGMENTO_DESCRIP]",
"[Base].[SEGMENTO_DESCRIP].&amp;[" &amp; $C$6 &amp; "]",
"[Base].[SITUACION]",
"[Base].[SITUACION].&amp;[" &amp; $C9 &amp; "]"
),0)/1000</f>
        <v>549.65625999999997</v>
      </c>
      <c r="AJ9" s="8">
        <f>IFERROR(
GETPIVOTDATA(
"[Base].[Importe]",
TDinamica_R!$A$5,
"[Calendario].[AñoMes]",
"[Calendario].[AñoMes].&amp;[" &amp; TEXT(AJ$6,"yyyymm") &amp; "]",
"[Base].[Metrica]",
"[Base].[Metrica].&amp;[" &amp; $A9 &amp; "]",
"[Base].[SEGMENTO_DESCRIP]",
"[Base].[SEGMENTO_DESCRIP].&amp;[" &amp; $C$6 &amp; "]",
"[Base].[SITUACION]",
"[Base].[SITUACION].&amp;[" &amp; $C9 &amp; "]"
),0)/1000</f>
        <v>554.29177000000004</v>
      </c>
      <c r="AK9" s="8">
        <f>IFERROR(
GETPIVOTDATA(
"[Base].[Importe]",
TDinamica_R!$A$5,
"[Calendario].[AñoMes]",
"[Calendario].[AñoMes].&amp;[" &amp; TEXT(AK$6,"yyyymm") &amp; "]",
"[Base].[Metrica]",
"[Base].[Metrica].&amp;[" &amp; $A9 &amp; "]",
"[Base].[SEGMENTO_DESCRIP]",
"[Base].[SEGMENTO_DESCRIP].&amp;[" &amp; $C$6 &amp; "]",
"[Base].[SITUACION]",
"[Base].[SITUACION].&amp;[" &amp; $C9 &amp; "]"
),0)/1000</f>
        <v>540.07474000000002</v>
      </c>
      <c r="AL9" s="8">
        <f>IFERROR(
GETPIVOTDATA(
"[Base].[Importe]",
TDinamica_R!$A$5,
"[Calendario].[AñoMes]",
"[Calendario].[AñoMes].&amp;[" &amp; TEXT(AL$6,"yyyymm") &amp; "]",
"[Base].[Metrica]",
"[Base].[Metrica].&amp;[" &amp; $A9 &amp; "]",
"[Base].[SEGMENTO_DESCRIP]",
"[Base].[SEGMENTO_DESCRIP].&amp;[" &amp; $C$6 &amp; "]",
"[Base].[SITUACION]",
"[Base].[SITUACION].&amp;[" &amp; $C9 &amp; "]"
),0)/1000</f>
        <v>488.35353999999995</v>
      </c>
      <c r="AM9" s="8">
        <f>IFERROR(
GETPIVOTDATA(
"[Base].[Importe]",
TDinamica_R!$A$5,
"[Calendario].[AñoMes]",
"[Calendario].[AñoMes].&amp;[" &amp; TEXT(AM$6,"yyyymm") &amp; "]",
"[Base].[Metrica]",
"[Base].[Metrica].&amp;[" &amp; $A9 &amp; "]",
"[Base].[SEGMENTO_DESCRIP]",
"[Base].[SEGMENTO_DESCRIP].&amp;[" &amp; $C$6 &amp; "]",
"[Base].[SITUACION]",
"[Base].[SITUACION].&amp;[" &amp; $C9 &amp; "]"
),0)/1000</f>
        <v>479.02578999999997</v>
      </c>
      <c r="AN9" s="8">
        <f>IFERROR(
GETPIVOTDATA(
"[Base].[Importe]",
TDinamica_R!$A$5,
"[Calendario].[AñoMes]",
"[Calendario].[AñoMes].&amp;[" &amp; TEXT(AN$6,"yyyymm") &amp; "]",
"[Base].[Metrica]",
"[Base].[Metrica].&amp;[" &amp; $A9 &amp; "]",
"[Base].[SEGMENTO_DESCRIP]",
"[Base].[SEGMENTO_DESCRIP].&amp;[" &amp; $C$6 &amp; "]",
"[Base].[SITUACION]",
"[Base].[SITUACION].&amp;[" &amp; $C9 &amp; "]"
),0)/1000</f>
        <v>426.01</v>
      </c>
      <c r="AO9" s="8">
        <f>IFERROR(
GETPIVOTDATA(
"[Base].[Importe]",
TDinamica_R!$A$5,
"[Calendario].[AñoMes]",
"[Calendario].[AñoMes].&amp;[" &amp; TEXT(AO$6,"yyyymm") &amp; "]",
"[Base].[Metrica]",
"[Base].[Metrica].&amp;[" &amp; $A9 &amp; "]",
"[Base].[SEGMENTO_DESCRIP]",
"[Base].[SEGMENTO_DESCRIP].&amp;[" &amp; $C$6 &amp; "]",
"[Base].[SITUACION]",
"[Base].[SITUACION].&amp;[" &amp; $C9 &amp; "]"
),0)/1000</f>
        <v>403.85</v>
      </c>
      <c r="AP9" s="8">
        <f>IFERROR(
GETPIVOTDATA(
"[Base].[Importe]",
TDinamica_R!$A$5,
"[Calendario].[AñoMes]",
"[Calendario].[AñoMes].&amp;[" &amp; TEXT(AP$6,"yyyymm") &amp; "]",
"[Base].[Metrica]",
"[Base].[Metrica].&amp;[" &amp; $A9 &amp; "]",
"[Base].[SEGMENTO_DESCRIP]",
"[Base].[SEGMENTO_DESCRIP].&amp;[" &amp; $C$6 &amp; "]",
"[Base].[SITUACION]",
"[Base].[SITUACION].&amp;[" &amp; $C9 &amp; "]"
),0)/1000</f>
        <v>393.53</v>
      </c>
      <c r="AQ9" s="8">
        <f>IFERROR(
GETPIVOTDATA(
"[Base].[Importe]",
TDinamica_R!$A$5,
"[Calendario].[AñoMes]",
"[Calendario].[AñoMes].&amp;[" &amp; TEXT(AQ$6,"yyyymm") &amp; "]",
"[Base].[Metrica]",
"[Base].[Metrica].&amp;[" &amp; $A9 &amp; "]",
"[Base].[SEGMENTO_DESCRIP]",
"[Base].[SEGMENTO_DESCRIP].&amp;[" &amp; $C$6 &amp; "]",
"[Base].[SITUACION]",
"[Base].[SITUACION].&amp;[" &amp; $C9 &amp; "]"
),0)/1000</f>
        <v>316.76745</v>
      </c>
      <c r="AR9" s="8">
        <f>IFERROR(
GETPIVOTDATA(
"[Base].[Importe]",
TDinamica_R!$A$5,
"[Calendario].[AñoMes]",
"[Calendario].[AñoMes].&amp;[" &amp; TEXT(AR$6,"yyyymm") &amp; "]",
"[Base].[Metrica]",
"[Base].[Metrica].&amp;[" &amp; $A9 &amp; "]",
"[Base].[SEGMENTO_DESCRIP]",
"[Base].[SEGMENTO_DESCRIP].&amp;[" &amp; $C$6 &amp; "]",
"[Base].[SITUACION]",
"[Base].[SITUACION].&amp;[" &amp; $C9 &amp; "]"
),0)/1000</f>
        <v>314.41760999999997</v>
      </c>
      <c r="AS9" s="8">
        <f>IFERROR(
GETPIVOTDATA(
"[Base].[Importe]",
TDinamica_R!$A$5,
"[Calendario].[AñoMes]",
"[Calendario].[AñoMes].&amp;[" &amp; TEXT(AS$6,"yyyymm") &amp; "]",
"[Base].[Metrica]",
"[Base].[Metrica].&amp;[" &amp; $A9 &amp; "]",
"[Base].[SEGMENTO_DESCRIP]",
"[Base].[SEGMENTO_DESCRIP].&amp;[" &amp; $C$6 &amp; "]",
"[Base].[SITUACION]",
"[Base].[SITUACION].&amp;[" &amp; $C9 &amp; "]"
),0)/1000</f>
        <v>348.10505999999992</v>
      </c>
      <c r="AT9" s="8">
        <f>IFERROR(
GETPIVOTDATA(
"[Base].[Importe]",
TDinamica_R!$A$5,
"[Calendario].[AñoMes]",
"[Calendario].[AñoMes].&amp;[" &amp; TEXT(AT$6,"yyyymm")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U9" s="8">
        <f>IFERROR(
GETPIVOTDATA(
"[Base].[Importe]",
TDinamica_R!$A$5,
"[Calendario].[AñoMes]",
"[Calendario].[AñoMes].&amp;[" &amp; TEXT(AU$6,"yyyymm")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V9" s="8">
        <f>IFERROR(
GETPIVOTDATA(
"[Base].[Importe]",
TDinamica_R!$A$5,
"[Calendario].[AñoMes]",
"[Calendario].[AñoMes].&amp;[" &amp; TEXT(AV$6,"yyyymm")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W9" s="8">
        <f>IFERROR(
GETPIVOTDATA(
"[Base].[Importe]",
TDinamica_R!$A$5,
"[Calendario].[AñoMes]",
"[Calendario].[AñoMes].&amp;[" &amp; TEXT(AW$6,"yyyymm")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X9" s="8">
        <f>IFERROR(
GETPIVOTDATA(
"[Base].[Importe]",
TDinamica_R!$A$5,
"[Calendario].[AñoMes]",
"[Calendario].[AñoMes].&amp;[" &amp; TEXT(AX$6,"yyyymm")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Y9" s="8">
        <f>IFERROR(
GETPIVOTDATA(
"[Base].[Importe]",
TDinamica_R!$A$5,
"[Calendario].[AñoMes]",
"[Calendario].[AñoMes].&amp;[" &amp; TEXT(AY$6,"yyyymm")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Z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TEXT(AZ$6,"yyyymm") &amp; "]"
),
0
)</f>
        <v>476.65919932523673</v>
      </c>
      <c r="BA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TEXT(BA$6,"yyyymm") &amp; "]"
),
0
)</f>
        <v>453.53656050256313</v>
      </c>
      <c r="BB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TEXT(BB$6,"yyyymm") &amp; "]"
),
0
)</f>
        <v>433.22729155741155</v>
      </c>
      <c r="BC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TEXT(BC$6,"yyyymm") &amp; "]"
),
0
)</f>
        <v>422.58431788211783</v>
      </c>
      <c r="BD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TEXT(BD$6,"yyyymm") &amp; "]"
),
0
)</f>
        <v>408.3558576026573</v>
      </c>
      <c r="BE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TEXT(BE$6,"yyyymm") &amp; "]"
),
0
)</f>
        <v>392.46753185544208</v>
      </c>
      <c r="BF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TEXT(BF$6,"yyyymm") &amp; "]"
),
0
)</f>
        <v>383.81144155456349</v>
      </c>
      <c r="BG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TEXT(BG$6,"yyyymm") &amp; "]"
),
0
)</f>
        <v>371.84832536033042</v>
      </c>
      <c r="BH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TEXT(BH$6,"yyyymm") &amp; "]"
),
0
)</f>
        <v>357.77299177393979</v>
      </c>
      <c r="BI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TEXT(BI$6,"yyyymm") &amp; "]"
),
0
)</f>
        <v>349.84056382988967</v>
      </c>
      <c r="BJ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TEXT(BJ$6,"yyyymm") &amp; "]"
),
0
)</f>
        <v>340.41264440265888</v>
      </c>
      <c r="BK9" s="8">
        <f>IFERROR(
GETPIVOTDATA(
"[Base_PPE].[Importe]",
TDinamica_P!$A$4,
"[Base_PPE].[Metrica]",
"[Base_PPE].[Metrica].&amp;[" &amp; TRIM($A9) &amp; "]",
"[Base_PPE].[SITUACION]",
"[Base_PPE].[SITUACION].&amp;[" &amp; TRIM($C9) &amp; "]",
"[Base_PPE].[SEGMENTO_DESCRIP]",
"[Base_PPE].[SEGMENTO_DESCRIP].&amp;[" &amp; TRIM($C$6) &amp; "]",
"[Base_PPE].[Periodo]",
"[Base_PPE].[Periodo].&amp;[" &amp; TEXT(BK$6,"yyyymm") &amp; "]"
),
0
)</f>
        <v>336.15202384348584</v>
      </c>
      <c r="BO9" s="24">
        <f t="shared" si="5"/>
        <v>393.53</v>
      </c>
      <c r="BP9" s="24">
        <f t="shared" ref="BP9:BP10" si="7">_xlfn.XLOOKUP(BP$6,$D$6:$BM$6,$D9:$BM9,,0,-1)</f>
        <v>433.22729155741155</v>
      </c>
      <c r="BQ9" s="24">
        <f t="shared" si="6"/>
        <v>403.85</v>
      </c>
      <c r="BR9" s="24">
        <f t="shared" si="6"/>
        <v>798.6499399999999</v>
      </c>
      <c r="BS9" s="24">
        <f t="shared" si="6"/>
        <v>167.27686</v>
      </c>
      <c r="BT9" s="24">
        <f t="shared" si="6"/>
        <v>459.05932000000001</v>
      </c>
    </row>
    <row r="10" spans="1:81" ht="14.45" hidden="1" customHeight="1" outlineLevel="1" x14ac:dyDescent="0.25">
      <c r="A10" s="11" t="s">
        <v>51</v>
      </c>
      <c r="C10" s="2" t="s">
        <v>45</v>
      </c>
      <c r="D10" s="8">
        <f>IFERROR(
GETPIVOTDATA(
"[Base].[Importe]",
TDinamica_R!$A$5,
"[Calendario].[AñoMes]",
"[Calendario].[AñoMes].&amp;[" &amp; TEXT(D$6,"yyyymm") &amp; "]",
"[Base].[Metrica]",
"[Base].[Metrica].&amp;[" &amp; $A10 &amp; "]",
"[Base].[SEGMENTO_DESCRIP]",
"[Base].[SEGMENTO_DESCRIP].&amp;[" &amp; $C$6 &amp; "]",
"[Base].[SITUACION]",
"[Base].[SITUACION].&amp;[" &amp; $C10 &amp; "]"
),0)/1000</f>
        <v>3002.9333498399997</v>
      </c>
      <c r="E10" s="8">
        <f>IFERROR(
GETPIVOTDATA(
"[Base].[Importe]",
TDinamica_R!$A$5,
"[Calendario].[AñoMes]",
"[Calendario].[AñoMes].&amp;[" &amp; TEXT(E$6,"yyyymm") &amp; "]",
"[Base].[Metrica]",
"[Base].[Metrica].&amp;[" &amp; $A10 &amp; "]",
"[Base].[SEGMENTO_DESCRIP]",
"[Base].[SEGMENTO_DESCRIP].&amp;[" &amp; $C$6 &amp; "]",
"[Base].[SITUACION]",
"[Base].[SITUACION].&amp;[" &amp; $C10 &amp; "]"
),0)/1000</f>
        <v>2531.16105982</v>
      </c>
      <c r="F10" s="8">
        <f>IFERROR(
GETPIVOTDATA(
"[Base].[Importe]",
TDinamica_R!$A$5,
"[Calendario].[AñoMes]",
"[Calendario].[AñoMes].&amp;[" &amp; TEXT(F$6,"yyyymm") &amp; "]",
"[Base].[Metrica]",
"[Base].[Metrica].&amp;[" &amp; $A10 &amp; "]",
"[Base].[SEGMENTO_DESCRIP]",
"[Base].[SEGMENTO_DESCRIP].&amp;[" &amp; $C$6 &amp; "]",
"[Base].[SITUACION]",
"[Base].[SITUACION].&amp;[" &amp; $C10 &amp; "]"
),0)/1000</f>
        <v>2217.6963251399998</v>
      </c>
      <c r="G10" s="8">
        <f>IFERROR(
GETPIVOTDATA(
"[Base].[Importe]",
TDinamica_R!$A$5,
"[Calendario].[AñoMes]",
"[Calendario].[AñoMes].&amp;[" &amp; TEXT(G$6,"yyyymm") &amp; "]",
"[Base].[Metrica]",
"[Base].[Metrica].&amp;[" &amp; $A10 &amp; "]",
"[Base].[SEGMENTO_DESCRIP]",
"[Base].[SEGMENTO_DESCRIP].&amp;[" &amp; $C$6 &amp; "]",
"[Base].[SITUACION]",
"[Base].[SITUACION].&amp;[" &amp; $C10 &amp; "]"
),0)/1000</f>
        <v>2099.6082370000004</v>
      </c>
      <c r="H10" s="8">
        <f>IFERROR(
GETPIVOTDATA(
"[Base].[Importe]",
TDinamica_R!$A$5,
"[Calendario].[AñoMes]",
"[Calendario].[AñoMes].&amp;[" &amp; TEXT(H$6,"yyyymm") &amp; "]",
"[Base].[Metrica]",
"[Base].[Metrica].&amp;[" &amp; $A10 &amp; "]",
"[Base].[SEGMENTO_DESCRIP]",
"[Base].[SEGMENTO_DESCRIP].&amp;[" &amp; $C$6 &amp; "]",
"[Base].[SITUACION]",
"[Base].[SITUACION].&amp;[" &amp; $C10 &amp; "]"
),0)/1000</f>
        <v>1779.0399141999997</v>
      </c>
      <c r="I10" s="8">
        <f>IFERROR(
GETPIVOTDATA(
"[Base].[Importe]",
TDinamica_R!$A$5,
"[Calendario].[AñoMes]",
"[Calendario].[AñoMes].&amp;[" &amp; TEXT(I$6,"yyyymm") &amp; "]",
"[Base].[Metrica]",
"[Base].[Metrica].&amp;[" &amp; $A10 &amp; "]",
"[Base].[SEGMENTO_DESCRIP]",
"[Base].[SEGMENTO_DESCRIP].&amp;[" &amp; $C$6 &amp; "]",
"[Base].[SITUACION]",
"[Base].[SITUACION].&amp;[" &amp; $C10 &amp; "]"
),0)/1000</f>
        <v>1791.1309343999999</v>
      </c>
      <c r="J10" s="8">
        <f>IFERROR(
GETPIVOTDATA(
"[Base].[Importe]",
TDinamica_R!$A$5,
"[Calendario].[AñoMes]",
"[Calendario].[AñoMes].&amp;[" &amp; TEXT(J$6,"yyyymm") &amp; "]",
"[Base].[Metrica]",
"[Base].[Metrica].&amp;[" &amp; $A10 &amp; "]",
"[Base].[SEGMENTO_DESCRIP]",
"[Base].[SEGMENTO_DESCRIP].&amp;[" &amp; $C$6 &amp; "]",
"[Base].[SITUACION]",
"[Base].[SITUACION].&amp;[" &amp; $C10 &amp; "]"
),0)/1000</f>
        <v>2233.6710471199999</v>
      </c>
      <c r="K10" s="8">
        <f>IFERROR(
GETPIVOTDATA(
"[Base].[Importe]",
TDinamica_R!$A$5,
"[Calendario].[AñoMes]",
"[Calendario].[AñoMes].&amp;[" &amp; TEXT(K$6,"yyyymm") &amp; "]",
"[Base].[Metrica]",
"[Base].[Metrica].&amp;[" &amp; $A10 &amp; "]",
"[Base].[SEGMENTO_DESCRIP]",
"[Base].[SEGMENTO_DESCRIP].&amp;[" &amp; $C$6 &amp; "]",
"[Base].[SITUACION]",
"[Base].[SITUACION].&amp;[" &amp; $C10 &amp; "]"
),0)/1000</f>
        <v>3571.2544676499997</v>
      </c>
      <c r="L10" s="8">
        <f>IFERROR(
GETPIVOTDATA(
"[Base].[Importe]",
TDinamica_R!$A$5,
"[Calendario].[AñoMes]",
"[Calendario].[AñoMes].&amp;[" &amp; TEXT(L$6,"yyyymm") &amp; "]",
"[Base].[Metrica]",
"[Base].[Metrica].&amp;[" &amp; $A10 &amp; "]",
"[Base].[SEGMENTO_DESCRIP]",
"[Base].[SEGMENTO_DESCRIP].&amp;[" &amp; $C$6 &amp; "]",
"[Base].[SITUACION]",
"[Base].[SITUACION].&amp;[" &amp; $C10 &amp; "]"
),0)/1000</f>
        <v>3468.7947441900001</v>
      </c>
      <c r="M10" s="8">
        <f>IFERROR(
GETPIVOTDATA(
"[Base].[Importe]",
TDinamica_R!$A$5,
"[Calendario].[AñoMes]",
"[Calendario].[AñoMes].&amp;[" &amp; TEXT(M$6,"yyyymm") &amp; "]",
"[Base].[Metrica]",
"[Base].[Metrica].&amp;[" &amp; $A10 &amp; "]",
"[Base].[SEGMENTO_DESCRIP]",
"[Base].[SEGMENTO_DESCRIP].&amp;[" &amp; $C$6 &amp; "]",
"[Base].[SITUACION]",
"[Base].[SITUACION].&amp;[" &amp; $C10 &amp; "]"
),0)/1000</f>
        <v>3832.8362915399998</v>
      </c>
      <c r="N10" s="8">
        <f>IFERROR(
GETPIVOTDATA(
"[Base].[Importe]",
TDinamica_R!$A$5,
"[Calendario].[AñoMes]",
"[Calendario].[AñoMes].&amp;[" &amp; TEXT(N$6,"yyyymm") &amp; "]",
"[Base].[Metrica]",
"[Base].[Metrica].&amp;[" &amp; $A10 &amp; "]",
"[Base].[SEGMENTO_DESCRIP]",
"[Base].[SEGMENTO_DESCRIP].&amp;[" &amp; $C$6 &amp; "]",
"[Base].[SITUACION]",
"[Base].[SITUACION].&amp;[" &amp; $C10 &amp; "]"
),0)/1000</f>
        <v>3001.3430928799994</v>
      </c>
      <c r="O10" s="8">
        <f>IFERROR(
GETPIVOTDATA(
"[Base].[Importe]",
TDinamica_R!$A$5,
"[Calendario].[AñoMes]",
"[Calendario].[AñoMes].&amp;[" &amp; TEXT(O$6,"yyyymm") &amp; "]",
"[Base].[Metrica]",
"[Base].[Metrica].&amp;[" &amp; $A10 &amp; "]",
"[Base].[SEGMENTO_DESCRIP]",
"[Base].[SEGMENTO_DESCRIP].&amp;[" &amp; $C$6 &amp; "]",
"[Base].[SITUACION]",
"[Base].[SITUACION].&amp;[" &amp; $C10 &amp; "]"
),0)/1000</f>
        <v>3056.7319164699998</v>
      </c>
      <c r="P10" s="8">
        <f>IFERROR(
GETPIVOTDATA(
"[Base].[Importe]",
TDinamica_R!$A$5,
"[Calendario].[AñoMes]",
"[Calendario].[AñoMes].&amp;[" &amp; TEXT(P$6,"yyyymm") &amp; "]",
"[Base].[Metrica]",
"[Base].[Metrica].&amp;[" &amp; $A10 &amp; "]",
"[Base].[SEGMENTO_DESCRIP]",
"[Base].[SEGMENTO_DESCRIP].&amp;[" &amp; $C$6 &amp; "]",
"[Base].[SITUACION]",
"[Base].[SITUACION].&amp;[" &amp; $C10 &amp; "]"
),0)/1000</f>
        <v>3678.6458353199996</v>
      </c>
      <c r="Q10" s="8">
        <f>IFERROR(
GETPIVOTDATA(
"[Base].[Importe]",
TDinamica_R!$A$5,
"[Calendario].[AñoMes]",
"[Calendario].[AñoMes].&amp;[" &amp; TEXT(Q$6,"yyyymm") &amp; "]",
"[Base].[Metrica]",
"[Base].[Metrica].&amp;[" &amp; $A10 &amp; "]",
"[Base].[SEGMENTO_DESCRIP]",
"[Base].[SEGMENTO_DESCRIP].&amp;[" &amp; $C$6 &amp; "]",
"[Base].[SITUACION]",
"[Base].[SITUACION].&amp;[" &amp; $C10 &amp; "]"
),0)/1000</f>
        <v>3328.6225474000003</v>
      </c>
      <c r="R10" s="8">
        <f>IFERROR(
GETPIVOTDATA(
"[Base].[Importe]",
TDinamica_R!$A$5,
"[Calendario].[AñoMes]",
"[Calendario].[AñoMes].&amp;[" &amp; TEXT(R$6,"yyyymm") &amp; "]",
"[Base].[Metrica]",
"[Base].[Metrica].&amp;[" &amp; $A10 &amp; "]",
"[Base].[SEGMENTO_DESCRIP]",
"[Base].[SEGMENTO_DESCRIP].&amp;[" &amp; $C$6 &amp; "]",
"[Base].[SITUACION]",
"[Base].[SITUACION].&amp;[" &amp; $C10 &amp; "]"
),0)/1000</f>
        <v>3581.7271319399997</v>
      </c>
      <c r="S10" s="8">
        <f>IFERROR(
GETPIVOTDATA(
"[Base].[Importe]",
TDinamica_R!$A$5,
"[Calendario].[AñoMes]",
"[Calendario].[AñoMes].&amp;[" &amp; TEXT(S$6,"yyyymm") &amp; "]",
"[Base].[Metrica]",
"[Base].[Metrica].&amp;[" &amp; $A10 &amp; "]",
"[Base].[SEGMENTO_DESCRIP]",
"[Base].[SEGMENTO_DESCRIP].&amp;[" &amp; $C$6 &amp; "]",
"[Base].[SITUACION]",
"[Base].[SITUACION].&amp;[" &amp; $C10 &amp; "]"
),0)/1000</f>
        <v>3117.8451440099993</v>
      </c>
      <c r="T10" s="8">
        <f>IFERROR(
GETPIVOTDATA(
"[Base].[Importe]",
TDinamica_R!$A$5,
"[Calendario].[AñoMes]",
"[Calendario].[AñoMes].&amp;[" &amp; TEXT(T$6,"yyyymm") &amp; "]",
"[Base].[Metrica]",
"[Base].[Metrica].&amp;[" &amp; $A10 &amp; "]",
"[Base].[SEGMENTO_DESCRIP]",
"[Base].[SEGMENTO_DESCRIP].&amp;[" &amp; $C$6 &amp; "]",
"[Base].[SITUACION]",
"[Base].[SITUACION].&amp;[" &amp; $C10 &amp; "]"
),0)/1000</f>
        <v>3212.1767285400001</v>
      </c>
      <c r="U10" s="8">
        <f>IFERROR(
GETPIVOTDATA(
"[Base].[Importe]",
TDinamica_R!$A$5,
"[Calendario].[AñoMes]",
"[Calendario].[AñoMes].&amp;[" &amp; TEXT(U$6,"yyyymm") &amp; "]",
"[Base].[Metrica]",
"[Base].[Metrica].&amp;[" &amp; $A10 &amp; "]",
"[Base].[SEGMENTO_DESCRIP]",
"[Base].[SEGMENTO_DESCRIP].&amp;[" &amp; $C$6 &amp; "]",
"[Base].[SITUACION]",
"[Base].[SITUACION].&amp;[" &amp; $C10 &amp; "]"
),0)/1000</f>
        <v>2663.8854617300003</v>
      </c>
      <c r="V10" s="8">
        <f>IFERROR(
GETPIVOTDATA(
"[Base].[Importe]",
TDinamica_R!$A$5,
"[Calendario].[AñoMes]",
"[Calendario].[AñoMes].&amp;[" &amp; TEXT(V$6,"yyyymm") &amp; "]",
"[Base].[Metrica]",
"[Base].[Metrica].&amp;[" &amp; $A10 &amp; "]",
"[Base].[SEGMENTO_DESCRIP]",
"[Base].[SEGMENTO_DESCRIP].&amp;[" &amp; $C$6 &amp; "]",
"[Base].[SITUACION]",
"[Base].[SITUACION].&amp;[" &amp; $C10 &amp; "]"
),0)/1000</f>
        <v>1960.3514991100003</v>
      </c>
      <c r="W10" s="8">
        <f>IFERROR(
GETPIVOTDATA(
"[Base].[Importe]",
TDinamica_R!$A$5,
"[Calendario].[AñoMes]",
"[Calendario].[AñoMes].&amp;[" &amp; TEXT(W$6,"yyyymm") &amp; "]",
"[Base].[Metrica]",
"[Base].[Metrica].&amp;[" &amp; $A10 &amp; "]",
"[Base].[SEGMENTO_DESCRIP]",
"[Base].[SEGMENTO_DESCRIP].&amp;[" &amp; $C$6 &amp; "]",
"[Base].[SITUACION]",
"[Base].[SITUACION].&amp;[" &amp; $C10 &amp; "]"
),0)/1000</f>
        <v>1693.3780655200003</v>
      </c>
      <c r="X10" s="8">
        <f>IFERROR(
GETPIVOTDATA(
"[Base].[Importe]",
TDinamica_R!$A$5,
"[Calendario].[AñoMes]",
"[Calendario].[AñoMes].&amp;[" &amp; TEXT(X$6,"yyyymm") &amp; "]",
"[Base].[Metrica]",
"[Base].[Metrica].&amp;[" &amp; $A10 &amp; "]",
"[Base].[SEGMENTO_DESCRIP]",
"[Base].[SEGMENTO_DESCRIP].&amp;[" &amp; $C$6 &amp; "]",
"[Base].[SITUACION]",
"[Base].[SITUACION].&amp;[" &amp; $C10 &amp; "]"
),0)/1000</f>
        <v>1394.75261647</v>
      </c>
      <c r="Y10" s="8">
        <f>IFERROR(
GETPIVOTDATA(
"[Base].[Importe]",
TDinamica_R!$A$5,
"[Calendario].[AñoMes]",
"[Calendario].[AñoMes].&amp;[" &amp; TEXT(Y$6,"yyyymm") &amp; "]",
"[Base].[Metrica]",
"[Base].[Metrica].&amp;[" &amp; $A10 &amp; "]",
"[Base].[SEGMENTO_DESCRIP]",
"[Base].[SEGMENTO_DESCRIP].&amp;[" &amp; $C$6 &amp; "]",
"[Base].[SITUACION]",
"[Base].[SITUACION].&amp;[" &amp; $C10 &amp; "]"
),0)/1000</f>
        <v>1202.4430934399998</v>
      </c>
      <c r="Z10" s="8">
        <f>IFERROR(
GETPIVOTDATA(
"[Base].[Importe]",
TDinamica_R!$A$5,
"[Calendario].[AñoMes]",
"[Calendario].[AñoMes].&amp;[" &amp; TEXT(Z$6,"yyyymm") &amp; "]",
"[Base].[Metrica]",
"[Base].[Metrica].&amp;[" &amp; $A10 &amp; "]",
"[Base].[SEGMENTO_DESCRIP]",
"[Base].[SEGMENTO_DESCRIP].&amp;[" &amp; $C$6 &amp; "]",
"[Base].[SITUACION]",
"[Base].[SITUACION].&amp;[" &amp; $C10 &amp; "]"
),0)/1000</f>
        <v>972.81135985999992</v>
      </c>
      <c r="AA10" s="8">
        <f>IFERROR(
GETPIVOTDATA(
"[Base].[Importe]",
TDinamica_R!$A$5,
"[Calendario].[AñoMes]",
"[Calendario].[AñoMes].&amp;[" &amp; TEXT(AA$6,"yyyymm") &amp; "]",
"[Base].[Metrica]",
"[Base].[Metrica].&amp;[" &amp; $A10 &amp; "]",
"[Base].[SEGMENTO_DESCRIP]",
"[Base].[SEGMENTO_DESCRIP].&amp;[" &amp; $C$6 &amp; "]",
"[Base].[SITUACION]",
"[Base].[SITUACION].&amp;[" &amp; $C10 &amp; "]"
),0)/1000</f>
        <v>1166.6705299999999</v>
      </c>
      <c r="AB10" s="8">
        <f>IFERROR(
GETPIVOTDATA(
"[Base].[Importe]",
TDinamica_R!$A$5,
"[Calendario].[AñoMes]",
"[Calendario].[AñoMes].&amp;[" &amp; TEXT(AB$6,"yyyymm") &amp; "]",
"[Base].[Metrica]",
"[Base].[Metrica].&amp;[" &amp; $A10 &amp; "]",
"[Base].[SEGMENTO_DESCRIP]",
"[Base].[SEGMENTO_DESCRIP].&amp;[" &amp; $C$6 &amp; "]",
"[Base].[SITUACION]",
"[Base].[SITUACION].&amp;[" &amp; $C10 &amp; "]"
),0)/1000</f>
        <v>1195.5778199999997</v>
      </c>
      <c r="AC10" s="8">
        <f>IFERROR(
GETPIVOTDATA(
"[Base].[Importe]",
TDinamica_R!$A$5,
"[Calendario].[AñoMes]",
"[Calendario].[AñoMes].&amp;[" &amp; TEXT(AC$6,"yyyymm") &amp; "]",
"[Base].[Metrica]",
"[Base].[Metrica].&amp;[" &amp; $A10 &amp; "]",
"[Base].[SEGMENTO_DESCRIP]",
"[Base].[SEGMENTO_DESCRIP].&amp;[" &amp; $C$6 &amp; "]",
"[Base].[SITUACION]",
"[Base].[SITUACION].&amp;[" &amp; $C10 &amp; "]"
),0)/1000</f>
        <v>1101.6369</v>
      </c>
      <c r="AD10" s="8">
        <f>IFERROR(
GETPIVOTDATA(
"[Base].[Importe]",
TDinamica_R!$A$5,
"[Calendario].[AñoMes]",
"[Calendario].[AñoMes].&amp;[" &amp; TEXT(AD$6,"yyyymm") &amp; "]",
"[Base].[Metrica]",
"[Base].[Metrica].&amp;[" &amp; $A10 &amp; "]",
"[Base].[SEGMENTO_DESCRIP]",
"[Base].[SEGMENTO_DESCRIP].&amp;[" &amp; $C$6 &amp; "]",
"[Base].[SITUACION]",
"[Base].[SITUACION].&amp;[" &amp; $C10 &amp; "]"
),0)/1000</f>
        <v>1346.8704400000001</v>
      </c>
      <c r="AE10" s="8">
        <f>IFERROR(
GETPIVOTDATA(
"[Base].[Importe]",
TDinamica_R!$A$5,
"[Calendario].[AñoMes]",
"[Calendario].[AñoMes].&amp;[" &amp; TEXT(AE$6,"yyyymm") &amp; "]",
"[Base].[Metrica]",
"[Base].[Metrica].&amp;[" &amp; $A10 &amp; "]",
"[Base].[SEGMENTO_DESCRIP]",
"[Base].[SEGMENTO_DESCRIP].&amp;[" &amp; $C$6 &amp; "]",
"[Base].[SITUACION]",
"[Base].[SITUACION].&amp;[" &amp; $C10 &amp; "]"
),0)/1000</f>
        <v>1430.49542</v>
      </c>
      <c r="AF10" s="8">
        <f>IFERROR(
GETPIVOTDATA(
"[Base].[Importe]",
TDinamica_R!$A$5,
"[Calendario].[AñoMes]",
"[Calendario].[AñoMes].&amp;[" &amp; TEXT(AF$6,"yyyymm") &amp; "]",
"[Base].[Metrica]",
"[Base].[Metrica].&amp;[" &amp; $A10 &amp; "]",
"[Base].[SEGMENTO_DESCRIP]",
"[Base].[SEGMENTO_DESCRIP].&amp;[" &amp; $C$6 &amp; "]",
"[Base].[SITUACION]",
"[Base].[SITUACION].&amp;[" &amp; $C10 &amp; "]"
),0)/1000</f>
        <v>1533.5252700000001</v>
      </c>
      <c r="AG10" s="8">
        <f>IFERROR(
GETPIVOTDATA(
"[Base].[Importe]",
TDinamica_R!$A$5,
"[Calendario].[AñoMes]",
"[Calendario].[AñoMes].&amp;[" &amp; TEXT(AG$6,"yyyymm") &amp; "]",
"[Base].[Metrica]",
"[Base].[Metrica].&amp;[" &amp; $A10 &amp; "]",
"[Base].[SEGMENTO_DESCRIP]",
"[Base].[SEGMENTO_DESCRIP].&amp;[" &amp; $C$6 &amp; "]",
"[Base].[SITUACION]",
"[Base].[SITUACION].&amp;[" &amp; $C10 &amp; "]"
),0)/1000</f>
        <v>1374.5066100000001</v>
      </c>
      <c r="AH10" s="8">
        <f>IFERROR(
GETPIVOTDATA(
"[Base].[Importe]",
TDinamica_R!$A$5,
"[Calendario].[AñoMes]",
"[Calendario].[AñoMes].&amp;[" &amp; TEXT(AH$6,"yyyymm") &amp; "]",
"[Base].[Metrica]",
"[Base].[Metrica].&amp;[" &amp; $A10 &amp; "]",
"[Base].[SEGMENTO_DESCRIP]",
"[Base].[SEGMENTO_DESCRIP].&amp;[" &amp; $C$6 &amp; "]",
"[Base].[SITUACION]",
"[Base].[SITUACION].&amp;[" &amp; $C10 &amp; "]"
),0)/1000</f>
        <v>1107.29495</v>
      </c>
      <c r="AI10" s="8">
        <f>IFERROR(
GETPIVOTDATA(
"[Base].[Importe]",
TDinamica_R!$A$5,
"[Calendario].[AñoMes]",
"[Calendario].[AñoMes].&amp;[" &amp; TEXT(AI$6,"yyyymm") &amp; "]",
"[Base].[Metrica]",
"[Base].[Metrica].&amp;[" &amp; $A10 &amp; "]",
"[Base].[SEGMENTO_DESCRIP]",
"[Base].[SEGMENTO_DESCRIP].&amp;[" &amp; $C$6 &amp; "]",
"[Base].[SITUACION]",
"[Base].[SITUACION].&amp;[" &amp; $C10 &amp; "]"
),0)/1000</f>
        <v>1221.8955600000002</v>
      </c>
      <c r="AJ10" s="8">
        <f>IFERROR(
GETPIVOTDATA(
"[Base].[Importe]",
TDinamica_R!$A$5,
"[Calendario].[AñoMes]",
"[Calendario].[AñoMes].&amp;[" &amp; TEXT(AJ$6,"yyyymm") &amp; "]",
"[Base].[Metrica]",
"[Base].[Metrica].&amp;[" &amp; $A10 &amp; "]",
"[Base].[SEGMENTO_DESCRIP]",
"[Base].[SEGMENTO_DESCRIP].&amp;[" &amp; $C$6 &amp; "]",
"[Base].[SITUACION]",
"[Base].[SITUACION].&amp;[" &amp; $C10 &amp; "]"
),0)/1000</f>
        <v>1043.32116</v>
      </c>
      <c r="AK10" s="8">
        <f>IFERROR(
GETPIVOTDATA(
"[Base].[Importe]",
TDinamica_R!$A$5,
"[Calendario].[AñoMes]",
"[Calendario].[AñoMes].&amp;[" &amp; TEXT(AK$6,"yyyymm") &amp; "]",
"[Base].[Metrica]",
"[Base].[Metrica].&amp;[" &amp; $A10 &amp; "]",
"[Base].[SEGMENTO_DESCRIP]",
"[Base].[SEGMENTO_DESCRIP].&amp;[" &amp; $C$6 &amp; "]",
"[Base].[SITUACION]",
"[Base].[SITUACION].&amp;[" &amp; $C10 &amp; "]"
),0)/1000</f>
        <v>1030.88833</v>
      </c>
      <c r="AL10" s="8">
        <f>IFERROR(
GETPIVOTDATA(
"[Base].[Importe]",
TDinamica_R!$A$5,
"[Calendario].[AñoMes]",
"[Calendario].[AñoMes].&amp;[" &amp; TEXT(AL$6,"yyyymm") &amp; "]",
"[Base].[Metrica]",
"[Base].[Metrica].&amp;[" &amp; $A10 &amp; "]",
"[Base].[SEGMENTO_DESCRIP]",
"[Base].[SEGMENTO_DESCRIP].&amp;[" &amp; $C$6 &amp; "]",
"[Base].[SITUACION]",
"[Base].[SITUACION].&amp;[" &amp; $C10 &amp; "]"
),0)/1000</f>
        <v>854.30959999999993</v>
      </c>
      <c r="AM10" s="8">
        <f>IFERROR(
GETPIVOTDATA(
"[Base].[Importe]",
TDinamica_R!$A$5,
"[Calendario].[AñoMes]",
"[Calendario].[AñoMes].&amp;[" &amp; TEXT(AM$6,"yyyymm") &amp; "]",
"[Base].[Metrica]",
"[Base].[Metrica].&amp;[" &amp; $A10 &amp; "]",
"[Base].[SEGMENTO_DESCRIP]",
"[Base].[SEGMENTO_DESCRIP].&amp;[" &amp; $C$6 &amp; "]",
"[Base].[SITUACION]",
"[Base].[SITUACION].&amp;[" &amp; $C10 &amp; "]"
),0)/1000</f>
        <v>936.26736999999991</v>
      </c>
      <c r="AN10" s="8">
        <f>IFERROR(
GETPIVOTDATA(
"[Base].[Importe]",
TDinamica_R!$A$5,
"[Calendario].[AñoMes]",
"[Calendario].[AñoMes].&amp;[" &amp; TEXT(AN$6,"yyyymm") &amp; "]",
"[Base].[Metrica]",
"[Base].[Metrica].&amp;[" &amp; $A10 &amp; "]",
"[Base].[SEGMENTO_DESCRIP]",
"[Base].[SEGMENTO_DESCRIP].&amp;[" &amp; $C$6 &amp; "]",
"[Base].[SITUACION]",
"[Base].[SITUACION].&amp;[" &amp; $C10 &amp; "]"
),0)/1000</f>
        <v>1024.27</v>
      </c>
      <c r="AO10" s="8">
        <f>IFERROR(
GETPIVOTDATA(
"[Base].[Importe]",
TDinamica_R!$A$5,
"[Calendario].[AñoMes]",
"[Calendario].[AñoMes].&amp;[" &amp; TEXT(AO$6,"yyyymm") &amp; "]",
"[Base].[Metrica]",
"[Base].[Metrica].&amp;[" &amp; $A10 &amp; "]",
"[Base].[SEGMENTO_DESCRIP]",
"[Base].[SEGMENTO_DESCRIP].&amp;[" &amp; $C$6 &amp; "]",
"[Base].[SITUACION]",
"[Base].[SITUACION].&amp;[" &amp; $C10 &amp; "]"
),0)/1000</f>
        <v>986.54</v>
      </c>
      <c r="AP10" s="8">
        <f>IFERROR(
GETPIVOTDATA(
"[Base].[Importe]",
TDinamica_R!$A$5,
"[Calendario].[AñoMes]",
"[Calendario].[AñoMes].&amp;[" &amp; TEXT(AP$6,"yyyymm") &amp; "]",
"[Base].[Metrica]",
"[Base].[Metrica].&amp;[" &amp; $A10 &amp; "]",
"[Base].[SEGMENTO_DESCRIP]",
"[Base].[SEGMENTO_DESCRIP].&amp;[" &amp; $C$6 &amp; "]",
"[Base].[SITUACION]",
"[Base].[SITUACION].&amp;[" &amp; $C10 &amp; "]"
),0)/1000</f>
        <v>960.41</v>
      </c>
      <c r="AQ10" s="8">
        <f>IFERROR(
GETPIVOTDATA(
"[Base].[Importe]",
TDinamica_R!$A$5,
"[Calendario].[AñoMes]",
"[Calendario].[AñoMes].&amp;[" &amp; TEXT(AQ$6,"yyyymm") &amp; "]",
"[Base].[Metrica]",
"[Base].[Metrica].&amp;[" &amp; $A10 &amp; "]",
"[Base].[SEGMENTO_DESCRIP]",
"[Base].[SEGMENTO_DESCRIP].&amp;[" &amp; $C$6 &amp; "]",
"[Base].[SITUACION]",
"[Base].[SITUACION].&amp;[" &amp; $C10 &amp; "]"
),0)/1000</f>
        <v>1048.7792899999999</v>
      </c>
      <c r="AR10" s="8">
        <f>IFERROR(
GETPIVOTDATA(
"[Base].[Importe]",
TDinamica_R!$A$5,
"[Calendario].[AñoMes]",
"[Calendario].[AñoMes].&amp;[" &amp; TEXT(AR$6,"yyyymm") &amp; "]",
"[Base].[Metrica]",
"[Base].[Metrica].&amp;[" &amp; $A10 &amp; "]",
"[Base].[SEGMENTO_DESCRIP]",
"[Base].[SEGMENTO_DESCRIP].&amp;[" &amp; $C$6 &amp; "]",
"[Base].[SITUACION]",
"[Base].[SITUACION].&amp;[" &amp; $C10 &amp; "]"
),0)/1000</f>
        <v>914.17241999999999</v>
      </c>
      <c r="AS10" s="8">
        <f>IFERROR(
GETPIVOTDATA(
"[Base].[Importe]",
TDinamica_R!$A$5,
"[Calendario].[AñoMes]",
"[Calendario].[AñoMes].&amp;[" &amp; TEXT(AS$6,"yyyymm") &amp; "]",
"[Base].[Metrica]",
"[Base].[Metrica].&amp;[" &amp; $A10 &amp; "]",
"[Base].[SEGMENTO_DESCRIP]",
"[Base].[SEGMENTO_DESCRIP].&amp;[" &amp; $C$6 &amp; "]",
"[Base].[SITUACION]",
"[Base].[SITUACION].&amp;[" &amp; $C10 &amp; "]"
),0)/1000</f>
        <v>1034.4164600000001</v>
      </c>
      <c r="AT10" s="8">
        <f>IFERROR(
GETPIVOTDATA(
"[Base].[Importe]",
TDinamica_R!$A$5,
"[Calendario].[AñoMes]",
"[Calendario].[AñoMes].&amp;[" &amp; TEXT(AT$6,"yyyymm")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U10" s="8">
        <f>IFERROR(
GETPIVOTDATA(
"[Base].[Importe]",
TDinamica_R!$A$5,
"[Calendario].[AñoMes]",
"[Calendario].[AñoMes].&amp;[" &amp; TEXT(AU$6,"yyyymm")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V10" s="8">
        <f>IFERROR(
GETPIVOTDATA(
"[Base].[Importe]",
TDinamica_R!$A$5,
"[Calendario].[AñoMes]",
"[Calendario].[AñoMes].&amp;[" &amp; TEXT(AV$6,"yyyymm")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W10" s="8">
        <f>IFERROR(
GETPIVOTDATA(
"[Base].[Importe]",
TDinamica_R!$A$5,
"[Calendario].[AñoMes]",
"[Calendario].[AñoMes].&amp;[" &amp; TEXT(AW$6,"yyyymm")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X10" s="8">
        <f>IFERROR(
GETPIVOTDATA(
"[Base].[Importe]",
TDinamica_R!$A$5,
"[Calendario].[AñoMes]",
"[Calendario].[AñoMes].&amp;[" &amp; TEXT(AX$6,"yyyymm")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Y10" s="8">
        <f>IFERROR(
GETPIVOTDATA(
"[Base].[Importe]",
TDinamica_R!$A$5,
"[Calendario].[AñoMes]",
"[Calendario].[AñoMes].&amp;[" &amp; TEXT(AY$6,"yyyymm")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Z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TEXT(AZ$6,"yyyymm") &amp; "]"
),
0
)</f>
        <v>876.78024345251231</v>
      </c>
      <c r="BA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TEXT(BA$6,"yyyymm") &amp; "]"
),
0
)</f>
        <v>789.17049942060783</v>
      </c>
      <c r="BB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TEXT(BB$6,"yyyymm") &amp; "]"
),
0
)</f>
        <v>804.93970804253354</v>
      </c>
      <c r="BC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TEXT(BC$6,"yyyymm") &amp; "]"
),
0
)</f>
        <v>818.79138102544096</v>
      </c>
      <c r="BD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TEXT(BD$6,"yyyymm") &amp; "]"
),
0
)</f>
        <v>765.86165184909555</v>
      </c>
      <c r="BE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TEXT(BE$6,"yyyymm") &amp; "]"
),
0
)</f>
        <v>761.46275236812119</v>
      </c>
      <c r="BF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TEXT(BF$6,"yyyymm") &amp; "]"
),
0
)</f>
        <v>749.92302324106686</v>
      </c>
      <c r="BG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TEXT(BG$6,"yyyymm") &amp; "]"
),
0
)</f>
        <v>814.69957728538134</v>
      </c>
      <c r="BH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TEXT(BH$6,"yyyymm") &amp; "]"
),
0
)</f>
        <v>708.73649077410005</v>
      </c>
      <c r="BI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TEXT(BI$6,"yyyymm") &amp; "]"
),
0
)</f>
        <v>801.74574060645148</v>
      </c>
      <c r="BJ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TEXT(BJ$6,"yyyymm") &amp; "]"
),
0
)</f>
        <v>836.9778628157751</v>
      </c>
      <c r="BK10" s="8">
        <f>IFERROR(
GETPIVOTDATA(
"[Base_PPE].[Importe]",
TDinamica_P!$A$4,
"[Base_PPE].[Metrica]",
"[Base_PPE].[Metrica].&amp;[" &amp; TRIM($A10) &amp; "]",
"[Base_PPE].[SITUACION]",
"[Base_PPE].[SITUACION].&amp;[" &amp; TRIM($C10) &amp; "]",
"[Base_PPE].[SEGMENTO_DESCRIP]",
"[Base_PPE].[SEGMENTO_DESCRIP].&amp;[" &amp; TRIM($C$6) &amp; "]",
"[Base_PPE].[Periodo]",
"[Base_PPE].[Periodo].&amp;[" &amp; TEXT(BK$6,"yyyymm") &amp; "]"
),
0
)</f>
        <v>910.80431951398191</v>
      </c>
      <c r="BO10" s="24">
        <f t="shared" si="5"/>
        <v>960.41</v>
      </c>
      <c r="BP10" s="24">
        <f t="shared" si="7"/>
        <v>804.93970804253354</v>
      </c>
      <c r="BQ10" s="24">
        <f t="shared" si="6"/>
        <v>986.54</v>
      </c>
      <c r="BR10" s="24">
        <f t="shared" si="6"/>
        <v>1346.8704400000001</v>
      </c>
      <c r="BS10" s="24">
        <f t="shared" si="6"/>
        <v>3581.7271319399997</v>
      </c>
      <c r="BT10" s="24">
        <f t="shared" si="6"/>
        <v>2217.6963251399998</v>
      </c>
    </row>
    <row r="11" spans="1:81" collapsed="1" x14ac:dyDescent="0.25">
      <c r="C11" s="3" t="s">
        <v>2</v>
      </c>
      <c r="D11" s="10">
        <f>SUM(D8:D10)</f>
        <v>50063.121659120006</v>
      </c>
      <c r="E11" s="10">
        <f t="shared" ref="E11:AY11" si="8">SUM(E8:E10)</f>
        <v>50489.611224159999</v>
      </c>
      <c r="F11" s="10">
        <f t="shared" si="8"/>
        <v>52231.409644480009</v>
      </c>
      <c r="G11" s="10">
        <f t="shared" si="8"/>
        <v>51844.474475949988</v>
      </c>
      <c r="H11" s="10">
        <f t="shared" si="8"/>
        <v>52184.997748789996</v>
      </c>
      <c r="I11" s="10">
        <f t="shared" si="8"/>
        <v>52251.913548920005</v>
      </c>
      <c r="J11" s="10">
        <f t="shared" si="8"/>
        <v>51781.262410320007</v>
      </c>
      <c r="K11" s="10">
        <f t="shared" si="8"/>
        <v>51845.426517449996</v>
      </c>
      <c r="L11" s="10">
        <f t="shared" si="8"/>
        <v>50584.585294189994</v>
      </c>
      <c r="M11" s="10">
        <f t="shared" si="8"/>
        <v>49138.327401540002</v>
      </c>
      <c r="N11" s="10">
        <f t="shared" si="8"/>
        <v>47159.809312880003</v>
      </c>
      <c r="O11" s="10">
        <f t="shared" si="8"/>
        <v>45111.815116470003</v>
      </c>
      <c r="P11" s="10">
        <f t="shared" si="8"/>
        <v>42479.533785319996</v>
      </c>
      <c r="Q11" s="10">
        <f t="shared" si="8"/>
        <v>40164.818027400004</v>
      </c>
      <c r="R11" s="10">
        <f t="shared" si="8"/>
        <v>39335.841651939998</v>
      </c>
      <c r="S11" s="10">
        <f t="shared" si="8"/>
        <v>37960.966374009993</v>
      </c>
      <c r="T11" s="10">
        <f t="shared" si="8"/>
        <v>36553.341569079996</v>
      </c>
      <c r="U11" s="10">
        <f t="shared" si="8"/>
        <v>35186.617891019996</v>
      </c>
      <c r="V11" s="10">
        <f t="shared" si="8"/>
        <v>33329.89013788</v>
      </c>
      <c r="W11" s="10">
        <f t="shared" si="8"/>
        <v>32591.926631199996</v>
      </c>
      <c r="X11" s="10">
        <f t="shared" si="8"/>
        <v>31855.716550699999</v>
      </c>
      <c r="Y11" s="10">
        <f t="shared" si="8"/>
        <v>30935.167786960003</v>
      </c>
      <c r="Z11" s="10">
        <f t="shared" si="8"/>
        <v>29499.843094840006</v>
      </c>
      <c r="AA11" s="10">
        <f t="shared" si="8"/>
        <v>28236.836993159995</v>
      </c>
      <c r="AB11" s="10">
        <f t="shared" si="8"/>
        <v>27285.716001380002</v>
      </c>
      <c r="AC11" s="10">
        <f t="shared" si="8"/>
        <v>26254.688850650007</v>
      </c>
      <c r="AD11" s="10">
        <f t="shared" si="8"/>
        <v>26066.0523268</v>
      </c>
      <c r="AE11" s="10">
        <f t="shared" si="8"/>
        <v>25601.394178499999</v>
      </c>
      <c r="AF11" s="10">
        <f t="shared" si="8"/>
        <v>25373.270636279995</v>
      </c>
      <c r="AG11" s="10">
        <f t="shared" si="8"/>
        <v>24822.120271639997</v>
      </c>
      <c r="AH11" s="10">
        <f t="shared" si="8"/>
        <v>24014.929939449998</v>
      </c>
      <c r="AI11" s="10">
        <f t="shared" si="8"/>
        <v>24063.382181449997</v>
      </c>
      <c r="AJ11" s="10">
        <f t="shared" si="8"/>
        <v>23643.4724307</v>
      </c>
      <c r="AK11" s="10">
        <f t="shared" si="8"/>
        <v>23402.092360000002</v>
      </c>
      <c r="AL11" s="10">
        <f t="shared" si="8"/>
        <v>23316.910880000003</v>
      </c>
      <c r="AM11" s="10">
        <f t="shared" si="8"/>
        <v>24780.584991369997</v>
      </c>
      <c r="AN11" s="10">
        <f t="shared" si="8"/>
        <v>27488.629999999997</v>
      </c>
      <c r="AO11" s="10">
        <f t="shared" si="8"/>
        <v>30418.29</v>
      </c>
      <c r="AP11" s="10">
        <f t="shared" si="8"/>
        <v>33080.39</v>
      </c>
      <c r="AQ11" s="10">
        <f t="shared" si="8"/>
        <v>37000.140227019991</v>
      </c>
      <c r="AR11" s="10">
        <f t="shared" si="8"/>
        <v>40691.492801939996</v>
      </c>
      <c r="AS11" s="10">
        <f t="shared" si="8"/>
        <v>44574.570854199999</v>
      </c>
      <c r="AT11" s="10">
        <f t="shared" si="8"/>
        <v>0</v>
      </c>
      <c r="AU11" s="10">
        <f t="shared" si="8"/>
        <v>0</v>
      </c>
      <c r="AV11" s="10">
        <f t="shared" si="8"/>
        <v>0</v>
      </c>
      <c r="AW11" s="10">
        <f t="shared" si="8"/>
        <v>0</v>
      </c>
      <c r="AX11" s="10">
        <f t="shared" si="8"/>
        <v>0</v>
      </c>
      <c r="AY11" s="10">
        <f t="shared" si="8"/>
        <v>0</v>
      </c>
      <c r="AZ11" s="10">
        <f t="shared" ref="AZ11:BK11" si="9">SUM(AZ8:AZ10)</f>
        <v>21443.242514820795</v>
      </c>
      <c r="BA11" s="10">
        <f t="shared" si="9"/>
        <v>21034.246833091111</v>
      </c>
      <c r="BB11" s="10">
        <f t="shared" si="9"/>
        <v>20626.227953678579</v>
      </c>
      <c r="BC11" s="10">
        <f t="shared" si="9"/>
        <v>20395.280743708885</v>
      </c>
      <c r="BD11" s="10">
        <f t="shared" si="9"/>
        <v>20204.053500926071</v>
      </c>
      <c r="BE11" s="10">
        <f t="shared" si="9"/>
        <v>19898.920537526181</v>
      </c>
      <c r="BF11" s="10">
        <f t="shared" si="9"/>
        <v>19700.436815603902</v>
      </c>
      <c r="BG11" s="10">
        <f t="shared" si="9"/>
        <v>19589.643330020142</v>
      </c>
      <c r="BH11" s="10">
        <f t="shared" si="9"/>
        <v>19400.375618649872</v>
      </c>
      <c r="BI11" s="10">
        <f t="shared" si="9"/>
        <v>19458.777161586513</v>
      </c>
      <c r="BJ11" s="10">
        <f t="shared" si="9"/>
        <v>19379.39530010158</v>
      </c>
      <c r="BK11" s="10">
        <f t="shared" si="9"/>
        <v>19375.605548917814</v>
      </c>
      <c r="BO11" s="23">
        <f>SUM(BO8:BO10)</f>
        <v>33080.39</v>
      </c>
      <c r="BP11" s="23">
        <f>SUM(BP8:BP10)</f>
        <v>20626.227953678579</v>
      </c>
      <c r="BQ11" s="23">
        <f t="shared" ref="BQ11:BT11" si="10">SUM(BQ8:BQ10)</f>
        <v>30418.29</v>
      </c>
      <c r="BR11" s="23">
        <f t="shared" si="10"/>
        <v>26066.0523268</v>
      </c>
      <c r="BS11" s="23">
        <f t="shared" si="10"/>
        <v>39335.841651939998</v>
      </c>
      <c r="BT11" s="23">
        <f t="shared" si="10"/>
        <v>52231.409644480009</v>
      </c>
    </row>
    <row r="14" spans="1:81" hidden="1" outlineLevel="1" x14ac:dyDescent="0.25">
      <c r="A14" s="11" t="s">
        <v>52</v>
      </c>
      <c r="C14" s="2" t="s">
        <v>0</v>
      </c>
      <c r="D14" s="8">
        <f>IFERROR(
GETPIVOTDATA(
"[Base].[Importe]",
TDinamica_R!$A$5,
"[Calendario].[AñoMes]",
"[Calendario].[AñoMes].&amp;[" &amp; TEXT(D$6,"yyyymm") &amp; "]",
"[Base].[Metrica]",
"[Base].[Metrica].&amp;[" &amp; $A14 &amp; "]",
"[Base].[SEGMENTO_DESCRIP]",
"[Base].[SEGMENTO_DESCRIP].&amp;[" &amp; $C$6 &amp; "]",
"[Base].[SITUACION]",
"[Base].[SITUACION].&amp;[" &amp; $C14 &amp; "]"
),0)/1000</f>
        <v>45796.706714680011</v>
      </c>
      <c r="E14" s="8">
        <f>IFERROR(
GETPIVOTDATA(
"[Base].[Importe]",
TDinamica_R!$A$5,
"[Calendario].[AñoMes]",
"[Calendario].[AñoMes].&amp;[" &amp; TEXT(E$6,"yyyymm") &amp; "]",
"[Base].[Metrica]",
"[Base].[Metrica].&amp;[" &amp; $A14 &amp; "]",
"[Base].[SEGMENTO_DESCRIP]",
"[Base].[SEGMENTO_DESCRIP].&amp;[" &amp; $C$6 &amp; "]",
"[Base].[SITUACION]",
"[Base].[SITUACION].&amp;[" &amp; $C14 &amp; "]"
),0)/1000</f>
        <v>46217.014390100005</v>
      </c>
      <c r="F14" s="8">
        <f>IFERROR(
GETPIVOTDATA(
"[Base].[Importe]",
TDinamica_R!$A$5,
"[Calendario].[AñoMes]",
"[Calendario].[AñoMes].&amp;[" &amp; TEXT(F$6,"yyyymm") &amp; "]",
"[Base].[Metrica]",
"[Base].[Metrica].&amp;[" &amp; $A14 &amp; "]",
"[Base].[SEGMENTO_DESCRIP]",
"[Base].[SEGMENTO_DESCRIP].&amp;[" &amp; $C$6 &amp; "]",
"[Base].[SITUACION]",
"[Base].[SITUACION].&amp;[" &amp; $C14 &amp; "]"
),0)/1000</f>
        <v>48147.803151999993</v>
      </c>
      <c r="G14" s="8">
        <f>IFERROR(
GETPIVOTDATA(
"[Base].[Importe]",
TDinamica_R!$A$5,
"[Calendario].[AñoMes]",
"[Calendario].[AñoMes].&amp;[" &amp; TEXT(G$6,"yyyymm") &amp; "]",
"[Base].[Metrica]",
"[Base].[Metrica].&amp;[" &amp; $A14 &amp; "]",
"[Base].[SEGMENTO_DESCRIP]",
"[Base].[SEGMENTO_DESCRIP].&amp;[" &amp; $C$6 &amp; "]",
"[Base].[SITUACION]",
"[Base].[SITUACION].&amp;[" &amp; $C14 &amp; "]"
),0)/1000</f>
        <v>48941.201102679996</v>
      </c>
      <c r="H14" s="8">
        <f>IFERROR(
GETPIVOTDATA(
"[Base].[Importe]",
TDinamica_R!$A$5,
"[Calendario].[AñoMes]",
"[Calendario].[AñoMes].&amp;[" &amp; TEXT(H$6,"yyyymm") &amp; "]",
"[Base].[Metrica]",
"[Base].[Metrica].&amp;[" &amp; $A14 &amp; "]",
"[Base].[SEGMENTO_DESCRIP]",
"[Base].[SEGMENTO_DESCRIP].&amp;[" &amp; $C$6 &amp; "]",
"[Base].[SITUACION]",
"[Base].[SITUACION].&amp;[" &amp; $C14 &amp; "]"
),0)/1000</f>
        <v>49228.798822080011</v>
      </c>
      <c r="I14" s="8">
        <f>IFERROR(
GETPIVOTDATA(
"[Base].[Importe]",
TDinamica_R!$A$5,
"[Calendario].[AñoMes]",
"[Calendario].[AñoMes].&amp;[" &amp; TEXT(I$6,"yyyymm") &amp; "]",
"[Base].[Metrica]",
"[Base].[Metrica].&amp;[" &amp; $A14 &amp; "]",
"[Base].[SEGMENTO_DESCRIP]",
"[Base].[SEGMENTO_DESCRIP].&amp;[" &amp; $C$6 &amp; "]",
"[Base].[SITUACION]",
"[Base].[SITUACION].&amp;[" &amp; $C14 &amp; "]"
),0)/1000</f>
        <v>49257.184485500002</v>
      </c>
      <c r="J14" s="8">
        <f>IFERROR(
GETPIVOTDATA(
"[Base].[Importe]",
TDinamica_R!$A$5,
"[Calendario].[AñoMes]",
"[Calendario].[AñoMes].&amp;[" &amp; TEXT(J$6,"yyyymm") &amp; "]",
"[Base].[Metrica]",
"[Base].[Metrica].&amp;[" &amp; $A14 &amp; "]",
"[Base].[SEGMENTO_DESCRIP]",
"[Base].[SEGMENTO_DESCRIP].&amp;[" &amp; $C$6 &amp; "]",
"[Base].[SITUACION]",
"[Base].[SITUACION].&amp;[" &amp; $C14 &amp; "]"
),0)/1000</f>
        <v>48917.398123040002</v>
      </c>
      <c r="K14" s="8">
        <f>IFERROR(
GETPIVOTDATA(
"[Base].[Importe]",
TDinamica_R!$A$5,
"[Calendario].[AñoMes]",
"[Calendario].[AñoMes].&amp;[" &amp; TEXT(K$6,"yyyymm") &amp; "]",
"[Base].[Metrica]",
"[Base].[Metrica].&amp;[" &amp; $A14 &amp; "]",
"[Base].[SEGMENTO_DESCRIP]",
"[Base].[SEGMENTO_DESCRIP].&amp;[" &amp; $C$6 &amp; "]",
"[Base].[SITUACION]",
"[Base].[SITUACION].&amp;[" &amp; $C14 &amp; "]"
),0)/1000</f>
        <v>47286.637603280004</v>
      </c>
      <c r="L14" s="8">
        <f>IFERROR(
GETPIVOTDATA(
"[Base].[Importe]",
TDinamica_R!$A$5,
"[Calendario].[AñoMes]",
"[Calendario].[AñoMes].&amp;[" &amp; TEXT(L$6,"yyyymm") &amp; "]",
"[Base].[Metrica]",
"[Base].[Metrica].&amp;[" &amp; $A14 &amp; "]",
"[Base].[SEGMENTO_DESCRIP]",
"[Base].[SEGMENTO_DESCRIP].&amp;[" &amp; $C$6 &amp; "]",
"[Base].[SITUACION]",
"[Base].[SITUACION].&amp;[" &amp; $C14 &amp; "]"
),0)/1000</f>
        <v>46713.818738100003</v>
      </c>
      <c r="M14" s="8">
        <f>IFERROR(
GETPIVOTDATA(
"[Base].[Importe]",
TDinamica_R!$A$5,
"[Calendario].[AñoMes]",
"[Calendario].[AñoMes].&amp;[" &amp; TEXT(M$6,"yyyymm") &amp; "]",
"[Base].[Metrica]",
"[Base].[Metrica].&amp;[" &amp; $A14 &amp; "]",
"[Base].[SEGMENTO_DESCRIP]",
"[Base].[SEGMENTO_DESCRIP].&amp;[" &amp; $C$6 &amp; "]",
"[Base].[SITUACION]",
"[Base].[SITUACION].&amp;[" &amp; $C14 &amp; "]"
),0)/1000</f>
        <v>45199.799119999996</v>
      </c>
      <c r="N14" s="8">
        <f>IFERROR(
GETPIVOTDATA(
"[Base].[Importe]",
TDinamica_R!$A$5,
"[Calendario].[AñoMes]",
"[Calendario].[AñoMes].&amp;[" &amp; TEXT(N$6,"yyyymm") &amp; "]",
"[Base].[Metrica]",
"[Base].[Metrica].&amp;[" &amp; $A14 &amp; "]",
"[Base].[SEGMENTO_DESCRIP]",
"[Base].[SEGMENTO_DESCRIP].&amp;[" &amp; $C$6 &amp; "]",
"[Base].[SITUACION]",
"[Base].[SITUACION].&amp;[" &amp; $C14 &amp; "]"
),0)/1000</f>
        <v>43896.691479999994</v>
      </c>
      <c r="O14" s="8">
        <f>IFERROR(
GETPIVOTDATA(
"[Base].[Importe]",
TDinamica_R!$A$5,
"[Calendario].[AñoMes]",
"[Calendario].[AñoMes].&amp;[" &amp; TEXT(O$6,"yyyymm") &amp; "]",
"[Base].[Metrica]",
"[Base].[Metrica].&amp;[" &amp; $A14 &amp; "]",
"[Base].[SEGMENTO_DESCRIP]",
"[Base].[SEGMENTO_DESCRIP].&amp;[" &amp; $C$6 &amp; "]",
"[Base].[SITUACION]",
"[Base].[SITUACION].&amp;[" &amp; $C14 &amp; "]"
),0)/1000</f>
        <v>42398.204389999999</v>
      </c>
      <c r="P14" s="8">
        <f>IFERROR(
GETPIVOTDATA(
"[Base].[Importe]",
TDinamica_R!$A$5,
"[Calendario].[AñoMes]",
"[Calendario].[AñoMes].&amp;[" &amp; TEXT(P$6,"yyyymm") &amp; "]",
"[Base].[Metrica]",
"[Base].[Metrica].&amp;[" &amp; $A14 &amp; "]",
"[Base].[SEGMENTO_DESCRIP]",
"[Base].[SEGMENTO_DESCRIP].&amp;[" &amp; $C$6 &amp; "]",
"[Base].[SITUACION]",
"[Base].[SITUACION].&amp;[" &amp; $C14 &amp; "]"
),0)/1000</f>
        <v>39425.668799999999</v>
      </c>
      <c r="Q14" s="8">
        <f>IFERROR(
GETPIVOTDATA(
"[Base].[Importe]",
TDinamica_R!$A$5,
"[Calendario].[AñoMes]",
"[Calendario].[AñoMes].&amp;[" &amp; TEXT(Q$6,"yyyymm") &amp; "]",
"[Base].[Metrica]",
"[Base].[Metrica].&amp;[" &amp; $A14 &amp; "]",
"[Base].[SEGMENTO_DESCRIP]",
"[Base].[SEGMENTO_DESCRIP].&amp;[" &amp; $C$6 &amp; "]",
"[Base].[SITUACION]",
"[Base].[SITUACION].&amp;[" &amp; $C14 &amp; "]"
),0)/1000</f>
        <v>36915.884980000003</v>
      </c>
      <c r="R14" s="8">
        <f>IFERROR(
GETPIVOTDATA(
"[Base].[Importe]",
TDinamica_R!$A$5,
"[Calendario].[AñoMes]",
"[Calendario].[AñoMes].&amp;[" &amp; TEXT(R$6,"yyyymm") &amp; "]",
"[Base].[Metrica]",
"[Base].[Metrica].&amp;[" &amp; $A14 &amp; "]",
"[Base].[SEGMENTO_DESCRIP]",
"[Base].[SEGMENTO_DESCRIP].&amp;[" &amp; $C$6 &amp; "]",
"[Base].[SITUACION]",
"[Base].[SITUACION].&amp;[" &amp; $C14 &amp; "]"
),0)/1000</f>
        <v>35933.190940000008</v>
      </c>
      <c r="S14" s="8">
        <f>IFERROR(
GETPIVOTDATA(
"[Base].[Importe]",
TDinamica_R!$A$5,
"[Calendario].[AñoMes]",
"[Calendario].[AñoMes].&amp;[" &amp; TEXT(S$6,"yyyymm") &amp; "]",
"[Base].[Metrica]",
"[Base].[Metrica].&amp;[" &amp; $A14 &amp; "]",
"[Base].[SEGMENTO_DESCRIP]",
"[Base].[SEGMENTO_DESCRIP].&amp;[" &amp; $C$6 &amp; "]",
"[Base].[SITUACION]",
"[Base].[SITUACION].&amp;[" &amp; $C14 &amp; "]"
),0)/1000</f>
        <v>34605.407189999998</v>
      </c>
      <c r="T14" s="8">
        <f>IFERROR(
GETPIVOTDATA(
"[Base].[Importe]",
TDinamica_R!$A$5,
"[Calendario].[AñoMes]",
"[Calendario].[AñoMes].&amp;[" &amp; TEXT(T$6,"yyyymm") &amp; "]",
"[Base].[Metrica]",
"[Base].[Metrica].&amp;[" &amp; $A14 &amp; "]",
"[Base].[SEGMENTO_DESCRIP]",
"[Base].[SEGMENTO_DESCRIP].&amp;[" &amp; $C$6 &amp; "]",
"[Base].[SITUACION]",
"[Base].[SITUACION].&amp;[" &amp; $C14 &amp; "]"
),0)/1000</f>
        <v>33113.433360699994</v>
      </c>
      <c r="U14" s="8">
        <f>IFERROR(
GETPIVOTDATA(
"[Base].[Importe]",
TDinamica_R!$A$5,
"[Calendario].[AñoMes]",
"[Calendario].[AñoMes].&amp;[" &amp; TEXT(U$6,"yyyymm") &amp; "]",
"[Base].[Metrica]",
"[Base].[Metrica].&amp;[" &amp; $A14 &amp; "]",
"[Base].[SEGMENTO_DESCRIP]",
"[Base].[SEGMENTO_DESCRIP].&amp;[" &amp; $C$6 &amp; "]",
"[Base].[SITUACION]",
"[Base].[SITUACION].&amp;[" &amp; $C14 &amp; "]"
),0)/1000</f>
        <v>31995.879243269999</v>
      </c>
      <c r="V14" s="8">
        <f>IFERROR(
GETPIVOTDATA(
"[Base].[Importe]",
TDinamica_R!$A$5,
"[Calendario].[AñoMes]",
"[Calendario].[AñoMes].&amp;[" &amp; TEXT(V$6,"yyyymm") &amp; "]",
"[Base].[Metrica]",
"[Base].[Metrica].&amp;[" &amp; $A14 &amp; "]",
"[Base].[SEGMENTO_DESCRIP]",
"[Base].[SEGMENTO_DESCRIP].&amp;[" &amp; $C$6 &amp; "]",
"[Base].[SITUACION]",
"[Base].[SITUACION].&amp;[" &amp; $C14 &amp; "]"
),0)/1000</f>
        <v>30937.784372360002</v>
      </c>
      <c r="W14" s="8">
        <f>IFERROR(
GETPIVOTDATA(
"[Base].[Importe]",
TDinamica_R!$A$5,
"[Calendario].[AñoMes]",
"[Calendario].[AñoMes].&amp;[" &amp; TEXT(W$6,"yyyymm") &amp; "]",
"[Base].[Metrica]",
"[Base].[Metrica].&amp;[" &amp; $A14 &amp; "]",
"[Base].[SEGMENTO_DESCRIP]",
"[Base].[SEGMENTO_DESCRIP].&amp;[" &amp; $C$6 &amp; "]",
"[Base].[SITUACION]",
"[Base].[SITUACION].&amp;[" &amp; $C14 &amp; "]"
),0)/1000</f>
        <v>30073.41720245</v>
      </c>
      <c r="X14" s="8">
        <f>IFERROR(
GETPIVOTDATA(
"[Base].[Importe]",
TDinamica_R!$A$5,
"[Calendario].[AñoMes]",
"[Calendario].[AñoMes].&amp;[" &amp; TEXT(X$6,"yyyymm") &amp; "]",
"[Base].[Metrica]",
"[Base].[Metrica].&amp;[" &amp; $A14 &amp; "]",
"[Base].[SEGMENTO_DESCRIP]",
"[Base].[SEGMENTO_DESCRIP].&amp;[" &amp; $C$6 &amp; "]",
"[Base].[SITUACION]",
"[Base].[SITUACION].&amp;[" &amp; $C14 &amp; "]"
),0)/1000</f>
        <v>29854.418945080004</v>
      </c>
      <c r="Y14" s="8">
        <f>IFERROR(
GETPIVOTDATA(
"[Base].[Importe]",
TDinamica_R!$A$5,
"[Calendario].[AñoMes]",
"[Calendario].[AñoMes].&amp;[" &amp; TEXT(Y$6,"yyyymm") &amp; "]",
"[Base].[Metrica]",
"[Base].[Metrica].&amp;[" &amp; $A14 &amp; "]",
"[Base].[SEGMENTO_DESCRIP]",
"[Base].[SEGMENTO_DESCRIP].&amp;[" &amp; $C$6 &amp; "]",
"[Base].[SITUACION]",
"[Base].[SITUACION].&amp;[" &amp; $C14 &amp; "]"
),0)/1000</f>
        <v>29287.351499279997</v>
      </c>
      <c r="Z14" s="8">
        <f>IFERROR(
GETPIVOTDATA(
"[Base].[Importe]",
TDinamica_R!$A$5,
"[Calendario].[AñoMes]",
"[Calendario].[AñoMes].&amp;[" &amp; TEXT(Z$6,"yyyymm") &amp; "]",
"[Base].[Metrica]",
"[Base].[Metrica].&amp;[" &amp; $A14 &amp; "]",
"[Base].[SEGMENTO_DESCRIP]",
"[Base].[SEGMENTO_DESCRIP].&amp;[" &amp; $C$6 &amp; "]",
"[Base].[SITUACION]",
"[Base].[SITUACION].&amp;[" &amp; $C14 &amp; "]"
),0)/1000</f>
        <v>28284.725234099998</v>
      </c>
      <c r="AA14" s="8">
        <f>IFERROR(
GETPIVOTDATA(
"[Base].[Importe]",
TDinamica_R!$A$5,
"[Calendario].[AñoMes]",
"[Calendario].[AñoMes].&amp;[" &amp; TEXT(AA$6,"yyyymm") &amp; "]",
"[Base].[Metrica]",
"[Base].[Metrica].&amp;[" &amp; $A14 &amp; "]",
"[Base].[SEGMENTO_DESCRIP]",
"[Base].[SEGMENTO_DESCRIP].&amp;[" &amp; $C$6 &amp; "]",
"[Base].[SITUACION]",
"[Base].[SITUACION].&amp;[" &amp; $C14 &amp; "]"
),0)/1000</f>
        <v>26882.53350465</v>
      </c>
      <c r="AB14" s="8">
        <f>IFERROR(
GETPIVOTDATA(
"[Base].[Importe]",
TDinamica_R!$A$5,
"[Calendario].[AñoMes]",
"[Calendario].[AñoMes].&amp;[" &amp; TEXT(AB$6,"yyyymm") &amp; "]",
"[Base].[Metrica]",
"[Base].[Metrica].&amp;[" &amp; $A14 &amp; "]",
"[Base].[SEGMENTO_DESCRIP]",
"[Base].[SEGMENTO_DESCRIP].&amp;[" &amp; $C$6 &amp; "]",
"[Base].[SITUACION]",
"[Base].[SITUACION].&amp;[" &amp; $C14 &amp; "]"
),0)/1000</f>
        <v>25613.232310480005</v>
      </c>
      <c r="AC14" s="8">
        <f>IFERROR(
GETPIVOTDATA(
"[Base].[Importe]",
TDinamica_R!$A$5,
"[Calendario].[AñoMes]",
"[Calendario].[AñoMes].&amp;[" &amp; TEXT(AC$6,"yyyymm") &amp; "]",
"[Base].[Metrica]",
"[Base].[Metrica].&amp;[" &amp; $A14 &amp; "]",
"[Base].[SEGMENTO_DESCRIP]",
"[Base].[SEGMENTO_DESCRIP].&amp;[" &amp; $C$6 &amp; "]",
"[Base].[SITUACION]",
"[Base].[SITUACION].&amp;[" &amp; $C14 &amp; "]"
),0)/1000</f>
        <v>24657.530495000006</v>
      </c>
      <c r="AD14" s="8">
        <f>IFERROR(
GETPIVOTDATA(
"[Base].[Importe]",
TDinamica_R!$A$5,
"[Calendario].[AñoMes]",
"[Calendario].[AñoMes].&amp;[" &amp; TEXT(AD$6,"yyyymm") &amp; "]",
"[Base].[Metrica]",
"[Base].[Metrica].&amp;[" &amp; $A14 &amp; "]",
"[Base].[SEGMENTO_DESCRIP]",
"[Base].[SEGMENTO_DESCRIP].&amp;[" &amp; $C$6 &amp; "]",
"[Base].[SITUACION]",
"[Base].[SITUACION].&amp;[" &amp; $C14 &amp; "]"
),0)/1000</f>
        <v>23859.957703460001</v>
      </c>
      <c r="AE14" s="8">
        <f>IFERROR(
GETPIVOTDATA(
"[Base].[Importe]",
TDinamica_R!$A$5,
"[Calendario].[AñoMes]",
"[Calendario].[AñoMes].&amp;[" &amp; TEXT(AE$6,"yyyymm") &amp; "]",
"[Base].[Metrica]",
"[Base].[Metrica].&amp;[" &amp; $A14 &amp; "]",
"[Base].[SEGMENTO_DESCRIP]",
"[Base].[SEGMENTO_DESCRIP].&amp;[" &amp; $C$6 &amp; "]",
"[Base].[SITUACION]",
"[Base].[SITUACION].&amp;[" &amp; $C14 &amp; "]"
),0)/1000</f>
        <v>23497.227163799998</v>
      </c>
      <c r="AF14" s="8">
        <f>IFERROR(
GETPIVOTDATA(
"[Base].[Importe]",
TDinamica_R!$A$5,
"[Calendario].[AñoMes]",
"[Calendario].[AñoMes].&amp;[" &amp; TEXT(AF$6,"yyyymm") &amp; "]",
"[Base].[Metrica]",
"[Base].[Metrica].&amp;[" &amp; $A14 &amp; "]",
"[Base].[SEGMENTO_DESCRIP]",
"[Base].[SEGMENTO_DESCRIP].&amp;[" &amp; $C$6 &amp; "]",
"[Base].[SITUACION]",
"[Base].[SITUACION].&amp;[" &amp; $C14 &amp; "]"
),0)/1000</f>
        <v>23111.026059</v>
      </c>
      <c r="AG14" s="8">
        <f>IFERROR(
GETPIVOTDATA(
"[Base].[Importe]",
TDinamica_R!$A$5,
"[Calendario].[AñoMes]",
"[Calendario].[AñoMes].&amp;[" &amp; TEXT(AG$6,"yyyymm") &amp; "]",
"[Base].[Metrica]",
"[Base].[Metrica].&amp;[" &amp; $A14 &amp; "]",
"[Base].[SEGMENTO_DESCRIP]",
"[Base].[SEGMENTO_DESCRIP].&amp;[" &amp; $C$6 &amp; "]",
"[Base].[SITUACION]",
"[Base].[SITUACION].&amp;[" &amp; $C14 &amp; "]"
),0)/1000</f>
        <v>22703.71473276</v>
      </c>
      <c r="AH14" s="8">
        <f>IFERROR(
GETPIVOTDATA(
"[Base].[Importe]",
TDinamica_R!$A$5,
"[Calendario].[AñoMes]",
"[Calendario].[AñoMes].&amp;[" &amp; TEXT(AH$6,"yyyymm") &amp; "]",
"[Base].[Metrica]",
"[Base].[Metrica].&amp;[" &amp; $A14 &amp; "]",
"[Base].[SEGMENTO_DESCRIP]",
"[Base].[SEGMENTO_DESCRIP].&amp;[" &amp; $C$6 &amp; "]",
"[Base].[SITUACION]",
"[Base].[SITUACION].&amp;[" &amp; $C14 &amp; "]"
),0)/1000</f>
        <v>22384.510962140001</v>
      </c>
      <c r="AI14" s="8">
        <f>IFERROR(
GETPIVOTDATA(
"[Base].[Importe]",
TDinamica_R!$A$5,
"[Calendario].[AñoMes]",
"[Calendario].[AñoMes].&amp;[" &amp; TEXT(AI$6,"yyyymm") &amp; "]",
"[Base].[Metrica]",
"[Base].[Metrica].&amp;[" &amp; $A14 &amp; "]",
"[Base].[SEGMENTO_DESCRIP]",
"[Base].[SEGMENTO_DESCRIP].&amp;[" &amp; $C$6 &amp; "]",
"[Base].[SITUACION]",
"[Base].[SITUACION].&amp;[" &amp; $C14 &amp; "]"
),0)/1000</f>
        <v>22224.42798525</v>
      </c>
      <c r="AJ14" s="8">
        <f>IFERROR(
GETPIVOTDATA(
"[Base].[Importe]",
TDinamica_R!$A$5,
"[Calendario].[AñoMes]",
"[Calendario].[AñoMes].&amp;[" &amp; TEXT(AJ$6,"yyyymm") &amp; "]",
"[Base].[Metrica]",
"[Base].[Metrica].&amp;[" &amp; $A14 &amp; "]",
"[Base].[SEGMENTO_DESCRIP]",
"[Base].[SEGMENTO_DESCRIP].&amp;[" &amp; $C$6 &amp; "]",
"[Base].[SITUACION]",
"[Base].[SITUACION].&amp;[" &amp; $C14 &amp; "]"
),0)/1000</f>
        <v>21984.325761659999</v>
      </c>
      <c r="AK14" s="8">
        <f>IFERROR(
GETPIVOTDATA(
"[Base].[Importe]",
TDinamica_R!$A$5,
"[Calendario].[AñoMes]",
"[Calendario].[AñoMes].&amp;[" &amp; TEXT(AK$6,"yyyymm") &amp; "]",
"[Base].[Metrica]",
"[Base].[Metrica].&amp;[" &amp; $A14 &amp; "]",
"[Base].[SEGMENTO_DESCRIP]",
"[Base].[SEGMENTO_DESCRIP].&amp;[" &amp; $C$6 &amp; "]",
"[Base].[SITUACION]",
"[Base].[SITUACION].&amp;[" &amp; $C14 &amp; "]"
),0)/1000</f>
        <v>21658.772910719999</v>
      </c>
      <c r="AL14" s="8">
        <f>IFERROR(
GETPIVOTDATA(
"[Base].[Importe]",
TDinamica_R!$A$5,
"[Calendario].[AñoMes]",
"[Calendario].[AñoMes].&amp;[" &amp; TEXT(AL$6,"yyyymm") &amp; "]",
"[Base].[Metrica]",
"[Base].[Metrica].&amp;[" &amp; $A14 &amp; "]",
"[Base].[SEGMENTO_DESCRIP]",
"[Base].[SEGMENTO_DESCRIP].&amp;[" &amp; $C$6 &amp; "]",
"[Base].[SITUACION]",
"[Base].[SITUACION].&amp;[" &amp; $C14 &amp; "]"
),0)/1000</f>
        <v>21700.425299999999</v>
      </c>
      <c r="AM14" s="8">
        <f>IFERROR(
GETPIVOTDATA(
"[Base].[Importe]",
TDinamica_R!$A$5,
"[Calendario].[AñoMes]",
"[Calendario].[AñoMes].&amp;[" &amp; TEXT(AM$6,"yyyymm") &amp; "]",
"[Base].[Metrica]",
"[Base].[Metrica].&amp;[" &amp; $A14 &amp; "]",
"[Base].[SEGMENTO_DESCRIP]",
"[Base].[SEGMENTO_DESCRIP].&amp;[" &amp; $C$6 &amp; "]",
"[Base].[SITUACION]",
"[Base].[SITUACION].&amp;[" &amp; $C14 &amp; "]"
),0)/1000</f>
        <v>22584.568374820003</v>
      </c>
      <c r="AN14" s="8">
        <f>IFERROR(
GETPIVOTDATA(
"[Base].[Importe]",
TDinamica_R!$A$5,
"[Calendario].[AñoMes]",
"[Calendario].[AñoMes].&amp;[" &amp; TEXT(AN$6,"yyyymm") &amp; "]",
"[Base].[Metrica]",
"[Base].[Metrica].&amp;[" &amp; $A14 &amp; "]",
"[Base].[SEGMENTO_DESCRIP]",
"[Base].[SEGMENTO_DESCRIP].&amp;[" &amp; $C$6 &amp; "]",
"[Base].[SITUACION]",
"[Base].[SITUACION].&amp;[" &amp; $C14 &amp; "]"
),0)/1000</f>
        <v>24245.41</v>
      </c>
      <c r="AO14" s="8">
        <f>IFERROR(
GETPIVOTDATA(
"[Base].[Importe]",
TDinamica_R!$A$5,
"[Calendario].[AñoMes]",
"[Calendario].[AñoMes].&amp;[" &amp; TEXT(AO$6,"yyyymm") &amp; "]",
"[Base].[Metrica]",
"[Base].[Metrica].&amp;[" &amp; $A14 &amp; "]",
"[Base].[SEGMENTO_DESCRIP]",
"[Base].[SEGMENTO_DESCRIP].&amp;[" &amp; $C$6 &amp; "]",
"[Base].[SITUACION]",
"[Base].[SITUACION].&amp;[" &amp; $C14 &amp; "]"
),0)/1000</f>
        <v>27435.040000000001</v>
      </c>
      <c r="AP14" s="8">
        <f>IFERROR(
GETPIVOTDATA(
"[Base].[Importe]",
TDinamica_R!$A$5,
"[Calendario].[AñoMes]",
"[Calendario].[AñoMes].&amp;[" &amp; TEXT(AP$6,"yyyymm") &amp; "]",
"[Base].[Metrica]",
"[Base].[Metrica].&amp;[" &amp; $A14 &amp; "]",
"[Base].[SEGMENTO_DESCRIP]",
"[Base].[SEGMENTO_DESCRIP].&amp;[" &amp; $C$6 &amp; "]",
"[Base].[SITUACION]",
"[Base].[SITUACION].&amp;[" &amp; $C14 &amp; "]"
),0)/1000</f>
        <v>30457.37</v>
      </c>
      <c r="AQ14" s="8">
        <f>IFERROR(
GETPIVOTDATA(
"[Base].[Importe]",
TDinamica_R!$A$5,
"[Calendario].[AñoMes]",
"[Calendario].[AñoMes].&amp;[" &amp; TEXT(AQ$6,"yyyymm") &amp; "]",
"[Base].[Metrica]",
"[Base].[Metrica].&amp;[" &amp; $A14 &amp; "]",
"[Base].[SEGMENTO_DESCRIP]",
"[Base].[SEGMENTO_DESCRIP].&amp;[" &amp; $C$6 &amp; "]",
"[Base].[SITUACION]",
"[Base].[SITUACION].&amp;[" &amp; $C14 &amp; "]"
),0)/1000</f>
        <v>33486.529986560003</v>
      </c>
      <c r="AR14" s="8">
        <f>IFERROR(
GETPIVOTDATA(
"[Base].[Importe]",
TDinamica_R!$A$5,
"[Calendario].[AñoMes]",
"[Calendario].[AñoMes].&amp;[" &amp; TEXT(AR$6,"yyyymm") &amp; "]",
"[Base].[Metrica]",
"[Base].[Metrica].&amp;[" &amp; $A14 &amp; "]",
"[Base].[SEGMENTO_DESCRIP]",
"[Base].[SEGMENTO_DESCRIP].&amp;[" &amp; $C$6 &amp; "]",
"[Base].[SITUACION]",
"[Base].[SITUACION].&amp;[" &amp; $C14 &amp; "]"
),0)/1000</f>
        <v>37336.204143650008</v>
      </c>
      <c r="AS14" s="8">
        <f>IFERROR(
GETPIVOTDATA(
"[Base].[Importe]",
TDinamica_R!$A$5,
"[Calendario].[AñoMes]",
"[Calendario].[AñoMes].&amp;[" &amp; TEXT(AS$6,"yyyymm") &amp; "]",
"[Base].[Metrica]",
"[Base].[Metrica].&amp;[" &amp; $A14 &amp; "]",
"[Base].[SEGMENTO_DESCRIP]",
"[Base].[SEGMENTO_DESCRIP].&amp;[" &amp; $C$6 &amp; "]",
"[Base].[SITUACION]",
"[Base].[SITUACION].&amp;[" &amp; $C14 &amp; "]"
),0)/1000</f>
        <v>40925.243026550008</v>
      </c>
      <c r="AT14" s="8">
        <f>IFERROR(
GETPIVOTDATA(
"[Base].[Importe]",
TDinamica_R!$A$5,
"[Calendario].[AñoMes]",
"[Calendario].[AñoMes].&amp;[" &amp; TEXT(AT$6,"yyyymm")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U14" s="8">
        <f>IFERROR(
GETPIVOTDATA(
"[Base].[Importe]",
TDinamica_R!$A$5,
"[Calendario].[AñoMes]",
"[Calendario].[AñoMes].&amp;[" &amp; TEXT(AU$6,"yyyymm")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V14" s="8">
        <f>IFERROR(
GETPIVOTDATA(
"[Base].[Importe]",
TDinamica_R!$A$5,
"[Calendario].[AñoMes]",
"[Calendario].[AñoMes].&amp;[" &amp; TEXT(AV$6,"yyyymm")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W14" s="8">
        <f>IFERROR(
GETPIVOTDATA(
"[Base].[Importe]",
TDinamica_R!$A$5,
"[Calendario].[AñoMes]",
"[Calendario].[AñoMes].&amp;[" &amp; TEXT(AW$6,"yyyymm")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X14" s="8">
        <f>IFERROR(
GETPIVOTDATA(
"[Base].[Importe]",
TDinamica_R!$A$5,
"[Calendario].[AñoMes]",
"[Calendario].[AñoMes].&amp;[" &amp; TEXT(AX$6,"yyyymm")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Y14" s="8">
        <f>IFERROR(
GETPIVOTDATA(
"[Base].[Importe]",
TDinamica_R!$A$5,
"[Calendario].[AñoMes]",
"[Calendario].[AñoMes].&amp;[" &amp; TEXT(AY$6,"yyyymm")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Z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TEXT(AZ$6,"yyyymm") &amp; "]"
),
0
)</f>
        <v>20176.136393029094</v>
      </c>
      <c r="BA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TEXT(BA$6,"yyyymm") &amp; "]"
),
0
)</f>
        <v>19811.110042646978</v>
      </c>
      <c r="BB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TEXT(BB$6,"yyyymm") &amp; "]"
),
0
)</f>
        <v>19459.654478990597</v>
      </c>
      <c r="BC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TEXT(BC$6,"yyyymm") &amp; "]"
),
0
)</f>
        <v>19144.984445668277</v>
      </c>
      <c r="BD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TEXT(BD$6,"yyyymm") &amp; "]"
),
0
)</f>
        <v>18966.758072137327</v>
      </c>
      <c r="BE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TEXT(BE$6,"yyyymm") &amp; "]"
),
0
)</f>
        <v>18763.291504984616</v>
      </c>
      <c r="BF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TEXT(BF$6,"yyyymm") &amp; "]"
),
0
)</f>
        <v>18533.698249836336</v>
      </c>
      <c r="BG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TEXT(BG$6,"yyyymm") &amp; "]"
),
0
)</f>
        <v>18363.812360861688</v>
      </c>
      <c r="BH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TEXT(BH$6,"yyyymm") &amp; "]"
),
0
)</f>
        <v>18248.174218678858</v>
      </c>
      <c r="BI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TEXT(BI$6,"yyyymm") &amp; "]"
),
0
)</f>
        <v>18200.673415724919</v>
      </c>
      <c r="BJ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TEXT(BJ$6,"yyyymm") &amp; "]"
),
0
)</f>
        <v>18135.203724813182</v>
      </c>
      <c r="BK14" s="8">
        <f>IFERROR(
GETPIVOTDATA(
"[Base_PPE].[Importe]",
TDinamica_P!$A$4,
"[Base_PPE].[Metrica]",
"[Base_PPE].[Metrica].&amp;[" &amp; TRIM($A14) &amp; "]",
"[Base_PPE].[SITUACION]",
"[Base_PPE].[SITUACION].&amp;[" &amp; TRIM($C14) &amp; "]",
"[Base_PPE].[SEGMENTO_DESCRIP]",
"[Base_PPE].[SEGMENTO_DESCRIP].&amp;[" &amp; TRIM($C$6) &amp; "]",
"[Base_PPE].[Periodo]",
"[Base_PPE].[Periodo].&amp;[" &amp; TEXT(BK$6,"yyyymm") &amp; "]"
),
0
)</f>
        <v>18046.572993295584</v>
      </c>
      <c r="BO14" s="24">
        <f t="shared" ref="BO14:BT16" si="11">IFERROR(AVERAGEIFS($D14:$BM14,$D$6:$BM$6,"&gt;="&amp;BO$2,$D$6:$BM$6,"&lt;="&amp;BO$6,$D$5:$BM$5,BO$5,$D14:$BM14,"&lt;&gt;0"),0)</f>
        <v>27379.273333333331</v>
      </c>
      <c r="BP14" s="24">
        <f t="shared" si="11"/>
        <v>19815.633638222225</v>
      </c>
      <c r="BQ14" s="24">
        <f t="shared" si="11"/>
        <v>25840.224999999999</v>
      </c>
      <c r="BR14" s="24">
        <f t="shared" si="11"/>
        <v>24710.240169646673</v>
      </c>
      <c r="BS14" s="24">
        <f t="shared" si="11"/>
        <v>37424.914906666672</v>
      </c>
      <c r="BT14" s="24">
        <f t="shared" si="11"/>
        <v>46720.508085593327</v>
      </c>
      <c r="BW14" s="24">
        <f t="shared" ref="BW14:CB16" si="12">SUMIFS($D14:$BM14,$D$6:$BM$6,"&gt;="&amp;BO$2,$D$6:$BM$6,"&lt;="&amp;BO$6,$D$5:$BM$5,BO$5)</f>
        <v>82137.819999999992</v>
      </c>
      <c r="BX14" s="24">
        <f t="shared" si="12"/>
        <v>59446.900914666672</v>
      </c>
      <c r="BY14" s="24">
        <f t="shared" si="12"/>
        <v>51680.45</v>
      </c>
      <c r="BZ14" s="24">
        <f t="shared" si="12"/>
        <v>74130.720508940023</v>
      </c>
      <c r="CA14" s="24">
        <f t="shared" si="12"/>
        <v>112274.74472000002</v>
      </c>
      <c r="CB14" s="24">
        <f t="shared" si="12"/>
        <v>140161.52425677999</v>
      </c>
    </row>
    <row r="15" spans="1:81" hidden="1" outlineLevel="1" x14ac:dyDescent="0.25">
      <c r="A15" s="11" t="s">
        <v>52</v>
      </c>
      <c r="C15" s="2" t="s">
        <v>1</v>
      </c>
      <c r="D15" s="8">
        <f>IFERROR(
GETPIVOTDATA(
"[Base].[Importe]",
TDinamica_R!$A$5,
"[Calendario].[AñoMes]",
"[Calendario].[AñoMes].&amp;[" &amp; TEXT(D$6,"yyyymm") &amp; "]",
"[Base].[Metrica]",
"[Base].[Metrica].&amp;[" &amp; $A15 &amp; "]",
"[Base].[SEGMENTO_DESCRIP]",
"[Base].[SEGMENTO_DESCRIP].&amp;[" &amp; $C$6 &amp; "]",
"[Base].[SITUACION]",
"[Base].[SITUACION].&amp;[" &amp; $C15 &amp; "]"
),0)/1000</f>
        <v>332.19622999999996</v>
      </c>
      <c r="E15" s="8">
        <f>IFERROR(
GETPIVOTDATA(
"[Base].[Importe]",
TDinamica_R!$A$5,
"[Calendario].[AñoMes]",
"[Calendario].[AñoMes].&amp;[" &amp; TEXT(E$6,"yyyymm") &amp; "]",
"[Base].[Metrica]",
"[Base].[Metrica].&amp;[" &amp; $A15 &amp; "]",
"[Base].[SEGMENTO_DESCRIP]",
"[Base].[SEGMENTO_DESCRIP].&amp;[" &amp; $C$6 &amp; "]",
"[Base].[SITUACION]",
"[Base].[SITUACION].&amp;[" &amp; $C15 &amp; "]"
),0)/1000</f>
        <v>376.92615999999998</v>
      </c>
      <c r="F15" s="8">
        <f>IFERROR(
GETPIVOTDATA(
"[Base].[Importe]",
TDinamica_R!$A$5,
"[Calendario].[AñoMes]",
"[Calendario].[AñoMes].&amp;[" &amp; TEXT(F$6,"yyyymm") &amp; "]",
"[Base].[Metrica]",
"[Base].[Metrica].&amp;[" &amp; $A15 &amp; "]",
"[Base].[SEGMENTO_DESCRIP]",
"[Base].[SEGMENTO_DESCRIP].&amp;[" &amp; $C$6 &amp; "]",
"[Base].[SITUACION]",
"[Base].[SITUACION].&amp;[" &amp; $C15 &amp; "]"
),0)/1000</f>
        <v>397.79960999999997</v>
      </c>
      <c r="G15" s="8">
        <f>IFERROR(
GETPIVOTDATA(
"[Base].[Importe]",
TDinamica_R!$A$5,
"[Calendario].[AñoMes]",
"[Calendario].[AñoMes].&amp;[" &amp; TEXT(G$6,"yyyymm") &amp; "]",
"[Base].[Metrica]",
"[Base].[Metrica].&amp;[" &amp; $A15 &amp; "]",
"[Base].[SEGMENTO_DESCRIP]",
"[Base].[SEGMENTO_DESCRIP].&amp;[" &amp; $C$6 &amp; "]",
"[Base].[SITUACION]",
"[Base].[SITUACION].&amp;[" &amp; $C15 &amp; "]"
),0)/1000</f>
        <v>459.60378000000003</v>
      </c>
      <c r="H15" s="8">
        <f>IFERROR(
GETPIVOTDATA(
"[Base].[Importe]",
TDinamica_R!$A$5,
"[Calendario].[AñoMes]",
"[Calendario].[AñoMes].&amp;[" &amp; TEXT(H$6,"yyyymm") &amp; "]",
"[Base].[Metrica]",
"[Base].[Metrica].&amp;[" &amp; $A15 &amp; "]",
"[Base].[SEGMENTO_DESCRIP]",
"[Base].[SEGMENTO_DESCRIP].&amp;[" &amp; $C$6 &amp; "]",
"[Base].[SITUACION]",
"[Base].[SITUACION].&amp;[" &amp; $C15 &amp; "]"
),0)/1000</f>
        <v>475.69824999999997</v>
      </c>
      <c r="I15" s="8">
        <f>IFERROR(
GETPIVOTDATA(
"[Base].[Importe]",
TDinamica_R!$A$5,
"[Calendario].[AñoMes]",
"[Calendario].[AñoMes].&amp;[" &amp; TEXT(I$6,"yyyymm") &amp; "]",
"[Base].[Metrica]",
"[Base].[Metrica].&amp;[" &amp; $A15 &amp; "]",
"[Base].[SEGMENTO_DESCRIP]",
"[Base].[SEGMENTO_DESCRIP].&amp;[" &amp; $C$6 &amp; "]",
"[Base].[SITUACION]",
"[Base].[SITUACION].&amp;[" &amp; $C15 &amp; "]"
),0)/1000</f>
        <v>425.98764</v>
      </c>
      <c r="J15" s="8">
        <f>IFERROR(
GETPIVOTDATA(
"[Base].[Importe]",
TDinamica_R!$A$5,
"[Calendario].[AñoMes]",
"[Calendario].[AñoMes].&amp;[" &amp; TEXT(J$6,"yyyymm") &amp; "]",
"[Base].[Metrica]",
"[Base].[Metrica].&amp;[" &amp; $A15 &amp; "]",
"[Base].[SEGMENTO_DESCRIP]",
"[Base].[SEGMENTO_DESCRIP].&amp;[" &amp; $C$6 &amp; "]",
"[Base].[SITUACION]",
"[Base].[SITUACION].&amp;[" &amp; $C15 &amp; "]"
),0)/1000</f>
        <v>406.76107000000002</v>
      </c>
      <c r="K15" s="8">
        <f>IFERROR(
GETPIVOTDATA(
"[Base].[Importe]",
TDinamica_R!$A$5,
"[Calendario].[AñoMes]",
"[Calendario].[AñoMes].&amp;[" &amp; TEXT(K$6,"yyyymm") &amp; "]",
"[Base].[Metrica]",
"[Base].[Metrica].&amp;[" &amp; $A15 &amp; "]",
"[Base].[SEGMENTO_DESCRIP]",
"[Base].[SEGMENTO_DESCRIP].&amp;[" &amp; $C$6 &amp; "]",
"[Base].[SITUACION]",
"[Base].[SITUACION].&amp;[" &amp; $C15 &amp; "]"
),0)/1000</f>
        <v>375.39204999999998</v>
      </c>
      <c r="L15" s="8">
        <f>IFERROR(
GETPIVOTDATA(
"[Base].[Importe]",
TDinamica_R!$A$5,
"[Calendario].[AñoMes]",
"[Calendario].[AñoMes].&amp;[" &amp; TEXT(L$6,"yyyymm") &amp; "]",
"[Base].[Metrica]",
"[Base].[Metrica].&amp;[" &amp; $A15 &amp; "]",
"[Base].[SEGMENTO_DESCRIP]",
"[Base].[SEGMENTO_DESCRIP].&amp;[" &amp; $C$6 &amp; "]",
"[Base].[SITUACION]",
"[Base].[SITUACION].&amp;[" &amp; $C15 &amp; "]"
),0)/1000</f>
        <v>333.25210999999996</v>
      </c>
      <c r="M15" s="8">
        <f>IFERROR(
GETPIVOTDATA(
"[Base].[Importe]",
TDinamica_R!$A$5,
"[Calendario].[AñoMes]",
"[Calendario].[AñoMes].&amp;[" &amp; TEXT(M$6,"yyyymm") &amp; "]",
"[Base].[Metrica]",
"[Base].[Metrica].&amp;[" &amp; $A15 &amp; "]",
"[Base].[SEGMENTO_DESCRIP]",
"[Base].[SEGMENTO_DESCRIP].&amp;[" &amp; $C$6 &amp; "]",
"[Base].[SITUACION]",
"[Base].[SITUACION].&amp;[" &amp; $C15 &amp; "]"
),0)/1000</f>
        <v>289.02364</v>
      </c>
      <c r="N15" s="8">
        <f>IFERROR(
GETPIVOTDATA(
"[Base].[Importe]",
TDinamica_R!$A$5,
"[Calendario].[AñoMes]",
"[Calendario].[AñoMes].&amp;[" &amp; TEXT(N$6,"yyyymm") &amp; "]",
"[Base].[Metrica]",
"[Base].[Metrica].&amp;[" &amp; $A15 &amp; "]",
"[Base].[SEGMENTO_DESCRIP]",
"[Base].[SEGMENTO_DESCRIP].&amp;[" &amp; $C$6 &amp; "]",
"[Base].[SITUACION]",
"[Base].[SITUACION].&amp;[" &amp; $C15 &amp; "]"
),0)/1000</f>
        <v>237.79321999999999</v>
      </c>
      <c r="O15" s="8">
        <f>IFERROR(
GETPIVOTDATA(
"[Base].[Importe]",
TDinamica_R!$A$5,
"[Calendario].[AñoMes]",
"[Calendario].[AñoMes].&amp;[" &amp; TEXT(O$6,"yyyymm") &amp; "]",
"[Base].[Metrica]",
"[Base].[Metrica].&amp;[" &amp; $A15 &amp; "]",
"[Base].[SEGMENTO_DESCRIP]",
"[Base].[SEGMENTO_DESCRIP].&amp;[" &amp; $C$6 &amp; "]",
"[Base].[SITUACION]",
"[Base].[SITUACION].&amp;[" &amp; $C15 &amp; "]"
),0)/1000</f>
        <v>200.45267000000001</v>
      </c>
      <c r="P15" s="8">
        <f>IFERROR(
GETPIVOTDATA(
"[Base].[Importe]",
TDinamica_R!$A$5,
"[Calendario].[AñoMes]",
"[Calendario].[AñoMes].&amp;[" &amp; TEXT(P$6,"yyyymm") &amp; "]",
"[Base].[Metrica]",
"[Base].[Metrica].&amp;[" &amp; $A15 &amp; "]",
"[Base].[SEGMENTO_DESCRIP]",
"[Base].[SEGMENTO_DESCRIP].&amp;[" &amp; $C$6 &amp; "]",
"[Base].[SITUACION]",
"[Base].[SITUACION].&amp;[" &amp; $C15 &amp; "]"
),0)/1000</f>
        <v>168.90866</v>
      </c>
      <c r="Q15" s="8">
        <f>IFERROR(
GETPIVOTDATA(
"[Base].[Importe]",
TDinamica_R!$A$5,
"[Calendario].[AñoMes]",
"[Calendario].[AñoMes].&amp;[" &amp; TEXT(Q$6,"yyyymm") &amp; "]",
"[Base].[Metrica]",
"[Base].[Metrica].&amp;[" &amp; $A15 &amp; "]",
"[Base].[SEGMENTO_DESCRIP]",
"[Base].[SEGMENTO_DESCRIP].&amp;[" &amp; $C$6 &amp; "]",
"[Base].[SITUACION]",
"[Base].[SITUACION].&amp;[" &amp; $C15 &amp; "]"
),0)/1000</f>
        <v>142.82723000000001</v>
      </c>
      <c r="R15" s="8">
        <f>IFERROR(
GETPIVOTDATA(
"[Base].[Importe]",
TDinamica_R!$A$5,
"[Calendario].[AñoMes]",
"[Calendario].[AñoMes].&amp;[" &amp; TEXT(R$6,"yyyymm") &amp; "]",
"[Base].[Metrica]",
"[Base].[Metrica].&amp;[" &amp; $A15 &amp; "]",
"[Base].[SEGMENTO_DESCRIP]",
"[Base].[SEGMENTO_DESCRIP].&amp;[" &amp; $C$6 &amp; "]",
"[Base].[SITUACION]",
"[Base].[SITUACION].&amp;[" &amp; $C15 &amp; "]"
),0)/1000</f>
        <v>129.82297</v>
      </c>
      <c r="S15" s="8">
        <f>IFERROR(
GETPIVOTDATA(
"[Base].[Importe]",
TDinamica_R!$A$5,
"[Calendario].[AñoMes]",
"[Calendario].[AñoMes].&amp;[" &amp; TEXT(S$6,"yyyymm") &amp; "]",
"[Base].[Metrica]",
"[Base].[Metrica].&amp;[" &amp; $A15 &amp; "]",
"[Base].[SEGMENTO_DESCRIP]",
"[Base].[SEGMENTO_DESCRIP].&amp;[" &amp; $C$6 &amp; "]",
"[Base].[SITUACION]",
"[Base].[SITUACION].&amp;[" &amp; $C15 &amp; "]"
),0)/1000</f>
        <v>189.92954</v>
      </c>
      <c r="T15" s="8">
        <f>IFERROR(
GETPIVOTDATA(
"[Base].[Importe]",
TDinamica_R!$A$5,
"[Calendario].[AñoMes]",
"[Calendario].[AñoMes].&amp;[" &amp; TEXT(T$6,"yyyymm") &amp; "]",
"[Base].[Metrica]",
"[Base].[Metrica].&amp;[" &amp; $A15 &amp; "]",
"[Base].[SEGMENTO_DESCRIP]",
"[Base].[SEGMENTO_DESCRIP].&amp;[" &amp; $C$6 &amp; "]",
"[Base].[SITUACION]",
"[Base].[SITUACION].&amp;[" &amp; $C15 &amp; "]"
),0)/1000</f>
        <v>372.93099999999998</v>
      </c>
      <c r="U15" s="8">
        <f>IFERROR(
GETPIVOTDATA(
"[Base].[Importe]",
TDinamica_R!$A$5,
"[Calendario].[AñoMes]",
"[Calendario].[AñoMes].&amp;[" &amp; TEXT(U$6,"yyyymm") &amp; "]",
"[Base].[Metrica]",
"[Base].[Metrica].&amp;[" &amp; $A15 &amp; "]",
"[Base].[SEGMENTO_DESCRIP]",
"[Base].[SEGMENTO_DESCRIP].&amp;[" &amp; $C$6 &amp; "]",
"[Base].[SITUACION]",
"[Base].[SITUACION].&amp;[" &amp; $C15 &amp; "]"
),0)/1000</f>
        <v>601.8983199999999</v>
      </c>
      <c r="V15" s="8">
        <f>IFERROR(
GETPIVOTDATA(
"[Base].[Importe]",
TDinamica_R!$A$5,
"[Calendario].[AñoMes]",
"[Calendario].[AñoMes].&amp;[" &amp; TEXT(V$6,"yyyymm") &amp; "]",
"[Base].[Metrica]",
"[Base].[Metrica].&amp;[" &amp; $A15 &amp; "]",
"[Base].[SEGMENTO_DESCRIP]",
"[Base].[SEGMENTO_DESCRIP].&amp;[" &amp; $C$6 &amp; "]",
"[Base].[SITUACION]",
"[Base].[SITUACION].&amp;[" &amp; $C15 &amp; "]"
),0)/1000</f>
        <v>694.41935000000001</v>
      </c>
      <c r="W15" s="8">
        <f>IFERROR(
GETPIVOTDATA(
"[Base].[Importe]",
TDinamica_R!$A$5,
"[Calendario].[AñoMes]",
"[Calendario].[AñoMes].&amp;[" &amp; TEXT(W$6,"yyyymm") &amp; "]",
"[Base].[Metrica]",
"[Base].[Metrica].&amp;[" &amp; $A15 &amp; "]",
"[Base].[SEGMENTO_DESCRIP]",
"[Base].[SEGMENTO_DESCRIP].&amp;[" &amp; $C$6 &amp; "]",
"[Base].[SITUACION]",
"[Base].[SITUACION].&amp;[" &amp; $C15 &amp; "]"
),0)/1000</f>
        <v>632.62643999999989</v>
      </c>
      <c r="X15" s="8">
        <f>IFERROR(
GETPIVOTDATA(
"[Base].[Importe]",
TDinamica_R!$A$5,
"[Calendario].[AñoMes]",
"[Calendario].[AñoMes].&amp;[" &amp; TEXT(X$6,"yyyymm") &amp; "]",
"[Base].[Metrica]",
"[Base].[Metrica].&amp;[" &amp; $A15 &amp; "]",
"[Base].[SEGMENTO_DESCRIP]",
"[Base].[SEGMENTO_DESCRIP].&amp;[" &amp; $C$6 &amp; "]",
"[Base].[SITUACION]",
"[Base].[SITUACION].&amp;[" &amp; $C15 &amp; "]"
),0)/1000</f>
        <v>691.07060000000001</v>
      </c>
      <c r="Y15" s="8">
        <f>IFERROR(
GETPIVOTDATA(
"[Base].[Importe]",
TDinamica_R!$A$5,
"[Calendario].[AñoMes]",
"[Calendario].[AñoMes].&amp;[" &amp; TEXT(Y$6,"yyyymm") &amp; "]",
"[Base].[Metrica]",
"[Base].[Metrica].&amp;[" &amp; $A15 &amp; "]",
"[Base].[SEGMENTO_DESCRIP]",
"[Base].[SEGMENTO_DESCRIP].&amp;[" &amp; $C$6 &amp; "]",
"[Base].[SITUACION]",
"[Base].[SITUACION].&amp;[" &amp; $C15 &amp; "]"
),0)/1000</f>
        <v>638.28485000000001</v>
      </c>
      <c r="Z15" s="8">
        <f>IFERROR(
GETPIVOTDATA(
"[Base].[Importe]",
TDinamica_R!$A$5,
"[Calendario].[AñoMes]",
"[Calendario].[AñoMes].&amp;[" &amp; TEXT(Z$6,"yyyymm") &amp; "]",
"[Base].[Metrica]",
"[Base].[Metrica].&amp;[" &amp; $A15 &amp; "]",
"[Base].[SEGMENTO_DESCRIP]",
"[Base].[SEGMENTO_DESCRIP].&amp;[" &amp; $C$6 &amp; "]",
"[Base].[SITUACION]",
"[Base].[SITUACION].&amp;[" &amp; $C15 &amp; "]"
),0)/1000</f>
        <v>656.56709000000001</v>
      </c>
      <c r="AA15" s="8">
        <f>IFERROR(
GETPIVOTDATA(
"[Base].[Importe]",
TDinamica_R!$A$5,
"[Calendario].[AñoMes]",
"[Calendario].[AñoMes].&amp;[" &amp; TEXT(AA$6,"yyyymm") &amp; "]",
"[Base].[Metrica]",
"[Base].[Metrica].&amp;[" &amp; $A15 &amp; "]",
"[Base].[SEGMENTO_DESCRIP]",
"[Base].[SEGMENTO_DESCRIP].&amp;[" &amp; $C$6 &amp; "]",
"[Base].[SITUACION]",
"[Base].[SITUACION].&amp;[" &amp; $C15 &amp; "]"
),0)/1000</f>
        <v>716.94268999999997</v>
      </c>
      <c r="AB15" s="8">
        <f>IFERROR(
GETPIVOTDATA(
"[Base].[Importe]",
TDinamica_R!$A$5,
"[Calendario].[AñoMes]",
"[Calendario].[AñoMes].&amp;[" &amp; TEXT(AB$6,"yyyymm") &amp; "]",
"[Base].[Metrica]",
"[Base].[Metrica].&amp;[" &amp; $A15 &amp; "]",
"[Base].[SEGMENTO_DESCRIP]",
"[Base].[SEGMENTO_DESCRIP].&amp;[" &amp; $C$6 &amp; "]",
"[Base].[SITUACION]",
"[Base].[SITUACION].&amp;[" &amp; $C15 &amp; "]"
),0)/1000</f>
        <v>755.62596999999994</v>
      </c>
      <c r="AC15" s="8">
        <f>IFERROR(
GETPIVOTDATA(
"[Base].[Importe]",
TDinamica_R!$A$5,
"[Calendario].[AñoMes]",
"[Calendario].[AñoMes].&amp;[" &amp; TEXT(AC$6,"yyyymm") &amp; "]",
"[Base].[Metrica]",
"[Base].[Metrica].&amp;[" &amp; $A15 &amp; "]",
"[Base].[SEGMENTO_DESCRIP]",
"[Base].[SEGMENTO_DESCRIP].&amp;[" &amp; $C$6 &amp; "]",
"[Base].[SITUACION]",
"[Base].[SITUACION].&amp;[" &amp; $C15 &amp; "]"
),0)/1000</f>
        <v>755.73496</v>
      </c>
      <c r="AD15" s="8">
        <f>IFERROR(
GETPIVOTDATA(
"[Base].[Importe]",
TDinamica_R!$A$5,
"[Calendario].[AñoMes]",
"[Calendario].[AñoMes].&amp;[" &amp; TEXT(AD$6,"yyyymm") &amp; "]",
"[Base].[Metrica]",
"[Base].[Metrica].&amp;[" &amp; $A15 &amp; "]",
"[Base].[SEGMENTO_DESCRIP]",
"[Base].[SEGMENTO_DESCRIP].&amp;[" &amp; $C$6 &amp; "]",
"[Base].[SITUACION]",
"[Base].[SITUACION].&amp;[" &amp; $C15 &amp; "]"
),0)/1000</f>
        <v>744.93901000000005</v>
      </c>
      <c r="AE15" s="8">
        <f>IFERROR(
GETPIVOTDATA(
"[Base].[Importe]",
TDinamica_R!$A$5,
"[Calendario].[AñoMes]",
"[Calendario].[AñoMes].&amp;[" &amp; TEXT(AE$6,"yyyymm") &amp; "]",
"[Base].[Metrica]",
"[Base].[Metrica].&amp;[" &amp; $A15 &amp; "]",
"[Base].[SEGMENTO_DESCRIP]",
"[Base].[SEGMENTO_DESCRIP].&amp;[" &amp; $C$6 &amp; "]",
"[Base].[SITUACION]",
"[Base].[SITUACION].&amp;[" &amp; $C15 &amp; "]"
),0)/1000</f>
        <v>728.59580000000005</v>
      </c>
      <c r="AF15" s="8">
        <f>IFERROR(
GETPIVOTDATA(
"[Base].[Importe]",
TDinamica_R!$A$5,
"[Calendario].[AñoMes]",
"[Calendario].[AñoMes].&amp;[" &amp; TEXT(AF$6,"yyyymm") &amp; "]",
"[Base].[Metrica]",
"[Base].[Metrica].&amp;[" &amp; $A15 &amp; "]",
"[Base].[SEGMENTO_DESCRIP]",
"[Base].[SEGMENTO_DESCRIP].&amp;[" &amp; $C$6 &amp; "]",
"[Base].[SITUACION]",
"[Base].[SITUACION].&amp;[" &amp; $C15 &amp; "]"
),0)/1000</f>
        <v>695.32581000000005</v>
      </c>
      <c r="AG15" s="8">
        <f>IFERROR(
GETPIVOTDATA(
"[Base].[Importe]",
TDinamica_R!$A$5,
"[Calendario].[AñoMes]",
"[Calendario].[AñoMes].&amp;[" &amp; TEXT(AG$6,"yyyymm") &amp; "]",
"[Base].[Metrica]",
"[Base].[Metrica].&amp;[" &amp; $A15 &amp; "]",
"[Base].[SEGMENTO_DESCRIP]",
"[Base].[SEGMENTO_DESCRIP].&amp;[" &amp; $C$6 &amp; "]",
"[Base].[SITUACION]",
"[Base].[SITUACION].&amp;[" &amp; $C15 &amp; "]"
),0)/1000</f>
        <v>637.40972999999997</v>
      </c>
      <c r="AH15" s="8">
        <f>IFERROR(
GETPIVOTDATA(
"[Base].[Importe]",
TDinamica_R!$A$5,
"[Calendario].[AñoMes]",
"[Calendario].[AñoMes].&amp;[" &amp; TEXT(AH$6,"yyyymm") &amp; "]",
"[Base].[Metrica]",
"[Base].[Metrica].&amp;[" &amp; $A15 &amp; "]",
"[Base].[SEGMENTO_DESCRIP]",
"[Base].[SEGMENTO_DESCRIP].&amp;[" &amp; $C$6 &amp; "]",
"[Base].[SITUACION]",
"[Base].[SITUACION].&amp;[" &amp; $C15 &amp; "]"
),0)/1000</f>
        <v>604.64207999999996</v>
      </c>
      <c r="AI15" s="8">
        <f>IFERROR(
GETPIVOTDATA(
"[Base].[Importe]",
TDinamica_R!$A$5,
"[Calendario].[AñoMes]",
"[Calendario].[AñoMes].&amp;[" &amp; TEXT(AI$6,"yyyymm") &amp; "]",
"[Base].[Metrica]",
"[Base].[Metrica].&amp;[" &amp; $A15 &amp; "]",
"[Base].[SEGMENTO_DESCRIP]",
"[Base].[SEGMENTO_DESCRIP].&amp;[" &amp; $C$6 &amp; "]",
"[Base].[SITUACION]",
"[Base].[SITUACION].&amp;[" &amp; $C15 &amp; "]"
),0)/1000</f>
        <v>545.44974999999999</v>
      </c>
      <c r="AJ15" s="8">
        <f>IFERROR(
GETPIVOTDATA(
"[Base].[Importe]",
TDinamica_R!$A$5,
"[Calendario].[AñoMes]",
"[Calendario].[AñoMes].&amp;[" &amp; TEXT(AJ$6,"yyyymm") &amp; "]",
"[Base].[Metrica]",
"[Base].[Metrica].&amp;[" &amp; $A15 &amp; "]",
"[Base].[SEGMENTO_DESCRIP]",
"[Base].[SEGMENTO_DESCRIP].&amp;[" &amp; $C$6 &amp; "]",
"[Base].[SITUACION]",
"[Base].[SITUACION].&amp;[" &amp; $C15 &amp; "]"
),0)/1000</f>
        <v>544.94828000000007</v>
      </c>
      <c r="AK15" s="8">
        <f>IFERROR(
GETPIVOTDATA(
"[Base].[Importe]",
TDinamica_R!$A$5,
"[Calendario].[AñoMes]",
"[Calendario].[AñoMes].&amp;[" &amp; TEXT(AK$6,"yyyymm") &amp; "]",
"[Base].[Metrica]",
"[Base].[Metrica].&amp;[" &amp; $A15 &amp; "]",
"[Base].[SEGMENTO_DESCRIP]",
"[Base].[SEGMENTO_DESCRIP].&amp;[" &amp; $C$6 &amp; "]",
"[Base].[SITUACION]",
"[Base].[SITUACION].&amp;[" &amp; $C15 &amp; "]"
),0)/1000</f>
        <v>546.4134499999999</v>
      </c>
      <c r="AL15" s="8">
        <f>IFERROR(
GETPIVOTDATA(
"[Base].[Importe]",
TDinamica_R!$A$5,
"[Calendario].[AñoMes]",
"[Calendario].[AñoMes].&amp;[" &amp; TEXT(AL$6,"yyyymm") &amp; "]",
"[Base].[Metrica]",
"[Base].[Metrica].&amp;[" &amp; $A15 &amp; "]",
"[Base].[SEGMENTO_DESCRIP]",
"[Base].[SEGMENTO_DESCRIP].&amp;[" &amp; $C$6 &amp; "]",
"[Base].[SITUACION]",
"[Base].[SITUACION].&amp;[" &amp; $C15 &amp; "]"
),0)/1000</f>
        <v>494.20531</v>
      </c>
      <c r="AM15" s="8">
        <f>IFERROR(
GETPIVOTDATA(
"[Base].[Importe]",
TDinamica_R!$A$5,
"[Calendario].[AñoMes]",
"[Calendario].[AñoMes].&amp;[" &amp; TEXT(AM$6,"yyyymm") &amp; "]",
"[Base].[Metrica]",
"[Base].[Metrica].&amp;[" &amp; $A15 &amp; "]",
"[Base].[SEGMENTO_DESCRIP]",
"[Base].[SEGMENTO_DESCRIP].&amp;[" &amp; $C$6 &amp; "]",
"[Base].[SITUACION]",
"[Base].[SITUACION].&amp;[" &amp; $C15 &amp; "]"
),0)/1000</f>
        <v>467.04678000000001</v>
      </c>
      <c r="AN15" s="8">
        <f>IFERROR(
GETPIVOTDATA(
"[Base].[Importe]",
TDinamica_R!$A$5,
"[Calendario].[AñoMes]",
"[Calendario].[AñoMes].&amp;[" &amp; TEXT(AN$6,"yyyymm") &amp; "]",
"[Base].[Metrica]",
"[Base].[Metrica].&amp;[" &amp; $A15 &amp; "]",
"[Base].[SEGMENTO_DESCRIP]",
"[Base].[SEGMENTO_DESCRIP].&amp;[" &amp; $C$6 &amp; "]",
"[Base].[SITUACION]",
"[Base].[SITUACION].&amp;[" &amp; $C15 &amp; "]"
),0)/1000</f>
        <v>435.03</v>
      </c>
      <c r="AO15" s="8">
        <f>IFERROR(
GETPIVOTDATA(
"[Base].[Importe]",
TDinamica_R!$A$5,
"[Calendario].[AñoMes]",
"[Calendario].[AñoMes].&amp;[" &amp; TEXT(AO$6,"yyyymm") &amp; "]",
"[Base].[Metrica]",
"[Base].[Metrica].&amp;[" &amp; $A15 &amp; "]",
"[Base].[SEGMENTO_DESCRIP]",
"[Base].[SEGMENTO_DESCRIP].&amp;[" &amp; $C$6 &amp; "]",
"[Base].[SITUACION]",
"[Base].[SITUACION].&amp;[" &amp; $C15 &amp; "]"
),0)/1000</f>
        <v>405.06</v>
      </c>
      <c r="AP15" s="8">
        <f>IFERROR(
GETPIVOTDATA(
"[Base].[Importe]",
TDinamica_R!$A$5,
"[Calendario].[AñoMes]",
"[Calendario].[AñoMes].&amp;[" &amp; TEXT(AP$6,"yyyymm") &amp; "]",
"[Base].[Metrica]",
"[Base].[Metrica].&amp;[" &amp; $A15 &amp; "]",
"[Base].[SEGMENTO_DESCRIP]",
"[Base].[SEGMENTO_DESCRIP].&amp;[" &amp; $C$6 &amp; "]",
"[Base].[SITUACION]",
"[Base].[SITUACION].&amp;[" &amp; $C15 &amp; "]"
),0)/1000</f>
        <v>394.9</v>
      </c>
      <c r="AQ15" s="8">
        <f>IFERROR(
GETPIVOTDATA(
"[Base].[Importe]",
TDinamica_R!$A$5,
"[Calendario].[AñoMes]",
"[Calendario].[AñoMes].&amp;[" &amp; TEXT(AQ$6,"yyyymm") &amp; "]",
"[Base].[Metrica]",
"[Base].[Metrica].&amp;[" &amp; $A15 &amp; "]",
"[Base].[SEGMENTO_DESCRIP]",
"[Base].[SEGMENTO_DESCRIP].&amp;[" &amp; $C$6 &amp; "]",
"[Base].[SITUACION]",
"[Base].[SITUACION].&amp;[" &amp; $C15 &amp; "]"
),0)/1000</f>
        <v>349.40769999999998</v>
      </c>
      <c r="AR15" s="8">
        <f>IFERROR(
GETPIVOTDATA(
"[Base].[Importe]",
TDinamica_R!$A$5,
"[Calendario].[AñoMes]",
"[Calendario].[AñoMes].&amp;[" &amp; TEXT(AR$6,"yyyymm") &amp; "]",
"[Base].[Metrica]",
"[Base].[Metrica].&amp;[" &amp; $A15 &amp; "]",
"[Base].[SEGMENTO_DESCRIP]",
"[Base].[SEGMENTO_DESCRIP].&amp;[" &amp; $C$6 &amp; "]",
"[Base].[SITUACION]",
"[Base].[SITUACION].&amp;[" &amp; $C15 &amp; "]"
),0)/1000</f>
        <v>312.79939999999993</v>
      </c>
      <c r="AS15" s="8">
        <f>IFERROR(
GETPIVOTDATA(
"[Base].[Importe]",
TDinamica_R!$A$5,
"[Calendario].[AñoMes]",
"[Calendario].[AñoMes].&amp;[" &amp; TEXT(AS$6,"yyyymm") &amp; "]",
"[Base].[Metrica]",
"[Base].[Metrica].&amp;[" &amp; $A15 &amp; "]",
"[Base].[SEGMENTO_DESCRIP]",
"[Base].[SEGMENTO_DESCRIP].&amp;[" &amp; $C$6 &amp; "]",
"[Base].[SITUACION]",
"[Base].[SITUACION].&amp;[" &amp; $C15 &amp; "]"
),0)/1000</f>
        <v>329.69459999999998</v>
      </c>
      <c r="AT15" s="8">
        <f>IFERROR(
GETPIVOTDATA(
"[Base].[Importe]",
TDinamica_R!$A$5,
"[Calendario].[AñoMes]",
"[Calendario].[AñoMes].&amp;[" &amp; TEXT(AT$6,"yyyymm")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U15" s="8">
        <f>IFERROR(
GETPIVOTDATA(
"[Base].[Importe]",
TDinamica_R!$A$5,
"[Calendario].[AñoMes]",
"[Calendario].[AñoMes].&amp;[" &amp; TEXT(AU$6,"yyyymm")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V15" s="8">
        <f>IFERROR(
GETPIVOTDATA(
"[Base].[Importe]",
TDinamica_R!$A$5,
"[Calendario].[AñoMes]",
"[Calendario].[AñoMes].&amp;[" &amp; TEXT(AV$6,"yyyymm")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W15" s="8">
        <f>IFERROR(
GETPIVOTDATA(
"[Base].[Importe]",
TDinamica_R!$A$5,
"[Calendario].[AñoMes]",
"[Calendario].[AñoMes].&amp;[" &amp; TEXT(AW$6,"yyyymm")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X15" s="8">
        <f>IFERROR(
GETPIVOTDATA(
"[Base].[Importe]",
TDinamica_R!$A$5,
"[Calendario].[AñoMes]",
"[Calendario].[AñoMes].&amp;[" &amp; TEXT(AX$6,"yyyymm")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Y15" s="8">
        <f>IFERROR(
GETPIVOTDATA(
"[Base].[Importe]",
TDinamica_R!$A$5,
"[Calendario].[AñoMes]",
"[Calendario].[AñoMes].&amp;[" &amp; TEXT(AY$6,"yyyymm")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Z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TEXT(AZ$6,"yyyymm") &amp; "]"
),
0
)</f>
        <v>474.95911998074882</v>
      </c>
      <c r="BA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TEXT(BA$6,"yyyymm") &amp; "]"
),
0
)</f>
        <v>452.52897895290556</v>
      </c>
      <c r="BB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TEXT(BB$6,"yyyymm") &amp; "]"
),
0
)</f>
        <v>431.87401677732282</v>
      </c>
      <c r="BC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TEXT(BC$6,"yyyymm") &amp; "]"
),
0
)</f>
        <v>416.46469777844322</v>
      </c>
      <c r="BD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TEXT(BD$6,"yyyymm") &amp; "]"
),
0
)</f>
        <v>404.43014815601316</v>
      </c>
      <c r="BE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TEXT(BE$6,"yyyymm") &amp; "]"
),
0
)</f>
        <v>389.83222346597063</v>
      </c>
      <c r="BF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TEXT(BF$6,"yyyymm") &amp; "]"
),
0
)</f>
        <v>377.82389171858017</v>
      </c>
      <c r="BG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TEXT(BG$6,"yyyymm") &amp; "]"
),
0
)</f>
        <v>367.80848995089042</v>
      </c>
      <c r="BH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TEXT(BH$6,"yyyymm") &amp; "]"
),
0
)</f>
        <v>355.14049177566272</v>
      </c>
      <c r="BI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TEXT(BI$6,"yyyymm") &amp; "]"
),
0
)</f>
        <v>344.41816722063407</v>
      </c>
      <c r="BJ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TEXT(BJ$6,"yyyymm") &amp; "]"
),
0
)</f>
        <v>335.97305269204423</v>
      </c>
      <c r="BK15" s="8">
        <f>IFERROR(
GETPIVOTDATA(
"[Base_PPE].[Importe]",
TDinamica_P!$A$4,
"[Base_PPE].[Metrica]",
"[Base_PPE].[Metrica].&amp;[" &amp; TRIM($A15) &amp; "]",
"[Base_PPE].[SITUACION]",
"[Base_PPE].[SITUACION].&amp;[" &amp; TRIM($C15) &amp; "]",
"[Base_PPE].[SEGMENTO_DESCRIP]",
"[Base_PPE].[SEGMENTO_DESCRIP].&amp;[" &amp; TRIM($C$6) &amp; "]",
"[Base_PPE].[Periodo]",
"[Base_PPE].[Periodo].&amp;[" &amp; TEXT(BK$6,"yyyymm") &amp; "]"
),
0
)</f>
        <v>329.31045050825117</v>
      </c>
      <c r="BO15" s="24">
        <f t="shared" si="11"/>
        <v>411.66333333333324</v>
      </c>
      <c r="BP15" s="24">
        <f t="shared" si="11"/>
        <v>453.12070523699236</v>
      </c>
      <c r="BQ15" s="24">
        <f t="shared" si="11"/>
        <v>420.04499999999996</v>
      </c>
      <c r="BR15" s="24">
        <f t="shared" si="11"/>
        <v>752.09997999999996</v>
      </c>
      <c r="BS15" s="24">
        <f t="shared" si="11"/>
        <v>147.18628666666669</v>
      </c>
      <c r="BT15" s="24">
        <f t="shared" si="11"/>
        <v>368.97399999999999</v>
      </c>
      <c r="BW15" s="24">
        <f t="shared" si="12"/>
        <v>1234.9899999999998</v>
      </c>
      <c r="BX15" s="24">
        <f t="shared" si="12"/>
        <v>1359.3621157109772</v>
      </c>
      <c r="BY15" s="24">
        <f t="shared" si="12"/>
        <v>840.08999999999992</v>
      </c>
      <c r="BZ15" s="24">
        <f t="shared" si="12"/>
        <v>2256.2999399999999</v>
      </c>
      <c r="CA15" s="24">
        <f t="shared" si="12"/>
        <v>441.55886000000004</v>
      </c>
      <c r="CB15" s="24">
        <f t="shared" si="12"/>
        <v>1106.922</v>
      </c>
    </row>
    <row r="16" spans="1:81" hidden="1" outlineLevel="1" x14ac:dyDescent="0.25">
      <c r="A16" s="11" t="s">
        <v>52</v>
      </c>
      <c r="C16" s="2" t="s">
        <v>45</v>
      </c>
      <c r="D16" s="8">
        <f>IFERROR(
GETPIVOTDATA(
"[Base].[Importe]",
TDinamica_R!$A$5,
"[Calendario].[AñoMes]",
"[Calendario].[AñoMes].&amp;[" &amp; TEXT(D$6,"yyyymm") &amp; "]",
"[Base].[Metrica]",
"[Base].[Metrica].&amp;[" &amp; $A16 &amp; "]",
"[Base].[SEGMENTO_DESCRIP]",
"[Base].[SEGMENTO_DESCRIP].&amp;[" &amp; $C$6 &amp; "]",
"[Base].[SITUACION]",
"[Base].[SITUACION].&amp;[" &amp; $C16 &amp; "]"
),0)/1000</f>
        <v>3473.0062460700001</v>
      </c>
      <c r="E16" s="8">
        <f>IFERROR(
GETPIVOTDATA(
"[Base].[Importe]",
TDinamica_R!$A$5,
"[Calendario].[AñoMes]",
"[Calendario].[AñoMes].&amp;[" &amp; TEXT(E$6,"yyyymm") &amp; "]",
"[Base].[Metrica]",
"[Base].[Metrica].&amp;[" &amp; $A16 &amp; "]",
"[Base].[SEGMENTO_DESCRIP]",
"[Base].[SEGMENTO_DESCRIP].&amp;[" &amp; $C$6 &amp; "]",
"[Base].[SITUACION]",
"[Base].[SITUACION].&amp;[" &amp; $C16 &amp; "]"
),0)/1000</f>
        <v>3407.4533684400003</v>
      </c>
      <c r="F16" s="8">
        <f>IFERROR(
GETPIVOTDATA(
"[Base].[Importe]",
TDinamica_R!$A$5,
"[Calendario].[AñoMes]",
"[Calendario].[AñoMes].&amp;[" &amp; TEXT(F$6,"yyyymm") &amp; "]",
"[Base].[Metrica]",
"[Base].[Metrica].&amp;[" &amp; $A16 &amp; "]",
"[Base].[SEGMENTO_DESCRIP]",
"[Base].[SEGMENTO_DESCRIP].&amp;[" &amp; $C$6 &amp; "]",
"[Base].[SITUACION]",
"[Base].[SITUACION].&amp;[" &amp; $C16 &amp; "]"
),0)/1000</f>
        <v>2767.6134465999999</v>
      </c>
      <c r="G16" s="8">
        <f>IFERROR(
GETPIVOTDATA(
"[Base].[Importe]",
TDinamica_R!$A$5,
"[Calendario].[AñoMes]",
"[Calendario].[AñoMes].&amp;[" &amp; TEXT(G$6,"yyyymm") &amp; "]",
"[Base].[Metrica]",
"[Base].[Metrica].&amp;[" &amp; $A16 &amp; "]",
"[Base].[SEGMENTO_DESCRIP]",
"[Base].[SEGMENTO_DESCRIP].&amp;[" &amp; $C$6 &amp; "]",
"[Base].[SITUACION]",
"[Base].[SITUACION].&amp;[" &amp; $C16 &amp; "]"
),0)/1000</f>
        <v>2699.5876472</v>
      </c>
      <c r="H16" s="8">
        <f>IFERROR(
GETPIVOTDATA(
"[Base].[Importe]",
TDinamica_R!$A$5,
"[Calendario].[AñoMes]",
"[Calendario].[AñoMes].&amp;[" &amp; TEXT(H$6,"yyyymm") &amp; "]",
"[Base].[Metrica]",
"[Base].[Metrica].&amp;[" &amp; $A16 &amp; "]",
"[Base].[SEGMENTO_DESCRIP]",
"[Base].[SEGMENTO_DESCRIP].&amp;[" &amp; $C$6 &amp; "]",
"[Base].[SITUACION]",
"[Base].[SITUACION].&amp;[" &amp; $C16 &amp; "]"
),0)/1000</f>
        <v>2263.7326124000001</v>
      </c>
      <c r="I16" s="8">
        <f>IFERROR(
GETPIVOTDATA(
"[Base].[Importe]",
TDinamica_R!$A$5,
"[Calendario].[AñoMes]",
"[Calendario].[AñoMes].&amp;[" &amp; TEXT(I$6,"yyyymm") &amp; "]",
"[Base].[Metrica]",
"[Base].[Metrica].&amp;[" &amp; $A16 &amp; "]",
"[Base].[SEGMENTO_DESCRIP]",
"[Base].[SEGMENTO_DESCRIP].&amp;[" &amp; $C$6 &amp; "]",
"[Base].[SITUACION]",
"[Base].[SITUACION].&amp;[" &amp; $C16 &amp; "]"
),0)/1000</f>
        <v>2331.3830800000001</v>
      </c>
      <c r="J16" s="8">
        <f>IFERROR(
GETPIVOTDATA(
"[Base].[Importe]",
TDinamica_R!$A$5,
"[Calendario].[AñoMes]",
"[Calendario].[AñoMes].&amp;[" &amp; TEXT(J$6,"yyyymm") &amp; "]",
"[Base].[Metrica]",
"[Base].[Metrica].&amp;[" &amp; $A16 &amp; "]",
"[Base].[SEGMENTO_DESCRIP]",
"[Base].[SEGMENTO_DESCRIP].&amp;[" &amp; $C$6 &amp; "]",
"[Base].[SITUACION]",
"[Base].[SITUACION].&amp;[" &amp; $C16 &amp; "]"
),0)/1000</f>
        <v>2381.0853038400001</v>
      </c>
      <c r="K16" s="8">
        <f>IFERROR(
GETPIVOTDATA(
"[Base].[Importe]",
TDinamica_R!$A$5,
"[Calendario].[AñoMes]",
"[Calendario].[AñoMes].&amp;[" &amp; TEXT(K$6,"yyyymm") &amp; "]",
"[Base].[Metrica]",
"[Base].[Metrica].&amp;[" &amp; $A16 &amp; "]",
"[Base].[SEGMENTO_DESCRIP]",
"[Base].[SEGMENTO_DESCRIP].&amp;[" &amp; $C$6 &amp; "]",
"[Base].[SITUACION]",
"[Base].[SITUACION].&amp;[" &amp; $C16 &amp; "]"
),0)/1000</f>
        <v>3798.48664272</v>
      </c>
      <c r="L16" s="8">
        <f>IFERROR(
GETPIVOTDATA(
"[Base].[Importe]",
TDinamica_R!$A$5,
"[Calendario].[AñoMes]",
"[Calendario].[AñoMes].&amp;[" &amp; TEXT(L$6,"yyyymm") &amp; "]",
"[Base].[Metrica]",
"[Base].[Metrica].&amp;[" &amp; $A16 &amp; "]",
"[Base].[SEGMENTO_DESCRIP]",
"[Base].[SEGMENTO_DESCRIP].&amp;[" &amp; $C$6 &amp; "]",
"[Base].[SITUACION]",
"[Base].[SITUACION].&amp;[" &amp; $C16 &amp; "]"
),0)/1000</f>
        <v>4657.924727390001</v>
      </c>
      <c r="M16" s="8">
        <f>IFERROR(
GETPIVOTDATA(
"[Base].[Importe]",
TDinamica_R!$A$5,
"[Calendario].[AñoMes]",
"[Calendario].[AñoMes].&amp;[" &amp; TEXT(M$6,"yyyymm") &amp; "]",
"[Base].[Metrica]",
"[Base].[Metrica].&amp;[" &amp; $A16 &amp; "]",
"[Base].[SEGMENTO_DESCRIP]",
"[Base].[SEGMENTO_DESCRIP].&amp;[" &amp; $C$6 &amp; "]",
"[Base].[SITUACION]",
"[Base].[SITUACION].&amp;[" &amp; $C16 &amp; "]"
),0)/1000</f>
        <v>4442.3994113500003</v>
      </c>
      <c r="N16" s="8">
        <f>IFERROR(
GETPIVOTDATA(
"[Base].[Importe]",
TDinamica_R!$A$5,
"[Calendario].[AñoMes]",
"[Calendario].[AñoMes].&amp;[" &amp; TEXT(N$6,"yyyymm") &amp; "]",
"[Base].[Metrica]",
"[Base].[Metrica].&amp;[" &amp; $A16 &amp; "]",
"[Base].[SEGMENTO_DESCRIP]",
"[Base].[SEGMENTO_DESCRIP].&amp;[" &amp; $C$6 &amp; "]",
"[Base].[SITUACION]",
"[Base].[SITUACION].&amp;[" &amp; $C16 &amp; "]"
),0)/1000</f>
        <v>3668.68572778</v>
      </c>
      <c r="O16" s="8">
        <f>IFERROR(
GETPIVOTDATA(
"[Base].[Importe]",
TDinamica_R!$A$5,
"[Calendario].[AñoMes]",
"[Calendario].[AñoMes].&amp;[" &amp; TEXT(O$6,"yyyymm") &amp; "]",
"[Base].[Metrica]",
"[Base].[Metrica].&amp;[" &amp; $A16 &amp; "]",
"[Base].[SEGMENTO_DESCRIP]",
"[Base].[SEGMENTO_DESCRIP].&amp;[" &amp; $C$6 &amp; "]",
"[Base].[SITUACION]",
"[Base].[SITUACION].&amp;[" &amp; $C16 &amp; "]"
),0)/1000</f>
        <v>3209.0331587299997</v>
      </c>
      <c r="P16" s="8">
        <f>IFERROR(
GETPIVOTDATA(
"[Base].[Importe]",
TDinamica_R!$A$5,
"[Calendario].[AñoMes]",
"[Calendario].[AñoMes].&amp;[" &amp; TEXT(P$6,"yyyymm") &amp; "]",
"[Base].[Metrica]",
"[Base].[Metrica].&amp;[" &amp; $A16 &amp; "]",
"[Base].[SEGMENTO_DESCRIP]",
"[Base].[SEGMENTO_DESCRIP].&amp;[" &amp; $C$6 &amp; "]",
"[Base].[SITUACION]",
"[Base].[SITUACION].&amp;[" &amp; $C16 &amp; "]"
),0)/1000</f>
        <v>4312.8812128799991</v>
      </c>
      <c r="Q16" s="8">
        <f>IFERROR(
GETPIVOTDATA(
"[Base].[Importe]",
TDinamica_R!$A$5,
"[Calendario].[AñoMes]",
"[Calendario].[AñoMes].&amp;[" &amp; TEXT(Q$6,"yyyymm") &amp; "]",
"[Base].[Metrica]",
"[Base].[Metrica].&amp;[" &amp; $A16 &amp; "]",
"[Base].[SEGMENTO_DESCRIP]",
"[Base].[SEGMENTO_DESCRIP].&amp;[" &amp; $C$6 &amp; "]",
"[Base].[SITUACION]",
"[Base].[SITUACION].&amp;[" &amp; $C16 &amp; "]"
),0)/1000</f>
        <v>4525.7673832399996</v>
      </c>
      <c r="R16" s="8">
        <f>IFERROR(
GETPIVOTDATA(
"[Base].[Importe]",
TDinamica_R!$A$5,
"[Calendario].[AñoMes]",
"[Calendario].[AñoMes].&amp;[" &amp; TEXT(R$6,"yyyymm") &amp; "]",
"[Base].[Metrica]",
"[Base].[Metrica].&amp;[" &amp; $A16 &amp; "]",
"[Base].[SEGMENTO_DESCRIP]",
"[Base].[SEGMENTO_DESCRIP].&amp;[" &amp; $C$6 &amp; "]",
"[Base].[SITUACION]",
"[Base].[SITUACION].&amp;[" &amp; $C16 &amp; "]"
),0)/1000</f>
        <v>3890.1839121299995</v>
      </c>
      <c r="S16" s="8">
        <f>IFERROR(
GETPIVOTDATA(
"[Base].[Importe]",
TDinamica_R!$A$5,
"[Calendario].[AñoMes]",
"[Calendario].[AñoMes].&amp;[" &amp; TEXT(S$6,"yyyymm") &amp; "]",
"[Base].[Metrica]",
"[Base].[Metrica].&amp;[" &amp; $A16 &amp; "]",
"[Base].[SEGMENTO_DESCRIP]",
"[Base].[SEGMENTO_DESCRIP].&amp;[" &amp; $C$6 &amp; "]",
"[Base].[SITUACION]",
"[Base].[SITUACION].&amp;[" &amp; $C16 &amp; "]"
),0)/1000</f>
        <v>4203.3695849599999</v>
      </c>
      <c r="T16" s="8">
        <f>IFERROR(
GETPIVOTDATA(
"[Base].[Importe]",
TDinamica_R!$A$5,
"[Calendario].[AñoMes]",
"[Calendario].[AñoMes].&amp;[" &amp; TEXT(T$6,"yyyymm") &amp; "]",
"[Base].[Metrica]",
"[Base].[Metrica].&amp;[" &amp; $A16 &amp; "]",
"[Base].[SEGMENTO_DESCRIP]",
"[Base].[SEGMENTO_DESCRIP].&amp;[" &amp; $C$6 &amp; "]",
"[Base].[SITUACION]",
"[Base].[SITUACION].&amp;[" &amp; $C16 &amp; "]"
),0)/1000</f>
        <v>3755.8246458999997</v>
      </c>
      <c r="U16" s="8">
        <f>IFERROR(
GETPIVOTDATA(
"[Base].[Importe]",
TDinamica_R!$A$5,
"[Calendario].[AñoMes]",
"[Calendario].[AñoMes].&amp;[" &amp; TEXT(U$6,"yyyymm") &amp; "]",
"[Base].[Metrica]",
"[Base].[Metrica].&amp;[" &amp; $A16 &amp; "]",
"[Base].[SEGMENTO_DESCRIP]",
"[Base].[SEGMENTO_DESCRIP].&amp;[" &amp; $C$6 &amp; "]",
"[Base].[SITUACION]",
"[Base].[SITUACION].&amp;[" &amp; $C16 &amp; "]"
),0)/1000</f>
        <v>3284.70069023</v>
      </c>
      <c r="V16" s="8">
        <f>IFERROR(
GETPIVOTDATA(
"[Base].[Importe]",
TDinamica_R!$A$5,
"[Calendario].[AñoMes]",
"[Calendario].[AñoMes].&amp;[" &amp; TEXT(V$6,"yyyymm") &amp; "]",
"[Base].[Metrica]",
"[Base].[Metrica].&amp;[" &amp; $A16 &amp; "]",
"[Base].[SEGMENTO_DESCRIP]",
"[Base].[SEGMENTO_DESCRIP].&amp;[" &amp; $C$6 &amp; "]",
"[Base].[SITUACION]",
"[Base].[SITUACION].&amp;[" &amp; $C16 &amp; "]"
),0)/1000</f>
        <v>2546.1296864599999</v>
      </c>
      <c r="W16" s="8">
        <f>IFERROR(
GETPIVOTDATA(
"[Base].[Importe]",
TDinamica_R!$A$5,
"[Calendario].[AñoMes]",
"[Calendario].[AñoMes].&amp;[" &amp; TEXT(W$6,"yyyymm") &amp; "]",
"[Base].[Metrica]",
"[Base].[Metrica].&amp;[" &amp; $A16 &amp; "]",
"[Base].[SEGMENTO_DESCRIP]",
"[Base].[SEGMENTO_DESCRIP].&amp;[" &amp; $C$6 &amp; "]",
"[Base].[SITUACION]",
"[Base].[SITUACION].&amp;[" &amp; $C16 &amp; "]"
),0)/1000</f>
        <v>1964.6727970300001</v>
      </c>
      <c r="X16" s="8">
        <f>IFERROR(
GETPIVOTDATA(
"[Base].[Importe]",
TDinamica_R!$A$5,
"[Calendario].[AñoMes]",
"[Calendario].[AñoMes].&amp;[" &amp; TEXT(X$6,"yyyymm") &amp; "]",
"[Base].[Metrica]",
"[Base].[Metrica].&amp;[" &amp; $A16 &amp; "]",
"[Base].[SEGMENTO_DESCRIP]",
"[Base].[SEGMENTO_DESCRIP].&amp;[" &amp; $C$6 &amp; "]",
"[Base].[SITUACION]",
"[Base].[SITUACION].&amp;[" &amp; $C16 &amp; "]"
),0)/1000</f>
        <v>1821.94230212</v>
      </c>
      <c r="Y16" s="8">
        <f>IFERROR(
GETPIVOTDATA(
"[Base].[Importe]",
TDinamica_R!$A$5,
"[Calendario].[AñoMes]",
"[Calendario].[AñoMes].&amp;[" &amp; TEXT(Y$6,"yyyymm") &amp; "]",
"[Base].[Metrica]",
"[Base].[Metrica].&amp;[" &amp; $A16 &amp; "]",
"[Base].[SEGMENTO_DESCRIP]",
"[Base].[SEGMENTO_DESCRIP].&amp;[" &amp; $C$6 &amp; "]",
"[Base].[SITUACION]",
"[Base].[SITUACION].&amp;[" &amp; $C16 &amp; "]"
),0)/1000</f>
        <v>1420.2489144799997</v>
      </c>
      <c r="Z16" s="8">
        <f>IFERROR(
GETPIVOTDATA(
"[Base].[Importe]",
TDinamica_R!$A$5,
"[Calendario].[AñoMes]",
"[Calendario].[AñoMes].&amp;[" &amp; TEXT(Z$6,"yyyymm") &amp; "]",
"[Base].[Metrica]",
"[Base].[Metrica].&amp;[" &amp; $A16 &amp; "]",
"[Base].[SEGMENTO_DESCRIP]",
"[Base].[SEGMENTO_DESCRIP].&amp;[" &amp; $C$6 &amp; "]",
"[Base].[SITUACION]",
"[Base].[SITUACION].&amp;[" &amp; $C16 &amp; "]"
),0)/1000</f>
        <v>1183.7870517399999</v>
      </c>
      <c r="AA16" s="8">
        <f>IFERROR(
GETPIVOTDATA(
"[Base].[Importe]",
TDinamica_R!$A$5,
"[Calendario].[AñoMes]",
"[Calendario].[AñoMes].&amp;[" &amp; TEXT(AA$6,"yyyymm") &amp; "]",
"[Base].[Metrica]",
"[Base].[Metrica].&amp;[" &amp; $A16 &amp; "]",
"[Base].[SEGMENTO_DESCRIP]",
"[Base].[SEGMENTO_DESCRIP].&amp;[" &amp; $C$6 &amp; "]",
"[Base].[SITUACION]",
"[Base].[SITUACION].&amp;[" &amp; $C16 &amp; "]"
),0)/1000</f>
        <v>1153.7218650499999</v>
      </c>
      <c r="AB16" s="8">
        <f>IFERROR(
GETPIVOTDATA(
"[Base].[Importe]",
TDinamica_R!$A$5,
"[Calendario].[AñoMes]",
"[Calendario].[AñoMes].&amp;[" &amp; TEXT(AB$6,"yyyymm") &amp; "]",
"[Base].[Metrica]",
"[Base].[Metrica].&amp;[" &amp; $A16 &amp; "]",
"[Base].[SEGMENTO_DESCRIP]",
"[Base].[SEGMENTO_DESCRIP].&amp;[" &amp; $C$6 &amp; "]",
"[Base].[SITUACION]",
"[Base].[SITUACION].&amp;[" &amp; $C16 &amp; "]"
),0)/1000</f>
        <v>1426.4985399999998</v>
      </c>
      <c r="AC16" s="8">
        <f>IFERROR(
GETPIVOTDATA(
"[Base].[Importe]",
TDinamica_R!$A$5,
"[Calendario].[AñoMes]",
"[Calendario].[AñoMes].&amp;[" &amp; TEXT(AC$6,"yyyymm") &amp; "]",
"[Base].[Metrica]",
"[Base].[Metrica].&amp;[" &amp; $A16 &amp; "]",
"[Base].[SEGMENTO_DESCRIP]",
"[Base].[SEGMENTO_DESCRIP].&amp;[" &amp; $C$6 &amp; "]",
"[Base].[SITUACION]",
"[Base].[SITUACION].&amp;[" &amp; $C16 &amp; "]"
),0)/1000</f>
        <v>1664.4483500000001</v>
      </c>
      <c r="AD16" s="8">
        <f>IFERROR(
GETPIVOTDATA(
"[Base].[Importe]",
TDinamica_R!$A$5,
"[Calendario].[AñoMes]",
"[Calendario].[AñoMes].&amp;[" &amp; TEXT(AD$6,"yyyymm") &amp; "]",
"[Base].[Metrica]",
"[Base].[Metrica].&amp;[" &amp; $A16 &amp; "]",
"[Base].[SEGMENTO_DESCRIP]",
"[Base].[SEGMENTO_DESCRIP].&amp;[" &amp; $C$6 &amp; "]",
"[Base].[SITUACION]",
"[Base].[SITUACION].&amp;[" &amp; $C16 &amp; "]"
),0)/1000</f>
        <v>1468.0229199999999</v>
      </c>
      <c r="AE16" s="8">
        <f>IFERROR(
GETPIVOTDATA(
"[Base].[Importe]",
TDinamica_R!$A$5,
"[Calendario].[AñoMes]",
"[Calendario].[AñoMes].&amp;[" &amp; TEXT(AE$6,"yyyymm") &amp; "]",
"[Base].[Metrica]",
"[Base].[Metrica].&amp;[" &amp; $A16 &amp; "]",
"[Base].[SEGMENTO_DESCRIP]",
"[Base].[SEGMENTO_DESCRIP].&amp;[" &amp; $C$6 &amp; "]",
"[Base].[SITUACION]",
"[Base].[SITUACION].&amp;[" &amp; $C16 &amp; "]"
),0)/1000</f>
        <v>1625.6005600000001</v>
      </c>
      <c r="AF16" s="8">
        <f>IFERROR(
GETPIVOTDATA(
"[Base].[Importe]",
TDinamica_R!$A$5,
"[Calendario].[AñoMes]",
"[Calendario].[AñoMes].&amp;[" &amp; TEXT(AF$6,"yyyymm") &amp; "]",
"[Base].[Metrica]",
"[Base].[Metrica].&amp;[" &amp; $A16 &amp; "]",
"[Base].[SEGMENTO_DESCRIP]",
"[Base].[SEGMENTO_DESCRIP].&amp;[" &amp; $C$6 &amp; "]",
"[Base].[SITUACION]",
"[Base].[SITUACION].&amp;[" &amp; $C16 &amp; "]"
),0)/1000</f>
        <v>1672.4296000000002</v>
      </c>
      <c r="AG16" s="8">
        <f>IFERROR(
GETPIVOTDATA(
"[Base].[Importe]",
TDinamica_R!$A$5,
"[Calendario].[AñoMes]",
"[Calendario].[AñoMes].&amp;[" &amp; TEXT(AG$6,"yyyymm") &amp; "]",
"[Base].[Metrica]",
"[Base].[Metrica].&amp;[" &amp; $A16 &amp; "]",
"[Base].[SEGMENTO_DESCRIP]",
"[Base].[SEGMENTO_DESCRIP].&amp;[" &amp; $C$6 &amp; "]",
"[Base].[SITUACION]",
"[Base].[SITUACION].&amp;[" &amp; $C16 &amp; "]"
),0)/1000</f>
        <v>1750.3100772800001</v>
      </c>
      <c r="AH16" s="8">
        <f>IFERROR(
GETPIVOTDATA(
"[Base].[Importe]",
TDinamica_R!$A$5,
"[Calendario].[AñoMes]",
"[Calendario].[AñoMes].&amp;[" &amp; TEXT(AH$6,"yyyymm") &amp; "]",
"[Base].[Metrica]",
"[Base].[Metrica].&amp;[" &amp; $A16 &amp; "]",
"[Base].[SEGMENTO_DESCRIP]",
"[Base].[SEGMENTO_DESCRIP].&amp;[" &amp; $C$6 &amp; "]",
"[Base].[SITUACION]",
"[Base].[SITUACION].&amp;[" &amp; $C16 &amp; "]"
),0)/1000</f>
        <v>1468.03169</v>
      </c>
      <c r="AI16" s="8">
        <f>IFERROR(
GETPIVOTDATA(
"[Base].[Importe]",
TDinamica_R!$A$5,
"[Calendario].[AñoMes]",
"[Calendario].[AñoMes].&amp;[" &amp; TEXT(AI$6,"yyyymm") &amp; "]",
"[Base].[Metrica]",
"[Base].[Metrica].&amp;[" &amp; $A16 &amp; "]",
"[Base].[SEGMENTO_DESCRIP]",
"[Base].[SEGMENTO_DESCRIP].&amp;[" &amp; $C$6 &amp; "]",
"[Base].[SITUACION]",
"[Base].[SITUACION].&amp;[" &amp; $C16 &amp; "]"
),0)/1000</f>
        <v>1436.6884999999997</v>
      </c>
      <c r="AJ16" s="8">
        <f>IFERROR(
GETPIVOTDATA(
"[Base].[Importe]",
TDinamica_R!$A$5,
"[Calendario].[AñoMes]",
"[Calendario].[AñoMes].&amp;[" &amp; TEXT(AJ$6,"yyyymm") &amp; "]",
"[Base].[Metrica]",
"[Base].[Metrica].&amp;[" &amp; $A16 &amp; "]",
"[Base].[SEGMENTO_DESCRIP]",
"[Base].[SEGMENTO_DESCRIP].&amp;[" &amp; $C$6 &amp; "]",
"[Base].[SITUACION]",
"[Base].[SITUACION].&amp;[" &amp; $C16 &amp; "]"
),0)/1000</f>
        <v>1403.1484399999999</v>
      </c>
      <c r="AK16" s="8">
        <f>IFERROR(
GETPIVOTDATA(
"[Base].[Importe]",
TDinamica_R!$A$5,
"[Calendario].[AñoMes]",
"[Calendario].[AñoMes].&amp;[" &amp; TEXT(AK$6,"yyyymm") &amp; "]",
"[Base].[Metrica]",
"[Base].[Metrica].&amp;[" &amp; $A16 &amp; "]",
"[Base].[SEGMENTO_DESCRIP]",
"[Base].[SEGMENTO_DESCRIP].&amp;[" &amp; $C$6 &amp; "]",
"[Base].[SITUACION]",
"[Base].[SITUACION].&amp;[" &amp; $C16 &amp; "]"
),0)/1000</f>
        <v>1337.8673000000001</v>
      </c>
      <c r="AL16" s="8">
        <f>IFERROR(
GETPIVOTDATA(
"[Base].[Importe]",
TDinamica_R!$A$5,
"[Calendario].[AñoMes]",
"[Calendario].[AñoMes].&amp;[" &amp; TEXT(AL$6,"yyyymm") &amp; "]",
"[Base].[Metrica]",
"[Base].[Metrica].&amp;[" &amp; $A16 &amp; "]",
"[Base].[SEGMENTO_DESCRIP]",
"[Base].[SEGMENTO_DESCRIP].&amp;[" &amp; $C$6 &amp; "]",
"[Base].[SITUACION]",
"[Base].[SITUACION].&amp;[" &amp; $C16 &amp; "]"
),0)/1000</f>
        <v>1125.9448299999999</v>
      </c>
      <c r="AM16" s="8">
        <f>IFERROR(
GETPIVOTDATA(
"[Base].[Importe]",
TDinamica_R!$A$5,
"[Calendario].[AñoMes]",
"[Calendario].[AñoMes].&amp;[" &amp; TEXT(AM$6,"yyyymm") &amp; "]",
"[Base].[Metrica]",
"[Base].[Metrica].&amp;[" &amp; $A16 &amp; "]",
"[Base].[SEGMENTO_DESCRIP]",
"[Base].[SEGMENTO_DESCRIP].&amp;[" &amp; $C$6 &amp; "]",
"[Base].[SITUACION]",
"[Base].[SITUACION].&amp;[" &amp; $C16 &amp; "]"
),0)/1000</f>
        <v>1009.59925</v>
      </c>
      <c r="AN16" s="8">
        <f>IFERROR(
GETPIVOTDATA(
"[Base].[Importe]",
TDinamica_R!$A$5,
"[Calendario].[AñoMes]",
"[Calendario].[AñoMes].&amp;[" &amp; TEXT(AN$6,"yyyymm") &amp; "]",
"[Base].[Metrica]",
"[Base].[Metrica].&amp;[" &amp; $A16 &amp; "]",
"[Base].[SEGMENTO_DESCRIP]",
"[Base].[SEGMENTO_DESCRIP].&amp;[" &amp; $C$6 &amp; "]",
"[Base].[SITUACION]",
"[Base].[SITUACION].&amp;[" &amp; $C16 &amp; "]"
),0)/1000</f>
        <v>1210.92</v>
      </c>
      <c r="AO16" s="8">
        <f>IFERROR(
GETPIVOTDATA(
"[Base].[Importe]",
TDinamica_R!$A$5,
"[Calendario].[AñoMes]",
"[Calendario].[AñoMes].&amp;[" &amp; TEXT(AO$6,"yyyymm") &amp; "]",
"[Base].[Metrica]",
"[Base].[Metrica].&amp;[" &amp; $A16 &amp; "]",
"[Base].[SEGMENTO_DESCRIP]",
"[Base].[SEGMENTO_DESCRIP].&amp;[" &amp; $C$6 &amp; "]",
"[Base].[SITUACION]",
"[Base].[SITUACION].&amp;[" &amp; $C16 &amp; "]"
),0)/1000</f>
        <v>1179.93</v>
      </c>
      <c r="AP16" s="8">
        <f>IFERROR(
GETPIVOTDATA(
"[Base].[Importe]",
TDinamica_R!$A$5,
"[Calendario].[AñoMes]",
"[Calendario].[AñoMes].&amp;[" &amp; TEXT(AP$6,"yyyymm") &amp; "]",
"[Base].[Metrica]",
"[Base].[Metrica].&amp;[" &amp; $A16 &amp; "]",
"[Base].[SEGMENTO_DESCRIP]",
"[Base].[SEGMENTO_DESCRIP].&amp;[" &amp; $C$6 &amp; "]",
"[Base].[SITUACION]",
"[Base].[SITUACION].&amp;[" &amp; $C16 &amp; "]"
),0)/1000</f>
        <v>1159.01</v>
      </c>
      <c r="AQ16" s="8">
        <f>IFERROR(
GETPIVOTDATA(
"[Base].[Importe]",
TDinamica_R!$A$5,
"[Calendario].[AñoMes]",
"[Calendario].[AñoMes].&amp;[" &amp; TEXT(AQ$6,"yyyymm") &amp; "]",
"[Base].[Metrica]",
"[Base].[Metrica].&amp;[" &amp; $A16 &amp; "]",
"[Base].[SEGMENTO_DESCRIP]",
"[Base].[SEGMENTO_DESCRIP].&amp;[" &amp; $C$6 &amp; "]",
"[Base].[SITUACION]",
"[Base].[SITUACION].&amp;[" &amp; $C16 &amp; "]"
),0)/1000</f>
        <v>1092.5353200000004</v>
      </c>
      <c r="AR16" s="8">
        <f>IFERROR(
GETPIVOTDATA(
"[Base].[Importe]",
TDinamica_R!$A$5,
"[Calendario].[AñoMes]",
"[Calendario].[AñoMes].&amp;[" &amp; TEXT(AR$6,"yyyymm") &amp; "]",
"[Base].[Metrica]",
"[Base].[Metrica].&amp;[" &amp; $A16 &amp; "]",
"[Base].[SEGMENTO_DESCRIP]",
"[Base].[SEGMENTO_DESCRIP].&amp;[" &amp; $C$6 &amp; "]",
"[Base].[SITUACION]",
"[Base].[SITUACION].&amp;[" &amp; $C16 &amp; "]"
),0)/1000</f>
        <v>1066.12844976</v>
      </c>
      <c r="AS16" s="8">
        <f>IFERROR(
GETPIVOTDATA(
"[Base].[Importe]",
TDinamica_R!$A$5,
"[Calendario].[AñoMes]",
"[Calendario].[AñoMes].&amp;[" &amp; TEXT(AS$6,"yyyymm") &amp; "]",
"[Base].[Metrica]",
"[Base].[Metrica].&amp;[" &amp; $A16 &amp; "]",
"[Base].[SEGMENTO_DESCRIP]",
"[Base].[SEGMENTO_DESCRIP].&amp;[" &amp; $C$6 &amp; "]",
"[Base].[SITUACION]",
"[Base].[SITUACION].&amp;[" &amp; $C16 &amp; "]"
),0)/1000</f>
        <v>1191.2603899999997</v>
      </c>
      <c r="AT16" s="8">
        <f>IFERROR(
GETPIVOTDATA(
"[Base].[Importe]",
TDinamica_R!$A$5,
"[Calendario].[AñoMes]",
"[Calendario].[AñoMes].&amp;[" &amp; TEXT(AT$6,"yyyymm")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U16" s="8">
        <f>IFERROR(
GETPIVOTDATA(
"[Base].[Importe]",
TDinamica_R!$A$5,
"[Calendario].[AñoMes]",
"[Calendario].[AñoMes].&amp;[" &amp; TEXT(AU$6,"yyyymm")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V16" s="8">
        <f>IFERROR(
GETPIVOTDATA(
"[Base].[Importe]",
TDinamica_R!$A$5,
"[Calendario].[AñoMes]",
"[Calendario].[AñoMes].&amp;[" &amp; TEXT(AV$6,"yyyymm")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W16" s="8">
        <f>IFERROR(
GETPIVOTDATA(
"[Base].[Importe]",
TDinamica_R!$A$5,
"[Calendario].[AñoMes]",
"[Calendario].[AñoMes].&amp;[" &amp; TEXT(AW$6,"yyyymm")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X16" s="8">
        <f>IFERROR(
GETPIVOTDATA(
"[Base].[Importe]",
TDinamica_R!$A$5,
"[Calendario].[AñoMes]",
"[Calendario].[AñoMes].&amp;[" &amp; TEXT(AX$6,"yyyymm")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Y16" s="8">
        <f>IFERROR(
GETPIVOTDATA(
"[Base].[Importe]",
TDinamica_R!$A$5,
"[Calendario].[AñoMes]",
"[Calendario].[AñoMes].&amp;[" &amp; TEXT(AY$6,"yyyymm")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Z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TEXT(AZ$6,"yyyymm") &amp; "]"
),
0
)</f>
        <v>1062.7749759401993</v>
      </c>
      <c r="BA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TEXT(BA$6,"yyyymm") &amp; "]"
),
0
)</f>
        <v>1019.6387737034995</v>
      </c>
      <c r="BB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TEXT(BB$6,"yyyymm") &amp; "]"
),
0
)</f>
        <v>974.71623260699187</v>
      </c>
      <c r="BC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TEXT(BC$6,"yyyymm") &amp; "]"
),
0
)</f>
        <v>993.01906237015737</v>
      </c>
      <c r="BD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TEXT(BD$6,"yyyymm") &amp; "]"
),
0
)</f>
        <v>968.77943450928569</v>
      </c>
      <c r="BE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TEXT(BE$6,"yyyymm") &amp; "]"
),
0
)</f>
        <v>932.97084249827628</v>
      </c>
      <c r="BF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TEXT(BF$6,"yyyymm") &amp; "]"
),
0
)</f>
        <v>923.00665817809772</v>
      </c>
      <c r="BG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TEXT(BG$6,"yyyymm") &amp; "]"
),
0
)</f>
        <v>956.24952930314078</v>
      </c>
      <c r="BH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TEXT(BH$6,"yyyymm") &amp; "]"
),
0
)</f>
        <v>930.53942420567375</v>
      </c>
      <c r="BI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TEXT(BI$6,"yyyymm") &amp; "]"
),
0
)</f>
        <v>922.45466591554089</v>
      </c>
      <c r="BJ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TEXT(BJ$6,"yyyymm") &amp; "]"
),
0
)</f>
        <v>1002.4817172562441</v>
      </c>
      <c r="BK16" s="8">
        <f>IFERROR(
GETPIVOTDATA(
"[Base_PPE].[Importe]",
TDinamica_P!$A$4,
"[Base_PPE].[Metrica]",
"[Base_PPE].[Metrica].&amp;[" &amp; TRIM($A16) &amp; "]",
"[Base_PPE].[SITUACION]",
"[Base_PPE].[SITUACION].&amp;[" &amp; TRIM($C16) &amp; "]",
"[Base_PPE].[SEGMENTO_DESCRIP]",
"[Base_PPE].[SEGMENTO_DESCRIP].&amp;[" &amp; TRIM($C$6) &amp; "]",
"[Base_PPE].[Periodo]",
"[Base_PPE].[Periodo].&amp;[" &amp; TEXT(BK$6,"yyyymm") &amp; "]"
),
0
)</f>
        <v>1070.5313491676379</v>
      </c>
      <c r="BO16" s="24">
        <f t="shared" si="11"/>
        <v>1183.2866666666669</v>
      </c>
      <c r="BP16" s="24">
        <f t="shared" si="11"/>
        <v>1019.0433274168969</v>
      </c>
      <c r="BQ16" s="24">
        <f t="shared" si="11"/>
        <v>1195.4250000000002</v>
      </c>
      <c r="BR16" s="24">
        <f t="shared" si="11"/>
        <v>1519.6566033333336</v>
      </c>
      <c r="BS16" s="24">
        <f t="shared" si="11"/>
        <v>4242.9441694166662</v>
      </c>
      <c r="BT16" s="24">
        <f t="shared" si="11"/>
        <v>3216.0243537033334</v>
      </c>
      <c r="BW16" s="24">
        <f t="shared" si="12"/>
        <v>3549.8600000000006</v>
      </c>
      <c r="BX16" s="24">
        <f t="shared" si="12"/>
        <v>3057.1299822506908</v>
      </c>
      <c r="BY16" s="24">
        <f t="shared" si="12"/>
        <v>2390.8500000000004</v>
      </c>
      <c r="BZ16" s="24">
        <f t="shared" si="12"/>
        <v>4558.9698100000005</v>
      </c>
      <c r="CA16" s="24">
        <f t="shared" si="12"/>
        <v>12728.832508249998</v>
      </c>
      <c r="CB16" s="24">
        <f t="shared" si="12"/>
        <v>9648.0730611100007</v>
      </c>
    </row>
    <row r="17" spans="1:80" collapsed="1" x14ac:dyDescent="0.25">
      <c r="C17" s="3" t="s">
        <v>56</v>
      </c>
      <c r="D17" s="10">
        <f>SUM(D14:D16)</f>
        <v>49601.909190750011</v>
      </c>
      <c r="E17" s="10">
        <f t="shared" ref="E17:AY17" si="13">SUM(E14:E16)</f>
        <v>50001.393918540009</v>
      </c>
      <c r="F17" s="10">
        <f t="shared" si="13"/>
        <v>51313.216208599995</v>
      </c>
      <c r="G17" s="10">
        <f t="shared" si="13"/>
        <v>52100.392529879995</v>
      </c>
      <c r="H17" s="10">
        <f t="shared" si="13"/>
        <v>51968.229684480015</v>
      </c>
      <c r="I17" s="10">
        <f t="shared" si="13"/>
        <v>52014.555205500001</v>
      </c>
      <c r="J17" s="10">
        <f t="shared" si="13"/>
        <v>51705.244496880005</v>
      </c>
      <c r="K17" s="10">
        <f t="shared" si="13"/>
        <v>51460.516296000009</v>
      </c>
      <c r="L17" s="10">
        <f t="shared" si="13"/>
        <v>51704.995575490007</v>
      </c>
      <c r="M17" s="10">
        <f t="shared" si="13"/>
        <v>49931.222171349997</v>
      </c>
      <c r="N17" s="10">
        <f t="shared" si="13"/>
        <v>47803.170427779994</v>
      </c>
      <c r="O17" s="10">
        <f t="shared" si="13"/>
        <v>45807.69021873</v>
      </c>
      <c r="P17" s="10">
        <f t="shared" si="13"/>
        <v>43907.458672879999</v>
      </c>
      <c r="Q17" s="10">
        <f t="shared" si="13"/>
        <v>41584.479593240001</v>
      </c>
      <c r="R17" s="10">
        <f t="shared" si="13"/>
        <v>39953.197822130009</v>
      </c>
      <c r="S17" s="10">
        <f t="shared" si="13"/>
        <v>38998.706314959993</v>
      </c>
      <c r="T17" s="10">
        <f t="shared" si="13"/>
        <v>37242.189006599991</v>
      </c>
      <c r="U17" s="10">
        <f t="shared" si="13"/>
        <v>35882.478253499998</v>
      </c>
      <c r="V17" s="10">
        <f t="shared" si="13"/>
        <v>34178.333408819999</v>
      </c>
      <c r="W17" s="10">
        <f t="shared" si="13"/>
        <v>32670.716439480002</v>
      </c>
      <c r="X17" s="10">
        <f t="shared" si="13"/>
        <v>32367.431847200001</v>
      </c>
      <c r="Y17" s="10">
        <f t="shared" si="13"/>
        <v>31345.885263759996</v>
      </c>
      <c r="Z17" s="10">
        <f t="shared" si="13"/>
        <v>30125.07937584</v>
      </c>
      <c r="AA17" s="10">
        <f t="shared" si="13"/>
        <v>28753.1980597</v>
      </c>
      <c r="AB17" s="10">
        <f t="shared" si="13"/>
        <v>27795.356820480007</v>
      </c>
      <c r="AC17" s="10">
        <f t="shared" si="13"/>
        <v>27077.713805000007</v>
      </c>
      <c r="AD17" s="10">
        <f t="shared" si="13"/>
        <v>26072.919633460002</v>
      </c>
      <c r="AE17" s="10">
        <f t="shared" si="13"/>
        <v>25851.423523799996</v>
      </c>
      <c r="AF17" s="10">
        <f t="shared" si="13"/>
        <v>25478.781468999998</v>
      </c>
      <c r="AG17" s="10">
        <f t="shared" si="13"/>
        <v>25091.434540039998</v>
      </c>
      <c r="AH17" s="10">
        <f t="shared" si="13"/>
        <v>24457.184732140002</v>
      </c>
      <c r="AI17" s="10">
        <f t="shared" si="13"/>
        <v>24206.56623525</v>
      </c>
      <c r="AJ17" s="10">
        <f t="shared" si="13"/>
        <v>23932.42248166</v>
      </c>
      <c r="AK17" s="10">
        <f t="shared" si="13"/>
        <v>23543.053660720001</v>
      </c>
      <c r="AL17" s="10">
        <f t="shared" si="13"/>
        <v>23320.575440000001</v>
      </c>
      <c r="AM17" s="10">
        <f t="shared" si="13"/>
        <v>24061.214404820003</v>
      </c>
      <c r="AN17" s="10">
        <f t="shared" si="13"/>
        <v>25891.360000000001</v>
      </c>
      <c r="AO17" s="10">
        <f t="shared" si="13"/>
        <v>29020.030000000002</v>
      </c>
      <c r="AP17" s="10">
        <f t="shared" si="13"/>
        <v>32011.279999999999</v>
      </c>
      <c r="AQ17" s="10">
        <f t="shared" si="13"/>
        <v>34928.473006560009</v>
      </c>
      <c r="AR17" s="10">
        <f t="shared" si="13"/>
        <v>38715.13199341001</v>
      </c>
      <c r="AS17" s="10">
        <f t="shared" si="13"/>
        <v>42446.198016550014</v>
      </c>
      <c r="AT17" s="10">
        <f t="shared" si="13"/>
        <v>0</v>
      </c>
      <c r="AU17" s="10">
        <f t="shared" si="13"/>
        <v>0</v>
      </c>
      <c r="AV17" s="10">
        <f t="shared" si="13"/>
        <v>0</v>
      </c>
      <c r="AW17" s="10">
        <f t="shared" si="13"/>
        <v>0</v>
      </c>
      <c r="AX17" s="10">
        <f t="shared" si="13"/>
        <v>0</v>
      </c>
      <c r="AY17" s="10">
        <f t="shared" si="13"/>
        <v>0</v>
      </c>
      <c r="AZ17" s="10">
        <f t="shared" ref="AZ17:BK17" si="14">SUM(AZ14:AZ16)</f>
        <v>21713.87048895004</v>
      </c>
      <c r="BA17" s="10">
        <f t="shared" si="14"/>
        <v>21283.277795303384</v>
      </c>
      <c r="BB17" s="10">
        <f t="shared" si="14"/>
        <v>20866.24472837491</v>
      </c>
      <c r="BC17" s="10">
        <f t="shared" si="14"/>
        <v>20554.468205816876</v>
      </c>
      <c r="BD17" s="10">
        <f t="shared" si="14"/>
        <v>20339.967654802625</v>
      </c>
      <c r="BE17" s="10">
        <f t="shared" si="14"/>
        <v>20086.094570948862</v>
      </c>
      <c r="BF17" s="10">
        <f t="shared" si="14"/>
        <v>19834.528799733016</v>
      </c>
      <c r="BG17" s="10">
        <f t="shared" si="14"/>
        <v>19687.870380115721</v>
      </c>
      <c r="BH17" s="10">
        <f t="shared" si="14"/>
        <v>19533.854134660196</v>
      </c>
      <c r="BI17" s="10">
        <f t="shared" si="14"/>
        <v>19467.546248861094</v>
      </c>
      <c r="BJ17" s="10">
        <f t="shared" si="14"/>
        <v>19473.658494761468</v>
      </c>
      <c r="BK17" s="10">
        <f t="shared" si="14"/>
        <v>19446.414792971475</v>
      </c>
      <c r="BO17" s="23">
        <f>SUM(BO14:BO16)</f>
        <v>28974.223333333332</v>
      </c>
      <c r="BP17" s="23">
        <f t="shared" ref="BP17:BT17" si="15">SUM(BP14:BP16)</f>
        <v>21287.797670876116</v>
      </c>
      <c r="BQ17" s="23">
        <f t="shared" si="15"/>
        <v>27455.694999999996</v>
      </c>
      <c r="BR17" s="23">
        <f t="shared" si="15"/>
        <v>26981.996752980005</v>
      </c>
      <c r="BS17" s="23">
        <f t="shared" si="15"/>
        <v>41815.045362750003</v>
      </c>
      <c r="BT17" s="23">
        <f t="shared" si="15"/>
        <v>50305.50643929666</v>
      </c>
      <c r="BW17" s="23">
        <f>SUM(BW14:BW16)</f>
        <v>86922.67</v>
      </c>
      <c r="BX17" s="23">
        <f t="shared" ref="BX17:CB17" si="16">SUM(BX14:BX16)</f>
        <v>63863.393012628338</v>
      </c>
      <c r="BY17" s="23">
        <f t="shared" si="16"/>
        <v>54911.389999999992</v>
      </c>
      <c r="BZ17" s="23">
        <f t="shared" si="16"/>
        <v>80945.990258940015</v>
      </c>
      <c r="CA17" s="23">
        <f t="shared" si="16"/>
        <v>125445.13608825002</v>
      </c>
      <c r="CB17" s="23">
        <f t="shared" si="16"/>
        <v>150916.51931788999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11"/>
      <c r="C20" s="2" t="s">
        <v>0</v>
      </c>
      <c r="D20" s="14">
        <f>IFERROR(((1+D38/D14)^(360/D$3))-1,0)</f>
        <v>0.25740406891785805</v>
      </c>
      <c r="E20" s="14">
        <f t="shared" ref="E20:AY23" si="17">IFERROR(((1+E38/E14)^(360/E$3))-1,0)</f>
        <v>0.25629035589030447</v>
      </c>
      <c r="F20" s="14">
        <f t="shared" si="17"/>
        <v>0.24805067909929912</v>
      </c>
      <c r="G20" s="14">
        <f t="shared" si="17"/>
        <v>0.22507762543432919</v>
      </c>
      <c r="H20" s="14">
        <f t="shared" si="17"/>
        <v>0.25097017924298881</v>
      </c>
      <c r="I20" s="14">
        <f t="shared" si="17"/>
        <v>0.2463567741074002</v>
      </c>
      <c r="J20" s="14">
        <f t="shared" si="17"/>
        <v>0.24594339855404335</v>
      </c>
      <c r="K20" s="14">
        <f t="shared" si="17"/>
        <v>0.24213860647686292</v>
      </c>
      <c r="L20" s="14">
        <f t="shared" si="17"/>
        <v>0.24479715627395815</v>
      </c>
      <c r="M20" s="14">
        <f t="shared" si="17"/>
        <v>0.24750002605677812</v>
      </c>
      <c r="N20" s="14">
        <f t="shared" si="17"/>
        <v>0.23491521682745597</v>
      </c>
      <c r="O20" s="14">
        <f t="shared" si="17"/>
        <v>0.22961631482977229</v>
      </c>
      <c r="P20" s="14">
        <f t="shared" si="17"/>
        <v>0.24348160987636058</v>
      </c>
      <c r="Q20" s="14">
        <f t="shared" si="17"/>
        <v>0.24119224299406072</v>
      </c>
      <c r="R20" s="14">
        <f t="shared" si="17"/>
        <v>0.24430297473355833</v>
      </c>
      <c r="S20" s="14">
        <f t="shared" si="17"/>
        <v>0.25660956793129319</v>
      </c>
      <c r="T20" s="14">
        <f t="shared" si="17"/>
        <v>0.26023439196062426</v>
      </c>
      <c r="U20" s="14">
        <f t="shared" si="17"/>
        <v>0.26453409617882073</v>
      </c>
      <c r="V20" s="14">
        <f t="shared" si="17"/>
        <v>0.27463692694276554</v>
      </c>
      <c r="W20" s="14">
        <f t="shared" si="17"/>
        <v>0.27206356130575249</v>
      </c>
      <c r="X20" s="14">
        <f t="shared" si="17"/>
        <v>0.2670565680734156</v>
      </c>
      <c r="Y20" s="14">
        <f t="shared" si="17"/>
        <v>0.2593890226956872</v>
      </c>
      <c r="Z20" s="14">
        <f t="shared" si="17"/>
        <v>0.25051407438284246</v>
      </c>
      <c r="AA20" s="14">
        <f t="shared" si="17"/>
        <v>0.24184670819971021</v>
      </c>
      <c r="AB20" s="14">
        <f t="shared" si="17"/>
        <v>0.23706721034673128</v>
      </c>
      <c r="AC20" s="14">
        <f t="shared" si="17"/>
        <v>0.227198314808019</v>
      </c>
      <c r="AD20" s="14">
        <f t="shared" si="17"/>
        <v>0.2231772930054019</v>
      </c>
      <c r="AE20" s="14">
        <f t="shared" si="17"/>
        <v>0.22425902522256713</v>
      </c>
      <c r="AF20" s="14">
        <f t="shared" si="17"/>
        <v>0.22381409762580717</v>
      </c>
      <c r="AG20" s="14">
        <f t="shared" si="17"/>
        <v>0.22122845292001569</v>
      </c>
      <c r="AH20" s="14">
        <f t="shared" si="17"/>
        <v>0.22178951753217291</v>
      </c>
      <c r="AI20" s="14">
        <f t="shared" si="17"/>
        <v>0.21855514611783766</v>
      </c>
      <c r="AJ20" s="14">
        <f t="shared" si="17"/>
        <v>0.21811948432582517</v>
      </c>
      <c r="AK20" s="14">
        <f t="shared" si="17"/>
        <v>0.22041975370593914</v>
      </c>
      <c r="AL20" s="14">
        <f t="shared" si="17"/>
        <v>0.21283781184865713</v>
      </c>
      <c r="AM20" s="14">
        <f t="shared" si="17"/>
        <v>0.23164565961519235</v>
      </c>
      <c r="AN20" s="14">
        <f t="shared" si="17"/>
        <v>0.23681185640872005</v>
      </c>
      <c r="AO20" s="14">
        <f t="shared" si="17"/>
        <v>0.24354989693653351</v>
      </c>
      <c r="AP20" s="14">
        <f t="shared" si="17"/>
        <v>0.26068067422506336</v>
      </c>
      <c r="AQ20" s="14">
        <f t="shared" si="17"/>
        <v>0.26070430660738975</v>
      </c>
      <c r="AR20" s="14">
        <f t="shared" si="17"/>
        <v>0.26553690642221817</v>
      </c>
      <c r="AS20" s="14">
        <f t="shared" si="17"/>
        <v>0.26822125989412515</v>
      </c>
      <c r="AT20" s="14">
        <f t="shared" si="17"/>
        <v>0</v>
      </c>
      <c r="AU20" s="14">
        <f t="shared" si="17"/>
        <v>0</v>
      </c>
      <c r="AV20" s="14">
        <f t="shared" si="17"/>
        <v>0</v>
      </c>
      <c r="AW20" s="14">
        <f t="shared" si="17"/>
        <v>0</v>
      </c>
      <c r="AX20" s="14">
        <f t="shared" si="17"/>
        <v>0</v>
      </c>
      <c r="AY20" s="14">
        <f t="shared" si="17"/>
        <v>0</v>
      </c>
      <c r="AZ20" s="14">
        <f t="shared" ref="AZ20:BK20" si="18">IFERROR(((1+AZ38/AZ14)^(360/AZ$3))-1,0)</f>
        <v>0.20423130288141089</v>
      </c>
      <c r="BA20" s="14">
        <f t="shared" si="18"/>
        <v>0.19625606526147732</v>
      </c>
      <c r="BB20" s="14">
        <f t="shared" si="18"/>
        <v>0.2008197413701982</v>
      </c>
      <c r="BC20" s="14">
        <f t="shared" si="18"/>
        <v>0.1942079609031333</v>
      </c>
      <c r="BD20" s="14">
        <f t="shared" si="18"/>
        <v>0.19089272242735356</v>
      </c>
      <c r="BE20" s="14">
        <f t="shared" si="18"/>
        <v>0.19339831579809186</v>
      </c>
      <c r="BF20" s="14">
        <f t="shared" si="18"/>
        <v>0.19097611454602847</v>
      </c>
      <c r="BG20" s="14">
        <f t="shared" si="18"/>
        <v>0.18852760965848869</v>
      </c>
      <c r="BH20" s="14">
        <f t="shared" si="18"/>
        <v>0.18300060516141103</v>
      </c>
      <c r="BI20" s="14">
        <f t="shared" si="18"/>
        <v>0.1829609874365461</v>
      </c>
      <c r="BJ20" s="14">
        <f t="shared" si="18"/>
        <v>0.17966547178764714</v>
      </c>
      <c r="BK20" s="14">
        <f t="shared" si="18"/>
        <v>0.18335797391582953</v>
      </c>
      <c r="BO20" s="28">
        <f>IFERROR(((1+BO38/BW14)^(360/BO$3))-1,0)</f>
        <v>0.24800966274170611</v>
      </c>
      <c r="BP20" s="28">
        <f t="shared" ref="BP20:BT23" si="19">IFERROR(((1+BP38/BX14)^(360/BP$3))-1,0)</f>
        <v>0.20060014863582176</v>
      </c>
      <c r="BQ20" s="28">
        <f t="shared" si="19"/>
        <v>0.23937885366413836</v>
      </c>
      <c r="BR20" s="28">
        <f t="shared" si="19"/>
        <v>0.22939523115045835</v>
      </c>
      <c r="BS20" s="28">
        <f t="shared" si="19"/>
        <v>0.24311404491733035</v>
      </c>
      <c r="BT20" s="28">
        <f t="shared" si="19"/>
        <v>0.25384217132769948</v>
      </c>
    </row>
    <row r="21" spans="1:80" hidden="1" outlineLevel="1" x14ac:dyDescent="0.25">
      <c r="A21" s="11"/>
      <c r="C21" s="2" t="s">
        <v>1</v>
      </c>
      <c r="D21" s="14">
        <f t="shared" ref="D21:S23" si="20">IFERROR(((1+D39/D15)^(360/D$3))-1,0)</f>
        <v>0.1026123079742689</v>
      </c>
      <c r="E21" s="14">
        <f t="shared" si="20"/>
        <v>0.12219510109047005</v>
      </c>
      <c r="F21" s="14">
        <f t="shared" si="20"/>
        <v>7.7724270596157385E-2</v>
      </c>
      <c r="G21" s="14">
        <f t="shared" si="20"/>
        <v>6.3593202173218621E-2</v>
      </c>
      <c r="H21" s="14">
        <f t="shared" si="20"/>
        <v>6.3042283913658848E-2</v>
      </c>
      <c r="I21" s="14">
        <f t="shared" si="20"/>
        <v>8.3499604389637883E-2</v>
      </c>
      <c r="J21" s="14">
        <f t="shared" si="20"/>
        <v>8.7564976647074966E-2</v>
      </c>
      <c r="K21" s="14">
        <f t="shared" si="20"/>
        <v>7.8681799683162357E-2</v>
      </c>
      <c r="L21" s="14">
        <f t="shared" si="20"/>
        <v>7.9243205357110158E-2</v>
      </c>
      <c r="M21" s="14">
        <f t="shared" si="20"/>
        <v>0.10049039911147206</v>
      </c>
      <c r="N21" s="14">
        <f t="shared" si="20"/>
        <v>8.1255126622867824E-2</v>
      </c>
      <c r="O21" s="14">
        <f t="shared" si="20"/>
        <v>9.7209253516022942E-2</v>
      </c>
      <c r="P21" s="14">
        <f t="shared" si="20"/>
        <v>9.0665600742571018E-2</v>
      </c>
      <c r="Q21" s="14">
        <f t="shared" si="20"/>
        <v>0.10413691451321982</v>
      </c>
      <c r="R21" s="14">
        <f t="shared" si="20"/>
        <v>8.080002657331975E-2</v>
      </c>
      <c r="S21" s="14">
        <f t="shared" si="20"/>
        <v>8.5838232727549979E-2</v>
      </c>
      <c r="T21" s="14">
        <f t="shared" si="17"/>
        <v>4.9450103225541886E-2</v>
      </c>
      <c r="U21" s="14">
        <f t="shared" si="17"/>
        <v>6.8544805507052997E-2</v>
      </c>
      <c r="V21" s="14">
        <f t="shared" si="17"/>
        <v>8.2997677193213271E-2</v>
      </c>
      <c r="W21" s="14">
        <f t="shared" si="17"/>
        <v>0.1397471362986098</v>
      </c>
      <c r="X21" s="14">
        <f t="shared" si="17"/>
        <v>8.1606121974330703E-2</v>
      </c>
      <c r="Y21" s="14">
        <f t="shared" si="17"/>
        <v>7.2701581228297174E-2</v>
      </c>
      <c r="Z21" s="14">
        <f t="shared" si="17"/>
        <v>8.0887532179642951E-2</v>
      </c>
      <c r="AA21" s="14">
        <f t="shared" si="17"/>
        <v>9.8372251600433946E-2</v>
      </c>
      <c r="AB21" s="14">
        <f t="shared" si="17"/>
        <v>7.6204675600174854E-2</v>
      </c>
      <c r="AC21" s="14">
        <f t="shared" si="17"/>
        <v>5.8073931441670057E-2</v>
      </c>
      <c r="AD21" s="14">
        <f t="shared" si="17"/>
        <v>6.2340508527092497E-2</v>
      </c>
      <c r="AE21" s="14">
        <f t="shared" si="17"/>
        <v>8.3691584850847711E-2</v>
      </c>
      <c r="AF21" s="14">
        <f t="shared" si="17"/>
        <v>5.8940919928026192E-2</v>
      </c>
      <c r="AG21" s="14">
        <f t="shared" si="17"/>
        <v>8.141008797477145E-2</v>
      </c>
      <c r="AH21" s="14">
        <f t="shared" si="17"/>
        <v>9.1631121362597101E-2</v>
      </c>
      <c r="AI21" s="14">
        <f t="shared" si="17"/>
        <v>8.9337360080942174E-2</v>
      </c>
      <c r="AJ21" s="14">
        <f t="shared" si="17"/>
        <v>9.1292709378030912E-2</v>
      </c>
      <c r="AK21" s="14">
        <f t="shared" si="17"/>
        <v>7.9912590246213444E-2</v>
      </c>
      <c r="AL21" s="14">
        <f t="shared" si="17"/>
        <v>9.7247637422958721E-2</v>
      </c>
      <c r="AM21" s="14">
        <f t="shared" si="17"/>
        <v>8.9792971353791939E-2</v>
      </c>
      <c r="AN21" s="14">
        <f t="shared" si="17"/>
        <v>7.5277496283538081E-2</v>
      </c>
      <c r="AO21" s="14">
        <f t="shared" si="17"/>
        <v>9.7792915283708259E-2</v>
      </c>
      <c r="AP21" s="14">
        <f t="shared" si="17"/>
        <v>8.6305596573546639E-2</v>
      </c>
      <c r="AQ21" s="14">
        <f t="shared" si="17"/>
        <v>0.12652650938642407</v>
      </c>
      <c r="AR21" s="14">
        <f t="shared" si="17"/>
        <v>9.9740882621936144E-2</v>
      </c>
      <c r="AS21" s="14">
        <f t="shared" si="17"/>
        <v>9.3769113762701251E-2</v>
      </c>
      <c r="AT21" s="14">
        <f t="shared" si="17"/>
        <v>0</v>
      </c>
      <c r="AU21" s="14">
        <f t="shared" si="17"/>
        <v>0</v>
      </c>
      <c r="AV21" s="14">
        <f t="shared" si="17"/>
        <v>0</v>
      </c>
      <c r="AW21" s="14">
        <f t="shared" si="17"/>
        <v>0</v>
      </c>
      <c r="AX21" s="14">
        <f t="shared" si="17"/>
        <v>0</v>
      </c>
      <c r="AY21" s="14">
        <f t="shared" si="17"/>
        <v>0</v>
      </c>
      <c r="AZ21" s="14">
        <f t="shared" ref="AZ21:BK21" si="21">IFERROR(((1+AZ39/AZ15)^(360/AZ$3))-1,0)</f>
        <v>9.1474037320140367E-2</v>
      </c>
      <c r="BA21" s="14">
        <f t="shared" si="21"/>
        <v>9.1440112675823082E-2</v>
      </c>
      <c r="BB21" s="14">
        <f t="shared" si="21"/>
        <v>9.154509012600931E-2</v>
      </c>
      <c r="BC21" s="14">
        <f t="shared" si="21"/>
        <v>9.1486413373989439E-2</v>
      </c>
      <c r="BD21" s="14">
        <f t="shared" si="21"/>
        <v>9.1490538725272907E-2</v>
      </c>
      <c r="BE21" s="14">
        <f t="shared" si="21"/>
        <v>9.1507347408423367E-2</v>
      </c>
      <c r="BF21" s="14">
        <f t="shared" si="21"/>
        <v>9.1494766502561831E-2</v>
      </c>
      <c r="BG21" s="14">
        <f t="shared" si="21"/>
        <v>9.1497550878754774E-2</v>
      </c>
      <c r="BH21" s="14">
        <f t="shared" si="21"/>
        <v>9.149988826324762E-2</v>
      </c>
      <c r="BI21" s="14">
        <f t="shared" si="21"/>
        <v>9.1497401881521778E-2</v>
      </c>
      <c r="BJ21" s="14">
        <f t="shared" si="21"/>
        <v>9.1498280341173466E-2</v>
      </c>
      <c r="BK21" s="14">
        <f t="shared" si="21"/>
        <v>9.149852349531451E-2</v>
      </c>
      <c r="BO21" s="28">
        <f t="shared" ref="BO21:BO23" si="22">IFERROR(((1+BO39/BW15)^(360/BO$3))-1,0)</f>
        <v>8.5818477893958578E-2</v>
      </c>
      <c r="BP21" s="28">
        <f t="shared" si="19"/>
        <v>9.1491765379298817E-2</v>
      </c>
      <c r="BQ21" s="28">
        <f t="shared" si="19"/>
        <v>8.566829969733436E-2</v>
      </c>
      <c r="BR21" s="28">
        <f t="shared" si="19"/>
        <v>6.5770009917458738E-2</v>
      </c>
      <c r="BS21" s="28">
        <f t="shared" si="19"/>
        <v>9.1892151329117322E-2</v>
      </c>
      <c r="BT21" s="28">
        <f t="shared" si="19"/>
        <v>9.9368760291591141E-2</v>
      </c>
    </row>
    <row r="22" spans="1:80" hidden="1" outlineLevel="1" x14ac:dyDescent="0.25">
      <c r="A22" s="11"/>
      <c r="C22" s="2" t="s">
        <v>45</v>
      </c>
      <c r="D22" s="14">
        <f t="shared" si="20"/>
        <v>6.2513864529082808E-2</v>
      </c>
      <c r="E22" s="14">
        <f t="shared" si="17"/>
        <v>2.6731135784948235E-2</v>
      </c>
      <c r="F22" s="14">
        <f t="shared" si="17"/>
        <v>4.1551547570890301E-2</v>
      </c>
      <c r="G22" s="14">
        <f t="shared" si="17"/>
        <v>8.0026359327536767E-2</v>
      </c>
      <c r="H22" s="14">
        <f t="shared" si="17"/>
        <v>0.14273788507957685</v>
      </c>
      <c r="I22" s="14">
        <f t="shared" si="17"/>
        <v>8.5165491239880931E-2</v>
      </c>
      <c r="J22" s="14">
        <f t="shared" si="17"/>
        <v>0.14184750595661244</v>
      </c>
      <c r="K22" s="14">
        <f t="shared" si="17"/>
        <v>5.371315697049428E-2</v>
      </c>
      <c r="L22" s="14">
        <f t="shared" si="17"/>
        <v>4.5912503948567274E-2</v>
      </c>
      <c r="M22" s="14">
        <f t="shared" si="17"/>
        <v>4.9644160701816098E-2</v>
      </c>
      <c r="N22" s="14">
        <f t="shared" si="17"/>
        <v>8.9021161221937817E-2</v>
      </c>
      <c r="O22" s="14">
        <f t="shared" si="17"/>
        <v>8.9537310054900177E-2</v>
      </c>
      <c r="P22" s="14">
        <f t="shared" si="17"/>
        <v>5.8430344829562442E-2</v>
      </c>
      <c r="Q22" s="14">
        <f t="shared" si="17"/>
        <v>6.413290543882133E-2</v>
      </c>
      <c r="R22" s="14">
        <f t="shared" si="17"/>
        <v>6.5523110399516193E-2</v>
      </c>
      <c r="S22" s="14">
        <f t="shared" si="17"/>
        <v>9.6565358278490887E-2</v>
      </c>
      <c r="T22" s="14">
        <f t="shared" si="17"/>
        <v>0.10736229755404447</v>
      </c>
      <c r="U22" s="14">
        <f t="shared" si="17"/>
        <v>0.13734897678542213</v>
      </c>
      <c r="V22" s="14">
        <f t="shared" si="17"/>
        <v>0.14309512385546252</v>
      </c>
      <c r="W22" s="14">
        <f t="shared" si="17"/>
        <v>8.2076098132521924E-2</v>
      </c>
      <c r="X22" s="14">
        <f t="shared" si="17"/>
        <v>0.10608931441406377</v>
      </c>
      <c r="Y22" s="14">
        <f t="shared" si="17"/>
        <v>0.11614830226478423</v>
      </c>
      <c r="Z22" s="14">
        <f t="shared" si="17"/>
        <v>0.18960059628949222</v>
      </c>
      <c r="AA22" s="14">
        <f t="shared" si="17"/>
        <v>0.21943448836405066</v>
      </c>
      <c r="AB22" s="14">
        <f t="shared" si="17"/>
        <v>0.14673214328624296</v>
      </c>
      <c r="AC22" s="14">
        <f t="shared" si="17"/>
        <v>0.16601051102878328</v>
      </c>
      <c r="AD22" s="14">
        <f t="shared" si="17"/>
        <v>0.18874216275211197</v>
      </c>
      <c r="AE22" s="14">
        <f t="shared" si="17"/>
        <v>0.17562842275998136</v>
      </c>
      <c r="AF22" s="14">
        <f t="shared" si="17"/>
        <v>0.16671972232694343</v>
      </c>
      <c r="AG22" s="14">
        <f t="shared" si="17"/>
        <v>0.15307991391145359</v>
      </c>
      <c r="AH22" s="14">
        <f t="shared" si="17"/>
        <v>0.19235194829921443</v>
      </c>
      <c r="AI22" s="14">
        <f t="shared" si="17"/>
        <v>0.13744598667343166</v>
      </c>
      <c r="AJ22" s="14">
        <f t="shared" si="17"/>
        <v>0.13688022113026488</v>
      </c>
      <c r="AK22" s="14">
        <f t="shared" si="17"/>
        <v>9.4971717828837399E-2</v>
      </c>
      <c r="AL22" s="14">
        <f t="shared" si="17"/>
        <v>0.14189632950921705</v>
      </c>
      <c r="AM22" s="14">
        <f t="shared" si="17"/>
        <v>0.28193747074466291</v>
      </c>
      <c r="AN22" s="14">
        <f t="shared" si="17"/>
        <v>0.10732902567844205</v>
      </c>
      <c r="AO22" s="14">
        <f t="shared" si="17"/>
        <v>0.12258721982220355</v>
      </c>
      <c r="AP22" s="14">
        <f t="shared" si="17"/>
        <v>0.16053416749560512</v>
      </c>
      <c r="AQ22" s="14">
        <f t="shared" si="17"/>
        <v>0.14158141297067028</v>
      </c>
      <c r="AR22" s="14">
        <f t="shared" si="17"/>
        <v>0.19635475351827281</v>
      </c>
      <c r="AS22" s="14">
        <f t="shared" si="17"/>
        <v>9.6416188130659775E-2</v>
      </c>
      <c r="AT22" s="14">
        <f t="shared" si="17"/>
        <v>0</v>
      </c>
      <c r="AU22" s="14">
        <f t="shared" si="17"/>
        <v>0</v>
      </c>
      <c r="AV22" s="14">
        <f t="shared" si="17"/>
        <v>0</v>
      </c>
      <c r="AW22" s="14">
        <f t="shared" si="17"/>
        <v>0</v>
      </c>
      <c r="AX22" s="14">
        <f t="shared" si="17"/>
        <v>0</v>
      </c>
      <c r="AY22" s="14">
        <f t="shared" si="17"/>
        <v>0</v>
      </c>
      <c r="AZ22" s="14">
        <f t="shared" ref="AZ22:BK22" si="23">IFERROR(((1+AZ40/AZ16)^(360/AZ$3))-1,0)</f>
        <v>0.13983358760239417</v>
      </c>
      <c r="BA22" s="14">
        <f t="shared" si="23"/>
        <v>0.15301360671310271</v>
      </c>
      <c r="BB22" s="14">
        <f t="shared" si="23"/>
        <v>0.13783894744776037</v>
      </c>
      <c r="BC22" s="14">
        <f t="shared" si="23"/>
        <v>0.1432279599744628</v>
      </c>
      <c r="BD22" s="14">
        <f t="shared" si="23"/>
        <v>0.1377921884214699</v>
      </c>
      <c r="BE22" s="14">
        <f t="shared" si="23"/>
        <v>0.14289123630484357</v>
      </c>
      <c r="BF22" s="14">
        <f t="shared" si="23"/>
        <v>0.13802404174343486</v>
      </c>
      <c r="BG22" s="14">
        <f t="shared" si="23"/>
        <v>0.13793132788758533</v>
      </c>
      <c r="BH22" s="14">
        <f t="shared" si="23"/>
        <v>0.14289117982293686</v>
      </c>
      <c r="BI22" s="14">
        <f t="shared" si="23"/>
        <v>0.13797769302343421</v>
      </c>
      <c r="BJ22" s="14">
        <f t="shared" si="23"/>
        <v>0.14287512790752044</v>
      </c>
      <c r="BK22" s="14">
        <f t="shared" si="23"/>
        <v>0.13797254931933378</v>
      </c>
      <c r="BO22" s="28">
        <f t="shared" si="22"/>
        <v>0.12982131065838143</v>
      </c>
      <c r="BP22" s="28">
        <f t="shared" si="19"/>
        <v>0.14325743723197037</v>
      </c>
      <c r="BQ22" s="28">
        <f t="shared" si="19"/>
        <v>0.11452531463934701</v>
      </c>
      <c r="BR22" s="28">
        <f t="shared" si="19"/>
        <v>0.16666144120264081</v>
      </c>
      <c r="BS22" s="28">
        <f t="shared" si="19"/>
        <v>6.2491605889691604E-2</v>
      </c>
      <c r="BT22" s="28">
        <f t="shared" si="19"/>
        <v>4.4281753962929882E-2</v>
      </c>
    </row>
    <row r="23" spans="1:80" collapsed="1" x14ac:dyDescent="0.25">
      <c r="C23" s="3" t="s">
        <v>59</v>
      </c>
      <c r="D23" s="15">
        <f t="shared" si="20"/>
        <v>0.24167463900943176</v>
      </c>
      <c r="E23" s="15">
        <f t="shared" si="17"/>
        <v>0.23820687575841171</v>
      </c>
      <c r="F23" s="15">
        <f t="shared" si="17"/>
        <v>0.23462544085789316</v>
      </c>
      <c r="G23" s="15">
        <f t="shared" si="17"/>
        <v>0.21563502013166391</v>
      </c>
      <c r="H23" s="15">
        <f t="shared" si="17"/>
        <v>0.24422386883671776</v>
      </c>
      <c r="I23" s="15">
        <f t="shared" si="17"/>
        <v>0.23727399583794417</v>
      </c>
      <c r="J23" s="15">
        <f t="shared" si="17"/>
        <v>0.23964606253010934</v>
      </c>
      <c r="K23" s="15">
        <f t="shared" si="17"/>
        <v>0.22598719503901199</v>
      </c>
      <c r="L23" s="15">
        <f t="shared" si="17"/>
        <v>0.22443261514521451</v>
      </c>
      <c r="M23" s="15">
        <f t="shared" si="17"/>
        <v>0.22771907945096803</v>
      </c>
      <c r="N23" s="15">
        <f t="shared" si="17"/>
        <v>0.22230967977860128</v>
      </c>
      <c r="O23" s="15">
        <f t="shared" si="17"/>
        <v>0.21868641988141824</v>
      </c>
      <c r="P23" s="15">
        <f t="shared" si="17"/>
        <v>0.22346191530452497</v>
      </c>
      <c r="Q23" s="15">
        <f t="shared" si="17"/>
        <v>0.22019829102550847</v>
      </c>
      <c r="R23" s="15">
        <f t="shared" si="17"/>
        <v>0.22520459435120932</v>
      </c>
      <c r="S23" s="15">
        <f t="shared" si="17"/>
        <v>0.23750819812432167</v>
      </c>
      <c r="T23" s="15">
        <f t="shared" si="17"/>
        <v>0.24172404254351187</v>
      </c>
      <c r="U23" s="15">
        <f t="shared" si="17"/>
        <v>0.24886012509371103</v>
      </c>
      <c r="V23" s="15">
        <f t="shared" si="17"/>
        <v>0.26022764989786951</v>
      </c>
      <c r="W23" s="15">
        <f t="shared" si="17"/>
        <v>0.25716307613613498</v>
      </c>
      <c r="X23" s="15">
        <f t="shared" si="17"/>
        <v>0.25323761283549651</v>
      </c>
      <c r="Y23" s="15">
        <f t="shared" si="17"/>
        <v>0.24849198479285728</v>
      </c>
      <c r="Z23" s="15">
        <f t="shared" si="17"/>
        <v>0.24413132359892775</v>
      </c>
      <c r="AA23" s="15">
        <f t="shared" si="17"/>
        <v>0.23716648035811105</v>
      </c>
      <c r="AB23" s="15">
        <f t="shared" si="17"/>
        <v>0.22764494756481723</v>
      </c>
      <c r="AC23" s="15">
        <f t="shared" si="17"/>
        <v>0.21832783235618081</v>
      </c>
      <c r="AD23" s="15">
        <f t="shared" si="17"/>
        <v>0.21633353165922986</v>
      </c>
      <c r="AE23" s="15">
        <f t="shared" si="17"/>
        <v>0.21697687578807945</v>
      </c>
      <c r="AF23" s="15">
        <f t="shared" si="17"/>
        <v>0.21520897802260652</v>
      </c>
      <c r="AG23" s="15">
        <f t="shared" si="17"/>
        <v>0.21262326724461666</v>
      </c>
      <c r="AH23" s="15">
        <f t="shared" si="17"/>
        <v>0.21662675302573753</v>
      </c>
      <c r="AI23" s="15">
        <f t="shared" si="17"/>
        <v>0.21054928909040038</v>
      </c>
      <c r="AJ23" s="15">
        <f t="shared" si="17"/>
        <v>0.21019246752017473</v>
      </c>
      <c r="AK23" s="15">
        <f t="shared" si="17"/>
        <v>0.2095306919120401</v>
      </c>
      <c r="AL23" s="15">
        <f t="shared" si="17"/>
        <v>0.20676766219151776</v>
      </c>
      <c r="AM23" s="15">
        <f t="shared" si="17"/>
        <v>0.23080775866508119</v>
      </c>
      <c r="AN23" s="15">
        <f t="shared" si="17"/>
        <v>0.22758595648591573</v>
      </c>
      <c r="AO23" s="15">
        <f t="shared" si="17"/>
        <v>0.23626255399136431</v>
      </c>
      <c r="AP23" s="15">
        <f t="shared" si="17"/>
        <v>0.25462890260676097</v>
      </c>
      <c r="AQ23" s="15">
        <f t="shared" si="17"/>
        <v>0.25540408716538621</v>
      </c>
      <c r="AR23" s="15">
        <f t="shared" si="17"/>
        <v>0.26215943562015553</v>
      </c>
      <c r="AS23" s="15">
        <f t="shared" si="17"/>
        <v>0.26163825918879224</v>
      </c>
      <c r="AT23" s="15">
        <f t="shared" si="17"/>
        <v>0</v>
      </c>
      <c r="AU23" s="15">
        <f t="shared" si="17"/>
        <v>0</v>
      </c>
      <c r="AV23" s="15">
        <f t="shared" si="17"/>
        <v>0</v>
      </c>
      <c r="AW23" s="15">
        <f t="shared" si="17"/>
        <v>0</v>
      </c>
      <c r="AX23" s="15">
        <f t="shared" si="17"/>
        <v>0</v>
      </c>
      <c r="AY23" s="15">
        <f t="shared" si="17"/>
        <v>0</v>
      </c>
      <c r="AZ23" s="15">
        <f t="shared" ref="AZ23:BK23" si="24">IFERROR(((1+AZ41/AZ17)^(360/AZ$3))-1,0)</f>
        <v>0.1984337330337802</v>
      </c>
      <c r="BA23" s="15">
        <f t="shared" si="24"/>
        <v>0.19183255384123177</v>
      </c>
      <c r="BB23" s="15">
        <f t="shared" si="24"/>
        <v>0.19545419092699579</v>
      </c>
      <c r="BC23" s="15">
        <f t="shared" si="24"/>
        <v>0.18953572869805657</v>
      </c>
      <c r="BD23" s="15">
        <f t="shared" si="24"/>
        <v>0.18626265493640748</v>
      </c>
      <c r="BE23" s="15">
        <f t="shared" si="24"/>
        <v>0.1889537685484306</v>
      </c>
      <c r="BF23" s="15">
        <f t="shared" si="24"/>
        <v>0.18649672466364819</v>
      </c>
      <c r="BG23" s="15">
        <f t="shared" si="24"/>
        <v>0.18414430171561191</v>
      </c>
      <c r="BH23" s="15">
        <f t="shared" si="24"/>
        <v>0.17933913860030226</v>
      </c>
      <c r="BI23" s="15">
        <f t="shared" si="24"/>
        <v>0.17911891748963948</v>
      </c>
      <c r="BJ23" s="15">
        <f t="shared" si="24"/>
        <v>0.1761728111420946</v>
      </c>
      <c r="BK23" s="15">
        <f t="shared" si="24"/>
        <v>0.17920762413991231</v>
      </c>
      <c r="BO23" s="29">
        <f t="shared" si="22"/>
        <v>0.24052619575111112</v>
      </c>
      <c r="BP23" s="29">
        <f t="shared" si="19"/>
        <v>0.1953784358502304</v>
      </c>
      <c r="BQ23" s="29">
        <f t="shared" si="19"/>
        <v>0.23120154625665124</v>
      </c>
      <c r="BR23" s="29">
        <f t="shared" si="19"/>
        <v>0.2209379853733402</v>
      </c>
      <c r="BS23" s="29">
        <f t="shared" si="19"/>
        <v>0.22302616001555098</v>
      </c>
      <c r="BT23" s="29">
        <f t="shared" si="19"/>
        <v>0.23818161336852439</v>
      </c>
    </row>
    <row r="26" spans="1:80" hidden="1" outlineLevel="1" x14ac:dyDescent="0.25">
      <c r="A26" s="11"/>
      <c r="C26" s="2" t="s">
        <v>0</v>
      </c>
      <c r="D26" s="14">
        <f>-IFERROR(((1-D44/D14)^(360/D$4))-1,0)</f>
        <v>-6.8927467867210268E-2</v>
      </c>
      <c r="E26" s="14">
        <f t="shared" ref="E26:AY29" si="25">-IFERROR(((1-E44/E14)^(360/E$4))-1,0)</f>
        <v>-7.1911736987002595E-2</v>
      </c>
      <c r="F26" s="14">
        <f t="shared" si="25"/>
        <v>-7.4168595867783571E-2</v>
      </c>
      <c r="G26" s="14">
        <f t="shared" si="25"/>
        <v>-7.5586433688312304E-2</v>
      </c>
      <c r="H26" s="14">
        <f t="shared" si="25"/>
        <v>-7.641263625178607E-2</v>
      </c>
      <c r="I26" s="14">
        <f t="shared" si="25"/>
        <v>-7.8039565821064638E-2</v>
      </c>
      <c r="J26" s="14">
        <f t="shared" si="25"/>
        <v>-7.7876624006197437E-2</v>
      </c>
      <c r="K26" s="14">
        <f t="shared" si="25"/>
        <v>-7.7904087398872779E-2</v>
      </c>
      <c r="L26" s="14">
        <f t="shared" si="25"/>
        <v>-7.8403497724345739E-2</v>
      </c>
      <c r="M26" s="14">
        <f t="shared" si="25"/>
        <v>-7.897264640515389E-2</v>
      </c>
      <c r="N26" s="14">
        <f t="shared" si="25"/>
        <v>-7.9205214606480334E-2</v>
      </c>
      <c r="O26" s="14">
        <f t="shared" si="25"/>
        <v>-7.9248452981606432E-2</v>
      </c>
      <c r="P26" s="14">
        <f t="shared" si="25"/>
        <v>-7.8949742722876914E-2</v>
      </c>
      <c r="Q26" s="14">
        <f t="shared" si="25"/>
        <v>-7.8503913230594691E-2</v>
      </c>
      <c r="R26" s="14">
        <f t="shared" si="25"/>
        <v>-7.7705354864760379E-2</v>
      </c>
      <c r="S26" s="14">
        <f t="shared" si="25"/>
        <v>-7.6933611909085986E-2</v>
      </c>
      <c r="T26" s="14">
        <f t="shared" si="25"/>
        <v>-7.6048823151570355E-2</v>
      </c>
      <c r="U26" s="14">
        <f t="shared" si="25"/>
        <v>-7.5186708403408575E-2</v>
      </c>
      <c r="V26" s="14">
        <f t="shared" si="25"/>
        <v>-7.4368461479320969E-2</v>
      </c>
      <c r="W26" s="14">
        <f t="shared" si="25"/>
        <v>-7.369612988549834E-2</v>
      </c>
      <c r="X26" s="14">
        <f t="shared" si="25"/>
        <v>-7.2738957658080583E-2</v>
      </c>
      <c r="Y26" s="14">
        <f t="shared" si="25"/>
        <v>-7.2043339738204315E-2</v>
      </c>
      <c r="Z26" s="14">
        <f t="shared" si="25"/>
        <v>-7.1748578054478429E-2</v>
      </c>
      <c r="AA26" s="14">
        <f t="shared" si="25"/>
        <v>-7.1462302375441045E-2</v>
      </c>
      <c r="AB26" s="14">
        <f t="shared" si="25"/>
        <v>-7.1247804908448842E-2</v>
      </c>
      <c r="AC26" s="14">
        <f t="shared" si="25"/>
        <v>-7.0818124130223925E-2</v>
      </c>
      <c r="AD26" s="14">
        <f t="shared" si="25"/>
        <v>-6.9977583528852527E-2</v>
      </c>
      <c r="AE26" s="14">
        <f t="shared" si="25"/>
        <v>-6.9418143814094391E-2</v>
      </c>
      <c r="AF26" s="14">
        <f t="shared" si="25"/>
        <v>-6.8494040177944582E-2</v>
      </c>
      <c r="AG26" s="14">
        <f t="shared" si="25"/>
        <v>-6.7578847972536771E-2</v>
      </c>
      <c r="AH26" s="14">
        <f t="shared" si="25"/>
        <v>-6.6753148781334648E-2</v>
      </c>
      <c r="AI26" s="14">
        <f t="shared" si="25"/>
        <v>-6.5914197694714627E-2</v>
      </c>
      <c r="AJ26" s="14">
        <f t="shared" si="25"/>
        <v>-6.5256475010254889E-2</v>
      </c>
      <c r="AK26" s="14">
        <f t="shared" si="25"/>
        <v>-6.4752661588267424E-2</v>
      </c>
      <c r="AL26" s="14">
        <f t="shared" si="25"/>
        <v>-6.390185675752269E-2</v>
      </c>
      <c r="AM26" s="14">
        <f t="shared" si="25"/>
        <v>-6.2690417463601822E-2</v>
      </c>
      <c r="AN26" s="14">
        <f t="shared" si="25"/>
        <v>-6.1253439484361127E-2</v>
      </c>
      <c r="AO26" s="14">
        <f t="shared" si="25"/>
        <v>-5.9223894945130917E-2</v>
      </c>
      <c r="AP26" s="14">
        <f t="shared" si="25"/>
        <v>-5.7641742026224296E-2</v>
      </c>
      <c r="AQ26" s="14">
        <f t="shared" si="25"/>
        <v>-5.6762590887699194E-2</v>
      </c>
      <c r="AR26" s="14">
        <f t="shared" si="25"/>
        <v>-5.6072469859529406E-2</v>
      </c>
      <c r="AS26" s="14">
        <f t="shared" si="25"/>
        <v>-5.5334470389558854E-2</v>
      </c>
      <c r="AT26" s="14">
        <f t="shared" si="25"/>
        <v>0</v>
      </c>
      <c r="AU26" s="14">
        <f t="shared" si="25"/>
        <v>0</v>
      </c>
      <c r="AV26" s="14">
        <f t="shared" si="25"/>
        <v>0</v>
      </c>
      <c r="AW26" s="14">
        <f t="shared" si="25"/>
        <v>0</v>
      </c>
      <c r="AX26" s="14">
        <f t="shared" si="25"/>
        <v>0</v>
      </c>
      <c r="AY26" s="14">
        <f t="shared" si="25"/>
        <v>0</v>
      </c>
      <c r="AZ26" s="14">
        <f t="shared" ref="AZ26:BK26" si="26">-IFERROR(((1-AZ44/AZ14)^(360/AZ$4))-1,0)</f>
        <v>-6.2838650614638336E-2</v>
      </c>
      <c r="BA26" s="14">
        <f t="shared" si="26"/>
        <v>-6.2158136801162334E-2</v>
      </c>
      <c r="BB26" s="14">
        <f t="shared" si="26"/>
        <v>-6.1406505314281823E-2</v>
      </c>
      <c r="BC26" s="14">
        <f t="shared" si="26"/>
        <v>-6.0869603690025365E-2</v>
      </c>
      <c r="BD26" s="14">
        <f t="shared" si="26"/>
        <v>-6.0180281006322778E-2</v>
      </c>
      <c r="BE26" s="14">
        <f t="shared" si="26"/>
        <v>-5.9497985428754285E-2</v>
      </c>
      <c r="BF26" s="14">
        <f t="shared" si="26"/>
        <v>-5.8855438335807531E-2</v>
      </c>
      <c r="BG26" s="14">
        <f t="shared" si="26"/>
        <v>-5.8406705057766795E-2</v>
      </c>
      <c r="BH26" s="14">
        <f t="shared" si="26"/>
        <v>-5.7729831645020768E-2</v>
      </c>
      <c r="BI26" s="14">
        <f t="shared" si="26"/>
        <v>-5.7110608020774389E-2</v>
      </c>
      <c r="BJ26" s="14">
        <f t="shared" si="26"/>
        <v>-5.6849558768747643E-2</v>
      </c>
      <c r="BK26" s="14">
        <f t="shared" si="26"/>
        <v>-5.656791782272208E-2</v>
      </c>
      <c r="BO26" s="28">
        <f>-IFERROR(((1-BO44/BW14)^(360/BO$4))-1,0)</f>
        <v>-5.9231947156474396E-2</v>
      </c>
      <c r="BP26" s="28">
        <f t="shared" ref="BP26:BT29" si="27">-IFERROR(((1-BP44/BX14)^(360/BP$4))-1,0)</f>
        <v>-6.2143246381615169E-2</v>
      </c>
      <c r="BQ26" s="28">
        <f t="shared" si="27"/>
        <v>-6.003321547225382E-2</v>
      </c>
      <c r="BR26" s="28">
        <f t="shared" si="27"/>
        <v>-7.0697503702842779E-2</v>
      </c>
      <c r="BS26" s="28">
        <f t="shared" si="27"/>
        <v>-7.8427199217433907E-2</v>
      </c>
      <c r="BT26" s="28">
        <f t="shared" si="27"/>
        <v>-7.1730393419003668E-2</v>
      </c>
    </row>
    <row r="27" spans="1:80" hidden="1" outlineLevel="1" x14ac:dyDescent="0.25">
      <c r="A27" s="11"/>
      <c r="C27" s="2" t="s">
        <v>1</v>
      </c>
      <c r="D27" s="14">
        <f t="shared" ref="D27:S29" si="28">-IFERROR(((1-D45/D15)^(360/D$4))-1,0)</f>
        <v>-7.3155238457556671E-2</v>
      </c>
      <c r="E27" s="14">
        <f t="shared" si="28"/>
        <v>-7.6984503230449475E-2</v>
      </c>
      <c r="F27" s="14">
        <f t="shared" si="28"/>
        <v>-7.8640464954218281E-2</v>
      </c>
      <c r="G27" s="14">
        <f t="shared" si="28"/>
        <v>-7.9791157169846194E-2</v>
      </c>
      <c r="H27" s="14">
        <f t="shared" si="28"/>
        <v>-8.0051932869138254E-2</v>
      </c>
      <c r="I27" s="14">
        <f t="shared" si="28"/>
        <v>-7.9436144796352082E-2</v>
      </c>
      <c r="J27" s="14">
        <f t="shared" si="28"/>
        <v>-7.9112998146873892E-2</v>
      </c>
      <c r="K27" s="14">
        <f t="shared" si="28"/>
        <v>-7.7103443524054738E-2</v>
      </c>
      <c r="L27" s="14">
        <f t="shared" si="28"/>
        <v>-7.7979499580079104E-2</v>
      </c>
      <c r="M27" s="14">
        <f t="shared" si="28"/>
        <v>-7.8968944831063981E-2</v>
      </c>
      <c r="N27" s="14">
        <f t="shared" si="28"/>
        <v>-7.7345248837051628E-2</v>
      </c>
      <c r="O27" s="14">
        <f t="shared" si="28"/>
        <v>-7.6380578912560448E-2</v>
      </c>
      <c r="P27" s="14">
        <f t="shared" si="28"/>
        <v>-7.8837412625253789E-2</v>
      </c>
      <c r="Q27" s="14">
        <f t="shared" si="28"/>
        <v>-7.9305414152919917E-2</v>
      </c>
      <c r="R27" s="14">
        <f t="shared" si="28"/>
        <v>-7.9256458657051221E-2</v>
      </c>
      <c r="S27" s="14">
        <f t="shared" si="28"/>
        <v>-7.6052394545400359E-2</v>
      </c>
      <c r="T27" s="14">
        <f t="shared" si="25"/>
        <v>-7.3127666425381044E-2</v>
      </c>
      <c r="U27" s="14">
        <f t="shared" si="25"/>
        <v>-7.1457775723353434E-2</v>
      </c>
      <c r="V27" s="14">
        <f t="shared" si="25"/>
        <v>-7.0745314273131576E-2</v>
      </c>
      <c r="W27" s="14">
        <f t="shared" si="25"/>
        <v>-6.9830286744062331E-2</v>
      </c>
      <c r="X27" s="14">
        <f t="shared" si="25"/>
        <v>-6.8950632142267043E-2</v>
      </c>
      <c r="Y27" s="14">
        <f t="shared" si="25"/>
        <v>-6.8579578687854248E-2</v>
      </c>
      <c r="Z27" s="14">
        <f t="shared" si="25"/>
        <v>-6.8213556489490568E-2</v>
      </c>
      <c r="AA27" s="14">
        <f t="shared" si="25"/>
        <v>-6.7722121426889714E-2</v>
      </c>
      <c r="AB27" s="14">
        <f t="shared" si="25"/>
        <v>-6.7642446276928059E-2</v>
      </c>
      <c r="AC27" s="14">
        <f t="shared" si="25"/>
        <v>-6.7458666206645423E-2</v>
      </c>
      <c r="AD27" s="14">
        <f t="shared" si="25"/>
        <v>-6.6649109539253182E-2</v>
      </c>
      <c r="AE27" s="14">
        <f t="shared" si="25"/>
        <v>-6.5836649871780617E-2</v>
      </c>
      <c r="AF27" s="14">
        <f t="shared" si="25"/>
        <v>-6.5411279324833593E-2</v>
      </c>
      <c r="AG27" s="14">
        <f t="shared" si="25"/>
        <v>-6.4855704661876068E-2</v>
      </c>
      <c r="AH27" s="14">
        <f t="shared" si="25"/>
        <v>-6.4013576963401375E-2</v>
      </c>
      <c r="AI27" s="14">
        <f t="shared" si="25"/>
        <v>-6.4000803796615102E-2</v>
      </c>
      <c r="AJ27" s="14">
        <f t="shared" si="25"/>
        <v>-6.3804041658010791E-2</v>
      </c>
      <c r="AK27" s="14">
        <f t="shared" si="25"/>
        <v>-6.3812063556270671E-2</v>
      </c>
      <c r="AL27" s="14">
        <f t="shared" si="25"/>
        <v>-6.4095954690710277E-2</v>
      </c>
      <c r="AM27" s="14">
        <f t="shared" si="25"/>
        <v>-6.4158953362952964E-2</v>
      </c>
      <c r="AN27" s="14">
        <f t="shared" si="25"/>
        <v>-6.4128813378338867E-2</v>
      </c>
      <c r="AO27" s="14">
        <f t="shared" si="25"/>
        <v>-6.4002793662549351E-2</v>
      </c>
      <c r="AP27" s="14">
        <f t="shared" si="25"/>
        <v>-6.3879398972439105E-2</v>
      </c>
      <c r="AQ27" s="14">
        <f t="shared" si="25"/>
        <v>-6.3568906385946367E-2</v>
      </c>
      <c r="AR27" s="14">
        <f t="shared" si="25"/>
        <v>-6.343137601932658E-2</v>
      </c>
      <c r="AS27" s="14">
        <f t="shared" si="25"/>
        <v>-6.2878342074032867E-2</v>
      </c>
      <c r="AT27" s="14">
        <f t="shared" si="25"/>
        <v>0</v>
      </c>
      <c r="AU27" s="14">
        <f t="shared" si="25"/>
        <v>0</v>
      </c>
      <c r="AV27" s="14">
        <f t="shared" si="25"/>
        <v>0</v>
      </c>
      <c r="AW27" s="14">
        <f t="shared" si="25"/>
        <v>0</v>
      </c>
      <c r="AX27" s="14">
        <f t="shared" si="25"/>
        <v>0</v>
      </c>
      <c r="AY27" s="14">
        <f t="shared" si="25"/>
        <v>0</v>
      </c>
      <c r="AZ27" s="14">
        <f t="shared" ref="AZ27:BK27" si="29">-IFERROR(((1-AZ45/AZ15)^(360/AZ$4))-1,0)</f>
        <v>-1.6723270364945142E-2</v>
      </c>
      <c r="BA27" s="14">
        <f t="shared" si="29"/>
        <v>-1.7052470985039925E-2</v>
      </c>
      <c r="BB27" s="14">
        <f t="shared" si="29"/>
        <v>-1.7349947883973815E-2</v>
      </c>
      <c r="BC27" s="14">
        <f t="shared" si="29"/>
        <v>-1.7550870691414922E-2</v>
      </c>
      <c r="BD27" s="14">
        <f t="shared" si="29"/>
        <v>-1.7709723138970679E-2</v>
      </c>
      <c r="BE27" s="14">
        <f t="shared" si="29"/>
        <v>-1.7976230019532968E-2</v>
      </c>
      <c r="BF27" s="14">
        <f t="shared" si="29"/>
        <v>-1.8130100293231033E-2</v>
      </c>
      <c r="BG27" s="14">
        <f t="shared" si="29"/>
        <v>-1.8317507214288709E-2</v>
      </c>
      <c r="BH27" s="14">
        <f t="shared" si="29"/>
        <v>-1.8640204931754445E-2</v>
      </c>
      <c r="BI27" s="14">
        <f t="shared" si="29"/>
        <v>-1.8973815761652801E-2</v>
      </c>
      <c r="BJ27" s="14">
        <f t="shared" si="29"/>
        <v>-1.9296219623709643E-2</v>
      </c>
      <c r="BK27" s="14">
        <f t="shared" si="29"/>
        <v>-1.9498506489762368E-2</v>
      </c>
      <c r="BO27" s="28">
        <f t="shared" ref="BO27:BO29" si="30">-IFERROR(((1-BO45/BW15)^(360/BO$4))-1,0)</f>
        <v>-6.4043559448943244E-2</v>
      </c>
      <c r="BP27" s="28">
        <f t="shared" si="27"/>
        <v>-1.7032018494445467E-2</v>
      </c>
      <c r="BQ27" s="28">
        <f t="shared" si="27"/>
        <v>-6.41915704390148E-2</v>
      </c>
      <c r="BR27" s="28">
        <f t="shared" si="27"/>
        <v>-6.723515059356755E-2</v>
      </c>
      <c r="BS27" s="28">
        <f t="shared" si="27"/>
        <v>-7.9161557033918584E-2</v>
      </c>
      <c r="BT27" s="28">
        <f t="shared" si="27"/>
        <v>-7.6352809400702881E-2</v>
      </c>
    </row>
    <row r="28" spans="1:80" hidden="1" outlineLevel="1" x14ac:dyDescent="0.25">
      <c r="A28" s="11"/>
      <c r="C28" s="2" t="s">
        <v>45</v>
      </c>
      <c r="D28" s="14">
        <f t="shared" si="28"/>
        <v>-4.6990957718836102E-2</v>
      </c>
      <c r="E28" s="14">
        <f t="shared" si="25"/>
        <v>-4.7712869700558658E-2</v>
      </c>
      <c r="F28" s="14">
        <f t="shared" si="25"/>
        <v>-4.7886948392503959E-2</v>
      </c>
      <c r="G28" s="14">
        <f t="shared" si="25"/>
        <v>-5.3603366387115159E-2</v>
      </c>
      <c r="H28" s="14">
        <f t="shared" si="25"/>
        <v>-5.5840275194689593E-2</v>
      </c>
      <c r="I28" s="14">
        <f t="shared" si="25"/>
        <v>-6.9578668558606838E-2</v>
      </c>
      <c r="J28" s="14">
        <f t="shared" si="25"/>
        <v>-5.9990369602429316E-2</v>
      </c>
      <c r="K28" s="14">
        <f t="shared" si="25"/>
        <v>-7.0629535456193437E-2</v>
      </c>
      <c r="L28" s="14">
        <f t="shared" si="25"/>
        <v>-5.7872950886833197E-2</v>
      </c>
      <c r="M28" s="14">
        <f t="shared" si="25"/>
        <v>-6.1889702616575004E-2</v>
      </c>
      <c r="N28" s="14">
        <f t="shared" si="25"/>
        <v>-6.6483842318940223E-2</v>
      </c>
      <c r="O28" s="14">
        <f t="shared" si="25"/>
        <v>-7.3930584347018602E-2</v>
      </c>
      <c r="P28" s="14">
        <f t="shared" si="25"/>
        <v>-7.7946151017840304E-2</v>
      </c>
      <c r="Q28" s="14">
        <f t="shared" si="25"/>
        <v>-7.9615890557074742E-2</v>
      </c>
      <c r="R28" s="14">
        <f t="shared" si="25"/>
        <v>-7.9086705980773608E-2</v>
      </c>
      <c r="S28" s="14">
        <f t="shared" si="25"/>
        <v>-8.0359252671703851E-2</v>
      </c>
      <c r="T28" s="14">
        <f t="shared" si="25"/>
        <v>-8.0240882452557338E-2</v>
      </c>
      <c r="U28" s="14">
        <f t="shared" si="25"/>
        <v>-8.0849619477878942E-2</v>
      </c>
      <c r="V28" s="14">
        <f t="shared" si="25"/>
        <v>-7.9346166788444972E-2</v>
      </c>
      <c r="W28" s="14">
        <f t="shared" si="25"/>
        <v>-7.7261375982081937E-2</v>
      </c>
      <c r="X28" s="14">
        <f t="shared" si="25"/>
        <v>-7.6882187146902758E-2</v>
      </c>
      <c r="Y28" s="14">
        <f t="shared" si="25"/>
        <v>-7.5393027894943954E-2</v>
      </c>
      <c r="Z28" s="14">
        <f t="shared" si="25"/>
        <v>-7.535942740142576E-2</v>
      </c>
      <c r="AA28" s="14">
        <f t="shared" si="25"/>
        <v>-7.4460625321569163E-2</v>
      </c>
      <c r="AB28" s="14">
        <f t="shared" si="25"/>
        <v>-7.4873553505908186E-2</v>
      </c>
      <c r="AC28" s="14">
        <f t="shared" si="25"/>
        <v>-7.5131351396787949E-2</v>
      </c>
      <c r="AD28" s="14">
        <f t="shared" si="25"/>
        <v>-7.8203385391720781E-2</v>
      </c>
      <c r="AE28" s="14">
        <f t="shared" si="25"/>
        <v>-7.4570161525266743E-2</v>
      </c>
      <c r="AF28" s="14">
        <f t="shared" si="25"/>
        <v>-7.4680898745864033E-2</v>
      </c>
      <c r="AG28" s="14">
        <f t="shared" si="25"/>
        <v>-7.4127711969844468E-2</v>
      </c>
      <c r="AH28" s="14">
        <f t="shared" si="25"/>
        <v>-7.3782507179707135E-2</v>
      </c>
      <c r="AI28" s="14">
        <f t="shared" si="25"/>
        <v>-7.2622863778312841E-2</v>
      </c>
      <c r="AJ28" s="14">
        <f t="shared" si="25"/>
        <v>-7.09119769097033E-2</v>
      </c>
      <c r="AK28" s="14">
        <f t="shared" si="25"/>
        <v>-9.7578610740723715E-2</v>
      </c>
      <c r="AL28" s="14">
        <f t="shared" si="25"/>
        <v>-6.7797815458386257E-2</v>
      </c>
      <c r="AM28" s="14">
        <f t="shared" si="25"/>
        <v>-6.8692605042398602E-2</v>
      </c>
      <c r="AN28" s="14">
        <f t="shared" si="25"/>
        <v>-6.6995874964416391E-2</v>
      </c>
      <c r="AO28" s="14">
        <f t="shared" si="25"/>
        <v>-6.5950209150101191E-2</v>
      </c>
      <c r="AP28" s="14">
        <f t="shared" si="25"/>
        <v>-6.3062291882040711E-2</v>
      </c>
      <c r="AQ28" s="14">
        <f t="shared" si="25"/>
        <v>-6.3305278154953015E-2</v>
      </c>
      <c r="AR28" s="14">
        <f t="shared" si="25"/>
        <v>-6.1598286852954764E-2</v>
      </c>
      <c r="AS28" s="14">
        <f t="shared" si="25"/>
        <v>-5.9404030629441662E-2</v>
      </c>
      <c r="AT28" s="14">
        <f t="shared" si="25"/>
        <v>0</v>
      </c>
      <c r="AU28" s="14">
        <f t="shared" si="25"/>
        <v>0</v>
      </c>
      <c r="AV28" s="14">
        <f t="shared" si="25"/>
        <v>0</v>
      </c>
      <c r="AW28" s="14">
        <f t="shared" si="25"/>
        <v>0</v>
      </c>
      <c r="AX28" s="14">
        <f t="shared" si="25"/>
        <v>0</v>
      </c>
      <c r="AY28" s="14">
        <f t="shared" si="25"/>
        <v>0</v>
      </c>
      <c r="AZ28" s="14">
        <f t="shared" ref="AZ28:BK28" si="31">-IFERROR(((1-AZ46/AZ16)^(360/AZ$4))-1,0)</f>
        <v>-9.3798586537360285E-2</v>
      </c>
      <c r="BA28" s="14">
        <f t="shared" si="31"/>
        <v>-9.5048976167551036E-2</v>
      </c>
      <c r="BB28" s="14">
        <f t="shared" si="31"/>
        <v>-9.6566008937702286E-2</v>
      </c>
      <c r="BC28" s="14">
        <f t="shared" si="31"/>
        <v>-9.2296049885765674E-2</v>
      </c>
      <c r="BD28" s="14">
        <f t="shared" si="31"/>
        <v>-9.2703365152408734E-2</v>
      </c>
      <c r="BE28" s="14">
        <f t="shared" si="31"/>
        <v>-9.4242943552676151E-2</v>
      </c>
      <c r="BF28" s="14">
        <f t="shared" si="31"/>
        <v>-9.3053405331004813E-2</v>
      </c>
      <c r="BG28" s="14">
        <f t="shared" si="31"/>
        <v>-8.8149823758096657E-2</v>
      </c>
      <c r="BH28" s="14">
        <f t="shared" si="31"/>
        <v>-8.9035217712887249E-2</v>
      </c>
      <c r="BI28" s="14">
        <f t="shared" si="31"/>
        <v>-8.8625783329188357E-2</v>
      </c>
      <c r="BJ28" s="14">
        <f t="shared" si="31"/>
        <v>-8.0621496636085865E-2</v>
      </c>
      <c r="BK28" s="14">
        <f t="shared" si="31"/>
        <v>-7.4568163732401382E-2</v>
      </c>
      <c r="BO28" s="28">
        <f t="shared" si="30"/>
        <v>-6.5349988358782918E-2</v>
      </c>
      <c r="BP28" s="28">
        <f t="shared" si="27"/>
        <v>-9.5097970054859093E-2</v>
      </c>
      <c r="BQ28" s="28">
        <f t="shared" si="27"/>
        <v>-6.6552132886105841E-2</v>
      </c>
      <c r="BR28" s="28">
        <f t="shared" si="27"/>
        <v>-7.5822425514519676E-2</v>
      </c>
      <c r="BS28" s="28">
        <f t="shared" si="27"/>
        <v>-7.8751289143766501E-2</v>
      </c>
      <c r="BT28" s="28">
        <f t="shared" si="27"/>
        <v>-4.7399194002713418E-2</v>
      </c>
    </row>
    <row r="29" spans="1:80" collapsed="1" x14ac:dyDescent="0.25">
      <c r="C29" s="3" t="s">
        <v>60</v>
      </c>
      <c r="D29" s="15">
        <f t="shared" si="28"/>
        <v>-6.7406185259399898E-2</v>
      </c>
      <c r="E29" s="15">
        <f t="shared" si="25"/>
        <v>-7.028453066888618E-2</v>
      </c>
      <c r="F29" s="15">
        <f t="shared" si="25"/>
        <v>-7.2770411591884798E-2</v>
      </c>
      <c r="G29" s="15">
        <f t="shared" si="25"/>
        <v>-7.4474120306539104E-2</v>
      </c>
      <c r="H29" s="15">
        <f t="shared" si="25"/>
        <v>-7.5542166069461514E-2</v>
      </c>
      <c r="I29" s="15">
        <f t="shared" si="25"/>
        <v>-7.7670451424012077E-2</v>
      </c>
      <c r="J29" s="15">
        <f t="shared" si="25"/>
        <v>-7.7056635678161678E-2</v>
      </c>
      <c r="K29" s="15">
        <f t="shared" si="25"/>
        <v>-7.7359746541939556E-2</v>
      </c>
      <c r="L29" s="15">
        <f t="shared" si="25"/>
        <v>-7.6536384089171738E-2</v>
      </c>
      <c r="M29" s="15">
        <f t="shared" si="25"/>
        <v>-7.7442633316078036E-2</v>
      </c>
      <c r="N29" s="15">
        <f t="shared" si="25"/>
        <v>-7.8214747052379519E-2</v>
      </c>
      <c r="O29" s="15">
        <f t="shared" si="25"/>
        <v>-7.8862569202682309E-2</v>
      </c>
      <c r="P29" s="15">
        <f t="shared" si="25"/>
        <v>-7.8850693388082371E-2</v>
      </c>
      <c r="Q29" s="15">
        <f t="shared" si="25"/>
        <v>-7.8627634275739489E-2</v>
      </c>
      <c r="R29" s="15">
        <f t="shared" si="25"/>
        <v>-7.7844821328009628E-2</v>
      </c>
      <c r="S29" s="15">
        <f t="shared" si="25"/>
        <v>-7.7298061327647938E-2</v>
      </c>
      <c r="T29" s="15">
        <f t="shared" si="25"/>
        <v>-7.6441613622606042E-2</v>
      </c>
      <c r="U29" s="15">
        <f t="shared" si="25"/>
        <v>-7.5641285747860776E-2</v>
      </c>
      <c r="V29" s="15">
        <f t="shared" si="25"/>
        <v>-7.466480530140851E-2</v>
      </c>
      <c r="W29" s="15">
        <f t="shared" si="25"/>
        <v>-7.3835231151491598E-2</v>
      </c>
      <c r="X29" s="15">
        <f t="shared" si="25"/>
        <v>-7.2890760443391711E-2</v>
      </c>
      <c r="Y29" s="15">
        <f t="shared" si="25"/>
        <v>-7.2124261444363569E-2</v>
      </c>
      <c r="Z29" s="15">
        <f t="shared" si="25"/>
        <v>-7.1813090712757432E-2</v>
      </c>
      <c r="AA29" s="15">
        <f t="shared" si="25"/>
        <v>-7.1489048687480627E-2</v>
      </c>
      <c r="AB29" s="15">
        <f t="shared" si="25"/>
        <v>-7.133543583934876E-2</v>
      </c>
      <c r="AC29" s="15">
        <f t="shared" si="25"/>
        <v>-7.0988878727653137E-2</v>
      </c>
      <c r="AD29" s="15">
        <f t="shared" si="25"/>
        <v>-7.0343936988583877E-2</v>
      </c>
      <c r="AE29" s="15">
        <f t="shared" si="25"/>
        <v>-6.9640327254297585E-2</v>
      </c>
      <c r="AF29" s="15">
        <f t="shared" si="25"/>
        <v>-6.8814878778317823E-2</v>
      </c>
      <c r="AG29" s="15">
        <f t="shared" si="25"/>
        <v>-6.7965205226666603E-2</v>
      </c>
      <c r="AH29" s="15">
        <f t="shared" si="25"/>
        <v>-6.7106062506601782E-2</v>
      </c>
      <c r="AI29" s="15">
        <f t="shared" si="25"/>
        <v>-6.6268128011363725E-2</v>
      </c>
      <c r="AJ29" s="15">
        <f t="shared" si="25"/>
        <v>-6.5554195842939533E-2</v>
      </c>
      <c r="AK29" s="15">
        <f t="shared" si="25"/>
        <v>-6.657184907844016E-2</v>
      </c>
      <c r="AL29" s="15">
        <f t="shared" si="25"/>
        <v>-6.4093772065938692E-2</v>
      </c>
      <c r="AM29" s="15">
        <f t="shared" si="25"/>
        <v>-6.2970140346826575E-2</v>
      </c>
      <c r="AN29" s="15">
        <f t="shared" si="25"/>
        <v>-6.1569642975774386E-2</v>
      </c>
      <c r="AO29" s="15">
        <f t="shared" si="25"/>
        <v>-5.9563198998430877E-2</v>
      </c>
      <c r="AP29" s="15">
        <f t="shared" si="25"/>
        <v>-5.7914316918650011E-2</v>
      </c>
      <c r="AQ29" s="15">
        <f t="shared" si="25"/>
        <v>-5.7034581616300928E-2</v>
      </c>
      <c r="AR29" s="15">
        <f t="shared" si="25"/>
        <v>-5.6283563107403678E-2</v>
      </c>
      <c r="AS29" s="15">
        <f t="shared" si="25"/>
        <v>-5.5506899702267853E-2</v>
      </c>
      <c r="AT29" s="15">
        <f t="shared" si="25"/>
        <v>0</v>
      </c>
      <c r="AU29" s="15">
        <f t="shared" si="25"/>
        <v>0</v>
      </c>
      <c r="AV29" s="15">
        <f t="shared" si="25"/>
        <v>0</v>
      </c>
      <c r="AW29" s="15">
        <f t="shared" si="25"/>
        <v>0</v>
      </c>
      <c r="AX29" s="15">
        <f t="shared" si="25"/>
        <v>0</v>
      </c>
      <c r="AY29" s="15">
        <f t="shared" si="25"/>
        <v>0</v>
      </c>
      <c r="AZ29" s="15">
        <f t="shared" ref="AZ29:BK29" si="32">-IFERROR(((1-AZ47/AZ17)^(360/AZ$4))-1,0)</f>
        <v>-6.3304983576431662E-2</v>
      </c>
      <c r="BA29" s="15">
        <f t="shared" si="32"/>
        <v>-6.2733599086651104E-2</v>
      </c>
      <c r="BB29" s="15">
        <f t="shared" si="32"/>
        <v>-6.2095136745239365E-2</v>
      </c>
      <c r="BC29" s="15">
        <f t="shared" si="32"/>
        <v>-6.1473219254954303E-2</v>
      </c>
      <c r="BD29" s="15">
        <f t="shared" si="32"/>
        <v>-6.0847898859307525E-2</v>
      </c>
      <c r="BE29" s="15">
        <f t="shared" si="32"/>
        <v>-6.026763044602812E-2</v>
      </c>
      <c r="BF29" s="15">
        <f t="shared" si="32"/>
        <v>-5.9634354134878276E-2</v>
      </c>
      <c r="BG29" s="15">
        <f t="shared" si="32"/>
        <v>-5.907107839803416E-2</v>
      </c>
      <c r="BH29" s="15">
        <f t="shared" si="32"/>
        <v>-5.8478512865819399E-2</v>
      </c>
      <c r="BI29" s="15">
        <f t="shared" si="32"/>
        <v>-5.7898135514264037E-2</v>
      </c>
      <c r="BJ29" s="15">
        <f t="shared" si="32"/>
        <v>-5.7402311850553334E-2</v>
      </c>
      <c r="BK29" s="15">
        <f t="shared" si="32"/>
        <v>-5.6913219740618359E-2</v>
      </c>
      <c r="BO29" s="29">
        <f t="shared" si="30"/>
        <v>-5.9549409256559827E-2</v>
      </c>
      <c r="BP29" s="29">
        <f t="shared" si="27"/>
        <v>-6.2719499429288783E-2</v>
      </c>
      <c r="BQ29" s="29">
        <f t="shared" si="27"/>
        <v>-6.0379808453640882E-2</v>
      </c>
      <c r="BR29" s="29">
        <f t="shared" si="27"/>
        <v>-7.0888876022695113E-2</v>
      </c>
      <c r="BS29" s="29">
        <f t="shared" si="27"/>
        <v>-7.8462664498366586E-2</v>
      </c>
      <c r="BT29" s="29">
        <f t="shared" si="27"/>
        <v>-7.0193327155060992E-2</v>
      </c>
    </row>
    <row r="32" spans="1:80" hidden="1" outlineLevel="1" x14ac:dyDescent="0.25">
      <c r="A32" s="11"/>
      <c r="C32" s="2" t="s">
        <v>0</v>
      </c>
      <c r="D32" s="14">
        <f>D20+D26</f>
        <v>0.18847660105064779</v>
      </c>
      <c r="E32" s="14">
        <f t="shared" ref="E32:AY32" si="33">E20+E26</f>
        <v>0.18437861890330187</v>
      </c>
      <c r="F32" s="14">
        <f t="shared" si="33"/>
        <v>0.17388208323151555</v>
      </c>
      <c r="G32" s="14">
        <f t="shared" si="33"/>
        <v>0.14949119174601688</v>
      </c>
      <c r="H32" s="14">
        <f t="shared" si="33"/>
        <v>0.17455754299120274</v>
      </c>
      <c r="I32" s="14">
        <f t="shared" si="33"/>
        <v>0.16831720828633556</v>
      </c>
      <c r="J32" s="14">
        <f t="shared" si="33"/>
        <v>0.16806677454784591</v>
      </c>
      <c r="K32" s="14">
        <f t="shared" si="33"/>
        <v>0.16423451907799014</v>
      </c>
      <c r="L32" s="14">
        <f t="shared" si="33"/>
        <v>0.16639365854961241</v>
      </c>
      <c r="M32" s="14">
        <f t="shared" si="33"/>
        <v>0.16852737965162423</v>
      </c>
      <c r="N32" s="14">
        <f t="shared" si="33"/>
        <v>0.15571000222097564</v>
      </c>
      <c r="O32" s="14">
        <f t="shared" si="33"/>
        <v>0.15036786184816586</v>
      </c>
      <c r="P32" s="14">
        <f t="shared" si="33"/>
        <v>0.16453186715348367</v>
      </c>
      <c r="Q32" s="14">
        <f t="shared" si="33"/>
        <v>0.16268832976346603</v>
      </c>
      <c r="R32" s="14">
        <f t="shared" si="33"/>
        <v>0.16659761986879795</v>
      </c>
      <c r="S32" s="14">
        <f t="shared" si="33"/>
        <v>0.17967595602220721</v>
      </c>
      <c r="T32" s="14">
        <f t="shared" si="33"/>
        <v>0.1841855688090539</v>
      </c>
      <c r="U32" s="14">
        <f t="shared" si="33"/>
        <v>0.18934738777541216</v>
      </c>
      <c r="V32" s="14">
        <f t="shared" si="33"/>
        <v>0.20026846546344457</v>
      </c>
      <c r="W32" s="14">
        <f t="shared" si="33"/>
        <v>0.19836743142025415</v>
      </c>
      <c r="X32" s="14">
        <f t="shared" si="33"/>
        <v>0.19431761041533502</v>
      </c>
      <c r="Y32" s="14">
        <f t="shared" si="33"/>
        <v>0.18734568295748288</v>
      </c>
      <c r="Z32" s="14">
        <f t="shared" si="33"/>
        <v>0.17876549632836403</v>
      </c>
      <c r="AA32" s="14">
        <f t="shared" si="33"/>
        <v>0.17038440582426917</v>
      </c>
      <c r="AB32" s="14">
        <f t="shared" si="33"/>
        <v>0.16581940543828244</v>
      </c>
      <c r="AC32" s="14">
        <f t="shared" si="33"/>
        <v>0.15638019067779507</v>
      </c>
      <c r="AD32" s="14">
        <f t="shared" si="33"/>
        <v>0.15319970947654937</v>
      </c>
      <c r="AE32" s="14">
        <f t="shared" si="33"/>
        <v>0.15484088140847274</v>
      </c>
      <c r="AF32" s="14">
        <f t="shared" si="33"/>
        <v>0.15532005744786259</v>
      </c>
      <c r="AG32" s="14">
        <f t="shared" si="33"/>
        <v>0.15364960494747892</v>
      </c>
      <c r="AH32" s="14">
        <f t="shared" si="33"/>
        <v>0.15503636875083826</v>
      </c>
      <c r="AI32" s="14">
        <f t="shared" si="33"/>
        <v>0.15264094842312304</v>
      </c>
      <c r="AJ32" s="14">
        <f t="shared" si="33"/>
        <v>0.15286300931557029</v>
      </c>
      <c r="AK32" s="14">
        <f t="shared" si="33"/>
        <v>0.15566709211767171</v>
      </c>
      <c r="AL32" s="14">
        <f t="shared" si="33"/>
        <v>0.14893595509113444</v>
      </c>
      <c r="AM32" s="14">
        <f t="shared" si="33"/>
        <v>0.16895524215159052</v>
      </c>
      <c r="AN32" s="14">
        <f t="shared" si="33"/>
        <v>0.17555841692435892</v>
      </c>
      <c r="AO32" s="14">
        <f t="shared" si="33"/>
        <v>0.18432600199140259</v>
      </c>
      <c r="AP32" s="14">
        <f t="shared" si="33"/>
        <v>0.20303893219883906</v>
      </c>
      <c r="AQ32" s="14">
        <f t="shared" si="33"/>
        <v>0.20394171571969055</v>
      </c>
      <c r="AR32" s="14">
        <f t="shared" si="33"/>
        <v>0.20946443656268876</v>
      </c>
      <c r="AS32" s="14">
        <f t="shared" si="33"/>
        <v>0.2128867895045663</v>
      </c>
      <c r="AT32" s="14">
        <f t="shared" si="33"/>
        <v>0</v>
      </c>
      <c r="AU32" s="14">
        <f t="shared" si="33"/>
        <v>0</v>
      </c>
      <c r="AV32" s="14">
        <f t="shared" si="33"/>
        <v>0</v>
      </c>
      <c r="AW32" s="14">
        <f t="shared" si="33"/>
        <v>0</v>
      </c>
      <c r="AX32" s="14">
        <f t="shared" si="33"/>
        <v>0</v>
      </c>
      <c r="AY32" s="14">
        <f t="shared" si="33"/>
        <v>0</v>
      </c>
      <c r="AZ32" s="14">
        <f t="shared" ref="AZ32:BK32" si="34">AZ20+AZ26</f>
        <v>0.14139265226677256</v>
      </c>
      <c r="BA32" s="14">
        <f t="shared" si="34"/>
        <v>0.13409792846031499</v>
      </c>
      <c r="BB32" s="14">
        <f t="shared" si="34"/>
        <v>0.13941323605591638</v>
      </c>
      <c r="BC32" s="14">
        <f t="shared" si="34"/>
        <v>0.13333835721310794</v>
      </c>
      <c r="BD32" s="14">
        <f t="shared" si="34"/>
        <v>0.13071244142103078</v>
      </c>
      <c r="BE32" s="14">
        <f t="shared" si="34"/>
        <v>0.13390033036933757</v>
      </c>
      <c r="BF32" s="14">
        <f t="shared" si="34"/>
        <v>0.13212067621022094</v>
      </c>
      <c r="BG32" s="14">
        <f t="shared" si="34"/>
        <v>0.1301209046007219</v>
      </c>
      <c r="BH32" s="14">
        <f t="shared" si="34"/>
        <v>0.12527077351639027</v>
      </c>
      <c r="BI32" s="14">
        <f t="shared" si="34"/>
        <v>0.12585037941577171</v>
      </c>
      <c r="BJ32" s="14">
        <f t="shared" si="34"/>
        <v>0.12281591301889949</v>
      </c>
      <c r="BK32" s="14">
        <f t="shared" si="34"/>
        <v>0.12679005609310745</v>
      </c>
      <c r="BO32" s="28">
        <f>BO20+BO26</f>
        <v>0.18877771558523171</v>
      </c>
      <c r="BP32" s="28">
        <f t="shared" ref="BP32:BT32" si="35">BP20+BP26</f>
        <v>0.13845690225420659</v>
      </c>
      <c r="BQ32" s="28">
        <f t="shared" si="35"/>
        <v>0.17934563819188454</v>
      </c>
      <c r="BR32" s="28">
        <f t="shared" si="35"/>
        <v>0.15869772744761557</v>
      </c>
      <c r="BS32" s="28">
        <f t="shared" si="35"/>
        <v>0.16468684569989644</v>
      </c>
      <c r="BT32" s="28">
        <f t="shared" si="35"/>
        <v>0.18211177790869582</v>
      </c>
    </row>
    <row r="33" spans="1:72" hidden="1" outlineLevel="1" x14ac:dyDescent="0.25">
      <c r="A33" s="11"/>
      <c r="C33" s="2" t="s">
        <v>1</v>
      </c>
      <c r="D33" s="14">
        <f t="shared" ref="D33:AY35" si="36">D21+D27</f>
        <v>2.9457069516712231E-2</v>
      </c>
      <c r="E33" s="14">
        <f t="shared" si="36"/>
        <v>4.5210597860020574E-2</v>
      </c>
      <c r="F33" s="14">
        <f t="shared" si="36"/>
        <v>-9.1619435806089555E-4</v>
      </c>
      <c r="G33" s="14">
        <f t="shared" si="36"/>
        <v>-1.6197954996627573E-2</v>
      </c>
      <c r="H33" s="14">
        <f t="shared" si="36"/>
        <v>-1.7009648955479406E-2</v>
      </c>
      <c r="I33" s="14">
        <f t="shared" si="36"/>
        <v>4.0634595932858009E-3</v>
      </c>
      <c r="J33" s="14">
        <f t="shared" si="36"/>
        <v>8.4519785002010739E-3</v>
      </c>
      <c r="K33" s="14">
        <f t="shared" si="36"/>
        <v>1.578356159107619E-3</v>
      </c>
      <c r="L33" s="14">
        <f t="shared" si="36"/>
        <v>1.2637057770310545E-3</v>
      </c>
      <c r="M33" s="14">
        <f t="shared" si="36"/>
        <v>2.1521454280408081E-2</v>
      </c>
      <c r="N33" s="14">
        <f t="shared" si="36"/>
        <v>3.9098777858161959E-3</v>
      </c>
      <c r="O33" s="14">
        <f t="shared" si="36"/>
        <v>2.0828674603462494E-2</v>
      </c>
      <c r="P33" s="14">
        <f t="shared" si="36"/>
        <v>1.1828188117317229E-2</v>
      </c>
      <c r="Q33" s="14">
        <f t="shared" si="36"/>
        <v>2.4831500360299907E-2</v>
      </c>
      <c r="R33" s="14">
        <f t="shared" si="36"/>
        <v>1.543567916268529E-3</v>
      </c>
      <c r="S33" s="14">
        <f t="shared" si="36"/>
        <v>9.7858381821496199E-3</v>
      </c>
      <c r="T33" s="14">
        <f t="shared" si="36"/>
        <v>-2.3677563199839158E-2</v>
      </c>
      <c r="U33" s="14">
        <f t="shared" si="36"/>
        <v>-2.9129702163004367E-3</v>
      </c>
      <c r="V33" s="14">
        <f t="shared" si="36"/>
        <v>1.2252362920081694E-2</v>
      </c>
      <c r="W33" s="14">
        <f t="shared" si="36"/>
        <v>6.9916849554547467E-2</v>
      </c>
      <c r="X33" s="14">
        <f t="shared" si="36"/>
        <v>1.265548983206366E-2</v>
      </c>
      <c r="Y33" s="14">
        <f t="shared" si="36"/>
        <v>4.1220025404429261E-3</v>
      </c>
      <c r="Z33" s="14">
        <f t="shared" si="36"/>
        <v>1.2673975690152384E-2</v>
      </c>
      <c r="AA33" s="14">
        <f t="shared" si="36"/>
        <v>3.0650130173544232E-2</v>
      </c>
      <c r="AB33" s="14">
        <f t="shared" si="36"/>
        <v>8.562229323246795E-3</v>
      </c>
      <c r="AC33" s="14">
        <f t="shared" si="36"/>
        <v>-9.3847347649753665E-3</v>
      </c>
      <c r="AD33" s="14">
        <f t="shared" si="36"/>
        <v>-4.3086010121606844E-3</v>
      </c>
      <c r="AE33" s="14">
        <f t="shared" si="36"/>
        <v>1.7854934979067094E-2</v>
      </c>
      <c r="AF33" s="14">
        <f t="shared" si="36"/>
        <v>-6.4703593968074014E-3</v>
      </c>
      <c r="AG33" s="14">
        <f t="shared" si="36"/>
        <v>1.6554383312895382E-2</v>
      </c>
      <c r="AH33" s="14">
        <f t="shared" si="36"/>
        <v>2.7617544399195726E-2</v>
      </c>
      <c r="AI33" s="14">
        <f t="shared" si="36"/>
        <v>2.5336556284327072E-2</v>
      </c>
      <c r="AJ33" s="14">
        <f t="shared" si="36"/>
        <v>2.7488667720020121E-2</v>
      </c>
      <c r="AK33" s="14">
        <f t="shared" si="36"/>
        <v>1.6100526689942773E-2</v>
      </c>
      <c r="AL33" s="14">
        <f t="shared" si="36"/>
        <v>3.3151682732248444E-2</v>
      </c>
      <c r="AM33" s="14">
        <f t="shared" si="36"/>
        <v>2.5634017990838975E-2</v>
      </c>
      <c r="AN33" s="14">
        <f t="shared" si="36"/>
        <v>1.1148682905199214E-2</v>
      </c>
      <c r="AO33" s="14">
        <f t="shared" si="36"/>
        <v>3.3790121621158908E-2</v>
      </c>
      <c r="AP33" s="14">
        <f t="shared" si="36"/>
        <v>2.2426197601107534E-2</v>
      </c>
      <c r="AQ33" s="14">
        <f t="shared" si="36"/>
        <v>6.2957603000477702E-2</v>
      </c>
      <c r="AR33" s="14">
        <f t="shared" si="36"/>
        <v>3.6309506602609565E-2</v>
      </c>
      <c r="AS33" s="14">
        <f t="shared" si="36"/>
        <v>3.0890771688668384E-2</v>
      </c>
      <c r="AT33" s="14">
        <f t="shared" si="36"/>
        <v>0</v>
      </c>
      <c r="AU33" s="14">
        <f t="shared" si="36"/>
        <v>0</v>
      </c>
      <c r="AV33" s="14">
        <f t="shared" si="36"/>
        <v>0</v>
      </c>
      <c r="AW33" s="14">
        <f t="shared" si="36"/>
        <v>0</v>
      </c>
      <c r="AX33" s="14">
        <f t="shared" si="36"/>
        <v>0</v>
      </c>
      <c r="AY33" s="14">
        <f t="shared" si="36"/>
        <v>0</v>
      </c>
      <c r="AZ33" s="14">
        <f t="shared" ref="AZ33:BK33" si="37">AZ21+AZ27</f>
        <v>7.4750766955195225E-2</v>
      </c>
      <c r="BA33" s="14">
        <f t="shared" si="37"/>
        <v>7.4387641690783157E-2</v>
      </c>
      <c r="BB33" s="14">
        <f t="shared" si="37"/>
        <v>7.4195142242035494E-2</v>
      </c>
      <c r="BC33" s="14">
        <f t="shared" si="37"/>
        <v>7.3935542682574518E-2</v>
      </c>
      <c r="BD33" s="14">
        <f t="shared" si="37"/>
        <v>7.3780815586302229E-2</v>
      </c>
      <c r="BE33" s="14">
        <f t="shared" si="37"/>
        <v>7.3531117388890399E-2</v>
      </c>
      <c r="BF33" s="14">
        <f t="shared" si="37"/>
        <v>7.3364666209330798E-2</v>
      </c>
      <c r="BG33" s="14">
        <f t="shared" si="37"/>
        <v>7.3180043664466066E-2</v>
      </c>
      <c r="BH33" s="14">
        <f t="shared" si="37"/>
        <v>7.2859683331493175E-2</v>
      </c>
      <c r="BI33" s="14">
        <f t="shared" si="37"/>
        <v>7.2523586119868977E-2</v>
      </c>
      <c r="BJ33" s="14">
        <f t="shared" si="37"/>
        <v>7.2202060717463823E-2</v>
      </c>
      <c r="BK33" s="14">
        <f t="shared" si="37"/>
        <v>7.2000017005552142E-2</v>
      </c>
      <c r="BO33" s="28">
        <f t="shared" ref="BO33:BT35" si="38">BO21+BO27</f>
        <v>2.1774918445015334E-2</v>
      </c>
      <c r="BP33" s="28">
        <f t="shared" si="38"/>
        <v>7.4459746884853351E-2</v>
      </c>
      <c r="BQ33" s="28">
        <f t="shared" si="38"/>
        <v>2.147672925831956E-2</v>
      </c>
      <c r="BR33" s="28">
        <f t="shared" si="38"/>
        <v>-1.4651406761088115E-3</v>
      </c>
      <c r="BS33" s="28">
        <f t="shared" si="38"/>
        <v>1.2730594295198738E-2</v>
      </c>
      <c r="BT33" s="28">
        <f t="shared" si="38"/>
        <v>2.3015950890888259E-2</v>
      </c>
    </row>
    <row r="34" spans="1:72" hidden="1" outlineLevel="1" x14ac:dyDescent="0.25">
      <c r="A34" s="11"/>
      <c r="C34" s="2" t="s">
        <v>45</v>
      </c>
      <c r="D34" s="14">
        <f t="shared" si="36"/>
        <v>1.5522906810246706E-2</v>
      </c>
      <c r="E34" s="14">
        <f t="shared" si="36"/>
        <v>-2.0981733915610423E-2</v>
      </c>
      <c r="F34" s="14">
        <f t="shared" si="36"/>
        <v>-6.335400821613657E-3</v>
      </c>
      <c r="G34" s="14">
        <f t="shared" si="36"/>
        <v>2.6422992940421608E-2</v>
      </c>
      <c r="H34" s="14">
        <f t="shared" si="36"/>
        <v>8.6897609884887261E-2</v>
      </c>
      <c r="I34" s="14">
        <f t="shared" si="36"/>
        <v>1.5586822681274093E-2</v>
      </c>
      <c r="J34" s="14">
        <f t="shared" si="36"/>
        <v>8.1857136354183124E-2</v>
      </c>
      <c r="K34" s="14">
        <f t="shared" si="36"/>
        <v>-1.6916378485699157E-2</v>
      </c>
      <c r="L34" s="14">
        <f t="shared" si="36"/>
        <v>-1.1960446938265923E-2</v>
      </c>
      <c r="M34" s="14">
        <f t="shared" si="36"/>
        <v>-1.2245541914758906E-2</v>
      </c>
      <c r="N34" s="14">
        <f t="shared" si="36"/>
        <v>2.2537318902997594E-2</v>
      </c>
      <c r="O34" s="14">
        <f t="shared" si="36"/>
        <v>1.5606725707881575E-2</v>
      </c>
      <c r="P34" s="14">
        <f t="shared" si="36"/>
        <v>-1.9515806188277862E-2</v>
      </c>
      <c r="Q34" s="14">
        <f t="shared" si="36"/>
        <v>-1.5482985118253412E-2</v>
      </c>
      <c r="R34" s="14">
        <f t="shared" si="36"/>
        <v>-1.3563595581257415E-2</v>
      </c>
      <c r="S34" s="14">
        <f t="shared" si="36"/>
        <v>1.6206105606787036E-2</v>
      </c>
      <c r="T34" s="14">
        <f t="shared" si="36"/>
        <v>2.7121415101487134E-2</v>
      </c>
      <c r="U34" s="14">
        <f t="shared" si="36"/>
        <v>5.6499357307543185E-2</v>
      </c>
      <c r="V34" s="14">
        <f t="shared" si="36"/>
        <v>6.3748957067017553E-2</v>
      </c>
      <c r="W34" s="14">
        <f t="shared" si="36"/>
        <v>4.8147221504399873E-3</v>
      </c>
      <c r="X34" s="14">
        <f t="shared" si="36"/>
        <v>2.9207127267161015E-2</v>
      </c>
      <c r="Y34" s="14">
        <f t="shared" si="36"/>
        <v>4.0755274369840278E-2</v>
      </c>
      <c r="Z34" s="14">
        <f t="shared" si="36"/>
        <v>0.11424116888806646</v>
      </c>
      <c r="AA34" s="14">
        <f t="shared" si="36"/>
        <v>0.1449738630424815</v>
      </c>
      <c r="AB34" s="14">
        <f t="shared" si="36"/>
        <v>7.185858978033477E-2</v>
      </c>
      <c r="AC34" s="14">
        <f t="shared" si="36"/>
        <v>9.0879159631995332E-2</v>
      </c>
      <c r="AD34" s="14">
        <f t="shared" si="36"/>
        <v>0.11053877736039119</v>
      </c>
      <c r="AE34" s="14">
        <f t="shared" si="36"/>
        <v>0.10105826123471462</v>
      </c>
      <c r="AF34" s="14">
        <f t="shared" si="36"/>
        <v>9.2038823581079399E-2</v>
      </c>
      <c r="AG34" s="14">
        <f t="shared" si="36"/>
        <v>7.8952201941609124E-2</v>
      </c>
      <c r="AH34" s="14">
        <f t="shared" si="36"/>
        <v>0.11856944111950729</v>
      </c>
      <c r="AI34" s="14">
        <f t="shared" si="36"/>
        <v>6.4823122895118823E-2</v>
      </c>
      <c r="AJ34" s="14">
        <f t="shared" si="36"/>
        <v>6.5968244220561578E-2</v>
      </c>
      <c r="AK34" s="14">
        <f t="shared" si="36"/>
        <v>-2.606892911886316E-3</v>
      </c>
      <c r="AL34" s="14">
        <f t="shared" si="36"/>
        <v>7.4098514050830788E-2</v>
      </c>
      <c r="AM34" s="14">
        <f t="shared" si="36"/>
        <v>0.21324486570226431</v>
      </c>
      <c r="AN34" s="14">
        <f t="shared" si="36"/>
        <v>4.0333150714025656E-2</v>
      </c>
      <c r="AO34" s="14">
        <f t="shared" si="36"/>
        <v>5.6637010672102361E-2</v>
      </c>
      <c r="AP34" s="14">
        <f t="shared" si="36"/>
        <v>9.7471875613564407E-2</v>
      </c>
      <c r="AQ34" s="14">
        <f t="shared" si="36"/>
        <v>7.8276134815717269E-2</v>
      </c>
      <c r="AR34" s="14">
        <f t="shared" si="36"/>
        <v>0.13475646666531804</v>
      </c>
      <c r="AS34" s="14">
        <f t="shared" si="36"/>
        <v>3.7012157501218113E-2</v>
      </c>
      <c r="AT34" s="14">
        <f t="shared" si="36"/>
        <v>0</v>
      </c>
      <c r="AU34" s="14">
        <f t="shared" si="36"/>
        <v>0</v>
      </c>
      <c r="AV34" s="14">
        <f t="shared" si="36"/>
        <v>0</v>
      </c>
      <c r="AW34" s="14">
        <f t="shared" si="36"/>
        <v>0</v>
      </c>
      <c r="AX34" s="14">
        <f t="shared" si="36"/>
        <v>0</v>
      </c>
      <c r="AY34" s="14">
        <f t="shared" si="36"/>
        <v>0</v>
      </c>
      <c r="AZ34" s="14">
        <f t="shared" ref="AZ34:BK34" si="39">AZ22+AZ28</f>
        <v>4.6035001065033887E-2</v>
      </c>
      <c r="BA34" s="14">
        <f t="shared" si="39"/>
        <v>5.7964630545551676E-2</v>
      </c>
      <c r="BB34" s="14">
        <f t="shared" si="39"/>
        <v>4.1272938510058088E-2</v>
      </c>
      <c r="BC34" s="14">
        <f t="shared" si="39"/>
        <v>5.093191008869713E-2</v>
      </c>
      <c r="BD34" s="14">
        <f t="shared" si="39"/>
        <v>4.5088823269061162E-2</v>
      </c>
      <c r="BE34" s="14">
        <f t="shared" si="39"/>
        <v>4.8648292752167421E-2</v>
      </c>
      <c r="BF34" s="14">
        <f t="shared" si="39"/>
        <v>4.4970636412430043E-2</v>
      </c>
      <c r="BG34" s="14">
        <f t="shared" si="39"/>
        <v>4.9781504129488674E-2</v>
      </c>
      <c r="BH34" s="14">
        <f t="shared" si="39"/>
        <v>5.3855962110049616E-2</v>
      </c>
      <c r="BI34" s="14">
        <f t="shared" si="39"/>
        <v>4.9351909694245855E-2</v>
      </c>
      <c r="BJ34" s="14">
        <f t="shared" si="39"/>
        <v>6.2253631271434573E-2</v>
      </c>
      <c r="BK34" s="14">
        <f t="shared" si="39"/>
        <v>6.3404385586932399E-2</v>
      </c>
      <c r="BO34" s="28">
        <f t="shared" si="38"/>
        <v>6.447132229959851E-2</v>
      </c>
      <c r="BP34" s="28">
        <f t="shared" si="38"/>
        <v>4.8159467177111281E-2</v>
      </c>
      <c r="BQ34" s="28">
        <f t="shared" si="38"/>
        <v>4.7973181753241168E-2</v>
      </c>
      <c r="BR34" s="28">
        <f t="shared" si="38"/>
        <v>9.0839015688121139E-2</v>
      </c>
      <c r="BS34" s="28">
        <f t="shared" si="38"/>
        <v>-1.6259683254074897E-2</v>
      </c>
      <c r="BT34" s="28">
        <f t="shared" si="38"/>
        <v>-3.1174400397835367E-3</v>
      </c>
    </row>
    <row r="35" spans="1:72" collapsed="1" x14ac:dyDescent="0.25">
      <c r="C35" s="3" t="s">
        <v>63</v>
      </c>
      <c r="D35" s="15">
        <f t="shared" si="36"/>
        <v>0.17426845375003186</v>
      </c>
      <c r="E35" s="15">
        <f t="shared" si="36"/>
        <v>0.16792234508952553</v>
      </c>
      <c r="F35" s="15">
        <f t="shared" si="36"/>
        <v>0.16185502926600837</v>
      </c>
      <c r="G35" s="15">
        <f t="shared" si="36"/>
        <v>0.14116089982512481</v>
      </c>
      <c r="H35" s="15">
        <f t="shared" si="36"/>
        <v>0.16868170276725625</v>
      </c>
      <c r="I35" s="15">
        <f t="shared" si="36"/>
        <v>0.1596035444139321</v>
      </c>
      <c r="J35" s="15">
        <f t="shared" si="36"/>
        <v>0.16258942685194766</v>
      </c>
      <c r="K35" s="15">
        <f t="shared" si="36"/>
        <v>0.14862744849707243</v>
      </c>
      <c r="L35" s="15">
        <f t="shared" si="36"/>
        <v>0.14789623105604277</v>
      </c>
      <c r="M35" s="15">
        <f t="shared" si="36"/>
        <v>0.15027644613489</v>
      </c>
      <c r="N35" s="15">
        <f t="shared" si="36"/>
        <v>0.14409493272622176</v>
      </c>
      <c r="O35" s="15">
        <f t="shared" si="36"/>
        <v>0.13982385067873593</v>
      </c>
      <c r="P35" s="15">
        <f t="shared" si="36"/>
        <v>0.1446112219164426</v>
      </c>
      <c r="Q35" s="15">
        <f t="shared" si="36"/>
        <v>0.14157065674976899</v>
      </c>
      <c r="R35" s="15">
        <f t="shared" si="36"/>
        <v>0.14735977302319969</v>
      </c>
      <c r="S35" s="15">
        <f t="shared" si="36"/>
        <v>0.16021013679667373</v>
      </c>
      <c r="T35" s="15">
        <f t="shared" si="36"/>
        <v>0.16528242892090583</v>
      </c>
      <c r="U35" s="15">
        <f t="shared" si="36"/>
        <v>0.17321883934585025</v>
      </c>
      <c r="V35" s="15">
        <f t="shared" si="36"/>
        <v>0.185562844596461</v>
      </c>
      <c r="W35" s="15">
        <f t="shared" si="36"/>
        <v>0.18332784498464338</v>
      </c>
      <c r="X35" s="15">
        <f t="shared" si="36"/>
        <v>0.1803468523921048</v>
      </c>
      <c r="Y35" s="15">
        <f t="shared" si="36"/>
        <v>0.17636772334849371</v>
      </c>
      <c r="Z35" s="15">
        <f t="shared" si="36"/>
        <v>0.17231823288617032</v>
      </c>
      <c r="AA35" s="15">
        <f t="shared" si="36"/>
        <v>0.16567743167063043</v>
      </c>
      <c r="AB35" s="15">
        <f t="shared" si="36"/>
        <v>0.15630951172546848</v>
      </c>
      <c r="AC35" s="15">
        <f t="shared" si="36"/>
        <v>0.14733895362852767</v>
      </c>
      <c r="AD35" s="15">
        <f t="shared" si="36"/>
        <v>0.14598959467064598</v>
      </c>
      <c r="AE35" s="15">
        <f t="shared" si="36"/>
        <v>0.14733654853378186</v>
      </c>
      <c r="AF35" s="15">
        <f t="shared" si="36"/>
        <v>0.1463940992442887</v>
      </c>
      <c r="AG35" s="15">
        <f t="shared" si="36"/>
        <v>0.14465806201795006</v>
      </c>
      <c r="AH35" s="15">
        <f t="shared" si="36"/>
        <v>0.14952069051913575</v>
      </c>
      <c r="AI35" s="15">
        <f t="shared" si="36"/>
        <v>0.14428116107903666</v>
      </c>
      <c r="AJ35" s="15">
        <f t="shared" si="36"/>
        <v>0.1446382716772352</v>
      </c>
      <c r="AK35" s="15">
        <f t="shared" si="36"/>
        <v>0.14295884283359994</v>
      </c>
      <c r="AL35" s="15">
        <f t="shared" si="36"/>
        <v>0.14267389012557907</v>
      </c>
      <c r="AM35" s="15">
        <f t="shared" si="36"/>
        <v>0.16783761831825461</v>
      </c>
      <c r="AN35" s="15">
        <f t="shared" si="36"/>
        <v>0.16601631351014134</v>
      </c>
      <c r="AO35" s="15">
        <f t="shared" si="36"/>
        <v>0.17669935499293343</v>
      </c>
      <c r="AP35" s="15">
        <f t="shared" si="36"/>
        <v>0.19671458568811095</v>
      </c>
      <c r="AQ35" s="15">
        <f t="shared" si="36"/>
        <v>0.19836950554908528</v>
      </c>
      <c r="AR35" s="15">
        <f t="shared" si="36"/>
        <v>0.20587587251275186</v>
      </c>
      <c r="AS35" s="15">
        <f t="shared" si="36"/>
        <v>0.20613135948652439</v>
      </c>
      <c r="AT35" s="15">
        <f t="shared" si="36"/>
        <v>0</v>
      </c>
      <c r="AU35" s="15">
        <f t="shared" si="36"/>
        <v>0</v>
      </c>
      <c r="AV35" s="15">
        <f t="shared" si="36"/>
        <v>0</v>
      </c>
      <c r="AW35" s="15">
        <f t="shared" si="36"/>
        <v>0</v>
      </c>
      <c r="AX35" s="15">
        <f t="shared" si="36"/>
        <v>0</v>
      </c>
      <c r="AY35" s="15">
        <f t="shared" si="36"/>
        <v>0</v>
      </c>
      <c r="AZ35" s="15">
        <f t="shared" ref="AZ35:BK35" si="40">AZ23+AZ29</f>
        <v>0.13512874945734854</v>
      </c>
      <c r="BA35" s="15">
        <f t="shared" si="40"/>
        <v>0.12909895475458066</v>
      </c>
      <c r="BB35" s="15">
        <f t="shared" si="40"/>
        <v>0.13335905418175642</v>
      </c>
      <c r="BC35" s="15">
        <f t="shared" si="40"/>
        <v>0.12806250944310227</v>
      </c>
      <c r="BD35" s="15">
        <f t="shared" si="40"/>
        <v>0.12541475607709995</v>
      </c>
      <c r="BE35" s="15">
        <f t="shared" si="40"/>
        <v>0.12868613810240248</v>
      </c>
      <c r="BF35" s="15">
        <f t="shared" si="40"/>
        <v>0.12686237052876992</v>
      </c>
      <c r="BG35" s="15">
        <f t="shared" si="40"/>
        <v>0.12507322331757775</v>
      </c>
      <c r="BH35" s="15">
        <f t="shared" si="40"/>
        <v>0.12086062573448286</v>
      </c>
      <c r="BI35" s="15">
        <f t="shared" si="40"/>
        <v>0.12122078197537545</v>
      </c>
      <c r="BJ35" s="15">
        <f t="shared" si="40"/>
        <v>0.11877049929154126</v>
      </c>
      <c r="BK35" s="15">
        <f t="shared" si="40"/>
        <v>0.12229440439929395</v>
      </c>
      <c r="BO35" s="29">
        <f t="shared" si="38"/>
        <v>0.18097678649455129</v>
      </c>
      <c r="BP35" s="29">
        <f t="shared" si="38"/>
        <v>0.13265893642094162</v>
      </c>
      <c r="BQ35" s="29">
        <f t="shared" si="38"/>
        <v>0.17082173780301035</v>
      </c>
      <c r="BR35" s="29">
        <f t="shared" si="38"/>
        <v>0.15004910935064508</v>
      </c>
      <c r="BS35" s="29">
        <f t="shared" si="38"/>
        <v>0.14456349551718439</v>
      </c>
      <c r="BT35" s="29">
        <f t="shared" si="38"/>
        <v>0.1679882862134634</v>
      </c>
    </row>
    <row r="38" spans="1:72" hidden="1" outlineLevel="1" x14ac:dyDescent="0.25">
      <c r="A38" s="11" t="s">
        <v>55</v>
      </c>
      <c r="C38" s="2" t="s">
        <v>0</v>
      </c>
      <c r="D38" s="8">
        <f>IFERROR(
GETPIVOTDATA(
"[Base].[Importe]",
TDinamica_R!$A$5,
"[Calendario].[AñoMes]",
"[Calendario].[AñoMes].&amp;[" &amp; TEXT(D$6,"yyyymm") &amp; "]",
"[Base].[Metrica]",
"[Base].[Metrica].&amp;[" &amp; $A38 &amp; "]",
"[Base].[SEGMENTO_DESCRIP]",
"[Base].[SEGMENTO_DESCRIP].&amp;[" &amp; $C$6 &amp; "]",
"[Base].[SITUACION]",
"[Base].[SITUACION].&amp;[" &amp; $C38 &amp; "]"
),0)/1000</f>
        <v>912.24702977000004</v>
      </c>
      <c r="E38" s="8">
        <f>IFERROR(
GETPIVOTDATA(
"[Base].[Importe]",
TDinamica_R!$A$5,
"[Calendario].[AñoMes]",
"[Calendario].[AñoMes].&amp;[" &amp; TEXT(E$6,"yyyymm") &amp; "]",
"[Base].[Metrica]",
"[Base].[Metrica].&amp;[" &amp; $A38 &amp; "]",
"[Base].[SEGMENTO_DESCRIP]",
"[Base].[SEGMENTO_DESCRIP].&amp;[" &amp; $C$6 &amp; "]",
"[Base].[SITUACION]",
"[Base].[SITUACION].&amp;[" &amp; $C38 &amp; "]"
),0)/1000</f>
        <v>827.48903447999987</v>
      </c>
      <c r="F38" s="8">
        <f>IFERROR(
GETPIVOTDATA(
"[Base].[Importe]",
TDinamica_R!$A$5,
"[Calendario].[AñoMes]",
"[Calendario].[AñoMes].&amp;[" &amp; TEXT(F$6,"yyyymm") &amp; "]",
"[Base].[Metrica]",
"[Base].[Metrica].&amp;[" &amp; $A38 &amp; "]",
"[Base].[SEGMENTO_DESCRIP]",
"[Base].[SEGMENTO_DESCRIP].&amp;[" &amp; $C$6 &amp; "]",
"[Base].[SITUACION]",
"[Base].[SITUACION].&amp;[" &amp; $C38 &amp; "]"
),0)/1000</f>
        <v>927.51680462000002</v>
      </c>
      <c r="G38" s="8">
        <f>IFERROR(
GETPIVOTDATA(
"[Base].[Importe]",
TDinamica_R!$A$5,
"[Calendario].[AñoMes]",
"[Calendario].[AñoMes].&amp;[" &amp; TEXT(G$6,"yyyymm") &amp; "]",
"[Base].[Metrica]",
"[Base].[Metrica].&amp;[" &amp; $A38 &amp; "]",
"[Base].[SEGMENTO_DESCRIP]",
"[Base].[SEGMENTO_DESCRIP].&amp;[" &amp; $C$6 &amp; "]",
"[Base].[SITUACION]",
"[Base].[SITUACION].&amp;[" &amp; $C38 &amp; "]"
),0)/1000</f>
        <v>834.98194310999997</v>
      </c>
      <c r="H38" s="8">
        <f>IFERROR(
GETPIVOTDATA(
"[Base].[Importe]",
TDinamica_R!$A$5,
"[Calendario].[AñoMes]",
"[Calendario].[AñoMes].&amp;[" &amp; TEXT(H$6,"yyyymm") &amp; "]",
"[Base].[Metrica]",
"[Base].[Metrica].&amp;[" &amp; $A38 &amp; "]",
"[Base].[SEGMENTO_DESCRIP]",
"[Base].[SEGMENTO_DESCRIP].&amp;[" &amp; $C$6 &amp; "]",
"[Base].[SITUACION]",
"[Base].[SITUACION].&amp;[" &amp; $C38 &amp; "]"
),0)/1000</f>
        <v>958.43770656000004</v>
      </c>
      <c r="I38" s="8">
        <f>IFERROR(
GETPIVOTDATA(
"[Base].[Importe]",
TDinamica_R!$A$5,
"[Calendario].[AñoMes]",
"[Calendario].[AñoMes].&amp;[" &amp; TEXT(I$6,"yyyymm") &amp; "]",
"[Base].[Metrica]",
"[Base].[Metrica].&amp;[" &amp; $A38 &amp; "]",
"[Base].[SEGMENTO_DESCRIP]",
"[Base].[SEGMENTO_DESCRIP].&amp;[" &amp; $C$6 &amp; "]",
"[Base].[SITUACION]",
"[Base].[SITUACION].&amp;[" &amp; $C38 &amp; "]"
),0)/1000</f>
        <v>912.31662344999995</v>
      </c>
      <c r="J38" s="8">
        <f>IFERROR(
GETPIVOTDATA(
"[Base].[Importe]",
TDinamica_R!$A$5,
"[Calendario].[AñoMes]",
"[Calendario].[AñoMes].&amp;[" &amp; TEXT(J$6,"yyyymm") &amp; "]",
"[Base].[Metrica]",
"[Base].[Metrica].&amp;[" &amp; $A38 &amp; "]",
"[Base].[SEGMENTO_DESCRIP]",
"[Base].[SEGMENTO_DESCRIP].&amp;[" &amp; $C$6 &amp; "]",
"[Base].[SITUACION]",
"[Base].[SITUACION].&amp;[" &amp; $C38 &amp; "]"
),0)/1000</f>
        <v>935.08728886000017</v>
      </c>
      <c r="K38" s="8">
        <f>IFERROR(
GETPIVOTDATA(
"[Base].[Importe]",
TDinamica_R!$A$5,
"[Calendario].[AñoMes]",
"[Calendario].[AñoMes].&amp;[" &amp; TEXT(K$6,"yyyymm") &amp; "]",
"[Base].[Metrica]",
"[Base].[Metrica].&amp;[" &amp; $A38 &amp; "]",
"[Base].[SEGMENTO_DESCRIP]",
"[Base].[SEGMENTO_DESCRIP].&amp;[" &amp; $C$6 &amp; "]",
"[Base].[SITUACION]",
"[Base].[SITUACION].&amp;[" &amp; $C38 &amp; "]"
),0)/1000</f>
        <v>891.2242940499998</v>
      </c>
      <c r="L38" s="8">
        <f>IFERROR(
GETPIVOTDATA(
"[Base].[Importe]",
TDinamica_R!$A$5,
"[Calendario].[AñoMes]",
"[Calendario].[AñoMes].&amp;[" &amp; TEXT(L$6,"yyyymm") &amp; "]",
"[Base].[Metrica]",
"[Base].[Metrica].&amp;[" &amp; $A38 &amp; "]",
"[Base].[SEGMENTO_DESCRIP]",
"[Base].[SEGMENTO_DESCRIP].&amp;[" &amp; $C$6 &amp; "]",
"[Base].[SITUACION]",
"[Base].[SITUACION].&amp;[" &amp; $C38 &amp; "]"
),0)/1000</f>
        <v>860.24537605000023</v>
      </c>
      <c r="M38" s="8">
        <f>IFERROR(
GETPIVOTDATA(
"[Base].[Importe]",
TDinamica_R!$A$5,
"[Calendario].[AñoMes]",
"[Calendario].[AñoMes].&amp;[" &amp; TEXT(M$6,"yyyymm") &amp; "]",
"[Base].[Metrica]",
"[Base].[Metrica].&amp;[" &amp; $A38 &amp; "]",
"[Base].[SEGMENTO_DESCRIP]",
"[Base].[SEGMENTO_DESCRIP].&amp;[" &amp; $C$6 &amp; "]",
"[Base].[SITUACION]",
"[Base].[SITUACION].&amp;[" &amp; $C38 &amp; "]"
),0)/1000</f>
        <v>868.97589028000004</v>
      </c>
      <c r="N38" s="8">
        <f>IFERROR(
GETPIVOTDATA(
"[Base].[Importe]",
TDinamica_R!$A$5,
"[Calendario].[AñoMes]",
"[Calendario].[AñoMes].&amp;[" &amp; TEXT(N$6,"yyyymm") &amp; "]",
"[Base].[Metrica]",
"[Base].[Metrica].&amp;[" &amp; $A38 &amp; "]",
"[Base].[SEGMENTO_DESCRIP]",
"[Base].[SEGMENTO_DESCRIP].&amp;[" &amp; $C$6 &amp; "]",
"[Base].[SITUACION]",
"[Base].[SITUACION].&amp;[" &amp; $C38 &amp; "]"
),0)/1000</f>
        <v>778.68458338999994</v>
      </c>
      <c r="O38" s="8">
        <f>IFERROR(
GETPIVOTDATA(
"[Base].[Importe]",
TDinamica_R!$A$5,
"[Calendario].[AñoMes]",
"[Calendario].[AñoMes].&amp;[" &amp; TEXT(O$6,"yyyymm") &amp; "]",
"[Base].[Metrica]",
"[Base].[Metrica].&amp;[" &amp; $A38 &amp; "]",
"[Base].[SEGMENTO_DESCRIP]",
"[Base].[SEGMENTO_DESCRIP].&amp;[" &amp; $C$6 &amp; "]",
"[Base].[SITUACION]",
"[Base].[SITUACION].&amp;[" &amp; $C38 &amp; "]"
),0)/1000</f>
        <v>761.41693366999993</v>
      </c>
      <c r="P38" s="8">
        <f>IFERROR(
GETPIVOTDATA(
"[Base].[Importe]",
TDinamica_R!$A$5,
"[Calendario].[AñoMes]",
"[Calendario].[AñoMes].&amp;[" &amp; TEXT(P$6,"yyyymm") &amp; "]",
"[Base].[Metrica]",
"[Base].[Metrica].&amp;[" &amp; $A38 &amp; "]",
"[Base].[SEGMENTO_DESCRIP]",
"[Base].[SEGMENTO_DESCRIP].&amp;[" &amp; $C$6 &amp; "]",
"[Base].[SITUACION]",
"[Base].[SITUACION].&amp;[" &amp; $C38 &amp; "]"
),0)/1000</f>
        <v>746.80445353000005</v>
      </c>
      <c r="Q38" s="8">
        <f>IFERROR(
GETPIVOTDATA(
"[Base].[Importe]",
TDinamica_R!$A$5,
"[Calendario].[AñoMes]",
"[Calendario].[AñoMes].&amp;[" &amp; TEXT(Q$6,"yyyymm") &amp; "]",
"[Base].[Metrica]",
"[Base].[Metrica].&amp;[" &amp; $A38 &amp; "]",
"[Base].[SEGMENTO_DESCRIP]",
"[Base].[SEGMENTO_DESCRIP].&amp;[" &amp; $C$6 &amp; "]",
"[Base].[SITUACION]",
"[Base].[SITUACION].&amp;[" &amp; $C38 &amp; "]"
),0)/1000</f>
        <v>648.17637243000001</v>
      </c>
      <c r="R38" s="8">
        <f>IFERROR(
GETPIVOTDATA(
"[Base].[Importe]",
TDinamica_R!$A$5,
"[Calendario].[AñoMes]",
"[Calendario].[AñoMes].&amp;[" &amp; TEXT(R$6,"yyyymm") &amp; "]",
"[Base].[Metrica]",
"[Base].[Metrica].&amp;[" &amp; $A38 &amp; "]",
"[Base].[SEGMENTO_DESCRIP]",
"[Base].[SEGMENTO_DESCRIP].&amp;[" &amp; $C$6 &amp; "]",
"[Base].[SITUACION]",
"[Base].[SITUACION].&amp;[" &amp; $C38 &amp; "]"
),0)/1000</f>
        <v>682.73158307000006</v>
      </c>
      <c r="S38" s="8">
        <f>IFERROR(
GETPIVOTDATA(
"[Base].[Importe]",
TDinamica_R!$A$5,
"[Calendario].[AñoMes]",
"[Calendario].[AñoMes].&amp;[" &amp; TEXT(S$6,"yyyymm") &amp; "]",
"[Base].[Metrica]",
"[Base].[Metrica].&amp;[" &amp; $A38 &amp; "]",
"[Base].[SEGMENTO_DESCRIP]",
"[Base].[SEGMENTO_DESCRIP].&amp;[" &amp; $C$6 &amp; "]",
"[Base].[SITUACION]",
"[Base].[SITUACION].&amp;[" &amp; $C38 &amp; "]"
),0)/1000</f>
        <v>665.01519541000005</v>
      </c>
      <c r="T38" s="8">
        <f>IFERROR(
GETPIVOTDATA(
"[Base].[Importe]",
TDinamica_R!$A$5,
"[Calendario].[AñoMes]",
"[Calendario].[AñoMes].&amp;[" &amp; TEXT(T$6,"yyyymm") &amp; "]",
"[Base].[Metrica]",
"[Base].[Metrica].&amp;[" &amp; $A38 &amp; "]",
"[Base].[SEGMENTO_DESCRIP]",
"[Base].[SEGMENTO_DESCRIP].&amp;[" &amp; $C$6 &amp; "]",
"[Base].[SITUACION]",
"[Base].[SITUACION].&amp;[" &amp; $C38 &amp; "]"
),0)/1000</f>
        <v>666.14219049000008</v>
      </c>
      <c r="U38" s="8">
        <f>IFERROR(
GETPIVOTDATA(
"[Base].[Importe]",
TDinamica_R!$A$5,
"[Calendario].[AñoMes]",
"[Calendario].[AñoMes].&amp;[" &amp; TEXT(U$6,"yyyymm") &amp; "]",
"[Base].[Metrica]",
"[Base].[Metrica].&amp;[" &amp; $A38 &amp; "]",
"[Base].[SEGMENTO_DESCRIP]",
"[Base].[SEGMENTO_DESCRIP].&amp;[" &amp; $C$6 &amp; "]",
"[Base].[SITUACION]",
"[Base].[SITUACION].&amp;[" &amp; $C38 &amp; "]"
),0)/1000</f>
        <v>631.95602919999999</v>
      </c>
      <c r="V38" s="8">
        <f>IFERROR(
GETPIVOTDATA(
"[Base].[Importe]",
TDinamica_R!$A$5,
"[Calendario].[AñoMes]",
"[Calendario].[AñoMes].&amp;[" &amp; TEXT(V$6,"yyyymm") &amp; "]",
"[Base].[Metrica]",
"[Base].[Metrica].&amp;[" &amp; $A38 &amp; "]",
"[Base].[SEGMENTO_DESCRIP]",
"[Base].[SEGMENTO_DESCRIP].&amp;[" &amp; $C$6 &amp; "]",
"[Base].[SITUACION]",
"[Base].[SITUACION].&amp;[" &amp; $C38 &amp; "]"
),0)/1000</f>
        <v>653.27258104000009</v>
      </c>
      <c r="W38" s="8">
        <f>IFERROR(
GETPIVOTDATA(
"[Base].[Importe]",
TDinamica_R!$A$5,
"[Calendario].[AñoMes]",
"[Calendario].[AñoMes].&amp;[" &amp; TEXT(W$6,"yyyymm") &amp; "]",
"[Base].[Metrica]",
"[Base].[Metrica].&amp;[" &amp; $A38 &amp; "]",
"[Base].[SEGMENTO_DESCRIP]",
"[Base].[SEGMENTO_DESCRIP].&amp;[" &amp; $C$6 &amp; "]",
"[Base].[SITUACION]",
"[Base].[SITUACION].&amp;[" &amp; $C38 &amp; "]"
),0)/1000</f>
        <v>629.67728695000005</v>
      </c>
      <c r="X38" s="8">
        <f>IFERROR(
GETPIVOTDATA(
"[Base].[Importe]",
TDinamica_R!$A$5,
"[Calendario].[AñoMes]",
"[Calendario].[AñoMes].&amp;[" &amp; TEXT(X$6,"yyyymm") &amp; "]",
"[Base].[Metrica]",
"[Base].[Metrica].&amp;[" &amp; $A38 &amp; "]",
"[Base].[SEGMENTO_DESCRIP]",
"[Base].[SEGMENTO_DESCRIP].&amp;[" &amp; $C$6 &amp; "]",
"[Base].[SITUACION]",
"[Base].[SITUACION].&amp;[" &amp; $C38 &amp; "]"
),0)/1000</f>
        <v>594.71584225000015</v>
      </c>
      <c r="Y38" s="8">
        <f>IFERROR(
GETPIVOTDATA(
"[Base].[Importe]",
TDinamica_R!$A$5,
"[Calendario].[AñoMes]",
"[Calendario].[AñoMes].&amp;[" &amp; TEXT(Y$6,"yyyymm") &amp; "]",
"[Base].[Metrica]",
"[Base].[Metrica].&amp;[" &amp; $A38 &amp; "]",
"[Base].[SEGMENTO_DESCRIP]",
"[Base].[SEGMENTO_DESCRIP].&amp;[" &amp; $C$6 &amp; "]",
"[Base].[SITUACION]",
"[Base].[SITUACION].&amp;[" &amp; $C38 &amp; "]"
),0)/1000</f>
        <v>587.44668307000006</v>
      </c>
      <c r="Z38" s="8">
        <f>IFERROR(
GETPIVOTDATA(
"[Base].[Importe]",
TDinamica_R!$A$5,
"[Calendario].[AñoMes]",
"[Calendario].[AñoMes].&amp;[" &amp; TEXT(Z$6,"yyyymm") &amp; "]",
"[Base].[Metrica]",
"[Base].[Metrica].&amp;[" &amp; $A38 &amp; "]",
"[Base].[SEGMENTO_DESCRIP]",
"[Base].[SEGMENTO_DESCRIP].&amp;[" &amp; $C$6 &amp; "]",
"[Base].[SITUACION]",
"[Base].[SITUACION].&amp;[" &amp; $C38 &amp; "]"
),0)/1000</f>
        <v>531.87087846000009</v>
      </c>
      <c r="AA38" s="8">
        <f>IFERROR(
GETPIVOTDATA(
"[Base].[Importe]",
TDinamica_R!$A$5,
"[Calendario].[AñoMes]",
"[Calendario].[AñoMes].&amp;[" &amp; TEXT(AA$6,"yyyymm") &amp; "]",
"[Base].[Metrica]",
"[Base].[Metrica].&amp;[" &amp; $A38 &amp; "]",
"[Base].[SEGMENTO_DESCRIP]",
"[Base].[SEGMENTO_DESCRIP].&amp;[" &amp; $C$6 &amp; "]",
"[Base].[SITUACION]",
"[Base].[SITUACION].&amp;[" &amp; $C38 &amp; "]"
),0)/1000</f>
        <v>506.10821728000013</v>
      </c>
      <c r="AB38" s="8">
        <f>IFERROR(
GETPIVOTDATA(
"[Base].[Importe]",
TDinamica_R!$A$5,
"[Calendario].[AñoMes]",
"[Calendario].[AñoMes].&amp;[" &amp; TEXT(AB$6,"yyyymm") &amp; "]",
"[Base].[Metrica]",
"[Base].[Metrica].&amp;[" &amp; $A38 &amp; "]",
"[Base].[SEGMENTO_DESCRIP]",
"[Base].[SEGMENTO_DESCRIP].&amp;[" &amp; $C$6 &amp; "]",
"[Base].[SITUACION]",
"[Base].[SITUACION].&amp;[" &amp; $C38 &amp; "]"
),0)/1000</f>
        <v>473.5478253899999</v>
      </c>
      <c r="AC38" s="8">
        <f>IFERROR(
GETPIVOTDATA(
"[Base].[Importe]",
TDinamica_R!$A$5,
"[Calendario].[AñoMes]",
"[Calendario].[AñoMes].&amp;[" &amp; TEXT(AC$6,"yyyymm") &amp; "]",
"[Base].[Metrica]",
"[Base].[Metrica].&amp;[" &amp; $A38 &amp; "]",
"[Base].[SEGMENTO_DESCRIP]",
"[Base].[SEGMENTO_DESCRIP].&amp;[" &amp; $C$6 &amp; "]",
"[Base].[SITUACION]",
"[Base].[SITUACION].&amp;[" &amp; $C38 &amp; "]"
),0)/1000</f>
        <v>395.78287167999991</v>
      </c>
      <c r="AD38" s="8">
        <f>IFERROR(
GETPIVOTDATA(
"[Base].[Importe]",
TDinamica_R!$A$5,
"[Calendario].[AñoMes]",
"[Calendario].[AñoMes].&amp;[" &amp; TEXT(AD$6,"yyyymm") &amp; "]",
"[Base].[Metrica]",
"[Base].[Metrica].&amp;[" &amp; $A38 &amp; "]",
"[Base].[SEGMENTO_DESCRIP]",
"[Base].[SEGMENTO_DESCRIP].&amp;[" &amp; $C$6 &amp; "]",
"[Base].[SITUACION]",
"[Base].[SITUACION].&amp;[" &amp; $C38 &amp; "]"
),0)/1000</f>
        <v>417.51529608999999</v>
      </c>
      <c r="AE38" s="8">
        <f>IFERROR(
GETPIVOTDATA(
"[Base].[Importe]",
TDinamica_R!$A$5,
"[Calendario].[AñoMes]",
"[Calendario].[AñoMes].&amp;[" &amp; TEXT(AE$6,"yyyymm") &amp; "]",
"[Base].[Metrica]",
"[Base].[Metrica].&amp;[" &amp; $A38 &amp; "]",
"[Base].[SEGMENTO_DESCRIP]",
"[Base].[SEGMENTO_DESCRIP].&amp;[" &amp; $C$6 &amp; "]",
"[Base].[SITUACION]",
"[Base].[SITUACION].&amp;[" &amp; $C38 &amp; "]"
),0)/1000</f>
        <v>399.55318586999999</v>
      </c>
      <c r="AF38" s="8">
        <f>IFERROR(
GETPIVOTDATA(
"[Base].[Importe]",
TDinamica_R!$A$5,
"[Calendario].[AñoMes]",
"[Calendario].[AñoMes].&amp;[" &amp; TEXT(AF$6,"yyyymm") &amp; "]",
"[Base].[Metrica]",
"[Base].[Metrica].&amp;[" &amp; $A38 &amp; "]",
"[Base].[SEGMENTO_DESCRIP]",
"[Base].[SEGMENTO_DESCRIP].&amp;[" &amp; $C$6 &amp; "]",
"[Base].[SITUACION]",
"[Base].[SITUACION].&amp;[" &amp; $C38 &amp; "]"
),0)/1000</f>
        <v>405.46402227999999</v>
      </c>
      <c r="AG38" s="8">
        <f>IFERROR(
GETPIVOTDATA(
"[Base].[Importe]",
TDinamica_R!$A$5,
"[Calendario].[AñoMes]",
"[Calendario].[AñoMes].&amp;[" &amp; TEXT(AG$6,"yyyymm") &amp; "]",
"[Base].[Metrica]",
"[Base].[Metrica].&amp;[" &amp; $A38 &amp; "]",
"[Base].[SEGMENTO_DESCRIP]",
"[Base].[SEGMENTO_DESCRIP].&amp;[" &amp; $C$6 &amp; "]",
"[Base].[SITUACION]",
"[Base].[SITUACION].&amp;[" &amp; $C38 &amp; "]"
),0)/1000</f>
        <v>381.29157294000004</v>
      </c>
      <c r="AH38" s="8">
        <f>IFERROR(
GETPIVOTDATA(
"[Base].[Importe]",
TDinamica_R!$A$5,
"[Calendario].[AñoMes]",
"[Calendario].[AñoMes].&amp;[" &amp; TEXT(AH$6,"yyyymm") &amp; "]",
"[Base].[Metrica]",
"[Base].[Metrica].&amp;[" &amp; $A38 &amp; "]",
"[Base].[SEGMENTO_DESCRIP]",
"[Base].[SEGMENTO_DESCRIP].&amp;[" &amp; $C$6 &amp; "]",
"[Base].[SITUACION]",
"[Base].[SITUACION].&amp;[" &amp; $C38 &amp; "]"
),0)/1000</f>
        <v>389.47071692999998</v>
      </c>
      <c r="AI38" s="8">
        <f>IFERROR(
GETPIVOTDATA(
"[Base].[Importe]",
TDinamica_R!$A$5,
"[Calendario].[AñoMes]",
"[Calendario].[AñoMes].&amp;[" &amp; TEXT(AI$6,"yyyymm") &amp; "]",
"[Base].[Metrica]",
"[Base].[Metrica].&amp;[" &amp; $A38 &amp; "]",
"[Base].[SEGMENTO_DESCRIP]",
"[Base].[SEGMENTO_DESCRIP].&amp;[" &amp; $C$6 &amp; "]",
"[Base].[SITUACION]",
"[Base].[SITUACION].&amp;[" &amp; $C38 &amp; "]"
),0)/1000</f>
        <v>381.52481038999991</v>
      </c>
      <c r="AJ38" s="8">
        <f>IFERROR(
GETPIVOTDATA(
"[Base].[Importe]",
TDinamica_R!$A$5,
"[Calendario].[AñoMes]",
"[Calendario].[AñoMes].&amp;[" &amp; TEXT(AJ$6,"yyyymm") &amp; "]",
"[Base].[Metrica]",
"[Base].[Metrica].&amp;[" &amp; $A38 &amp; "]",
"[Base].[SEGMENTO_DESCRIP]",
"[Base].[SEGMENTO_DESCRIP].&amp;[" &amp; $C$6 &amp; "]",
"[Base].[SITUACION]",
"[Base].[SITUACION].&amp;[" &amp; $C38 &amp; "]"
),0)/1000</f>
        <v>364.46219199000001</v>
      </c>
      <c r="AK38" s="8">
        <f>IFERROR(
GETPIVOTDATA(
"[Base].[Importe]",
TDinamica_R!$A$5,
"[Calendario].[AñoMes]",
"[Calendario].[AñoMes].&amp;[" &amp; TEXT(AK$6,"yyyymm") &amp; "]",
"[Base].[Metrica]",
"[Base].[Metrica].&amp;[" &amp; $A38 &amp; "]",
"[Base].[SEGMENTO_DESCRIP]",
"[Base].[SEGMENTO_DESCRIP].&amp;[" &amp; $C$6 &amp; "]",
"[Base].[SITUACION]",
"[Base].[SITUACION].&amp;[" &amp; $C38 &amp; "]"
),0)/1000</f>
        <v>374.71510108000007</v>
      </c>
      <c r="AL38" s="8">
        <f>IFERROR(
GETPIVOTDATA(
"[Base].[Importe]",
TDinamica_R!$A$5,
"[Calendario].[AñoMes]",
"[Calendario].[AñoMes].&amp;[" &amp; TEXT(AL$6,"yyyymm") &amp; "]",
"[Base].[Metrica]",
"[Base].[Metrica].&amp;[" &amp; $A38 &amp; "]",
"[Base].[SEGMENTO_DESCRIP]",
"[Base].[SEGMENTO_DESCRIP].&amp;[" &amp; $C$6 &amp; "]",
"[Base].[SITUACION]",
"[Base].[SITUACION].&amp;[" &amp; $C38 &amp; "]"
),0)/1000</f>
        <v>351.76879006000001</v>
      </c>
      <c r="AM38" s="8">
        <f>IFERROR(
GETPIVOTDATA(
"[Base].[Importe]",
TDinamica_R!$A$5,
"[Calendario].[AñoMes]",
"[Calendario].[AñoMes].&amp;[" &amp; TEXT(AM$6,"yyyymm") &amp; "]",
"[Base].[Metrica]",
"[Base].[Metrica].&amp;[" &amp; $A38 &amp; "]",
"[Base].[SEGMENTO_DESCRIP]",
"[Base].[SEGMENTO_DESCRIP].&amp;[" &amp; $C$6 &amp; "]",
"[Base].[SITUACION]",
"[Base].[SITUACION].&amp;[" &amp; $C38 &amp; "]"
),0)/1000</f>
        <v>408.85447441000002</v>
      </c>
      <c r="AN38" s="8">
        <f>IFERROR(
GETPIVOTDATA(
"[Base].[Importe]",
TDinamica_R!$A$5,
"[Calendario].[AñoMes]",
"[Calendario].[AñoMes].&amp;[" &amp; TEXT(AN$6,"yyyymm") &amp; "]",
"[Base].[Metrica]",
"[Base].[Metrica].&amp;[" &amp; $A38 &amp; "]",
"[Base].[SEGMENTO_DESCRIP]",
"[Base].[SEGMENTO_DESCRIP].&amp;[" &amp; $C$6 &amp; "]",
"[Base].[SITUACION]",
"[Base].[SITUACION].&amp;[" &amp; $C38 &amp; "]"
),0)/1000</f>
        <v>447.82000164000004</v>
      </c>
      <c r="AO38" s="8">
        <f>IFERROR(
GETPIVOTDATA(
"[Base].[Importe]",
TDinamica_R!$A$5,
"[Calendario].[AñoMes]",
"[Calendario].[AñoMes].&amp;[" &amp; TEXT(AO$6,"yyyymm") &amp; "]",
"[Base].[Metrica]",
"[Base].[Metrica].&amp;[" &amp; $A38 &amp; "]",
"[Base].[SEGMENTO_DESCRIP]",
"[Base].[SEGMENTO_DESCRIP].&amp;[" &amp; $C$6 &amp; "]",
"[Base].[SITUACION]",
"[Base].[SITUACION].&amp;[" &amp; $C38 &amp; "]"
),0)/1000</f>
        <v>469.07751868000003</v>
      </c>
      <c r="AP38" s="8">
        <f>IFERROR(
GETPIVOTDATA(
"[Base].[Importe]",
TDinamica_R!$A$5,
"[Calendario].[AñoMes]",
"[Calendario].[AñoMes].&amp;[" &amp; TEXT(AP$6,"yyyymm") &amp; "]",
"[Base].[Metrica]",
"[Base].[Metrica].&amp;[" &amp; $A38 &amp; "]",
"[Base].[SEGMENTO_DESCRIP]",
"[Base].[SEGMENTO_DESCRIP].&amp;[" &amp; $C$6 &amp; "]",
"[Base].[SITUACION]",
"[Base].[SITUACION].&amp;[" &amp; $C38 &amp; "]"
),0)/1000</f>
        <v>613.65752839999993</v>
      </c>
      <c r="AQ38" s="8">
        <f>IFERROR(
GETPIVOTDATA(
"[Base].[Importe]",
TDinamica_R!$A$5,
"[Calendario].[AñoMes]",
"[Calendario].[AñoMes].&amp;[" &amp; TEXT(AQ$6,"yyyymm") &amp; "]",
"[Base].[Metrica]",
"[Base].[Metrica].&amp;[" &amp; $A38 &amp; "]",
"[Base].[SEGMENTO_DESCRIP]",
"[Base].[SEGMENTO_DESCRIP].&amp;[" &amp; $C$6 &amp; "]",
"[Base].[SITUACION]",
"[Base].[SITUACION].&amp;[" &amp; $C38 &amp; "]"
),0)/1000</f>
        <v>652.76772134999999</v>
      </c>
      <c r="AR38" s="8">
        <f>IFERROR(
GETPIVOTDATA(
"[Base].[Importe]",
TDinamica_R!$A$5,
"[Calendario].[AñoMes]",
"[Calendario].[AñoMes].&amp;[" &amp; TEXT(AR$6,"yyyymm") &amp; "]",
"[Base].[Metrica]",
"[Base].[Metrica].&amp;[" &amp; $A38 &amp; "]",
"[Base].[SEGMENTO_DESCRIP]",
"[Base].[SEGMENTO_DESCRIP].&amp;[" &amp; $C$6 &amp; "]",
"[Base].[SITUACION]",
"[Base].[SITUACION].&amp;[" &amp; $C38 &amp; "]"
),0)/1000</f>
        <v>764.8648212600001</v>
      </c>
      <c r="AS38" s="8">
        <f>IFERROR(
GETPIVOTDATA(
"[Base].[Importe]",
TDinamica_R!$A$5,
"[Calendario].[AñoMes]",
"[Calendario].[AñoMes].&amp;[" &amp; TEXT(AS$6,"yyyymm") &amp; "]",
"[Base].[Metrica]",
"[Base].[Metrica].&amp;[" &amp; $A38 &amp; "]",
"[Base].[SEGMENTO_DESCRIP]",
"[Base].[SEGMENTO_DESCRIP].&amp;[" &amp; $C$6 &amp; "]",
"[Base].[SITUACION]",
"[Base].[SITUACION].&amp;[" &amp; $C38 &amp; "]"
),0)/1000</f>
        <v>818.44853581000007</v>
      </c>
      <c r="AT38" s="8">
        <f>IFERROR(
GETPIVOTDATA(
"[Base].[Importe]",
TDinamica_R!$A$5,
"[Calendario].[AñoMes]",
"[Calendario].[AñoMes].&amp;[" &amp; TEXT(AT$6,"yyyymm")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U38" s="8">
        <f>IFERROR(
GETPIVOTDATA(
"[Base].[Importe]",
TDinamica_R!$A$5,
"[Calendario].[AñoMes]",
"[Calendario].[AñoMes].&amp;[" &amp; TEXT(AU$6,"yyyymm")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V38" s="8">
        <f>IFERROR(
GETPIVOTDATA(
"[Base].[Importe]",
TDinamica_R!$A$5,
"[Calendario].[AñoMes]",
"[Calendario].[AñoMes].&amp;[" &amp; TEXT(AV$6,"yyyymm")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W38" s="8">
        <f>IFERROR(
GETPIVOTDATA(
"[Base].[Importe]",
TDinamica_R!$A$5,
"[Calendario].[AñoMes]",
"[Calendario].[AñoMes].&amp;[" &amp; TEXT(AW$6,"yyyymm")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X38" s="8">
        <f>IFERROR(
GETPIVOTDATA(
"[Base].[Importe]",
TDinamica_R!$A$5,
"[Calendario].[AñoMes]",
"[Calendario].[AñoMes].&amp;[" &amp; TEXT(AX$6,"yyyymm")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Y38" s="8">
        <f>IFERROR(
GETPIVOTDATA(
"[Base].[Importe]",
TDinamica_R!$A$5,
"[Calendario].[AñoMes]",
"[Calendario].[AñoMes].&amp;[" &amp; TEXT(AY$6,"yyyymm")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Z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TEXT(AZ$6,"yyyymm") &amp; "]"
),
0
)</f>
        <v>325.47632639952946</v>
      </c>
      <c r="BA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TEXT(BA$6,"yyyymm") &amp; "]"
),
0
)</f>
        <v>278.05098692128553</v>
      </c>
      <c r="BB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TEXT(BB$6,"yyyymm") &amp; "]"
),
0
)</f>
        <v>309.0881841687592</v>
      </c>
      <c r="BC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TEXT(BC$6,"yyyymm") &amp; "]"
),
0
)</f>
        <v>285.26374260060925</v>
      </c>
      <c r="BD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TEXT(BD$6,"yyyymm") &amp; "]"
),
0
)</f>
        <v>287.49084775825349</v>
      </c>
      <c r="BE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TEXT(BE$6,"yyyymm") &amp; "]"
),
0
)</f>
        <v>278.50022907669342</v>
      </c>
      <c r="BF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TEXT(BF$6,"yyyymm") &amp; "]"
),
0
)</f>
        <v>281.04014004536009</v>
      </c>
      <c r="BG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TEXT(BG$6,"yyyymm") &amp; "]"
),
0
)</f>
        <v>275.16061044352762</v>
      </c>
      <c r="BH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TEXT(BH$6,"yyyymm") &amp; "]"
),
0
)</f>
        <v>257.3545584994522</v>
      </c>
      <c r="BI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TEXT(BI$6,"yyyymm") &amp; "]"
),
0
)</f>
        <v>265.24961912384725</v>
      </c>
      <c r="BJ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TEXT(BJ$6,"yyyymm") &amp; "]"
),
0
)</f>
        <v>251.43506504856157</v>
      </c>
      <c r="BK38" s="8">
        <f>IFERROR(
GETPIVOTDATA(
"[Base_PPE].[Importe]",
TDinamica_P!$A$4,
"[Base_PPE].[Metrica]",
"[Base_PPE].[Metrica].&amp;[" &amp; TRIM($A38) &amp; "]",
"[Base_PPE].[SITUACION]",
"[Base_PPE].[SITUACION].&amp;[" &amp; TRIM($C38) &amp; "]",
"[Base_PPE].[SEGMENTO_DESCRIP]",
"[Base_PPE].[SEGMENTO_DESCRIP].&amp;[" &amp; TRIM($C$6) &amp; "]",
"[Base_PPE].[Periodo]",
"[Base_PPE].[Periodo].&amp;[" &amp; TEXT(BK$6,"yyyymm") &amp; "]"
),
0
)</f>
        <v>263.53284380578231</v>
      </c>
      <c r="BO38" s="24">
        <f t="shared" ref="BO38:BT40" si="41">SUMIFS($D38:$BM38,$D$6:$BM$6,"&gt;="&amp;BO$2,$D$6:$BM$6,"&lt;="&amp;BO$6,$D$5:$BM$5,BO$5)</f>
        <v>1530.5550487199998</v>
      </c>
      <c r="BP38" s="24">
        <f t="shared" si="41"/>
        <v>912.61549748957418</v>
      </c>
      <c r="BQ38" s="24">
        <f t="shared" si="41"/>
        <v>916.89752032000001</v>
      </c>
      <c r="BR38" s="24">
        <f t="shared" si="41"/>
        <v>1286.8459931599998</v>
      </c>
      <c r="BS38" s="24">
        <f t="shared" si="41"/>
        <v>2077.7124090299999</v>
      </c>
      <c r="BT38" s="24">
        <f t="shared" si="41"/>
        <v>2667.2528688699999</v>
      </c>
    </row>
    <row r="39" spans="1:72" hidden="1" outlineLevel="1" x14ac:dyDescent="0.25">
      <c r="A39" s="11" t="s">
        <v>55</v>
      </c>
      <c r="C39" s="2" t="s">
        <v>1</v>
      </c>
      <c r="D39" s="8">
        <f>IFERROR(
GETPIVOTDATA(
"[Base].[Importe]",
TDinamica_R!$A$5,
"[Calendario].[AñoMes]",
"[Calendario].[AñoMes].&amp;[" &amp; TEXT(D$6,"yyyymm") &amp; "]",
"[Base].[Metrica]",
"[Base].[Metrica].&amp;[" &amp; $A39 &amp; "]",
"[Base].[SEGMENTO_DESCRIP]",
"[Base].[SEGMENTO_DESCRIP].&amp;[" &amp; $C$6 &amp; "]",
"[Base].[SITUACION]",
"[Base].[SITUACION].&amp;[" &amp; $C39 &amp; "]"
),0)/1000</f>
        <v>2.8060609400000001</v>
      </c>
      <c r="E39" s="8">
        <f>IFERROR(
GETPIVOTDATA(
"[Base].[Importe]",
TDinamica_R!$A$5,
"[Calendario].[AñoMes]",
"[Calendario].[AñoMes].&amp;[" &amp; TEXT(E$6,"yyyymm") &amp; "]",
"[Base].[Metrica]",
"[Base].[Metrica].&amp;[" &amp; $A39 &amp; "]",
"[Base].[SEGMENTO_DESCRIP]",
"[Base].[SEGMENTO_DESCRIP].&amp;[" &amp; $C$6 &amp; "]",
"[Base].[SITUACION]",
"[Base].[SITUACION].&amp;[" &amp; $C39 &amp; "]"
),0)/1000</f>
        <v>3.3949978000000001</v>
      </c>
      <c r="F39" s="8">
        <f>IFERROR(
GETPIVOTDATA(
"[Base].[Importe]",
TDinamica_R!$A$5,
"[Calendario].[AñoMes]",
"[Calendario].[AñoMes].&amp;[" &amp; TEXT(F$6,"yyyymm") &amp; "]",
"[Base].[Metrica]",
"[Base].[Metrica].&amp;[" &amp; $A39 &amp; "]",
"[Base].[SEGMENTO_DESCRIP]",
"[Base].[SEGMENTO_DESCRIP].&amp;[" &amp; $C$6 &amp; "]",
"[Base].[SITUACION]",
"[Base].[SITUACION].&amp;[" &amp; $C39 &amp; "]"
),0)/1000</f>
        <v>2.57232226</v>
      </c>
      <c r="G39" s="8">
        <f>IFERROR(
GETPIVOTDATA(
"[Base].[Importe]",
TDinamica_R!$A$5,
"[Calendario].[AñoMes]",
"[Calendario].[AñoMes].&amp;[" &amp; TEXT(G$6,"yyyymm") &amp; "]",
"[Base].[Metrica]",
"[Base].[Metrica].&amp;[" &amp; $A39 &amp; "]",
"[Base].[SEGMENTO_DESCRIP]",
"[Base].[SEGMENTO_DESCRIP].&amp;[" &amp; $C$6 &amp; "]",
"[Base].[SITUACION]",
"[Base].[SITUACION].&amp;[" &amp; $C39 &amp; "]"
),0)/1000</f>
        <v>2.36740526</v>
      </c>
      <c r="H39" s="8">
        <f>IFERROR(
GETPIVOTDATA(
"[Base].[Importe]",
TDinamica_R!$A$5,
"[Calendario].[AñoMes]",
"[Calendario].[AñoMes].&amp;[" &amp; TEXT(H$6,"yyyymm") &amp; "]",
"[Base].[Metrica]",
"[Base].[Metrica].&amp;[" &amp; $A39 &amp; "]",
"[Base].[SEGMENTO_DESCRIP]",
"[Base].[SEGMENTO_DESCRIP].&amp;[" &amp; $C$6 &amp; "]",
"[Base].[SITUACION]",
"[Base].[SITUACION].&amp;[" &amp; $C39 &amp; "]"
),0)/1000</f>
        <v>2.51086542</v>
      </c>
      <c r="I39" s="8">
        <f>IFERROR(
GETPIVOTDATA(
"[Base].[Importe]",
TDinamica_R!$A$5,
"[Calendario].[AñoMes]",
"[Calendario].[AñoMes].&amp;[" &amp; TEXT(I$6,"yyyymm") &amp; "]",
"[Base].[Metrica]",
"[Base].[Metrica].&amp;[" &amp; $A39 &amp; "]",
"[Base].[SEGMENTO_DESCRIP]",
"[Base].[SEGMENTO_DESCRIP].&amp;[" &amp; $C$6 &amp; "]",
"[Base].[SITUACION]",
"[Base].[SITUACION].&amp;[" &amp; $C39 &amp; "]"
),0)/1000</f>
        <v>2.8564157799999998</v>
      </c>
      <c r="J39" s="8">
        <f>IFERROR(
GETPIVOTDATA(
"[Base].[Importe]",
TDinamica_R!$A$5,
"[Calendario].[AñoMes]",
"[Calendario].[AñoMes].&amp;[" &amp; TEXT(J$6,"yyyymm") &amp; "]",
"[Base].[Metrica]",
"[Base].[Metrica].&amp;[" &amp; $A39 &amp; "]",
"[Base].[SEGMENTO_DESCRIP]",
"[Base].[SEGMENTO_DESCRIP].&amp;[" &amp; $C$6 &amp; "]",
"[Base].[SITUACION]",
"[Base].[SITUACION].&amp;[" &amp; $C39 &amp; "]"
),0)/1000</f>
        <v>2.9508317800000001</v>
      </c>
      <c r="K39" s="8">
        <f>IFERROR(
GETPIVOTDATA(
"[Base].[Importe]",
TDinamica_R!$A$5,
"[Calendario].[AñoMes]",
"[Calendario].[AñoMes].&amp;[" &amp; TEXT(K$6,"yyyymm") &amp; "]",
"[Base].[Metrica]",
"[Base].[Metrica].&amp;[" &amp; $A39 &amp; "]",
"[Base].[SEGMENTO_DESCRIP]",
"[Base].[SEGMENTO_DESCRIP].&amp;[" &amp; $C$6 &amp; "]",
"[Base].[SITUACION]",
"[Base].[SITUACION].&amp;[" &amp; $C39 &amp; "]"
),0)/1000</f>
        <v>2.4563207900000004</v>
      </c>
      <c r="L39" s="8">
        <f>IFERROR(
GETPIVOTDATA(
"[Base].[Importe]",
TDinamica_R!$A$5,
"[Calendario].[AñoMes]",
"[Calendario].[AñoMes].&amp;[" &amp; TEXT(L$6,"yyyymm") &amp; "]",
"[Base].[Metrica]",
"[Base].[Metrica].&amp;[" &amp; $A39 &amp; "]",
"[Base].[SEGMENTO_DESCRIP]",
"[Base].[SEGMENTO_DESCRIP].&amp;[" &amp; $C$6 &amp; "]",
"[Base].[SITUACION]",
"[Base].[SITUACION].&amp;[" &amp; $C39 &amp; "]"
),0)/1000</f>
        <v>2.1245624699999999</v>
      </c>
      <c r="M39" s="8">
        <f>IFERROR(
GETPIVOTDATA(
"[Base].[Importe]",
TDinamica_R!$A$5,
"[Calendario].[AñoMes]",
"[Calendario].[AñoMes].&amp;[" &amp; TEXT(M$6,"yyyymm") &amp; "]",
"[Base].[Metrica]",
"[Base].[Metrica].&amp;[" &amp; $A39 &amp; "]",
"[Base].[SEGMENTO_DESCRIP]",
"[Base].[SEGMENTO_DESCRIP].&amp;[" &amp; $C$6 &amp; "]",
"[Base].[SITUACION]",
"[Base].[SITUACION].&amp;[" &amp; $C39 &amp; "]"
),0)/1000</f>
        <v>2.3930393600000004</v>
      </c>
      <c r="N39" s="8">
        <f>IFERROR(
GETPIVOTDATA(
"[Base].[Importe]",
TDinamica_R!$A$5,
"[Calendario].[AñoMes]",
"[Calendario].[AñoMes].&amp;[" &amp; TEXT(N$6,"yyyymm") &amp; "]",
"[Base].[Metrica]",
"[Base].[Metrica].&amp;[" &amp; $A39 &amp; "]",
"[Base].[SEGMENTO_DESCRIP]",
"[Base].[SEGMENTO_DESCRIP].&amp;[" &amp; $C$6 &amp; "]",
"[Base].[SITUACION]",
"[Base].[SITUACION].&amp;[" &amp; $C39 &amp; "]"
),0)/1000</f>
        <v>1.5531339399999999</v>
      </c>
      <c r="O39" s="8">
        <f>IFERROR(
GETPIVOTDATA(
"[Base].[Importe]",
TDinamica_R!$A$5,
"[Calendario].[AñoMes]",
"[Calendario].[AñoMes].&amp;[" &amp; TEXT(O$6,"yyyymm") &amp; "]",
"[Base].[Metrica]",
"[Base].[Metrica].&amp;[" &amp; $A39 &amp; "]",
"[Base].[SEGMENTO_DESCRIP]",
"[Base].[SEGMENTO_DESCRIP].&amp;[" &amp; $C$6 &amp; "]",
"[Base].[SITUACION]",
"[Base].[SITUACION].&amp;[" &amp; $C39 &amp; "]"
),0)/1000</f>
        <v>1.6077333900000002</v>
      </c>
      <c r="P39" s="8">
        <f>IFERROR(
GETPIVOTDATA(
"[Base].[Importe]",
TDinamica_R!$A$5,
"[Calendario].[AñoMes]",
"[Calendario].[AñoMes].&amp;[" &amp; TEXT(P$6,"yyyymm") &amp; "]",
"[Base].[Metrica]",
"[Base].[Metrica].&amp;[" &amp; $A39 &amp; "]",
"[Base].[SEGMENTO_DESCRIP]",
"[Base].[SEGMENTO_DESCRIP].&amp;[" &amp; $C$6 &amp; "]",
"[Base].[SITUACION]",
"[Base].[SITUACION].&amp;[" &amp; $C39 &amp; "]"
),0)/1000</f>
        <v>1.2670547999999999</v>
      </c>
      <c r="Q39" s="8">
        <f>IFERROR(
GETPIVOTDATA(
"[Base].[Importe]",
TDinamica_R!$A$5,
"[Calendario].[AñoMes]",
"[Calendario].[AñoMes].&amp;[" &amp; TEXT(Q$6,"yyyymm") &amp; "]",
"[Base].[Metrica]",
"[Base].[Metrica].&amp;[" &amp; $A39 &amp; "]",
"[Base].[SEGMENTO_DESCRIP]",
"[Base].[SEGMENTO_DESCRIP].&amp;[" &amp; $C$6 &amp; "]",
"[Base].[SITUACION]",
"[Base].[SITUACION].&amp;[" &amp; $C39 &amp; "]"
),0)/1000</f>
        <v>1.1443429599999999</v>
      </c>
      <c r="R39" s="8">
        <f>IFERROR(
GETPIVOTDATA(
"[Base].[Importe]",
TDinamica_R!$A$5,
"[Calendario].[AñoMes]",
"[Calendario].[AñoMes].&amp;[" &amp; TEXT(R$6,"yyyymm") &amp; "]",
"[Base].[Metrica]",
"[Base].[Metrica].&amp;[" &amp; $A39 &amp; "]",
"[Base].[SEGMENTO_DESCRIP]",
"[Base].[SEGMENTO_DESCRIP].&amp;[" &amp; $C$6 &amp; "]",
"[Base].[SITUACION]",
"[Base].[SITUACION].&amp;[" &amp; $C39 &amp; "]"
),0)/1000</f>
        <v>0.87155349999999998</v>
      </c>
      <c r="S39" s="8">
        <f>IFERROR(
GETPIVOTDATA(
"[Base].[Importe]",
TDinamica_R!$A$5,
"[Calendario].[AñoMes]",
"[Calendario].[AñoMes].&amp;[" &amp; TEXT(S$6,"yyyymm") &amp; "]",
"[Base].[Metrica]",
"[Base].[Metrica].&amp;[" &amp; $A39 &amp; "]",
"[Base].[SEGMENTO_DESCRIP]",
"[Base].[SEGMENTO_DESCRIP].&amp;[" &amp; $C$6 &amp; "]",
"[Base].[SITUACION]",
"[Base].[SITUACION].&amp;[" &amp; $C39 &amp; "]"
),0)/1000</f>
        <v>1.3079098899999999</v>
      </c>
      <c r="T39" s="8">
        <f>IFERROR(
GETPIVOTDATA(
"[Base].[Importe]",
TDinamica_R!$A$5,
"[Calendario].[AñoMes]",
"[Calendario].[AñoMes].&amp;[" &amp; TEXT(T$6,"yyyymm") &amp; "]",
"[Base].[Metrica]",
"[Base].[Metrica].&amp;[" &amp; $A39 &amp; "]",
"[Base].[SEGMENTO_DESCRIP]",
"[Base].[SEGMENTO_DESCRIP].&amp;[" &amp; $C$6 &amp; "]",
"[Base].[SITUACION]",
"[Base].[SITUACION].&amp;[" &amp; $C39 &amp; "]"
),0)/1000</f>
        <v>1.55322604</v>
      </c>
      <c r="U39" s="8">
        <f>IFERROR(
GETPIVOTDATA(
"[Base].[Importe]",
TDinamica_R!$A$5,
"[Calendario].[AñoMes]",
"[Calendario].[AñoMes].&amp;[" &amp; TEXT(U$6,"yyyymm") &amp; "]",
"[Base].[Metrica]",
"[Base].[Metrica].&amp;[" &amp; $A39 &amp; "]",
"[Base].[SEGMENTO_DESCRIP]",
"[Base].[SEGMENTO_DESCRIP].&amp;[" &amp; $C$6 &amp; "]",
"[Base].[SITUACION]",
"[Base].[SITUACION].&amp;[" &amp; $C39 &amp; "]"
),0)/1000</f>
        <v>3.3345772299999998</v>
      </c>
      <c r="V39" s="8">
        <f>IFERROR(
GETPIVOTDATA(
"[Base].[Importe]",
TDinamica_R!$A$5,
"[Calendario].[AñoMes]",
"[Calendario].[AñoMes].&amp;[" &amp; TEXT(V$6,"yyyymm") &amp; "]",
"[Base].[Metrica]",
"[Base].[Metrica].&amp;[" &amp; $A39 &amp; "]",
"[Base].[SEGMENTO_DESCRIP]",
"[Base].[SEGMENTO_DESCRIP].&amp;[" &amp; $C$6 &amp; "]",
"[Base].[SITUACION]",
"[Base].[SITUACION].&amp;[" &amp; $C39 &amp; "]"
),0)/1000</f>
        <v>4.7842064200000003</v>
      </c>
      <c r="W39" s="8">
        <f>IFERROR(
GETPIVOTDATA(
"[Base].[Importe]",
TDinamica_R!$A$5,
"[Calendario].[AñoMes]",
"[Calendario].[AñoMes].&amp;[" &amp; TEXT(W$6,"yyyymm") &amp; "]",
"[Base].[Metrica]",
"[Base].[Metrica].&amp;[" &amp; $A39 &amp; "]",
"[Base].[SEGMENTO_DESCRIP]",
"[Base].[SEGMENTO_DESCRIP].&amp;[" &amp; $C$6 &amp; "]",
"[Base].[SITUACION]",
"[Base].[SITUACION].&amp;[" &amp; $C39 &amp; "]"
),0)/1000</f>
        <v>7.1661160099999996</v>
      </c>
      <c r="X39" s="8">
        <f>IFERROR(
GETPIVOTDATA(
"[Base].[Importe]",
TDinamica_R!$A$5,
"[Calendario].[AñoMes]",
"[Calendario].[AñoMes].&amp;[" &amp; TEXT(X$6,"yyyymm") &amp; "]",
"[Base].[Metrica]",
"[Base].[Metrica].&amp;[" &amp; $A39 &amp; "]",
"[Base].[SEGMENTO_DESCRIP]",
"[Base].[SEGMENTO_DESCRIP].&amp;[" &amp; $C$6 &amp; "]",
"[Base].[SITUACION]",
"[Base].[SITUACION].&amp;[" &amp; $C39 &amp; "]"
),0)/1000</f>
        <v>4.5325051900000002</v>
      </c>
      <c r="Y39" s="8">
        <f>IFERROR(
GETPIVOTDATA(
"[Base].[Importe]",
TDinamica_R!$A$5,
"[Calendario].[AñoMes]",
"[Calendario].[AñoMes].&amp;[" &amp; TEXT(Y$6,"yyyymm") &amp; "]",
"[Base].[Metrica]",
"[Base].[Metrica].&amp;[" &amp; $A39 &amp; "]",
"[Base].[SEGMENTO_DESCRIP]",
"[Base].[SEGMENTO_DESCRIP].&amp;[" &amp; $C$6 &amp; "]",
"[Base].[SITUACION]",
"[Base].[SITUACION].&amp;[" &amp; $C39 &amp; "]"
),0)/1000</f>
        <v>3.8690286999999999</v>
      </c>
      <c r="Z39" s="8">
        <f>IFERROR(
GETPIVOTDATA(
"[Base].[Importe]",
TDinamica_R!$A$5,
"[Calendario].[AñoMes]",
"[Calendario].[AñoMes].&amp;[" &amp; TEXT(Z$6,"yyyymm") &amp; "]",
"[Base].[Metrica]",
"[Base].[Metrica].&amp;[" &amp; $A39 &amp; "]",
"[Base].[SEGMENTO_DESCRIP]",
"[Base].[SEGMENTO_DESCRIP].&amp;[" &amp; $C$6 &amp; "]",
"[Base].[SITUACION]",
"[Base].[SITUACION].&amp;[" &amp; $C39 &amp; "]"
),0)/1000</f>
        <v>4.2696079900000008</v>
      </c>
      <c r="AA39" s="8">
        <f>IFERROR(
GETPIVOTDATA(
"[Base].[Importe]",
TDinamica_R!$A$5,
"[Calendario].[AñoMes]",
"[Calendario].[AñoMes].&amp;[" &amp; TEXT(AA$6,"yyyymm") &amp; "]",
"[Base].[Metrica]",
"[Base].[Metrica].&amp;[" &amp; $A39 &amp; "]",
"[Base].[SEGMENTO_DESCRIP]",
"[Base].[SEGMENTO_DESCRIP].&amp;[" &amp; $C$6 &amp; "]",
"[Base].[SITUACION]",
"[Base].[SITUACION].&amp;[" &amp; $C39 &amp; "]"
),0)/1000</f>
        <v>5.8161800800000005</v>
      </c>
      <c r="AB39" s="8">
        <f>IFERROR(
GETPIVOTDATA(
"[Base].[Importe]",
TDinamica_R!$A$5,
"[Calendario].[AñoMes]",
"[Calendario].[AñoMes].&amp;[" &amp; TEXT(AB$6,"yyyymm") &amp; "]",
"[Base].[Metrica]",
"[Base].[Metrica].&amp;[" &amp; $A39 &amp; "]",
"[Base].[SEGMENTO_DESCRIP]",
"[Base].[SEGMENTO_DESCRIP].&amp;[" &amp; $C$6 &amp; "]",
"[Base].[SITUACION]",
"[Base].[SITUACION].&amp;[" &amp; $C39 &amp; "]"
),0)/1000</f>
        <v>4.7937637899999999</v>
      </c>
      <c r="AC39" s="8">
        <f>IFERROR(
GETPIVOTDATA(
"[Base].[Importe]",
TDinamica_R!$A$5,
"[Calendario].[AñoMes]",
"[Calendario].[AñoMes].&amp;[" &amp; TEXT(AC$6,"yyyymm") &amp; "]",
"[Base].[Metrica]",
"[Base].[Metrica].&amp;[" &amp; $A39 &amp; "]",
"[Base].[SEGMENTO_DESCRIP]",
"[Base].[SEGMENTO_DESCRIP].&amp;[" &amp; $C$6 &amp; "]",
"[Base].[SITUACION]",
"[Base].[SITUACION].&amp;[" &amp; $C39 &amp; "]"
),0)/1000</f>
        <v>3.3254035100000001</v>
      </c>
      <c r="AD39" s="8">
        <f>IFERROR(
GETPIVOTDATA(
"[Base].[Importe]",
TDinamica_R!$A$5,
"[Calendario].[AñoMes]",
"[Calendario].[AñoMes].&amp;[" &amp; TEXT(AD$6,"yyyymm") &amp; "]",
"[Base].[Metrica]",
"[Base].[Metrica].&amp;[" &amp; $A39 &amp; "]",
"[Base].[SEGMENTO_DESCRIP]",
"[Base].[SEGMENTO_DESCRIP].&amp;[" &amp; $C$6 &amp; "]",
"[Base].[SITUACION]",
"[Base].[SITUACION].&amp;[" &amp; $C39 &amp; "]"
),0)/1000</f>
        <v>3.88940792</v>
      </c>
      <c r="AE39" s="8">
        <f>IFERROR(
GETPIVOTDATA(
"[Base].[Importe]",
TDinamica_R!$A$5,
"[Calendario].[AñoMes]",
"[Calendario].[AñoMes].&amp;[" &amp; TEXT(AE$6,"yyyymm") &amp; "]",
"[Base].[Metrica]",
"[Base].[Metrica].&amp;[" &amp; $A39 &amp; "]",
"[Base].[SEGMENTO_DESCRIP]",
"[Base].[SEGMENTO_DESCRIP].&amp;[" &amp; $C$6 &amp; "]",
"[Base].[SITUACION]",
"[Base].[SITUACION].&amp;[" &amp; $C39 &amp; "]"
),0)/1000</f>
        <v>4.8963526100000001</v>
      </c>
      <c r="AF39" s="8">
        <f>IFERROR(
GETPIVOTDATA(
"[Base].[Importe]",
TDinamica_R!$A$5,
"[Calendario].[AñoMes]",
"[Calendario].[AñoMes].&amp;[" &amp; TEXT(AF$6,"yyyymm") &amp; "]",
"[Base].[Metrica]",
"[Base].[Metrica].&amp;[" &amp; $A39 &amp; "]",
"[Base].[SEGMENTO_DESCRIP]",
"[Base].[SEGMENTO_DESCRIP].&amp;[" &amp; $C$6 &amp; "]",
"[Base].[SITUACION]",
"[Base].[SITUACION].&amp;[" &amp; $C39 &amp; "]"
),0)/1000</f>
        <v>3.4374829</v>
      </c>
      <c r="AG39" s="8">
        <f>IFERROR(
GETPIVOTDATA(
"[Base].[Importe]",
TDinamica_R!$A$5,
"[Calendario].[AñoMes]",
"[Calendario].[AñoMes].&amp;[" &amp; TEXT(AG$6,"yyyymm") &amp; "]",
"[Base].[Metrica]",
"[Base].[Metrica].&amp;[" &amp; $A39 &amp; "]",
"[Base].[SEGMENTO_DESCRIP]",
"[Base].[SEGMENTO_DESCRIP].&amp;[" &amp; $C$6 &amp; "]",
"[Base].[SITUACION]",
"[Base].[SITUACION].&amp;[" &amp; $C39 &amp; "]"
),0)/1000</f>
        <v>4.1708700200000006</v>
      </c>
      <c r="AH39" s="8">
        <f>IFERROR(
GETPIVOTDATA(
"[Base].[Importe]",
TDinamica_R!$A$5,
"[Calendario].[AñoMes]",
"[Calendario].[AñoMes].&amp;[" &amp; TEXT(AH$6,"yyyymm") &amp; "]",
"[Base].[Metrica]",
"[Base].[Metrica].&amp;[" &amp; $A39 &amp; "]",
"[Base].[SEGMENTO_DESCRIP]",
"[Base].[SEGMENTO_DESCRIP].&amp;[" &amp; $C$6 &amp; "]",
"[Base].[SITUACION]",
"[Base].[SITUACION].&amp;[" &amp; $C39 &amp; "]"
),0)/1000</f>
        <v>4.5820933799999999</v>
      </c>
      <c r="AI39" s="8">
        <f>IFERROR(
GETPIVOTDATA(
"[Base].[Importe]",
TDinamica_R!$A$5,
"[Calendario].[AñoMes]",
"[Calendario].[AñoMes].&amp;[" &amp; TEXT(AI$6,"yyyymm") &amp; "]",
"[Base].[Metrica]",
"[Base].[Metrica].&amp;[" &amp; $A39 &amp; "]",
"[Base].[SEGMENTO_DESCRIP]",
"[Base].[SEGMENTO_DESCRIP].&amp;[" &amp; $C$6 &amp; "]",
"[Base].[SITUACION]",
"[Base].[SITUACION].&amp;[" &amp; $C39 &amp; "]"
),0)/1000</f>
        <v>4.03398608</v>
      </c>
      <c r="AJ39" s="8">
        <f>IFERROR(
GETPIVOTDATA(
"[Base].[Importe]",
TDinamica_R!$A$5,
"[Calendario].[AñoMes]",
"[Calendario].[AñoMes].&amp;[" &amp; TEXT(AJ$6,"yyyymm") &amp; "]",
"[Base].[Metrica]",
"[Base].[Metrica].&amp;[" &amp; $A39 &amp; "]",
"[Base].[SEGMENTO_DESCRIP]",
"[Base].[SEGMENTO_DESCRIP].&amp;[" &amp; $C$6 &amp; "]",
"[Base].[SITUACION]",
"[Base].[SITUACION].&amp;[" &amp; $C39 &amp; "]"
),0)/1000</f>
        <v>3.9818349299999998</v>
      </c>
      <c r="AK39" s="8">
        <f>IFERROR(
GETPIVOTDATA(
"[Base].[Importe]",
TDinamica_R!$A$5,
"[Calendario].[AñoMes]",
"[Calendario].[AñoMes].&amp;[" &amp; TEXT(AK$6,"yyyymm") &amp; "]",
"[Base].[Metrica]",
"[Base].[Metrica].&amp;[" &amp; $A39 &amp; "]",
"[Base].[SEGMENTO_DESCRIP]",
"[Base].[SEGMENTO_DESCRIP].&amp;[" &amp; $C$6 &amp; "]",
"[Base].[SITUACION]",
"[Base].[SITUACION].&amp;[" &amp; $C39 &amp; "]"
),0)/1000</f>
        <v>3.6293837299999998</v>
      </c>
      <c r="AL39" s="8">
        <f>IFERROR(
GETPIVOTDATA(
"[Base].[Importe]",
TDinamica_R!$A$5,
"[Calendario].[AñoMes]",
"[Calendario].[AñoMes].&amp;[" &amp; TEXT(AL$6,"yyyymm") &amp; "]",
"[Base].[Metrica]",
"[Base].[Metrica].&amp;[" &amp; $A39 &amp; "]",
"[Base].[SEGMENTO_DESCRIP]",
"[Base].[SEGMENTO_DESCRIP].&amp;[" &amp; $C$6 &amp; "]",
"[Base].[SITUACION]",
"[Base].[SITUACION].&amp;[" &amp; $C39 &amp; "]"
),0)/1000</f>
        <v>3.83687362</v>
      </c>
      <c r="AM39" s="8">
        <f>IFERROR(
GETPIVOTDATA(
"[Base].[Importe]",
TDinamica_R!$A$5,
"[Calendario].[AñoMes]",
"[Calendario].[AñoMes].&amp;[" &amp; TEXT(AM$6,"yyyymm") &amp; "]",
"[Base].[Metrica]",
"[Base].[Metrica].&amp;[" &amp; $A39 &amp; "]",
"[Base].[SEGMENTO_DESCRIP]",
"[Base].[SEGMENTO_DESCRIP].&amp;[" &amp; $C$6 &amp; "]",
"[Base].[SITUACION]",
"[Base].[SITUACION].&amp;[" &amp; $C39 &amp; "]"
),0)/1000</f>
        <v>3.4710829100000002</v>
      </c>
      <c r="AN39" s="8">
        <f>IFERROR(
GETPIVOTDATA(
"[Base].[Importe]",
TDinamica_R!$A$5,
"[Calendario].[AñoMes]",
"[Calendario].[AñoMes].&amp;[" &amp; TEXT(AN$6,"yyyymm") &amp; "]",
"[Base].[Metrica]",
"[Base].[Metrica].&amp;[" &amp; $A39 &amp; "]",
"[Base].[SEGMENTO_DESCRIP]",
"[Base].[SEGMENTO_DESCRIP].&amp;[" &amp; $C$6 &amp; "]",
"[Base].[SITUACION]",
"[Base].[SITUACION].&amp;[" &amp; $C39 &amp; "]"
),0)/1000</f>
        <v>2.7273810100000002</v>
      </c>
      <c r="AO39" s="8">
        <f>IFERROR(
GETPIVOTDATA(
"[Base].[Importe]",
TDinamica_R!$A$5,
"[Calendario].[AñoMes]",
"[Calendario].[AñoMes].&amp;[" &amp; TEXT(AO$6,"yyyymm") &amp; "]",
"[Base].[Metrica]",
"[Base].[Metrica].&amp;[" &amp; $A39 &amp; "]",
"[Base].[SEGMENTO_DESCRIP]",
"[Base].[SEGMENTO_DESCRIP].&amp;[" &amp; $C$6 &amp; "]",
"[Base].[SITUACION]",
"[Base].[SITUACION].&amp;[" &amp; $C39 &amp; "]"
),0)/1000</f>
        <v>2.9501310099999998</v>
      </c>
      <c r="AP39" s="8">
        <f>IFERROR(
GETPIVOTDATA(
"[Base].[Importe]",
TDinamica_R!$A$5,
"[Calendario].[AñoMes]",
"[Calendario].[AñoMes].&amp;[" &amp; TEXT(AP$6,"yyyymm") &amp; "]",
"[Base].[Metrica]",
"[Base].[Metrica].&amp;[" &amp; $A39 &amp; "]",
"[Base].[SEGMENTO_DESCRIP]",
"[Base].[SEGMENTO_DESCRIP].&amp;[" &amp; $C$6 &amp; "]",
"[Base].[SITUACION]",
"[Base].[SITUACION].&amp;[" &amp; $C39 &amp; "]"
),0)/1000</f>
        <v>2.8251019799999999</v>
      </c>
      <c r="AQ39" s="8">
        <f>IFERROR(
GETPIVOTDATA(
"[Base].[Importe]",
TDinamica_R!$A$5,
"[Calendario].[AñoMes]",
"[Calendario].[AñoMes].&amp;[" &amp; TEXT(AQ$6,"yyyymm") &amp; "]",
"[Base].[Metrica]",
"[Base].[Metrica].&amp;[" &amp; $A39 &amp; "]",
"[Base].[SEGMENTO_DESCRIP]",
"[Base].[SEGMENTO_DESCRIP].&amp;[" &amp; $C$6 &amp; "]",
"[Base].[SITUACION]",
"[Base].[SITUACION].&amp;[" &amp; $C39 &amp; "]"
),0)/1000</f>
        <v>3.4862850999999999</v>
      </c>
      <c r="AR39" s="8">
        <f>IFERROR(
GETPIVOTDATA(
"[Base].[Importe]",
TDinamica_R!$A$5,
"[Calendario].[AñoMes]",
"[Calendario].[AñoMes].&amp;[" &amp; TEXT(AR$6,"yyyymm") &amp; "]",
"[Base].[Metrica]",
"[Base].[Metrica].&amp;[" &amp; $A39 &amp; "]",
"[Base].[SEGMENTO_DESCRIP]",
"[Base].[SEGMENTO_DESCRIP].&amp;[" &amp; $C$6 &amp; "]",
"[Base].[SITUACION]",
"[Base].[SITUACION].&amp;[" &amp; $C39 &amp; "]"
),0)/1000</f>
        <v>2.5713936199999998</v>
      </c>
      <c r="AS39" s="8">
        <f>IFERROR(
GETPIVOTDATA(
"[Base].[Importe]",
TDinamica_R!$A$5,
"[Calendario].[AñoMes]",
"[Calendario].[AñoMes].&amp;[" &amp; TEXT(AS$6,"yyyymm") &amp; "]",
"[Base].[Metrica]",
"[Base].[Metrica].&amp;[" &amp; $A39 &amp; "]",
"[Base].[SEGMENTO_DESCRIP]",
"[Base].[SEGMENTO_DESCRIP].&amp;[" &amp; $C$6 &amp; "]",
"[Base].[SITUACION]",
"[Base].[SITUACION].&amp;[" &amp; $C39 &amp; "]"
),0)/1000</f>
        <v>2.4717533</v>
      </c>
      <c r="AT39" s="8">
        <f>IFERROR(
GETPIVOTDATA(
"[Base].[Importe]",
TDinamica_R!$A$5,
"[Calendario].[AñoMes]",
"[Calendario].[AñoMes].&amp;[" &amp; TEXT(AT$6,"yyyymm")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U39" s="8">
        <f>IFERROR(
GETPIVOTDATA(
"[Base].[Importe]",
TDinamica_R!$A$5,
"[Calendario].[AñoMes]",
"[Calendario].[AñoMes].&amp;[" &amp; TEXT(AU$6,"yyyymm")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V39" s="8">
        <f>IFERROR(
GETPIVOTDATA(
"[Base].[Importe]",
TDinamica_R!$A$5,
"[Calendario].[AñoMes]",
"[Calendario].[AñoMes].&amp;[" &amp; TEXT(AV$6,"yyyymm")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W39" s="8">
        <f>IFERROR(
GETPIVOTDATA(
"[Base].[Importe]",
TDinamica_R!$A$5,
"[Calendario].[AñoMes]",
"[Calendario].[AñoMes].&amp;[" &amp; TEXT(AW$6,"yyyymm")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X39" s="8">
        <f>IFERROR(
GETPIVOTDATA(
"[Base].[Importe]",
TDinamica_R!$A$5,
"[Calendario].[AñoMes]",
"[Calendario].[AñoMes].&amp;[" &amp; TEXT(AX$6,"yyyymm")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Y39" s="8">
        <f>IFERROR(
GETPIVOTDATA(
"[Base].[Importe]",
TDinamica_R!$A$5,
"[Calendario].[AñoMes]",
"[Calendario].[AñoMes].&amp;[" &amp; TEXT(AY$6,"yyyymm")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Z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TEXT(AZ$6,"yyyymm") &amp; "]"
),
0
)</f>
        <v>3.5934007636889596</v>
      </c>
      <c r="BA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TEXT(BA$6,"yyyymm") &amp; "]"
),
0
)</f>
        <v>3.0901446290479866</v>
      </c>
      <c r="BB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TEXT(BB$6,"yyyymm") &amp; "]"
),
0
)</f>
        <v>3.2698707510300218</v>
      </c>
      <c r="BC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TEXT(BC$6,"yyyymm") &amp; "]"
),
0
)</f>
        <v>3.0492341782562855</v>
      </c>
      <c r="BD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TEXT(BD$6,"yyyymm") &amp; "]"
),
0
)</f>
        <v>3.0603298371074361</v>
      </c>
      <c r="BE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TEXT(BE$6,"yyyymm") &amp; "]"
),
0
)</f>
        <v>2.8548665149923447</v>
      </c>
      <c r="BF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TEXT(BF$6,"yyyymm") &amp; "]"
),
0
)</f>
        <v>2.8591268140588491</v>
      </c>
      <c r="BG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TEXT(BG$6,"yyyymm") &amp; "]"
),
0
)</f>
        <v>2.7834181388429968</v>
      </c>
      <c r="BH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TEXT(BH$6,"yyyymm") &amp; "]"
),
0
)</f>
        <v>2.6006040988004284</v>
      </c>
      <c r="BI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TEXT(BI$6,"yyyymm") &amp; "]"
),
0
)</f>
        <v>2.6064060504773878</v>
      </c>
      <c r="BJ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TEXT(BJ$6,"yyyymm") &amp; "]"
),
0
)</f>
        <v>2.4602042384373624</v>
      </c>
      <c r="BK39" s="8">
        <f>IFERROR(
GETPIVOTDATA(
"[Base_PPE].[Importe]",
TDinamica_P!$A$4,
"[Base_PPE].[Metrica]",
"[Base_PPE].[Metrica].&amp;[" &amp; TRIM($A39) &amp; "]",
"[Base_PPE].[SITUACION]",
"[Base_PPE].[SITUACION].&amp;[" &amp; TRIM($C39) &amp; "]",
"[Base_PPE].[SEGMENTO_DESCRIP]",
"[Base_PPE].[SEGMENTO_DESCRIP].&amp;[" &amp; TRIM($C$6) &amp; "]",
"[Base_PPE].[Periodo]",
"[Base_PPE].[Periodo].&amp;[" &amp; TEXT(BK$6,"yyyymm") &amp; "]"
),
0
)</f>
        <v>2.4921068183191148</v>
      </c>
      <c r="BO39" s="24">
        <f t="shared" si="41"/>
        <v>8.5026139999999995</v>
      </c>
      <c r="BP39" s="24">
        <f t="shared" si="41"/>
        <v>9.953416143766967</v>
      </c>
      <c r="BQ39" s="24">
        <f t="shared" si="41"/>
        <v>5.67751202</v>
      </c>
      <c r="BR39" s="24">
        <f t="shared" si="41"/>
        <v>12.008575220000001</v>
      </c>
      <c r="BS39" s="24">
        <f t="shared" si="41"/>
        <v>3.2829512599999999</v>
      </c>
      <c r="BT39" s="24">
        <f t="shared" si="41"/>
        <v>8.7733810000000005</v>
      </c>
    </row>
    <row r="40" spans="1:72" hidden="1" outlineLevel="1" x14ac:dyDescent="0.25">
      <c r="A40" s="11" t="s">
        <v>55</v>
      </c>
      <c r="C40" s="2" t="s">
        <v>45</v>
      </c>
      <c r="D40" s="8">
        <f>IFERROR(
GETPIVOTDATA(
"[Base].[Importe]",
TDinamica_R!$A$5,
"[Calendario].[AñoMes]",
"[Calendario].[AñoMes].&amp;[" &amp; TEXT(D$6,"yyyymm") &amp; "]",
"[Base].[Metrica]",
"[Base].[Metrica].&amp;[" &amp; $A40 &amp; "]",
"[Base].[SEGMENTO_DESCRIP]",
"[Base].[SEGMENTO_DESCRIP].&amp;[" &amp; $C$6 &amp; "]",
"[Base].[SITUACION]",
"[Base].[SITUACION].&amp;[" &amp; $C40 &amp; "]"
),0)/1000</f>
        <v>18.181998270000001</v>
      </c>
      <c r="E40" s="8">
        <f>IFERROR(
GETPIVOTDATA(
"[Base].[Importe]",
TDinamica_R!$A$5,
"[Calendario].[AñoMes]",
"[Calendario].[AñoMes].&amp;[" &amp; TEXT(E$6,"yyyymm") &amp; "]",
"[Base].[Metrica]",
"[Base].[Metrica].&amp;[" &amp; $A40 &amp; "]",
"[Base].[SEGMENTO_DESCRIP]",
"[Base].[SEGMENTO_DESCRIP].&amp;[" &amp; $C$6 &amp; "]",
"[Base].[SITUACION]",
"[Base].[SITUACION].&amp;[" &amp; $C40 &amp; "]"
),0)/1000</f>
        <v>6.9985411500000003</v>
      </c>
      <c r="F40" s="8">
        <f>IFERROR(
GETPIVOTDATA(
"[Base].[Importe]",
TDinamica_R!$A$5,
"[Calendario].[AñoMes]",
"[Calendario].[AñoMes].&amp;[" &amp; TEXT(F$6,"yyyymm") &amp; "]",
"[Base].[Metrica]",
"[Base].[Metrica].&amp;[" &amp; $A40 &amp; "]",
"[Base].[SEGMENTO_DESCRIP]",
"[Base].[SEGMENTO_DESCRIP].&amp;[" &amp; $C$6 &amp; "]",
"[Base].[SITUACION]",
"[Base].[SITUACION].&amp;[" &amp; $C40 &amp; "]"
),0)/1000</f>
        <v>9.7194777600000002</v>
      </c>
      <c r="G40" s="8">
        <f>IFERROR(
GETPIVOTDATA(
"[Base].[Importe]",
TDinamica_R!$A$5,
"[Calendario].[AñoMes]",
"[Calendario].[AñoMes].&amp;[" &amp; TEXT(G$6,"yyyymm") &amp; "]",
"[Base].[Metrica]",
"[Base].[Metrica].&amp;[" &amp; $A40 &amp; "]",
"[Base].[SEGMENTO_DESCRIP]",
"[Base].[SEGMENTO_DESCRIP].&amp;[" &amp; $C$6 &amp; "]",
"[Base].[SITUACION]",
"[Base].[SITUACION].&amp;[" &amp; $C40 &amp; "]"
),0)/1000</f>
        <v>17.374754159999998</v>
      </c>
      <c r="H40" s="8">
        <f>IFERROR(
GETPIVOTDATA(
"[Base].[Importe]",
TDinamica_R!$A$5,
"[Calendario].[AñoMes]",
"[Calendario].[AñoMes].&amp;[" &amp; TEXT(H$6,"yyyymm") &amp; "]",
"[Base].[Metrica]",
"[Base].[Metrica].&amp;[" &amp; $A40 &amp; "]",
"[Base].[SEGMENTO_DESCRIP]",
"[Base].[SEGMENTO_DESCRIP].&amp;[" &amp; $C$6 &amp; "]",
"[Base].[SITUACION]",
"[Base].[SITUACION].&amp;[" &amp; $C40 &amp; "]"
),0)/1000</f>
        <v>26.159261190000002</v>
      </c>
      <c r="I40" s="8">
        <f>IFERROR(
GETPIVOTDATA(
"[Base].[Importe]",
TDinamica_R!$A$5,
"[Calendario].[AñoMes]",
"[Calendario].[AñoMes].&amp;[" &amp; TEXT(I$6,"yyyymm") &amp; "]",
"[Base].[Metrica]",
"[Base].[Metrica].&amp;[" &amp; $A40 &amp; "]",
"[Base].[SEGMENTO_DESCRIP]",
"[Base].[SEGMENTO_DESCRIP].&amp;[" &amp; $C$6 &amp; "]",
"[Base].[SITUACION]",
"[Base].[SITUACION].&amp;[" &amp; $C40 &amp; "]"
),0)/1000</f>
        <v>15.93334741</v>
      </c>
      <c r="J40" s="8">
        <f>IFERROR(
GETPIVOTDATA(
"[Base].[Importe]",
TDinamica_R!$A$5,
"[Calendario].[AñoMes]",
"[Calendario].[AñoMes].&amp;[" &amp; TEXT(J$6,"yyyymm") &amp; "]",
"[Base].[Metrica]",
"[Base].[Metrica].&amp;[" &amp; $A40 &amp; "]",
"[Base].[SEGMENTO_DESCRIP]",
"[Base].[SEGMENTO_DESCRIP].&amp;[" &amp; $C$6 &amp; "]",
"[Base].[SITUACION]",
"[Base].[SITUACION].&amp;[" &amp; $C40 &amp; "]"
),0)/1000</f>
        <v>27.353704799999999</v>
      </c>
      <c r="K40" s="8">
        <f>IFERROR(
GETPIVOTDATA(
"[Base].[Importe]",
TDinamica_R!$A$5,
"[Calendario].[AñoMes]",
"[Calendario].[AñoMes].&amp;[" &amp; TEXT(K$6,"yyyymm") &amp; "]",
"[Base].[Metrica]",
"[Base].[Metrica].&amp;[" &amp; $A40 &amp; "]",
"[Base].[SEGMENTO_DESCRIP]",
"[Base].[SEGMENTO_DESCRIP].&amp;[" &amp; $C$6 &amp; "]",
"[Base].[SITUACION]",
"[Base].[SITUACION].&amp;[" &amp; $C40 &amp; "]"
),0)/1000</f>
        <v>17.152144739999997</v>
      </c>
      <c r="L40" s="8">
        <f>IFERROR(
GETPIVOTDATA(
"[Base].[Importe]",
TDinamica_R!$A$5,
"[Calendario].[AñoMes]",
"[Calendario].[AñoMes].&amp;[" &amp; TEXT(L$6,"yyyymm") &amp; "]",
"[Base].[Metrica]",
"[Base].[Metrica].&amp;[" &amp; $A40 &amp; "]",
"[Base].[SEGMENTO_DESCRIP]",
"[Base].[SEGMENTO_DESCRIP].&amp;[" &amp; $C$6 &amp; "]",
"[Base].[SITUACION]",
"[Base].[SITUACION].&amp;[" &amp; $C40 &amp; "]"
),0)/1000</f>
        <v>17.457040410000001</v>
      </c>
      <c r="M40" s="8">
        <f>IFERROR(
GETPIVOTDATA(
"[Base].[Importe]",
TDinamica_R!$A$5,
"[Calendario].[AñoMes]",
"[Calendario].[AñoMes].&amp;[" &amp; TEXT(M$6,"yyyymm") &amp; "]",
"[Base].[Metrica]",
"[Base].[Metrica].&amp;[" &amp; $A40 &amp; "]",
"[Base].[SEGMENTO_DESCRIP]",
"[Base].[SEGMENTO_DESCRIP].&amp;[" &amp; $C$6 &amp; "]",
"[Base].[SITUACION]",
"[Base].[SITUACION].&amp;[" &amp; $C40 &amp; "]"
),0)/1000</f>
        <v>18.573242829999998</v>
      </c>
      <c r="N40" s="8">
        <f>IFERROR(
GETPIVOTDATA(
"[Base].[Importe]",
TDinamica_R!$A$5,
"[Calendario].[AñoMes]",
"[Calendario].[AñoMes].&amp;[" &amp; TEXT(N$6,"yyyymm") &amp; "]",
"[Base].[Metrica]",
"[Base].[Metrica].&amp;[" &amp; $A40 &amp; "]",
"[Base].[SEGMENTO_DESCRIP]",
"[Base].[SEGMENTO_DESCRIP].&amp;[" &amp; $C$6 &amp; "]",
"[Base].[SITUACION]",
"[Base].[SITUACION].&amp;[" &amp; $C40 &amp; "]"
),0)/1000</f>
        <v>26.164766320000002</v>
      </c>
      <c r="O40" s="8">
        <f>IFERROR(
GETPIVOTDATA(
"[Base].[Importe]",
TDinamica_R!$A$5,
"[Calendario].[AñoMes]",
"[Calendario].[AñoMes].&amp;[" &amp; TEXT(O$6,"yyyymm") &amp; "]",
"[Base].[Metrica]",
"[Base].[Metrica].&amp;[" &amp; $A40 &amp; "]",
"[Base].[SEGMENTO_DESCRIP]",
"[Base].[SEGMENTO_DESCRIP].&amp;[" &amp; $C$6 &amp; "]",
"[Base].[SITUACION]",
"[Base].[SITUACION].&amp;[" &amp; $C40 &amp; "]"
),0)/1000</f>
        <v>23.784158690000005</v>
      </c>
      <c r="P40" s="8">
        <f>IFERROR(
GETPIVOTDATA(
"[Base].[Importe]",
TDinamica_R!$A$5,
"[Calendario].[AñoMes]",
"[Calendario].[AñoMes].&amp;[" &amp; TEXT(P$6,"yyyymm") &amp; "]",
"[Base].[Metrica]",
"[Base].[Metrica].&amp;[" &amp; $A40 &amp; "]",
"[Base].[SEGMENTO_DESCRIP]",
"[Base].[SEGMENTO_DESCRIP].&amp;[" &amp; $C$6 &amp; "]",
"[Base].[SITUACION]",
"[Base].[SITUACION].&amp;[" &amp; $C40 &amp; "]"
),0)/1000</f>
        <v>21.141603640000003</v>
      </c>
      <c r="Q40" s="8">
        <f>IFERROR(
GETPIVOTDATA(
"[Base].[Importe]",
TDinamica_R!$A$5,
"[Calendario].[AñoMes]",
"[Calendario].[AñoMes].&amp;[" &amp; TEXT(Q$6,"yyyymm") &amp; "]",
"[Base].[Metrica]",
"[Base].[Metrica].&amp;[" &amp; $A40 &amp; "]",
"[Base].[SEGMENTO_DESCRIP]",
"[Base].[SEGMENTO_DESCRIP].&amp;[" &amp; $C$6 &amp; "]",
"[Base].[SITUACION]",
"[Base].[SITUACION].&amp;[" &amp; $C40 &amp; "]"
),0)/1000</f>
        <v>22.718966669999997</v>
      </c>
      <c r="R40" s="8">
        <f>IFERROR(
GETPIVOTDATA(
"[Base].[Importe]",
TDinamica_R!$A$5,
"[Calendario].[AñoMes]",
"[Calendario].[AñoMes].&amp;[" &amp; TEXT(R$6,"yyyymm") &amp; "]",
"[Base].[Metrica]",
"[Base].[Metrica].&amp;[" &amp; $A40 &amp; "]",
"[Base].[SEGMENTO_DESCRIP]",
"[Base].[SEGMENTO_DESCRIP].&amp;[" &amp; $C$6 &amp; "]",
"[Base].[SITUACION]",
"[Base].[SITUACION].&amp;[" &amp; $C40 &amp; "]"
),0)/1000</f>
        <v>21.318506939999999</v>
      </c>
      <c r="S40" s="8">
        <f>IFERROR(
GETPIVOTDATA(
"[Base].[Importe]",
TDinamica_R!$A$5,
"[Calendario].[AñoMes]",
"[Calendario].[AñoMes].&amp;[" &amp; TEXT(S$6,"yyyymm") &amp; "]",
"[Base].[Metrica]",
"[Base].[Metrica].&amp;[" &amp; $A40 &amp; "]",
"[Base].[SEGMENTO_DESCRIP]",
"[Base].[SEGMENTO_DESCRIP].&amp;[" &amp; $C$6 &amp; "]",
"[Base].[SITUACION]",
"[Base].[SITUACION].&amp;[" &amp; $C40 &amp; "]"
),0)/1000</f>
        <v>32.414239720000005</v>
      </c>
      <c r="T40" s="8">
        <f>IFERROR(
GETPIVOTDATA(
"[Base].[Importe]",
TDinamica_R!$A$5,
"[Calendario].[AñoMes]",
"[Calendario].[AñoMes].&amp;[" &amp; TEXT(T$6,"yyyymm") &amp; "]",
"[Base].[Metrica]",
"[Base].[Metrica].&amp;[" &amp; $A40 &amp; "]",
"[Base].[SEGMENTO_DESCRIP]",
"[Base].[SEGMENTO_DESCRIP].&amp;[" &amp; $C$6 &amp; "]",
"[Base].[SITUACION]",
"[Base].[SITUACION].&amp;[" &amp; $C40 &amp; "]"
),0)/1000</f>
        <v>33.127721440000002</v>
      </c>
      <c r="U40" s="8">
        <f>IFERROR(
GETPIVOTDATA(
"[Base].[Importe]",
TDinamica_R!$A$5,
"[Calendario].[AñoMes]",
"[Calendario].[AñoMes].&amp;[" &amp; TEXT(U$6,"yyyymm") &amp; "]",
"[Base].[Metrica]",
"[Base].[Metrica].&amp;[" &amp; $A40 &amp; "]",
"[Base].[SEGMENTO_DESCRIP]",
"[Base].[SEGMENTO_DESCRIP].&amp;[" &amp; $C$6 &amp; "]",
"[Base].[SITUACION]",
"[Base].[SITUACION].&amp;[" &amp; $C40 &amp; "]"
),0)/1000</f>
        <v>35.41803084</v>
      </c>
      <c r="V40" s="8">
        <f>IFERROR(
GETPIVOTDATA(
"[Base].[Importe]",
TDinamica_R!$A$5,
"[Calendario].[AñoMes]",
"[Calendario].[AñoMes].&amp;[" &amp; TEXT(V$6,"yyyymm") &amp; "]",
"[Base].[Metrica]",
"[Base].[Metrica].&amp;[" &amp; $A40 &amp; "]",
"[Base].[SEGMENTO_DESCRIP]",
"[Base].[SEGMENTO_DESCRIP].&amp;[" &amp; $C$6 &amp; "]",
"[Base].[SITUACION]",
"[Base].[SITUACION].&amp;[" &amp; $C40 &amp; "]"
),0)/1000</f>
        <v>29.491911120000005</v>
      </c>
      <c r="W40" s="8">
        <f>IFERROR(
GETPIVOTDATA(
"[Base].[Importe]",
TDinamica_R!$A$5,
"[Calendario].[AñoMes]",
"[Calendario].[AñoMes].&amp;[" &amp; TEXT(W$6,"yyyymm") &amp; "]",
"[Base].[Metrica]",
"[Base].[Metrica].&amp;[" &amp; $A40 &amp; "]",
"[Base].[SEGMENTO_DESCRIP]",
"[Base].[SEGMENTO_DESCRIP].&amp;[" &amp; $C$6 &amp; "]",
"[Base].[SITUACION]",
"[Base].[SITUACION].&amp;[" &amp; $C40 &amp; "]"
),0)/1000</f>
        <v>13.390612989999999</v>
      </c>
      <c r="X40" s="8">
        <f>IFERROR(
GETPIVOTDATA(
"[Base].[Importe]",
TDinamica_R!$A$5,
"[Calendario].[AñoMes]",
"[Calendario].[AñoMes].&amp;[" &amp; TEXT(X$6,"yyyymm") &amp; "]",
"[Base].[Metrica]",
"[Base].[Metrica].&amp;[" &amp; $A40 &amp; "]",
"[Base].[SEGMENTO_DESCRIP]",
"[Base].[SEGMENTO_DESCRIP].&amp;[" &amp; $C$6 &amp; "]",
"[Base].[SITUACION]",
"[Base].[SITUACION].&amp;[" &amp; $C40 &amp; "]"
),0)/1000</f>
        <v>15.373467280000002</v>
      </c>
      <c r="Y40" s="8">
        <f>IFERROR(
GETPIVOTDATA(
"[Base].[Importe]",
TDinamica_R!$A$5,
"[Calendario].[AñoMes]",
"[Calendario].[AñoMes].&amp;[" &amp; TEXT(Y$6,"yyyymm") &amp; "]",
"[Base].[Metrica]",
"[Base].[Metrica].&amp;[" &amp; $A40 &amp; "]",
"[Base].[SEGMENTO_DESCRIP]",
"[Base].[SEGMENTO_DESCRIP].&amp;[" &amp; $C$6 &amp; "]",
"[Base].[SITUACION]",
"[Base].[SITUACION].&amp;[" &amp; $C40 &amp; "]"
),0)/1000</f>
        <v>13.502476020000001</v>
      </c>
      <c r="Z40" s="8">
        <f>IFERROR(
GETPIVOTDATA(
"[Base].[Importe]",
TDinamica_R!$A$5,
"[Calendario].[AñoMes]",
"[Calendario].[AñoMes].&amp;[" &amp; TEXT(Z$6,"yyyymm") &amp; "]",
"[Base].[Metrica]",
"[Base].[Metrica].&amp;[" &amp; $A40 &amp; "]",
"[Base].[SEGMENTO_DESCRIP]",
"[Base].[SEGMENTO_DESCRIP].&amp;[" &amp; $C$6 &amp; "]",
"[Base].[SITUACION]",
"[Base].[SITUACION].&amp;[" &amp; $C40 &amp; "]"
),0)/1000</f>
        <v>17.25168957</v>
      </c>
      <c r="AA40" s="8">
        <f>IFERROR(
GETPIVOTDATA(
"[Base].[Importe]",
TDinamica_R!$A$5,
"[Calendario].[AñoMes]",
"[Calendario].[AñoMes].&amp;[" &amp; TEXT(AA$6,"yyyymm") &amp; "]",
"[Base].[Metrica]",
"[Base].[Metrica].&amp;[" &amp; $A40 &amp; "]",
"[Base].[SEGMENTO_DESCRIP]",
"[Base].[SEGMENTO_DESCRIP].&amp;[" &amp; $C$6 &amp; "]",
"[Base].[SITUACION]",
"[Base].[SITUACION].&amp;[" &amp; $C40 &amp; "]"
),0)/1000</f>
        <v>19.878741389999998</v>
      </c>
      <c r="AB40" s="8">
        <f>IFERROR(
GETPIVOTDATA(
"[Base].[Importe]",
TDinamica_R!$A$5,
"[Calendario].[AñoMes]",
"[Calendario].[AñoMes].&amp;[" &amp; TEXT(AB$6,"yyyymm") &amp; "]",
"[Base].[Metrica]",
"[Base].[Metrica].&amp;[" &amp; $A40 &amp; "]",
"[Base].[SEGMENTO_DESCRIP]",
"[Base].[SEGMENTO_DESCRIP].&amp;[" &amp; $C$6 &amp; "]",
"[Base].[SITUACION]",
"[Base].[SITUACION].&amp;[" &amp; $C40 &amp; "]"
),0)/1000</f>
        <v>16.917972259999999</v>
      </c>
      <c r="AC40" s="8">
        <f>IFERROR(
GETPIVOTDATA(
"[Base].[Importe]",
TDinamica_R!$A$5,
"[Calendario].[AñoMes]",
"[Calendario].[AñoMes].&amp;[" &amp; TEXT(AC$6,"yyyymm") &amp; "]",
"[Base].[Metrica]",
"[Base].[Metrica].&amp;[" &amp; $A40 &amp; "]",
"[Base].[SEGMENTO_DESCRIP]",
"[Base].[SEGMENTO_DESCRIP].&amp;[" &amp; $C$6 &amp; "]",
"[Base].[SITUACION]",
"[Base].[SITUACION].&amp;[" &amp; $C40 &amp; "]"
),0)/1000</f>
        <v>20.002302709999999</v>
      </c>
      <c r="AD40" s="8">
        <f>IFERROR(
GETPIVOTDATA(
"[Base].[Importe]",
TDinamica_R!$A$5,
"[Calendario].[AñoMes]",
"[Calendario].[AñoMes].&amp;[" &amp; TEXT(AD$6,"yyyymm") &amp; "]",
"[Base].[Metrica]",
"[Base].[Metrica].&amp;[" &amp; $A40 &amp; "]",
"[Base].[SEGMENTO_DESCRIP]",
"[Base].[SEGMENTO_DESCRIP].&amp;[" &amp; $C$6 &amp; "]",
"[Base].[SITUACION]",
"[Base].[SITUACION].&amp;[" &amp; $C40 &amp; "]"
),0)/1000</f>
        <v>22.019795400000003</v>
      </c>
      <c r="AE40" s="8">
        <f>IFERROR(
GETPIVOTDATA(
"[Base].[Importe]",
TDinamica_R!$A$5,
"[Calendario].[AñoMes]",
"[Calendario].[AñoMes].&amp;[" &amp; TEXT(AE$6,"yyyymm") &amp; "]",
"[Base].[Metrica]",
"[Base].[Metrica].&amp;[" &amp; $A40 &amp; "]",
"[Base].[SEGMENTO_DESCRIP]",
"[Base].[SEGMENTO_DESCRIP].&amp;[" &amp; $C$6 &amp; "]",
"[Base].[SITUACION]",
"[Base].[SITUACION].&amp;[" &amp; $C40 &amp; "]"
),0)/1000</f>
        <v>22.067336830000002</v>
      </c>
      <c r="AF40" s="8">
        <f>IFERROR(
GETPIVOTDATA(
"[Base].[Importe]",
TDinamica_R!$A$5,
"[Calendario].[AñoMes]",
"[Calendario].[AñoMes].&amp;[" &amp; TEXT(AF$6,"yyyymm") &amp; "]",
"[Base].[Metrica]",
"[Base].[Metrica].&amp;[" &amp; $A40 &amp; "]",
"[Base].[SEGMENTO_DESCRIP]",
"[Base].[SEGMENTO_DESCRIP].&amp;[" &amp; $C$6 &amp; "]",
"[Base].[SITUACION]",
"[Base].[SITUACION].&amp;[" &amp; $C40 &amp; "]"
),0)/1000</f>
        <v>22.354607809999997</v>
      </c>
      <c r="AG40" s="8">
        <f>IFERROR(
GETPIVOTDATA(
"[Base].[Importe]",
TDinamica_R!$A$5,
"[Calendario].[AñoMes]",
"[Calendario].[AñoMes].&amp;[" &amp; TEXT(AG$6,"yyyymm") &amp; "]",
"[Base].[Metrica]",
"[Base].[Metrica].&amp;[" &amp; $A40 &amp; "]",
"[Base].[SEGMENTO_DESCRIP]",
"[Base].[SEGMENTO_DESCRIP].&amp;[" &amp; $C$6 &amp; "]",
"[Base].[SITUACION]",
"[Base].[SITUACION].&amp;[" &amp; $C40 &amp; "]"
),0)/1000</f>
        <v>20.899467130000005</v>
      </c>
      <c r="AH40" s="8">
        <f>IFERROR(
GETPIVOTDATA(
"[Base].[Importe]",
TDinamica_R!$A$5,
"[Calendario].[AñoMes]",
"[Calendario].[AñoMes].&amp;[" &amp; TEXT(AH$6,"yyyymm") &amp; "]",
"[Base].[Metrica]",
"[Base].[Metrica].&amp;[" &amp; $A40 &amp; "]",
"[Base].[SEGMENTO_DESCRIP]",
"[Base].[SEGMENTO_DESCRIP].&amp;[" &amp; $C$6 &amp; "]",
"[Base].[SITUACION]",
"[Base].[SITUACION].&amp;[" &amp; $C40 &amp; "]"
),0)/1000</f>
        <v>22.409019010000002</v>
      </c>
      <c r="AI40" s="8">
        <f>IFERROR(
GETPIVOTDATA(
"[Base].[Importe]",
TDinamica_R!$A$5,
"[Calendario].[AñoMes]",
"[Calendario].[AñoMes].&amp;[" &amp; TEXT(AI$6,"yyyymm") &amp; "]",
"[Base].[Metrica]",
"[Base].[Metrica].&amp;[" &amp; $A40 &amp; "]",
"[Base].[SEGMENTO_DESCRIP]",
"[Base].[SEGMENTO_DESCRIP].&amp;[" &amp; $C$6 &amp; "]",
"[Base].[SITUACION]",
"[Base].[SITUACION].&amp;[" &amp; $C40 &amp; "]"
),0)/1000</f>
        <v>16.021336809999998</v>
      </c>
      <c r="AJ40" s="8">
        <f>IFERROR(
GETPIVOTDATA(
"[Base].[Importe]",
TDinamica_R!$A$5,
"[Calendario].[AñoMes]",
"[Calendario].[AñoMes].&amp;[" &amp; TEXT(AJ$6,"yyyymm") &amp; "]",
"[Base].[Metrica]",
"[Base].[Metrica].&amp;[" &amp; $A40 &amp; "]",
"[Base].[SEGMENTO_DESCRIP]",
"[Base].[SEGMENTO_DESCRIP].&amp;[" &amp; $C$6 &amp; "]",
"[Base].[SITUACION]",
"[Base].[SITUACION].&amp;[" &amp; $C40 &amp; "]"
),0)/1000</f>
        <v>15.08104571</v>
      </c>
      <c r="AK40" s="8">
        <f>IFERROR(
GETPIVOTDATA(
"[Base].[Importe]",
TDinamica_R!$A$5,
"[Calendario].[AñoMes]",
"[Calendario].[AñoMes].&amp;[" &amp; TEXT(AK$6,"yyyymm") &amp; "]",
"[Base].[Metrica]",
"[Base].[Metrica].&amp;[" &amp; $A40 &amp; "]",
"[Base].[SEGMENTO_DESCRIP]",
"[Base].[SEGMENTO_DESCRIP].&amp;[" &amp; $C$6 &amp; "]",
"[Base].[SITUACION]",
"[Base].[SITUACION].&amp;[" &amp; $C40 &amp; "]"
),0)/1000</f>
        <v>10.493340029999999</v>
      </c>
      <c r="AL40" s="8">
        <f>IFERROR(
GETPIVOTDATA(
"[Base].[Importe]",
TDinamica_R!$A$5,
"[Calendario].[AñoMes]",
"[Calendario].[AñoMes].&amp;[" &amp; TEXT(AL$6,"yyyymm") &amp; "]",
"[Base].[Metrica]",
"[Base].[Metrica].&amp;[" &amp; $A40 &amp; "]",
"[Base].[SEGMENTO_DESCRIP]",
"[Base].[SEGMENTO_DESCRIP].&amp;[" &amp; $C$6 &amp; "]",
"[Base].[SITUACION]",
"[Base].[SITUACION].&amp;[" &amp; $C40 &amp; "]"
),0)/1000</f>
        <v>12.519254109999999</v>
      </c>
      <c r="AM40" s="8">
        <f>IFERROR(
GETPIVOTDATA(
"[Base].[Importe]",
TDinamica_R!$A$5,
"[Calendario].[AñoMes]",
"[Calendario].[AñoMes].&amp;[" &amp; TEXT(AM$6,"yyyymm") &amp; "]",
"[Base].[Metrica]",
"[Base].[Metrica].&amp;[" &amp; $A40 &amp; "]",
"[Base].[SEGMENTO_DESCRIP]",
"[Base].[SEGMENTO_DESCRIP].&amp;[" &amp; $C$6 &amp; "]",
"[Base].[SITUACION]",
"[Base].[SITUACION].&amp;[" &amp; $C40 &amp; "]"
),0)/1000</f>
        <v>21.825510450000003</v>
      </c>
      <c r="AN40" s="8">
        <f>IFERROR(
GETPIVOTDATA(
"[Base].[Importe]",
TDinamica_R!$A$5,
"[Calendario].[AñoMes]",
"[Calendario].[AñoMes].&amp;[" &amp; TEXT(AN$6,"yyyymm") &amp; "]",
"[Base].[Metrica]",
"[Base].[Metrica].&amp;[" &amp; $A40 &amp; "]",
"[Base].[SEGMENTO_DESCRIP]",
"[Base].[SEGMENTO_DESCRIP].&amp;[" &amp; $C$6 &amp; "]",
"[Base].[SITUACION]",
"[Base].[SITUACION].&amp;[" &amp; $C40 &amp; "]"
),0)/1000</f>
        <v>10.677588339999998</v>
      </c>
      <c r="AO40" s="8">
        <f>IFERROR(
GETPIVOTDATA(
"[Base].[Importe]",
TDinamica_R!$A$5,
"[Calendario].[AñoMes]",
"[Calendario].[AñoMes].&amp;[" &amp; TEXT(AO$6,"yyyymm") &amp; "]",
"[Base].[Metrica]",
"[Base].[Metrica].&amp;[" &amp; $A40 &amp; "]",
"[Base].[SEGMENTO_DESCRIP]",
"[Base].[SEGMENTO_DESCRIP].&amp;[" &amp; $C$6 &amp; "]",
"[Base].[SITUACION]",
"[Base].[SITUACION].&amp;[" &amp; $C40 &amp; "]"
),0)/1000</f>
        <v>10.660055069999997</v>
      </c>
      <c r="AP40" s="8">
        <f>IFERROR(
GETPIVOTDATA(
"[Base].[Importe]",
TDinamica_R!$A$5,
"[Calendario].[AñoMes]",
"[Calendario].[AñoMes].&amp;[" &amp; TEXT(AP$6,"yyyymm") &amp; "]",
"[Base].[Metrica]",
"[Base].[Metrica].&amp;[" &amp; $A40 &amp; "]",
"[Base].[SEGMENTO_DESCRIP]",
"[Base].[SEGMENTO_DESCRIP].&amp;[" &amp; $C$6 &amp; "]",
"[Base].[SITUACION]",
"[Base].[SITUACION].&amp;[" &amp; $C40 &amp; "]"
),0)/1000</f>
        <v>14.95445969</v>
      </c>
      <c r="AQ40" s="8">
        <f>IFERROR(
GETPIVOTDATA(
"[Base].[Importe]",
TDinamica_R!$A$5,
"[Calendario].[AñoMes]",
"[Calendario].[AñoMes].&amp;[" &amp; TEXT(AQ$6,"yyyymm") &amp; "]",
"[Base].[Metrica]",
"[Base].[Metrica].&amp;[" &amp; $A40 &amp; "]",
"[Base].[SEGMENTO_DESCRIP]",
"[Base].[SEGMENTO_DESCRIP].&amp;[" &amp; $C$6 &amp; "]",
"[Base].[SITUACION]",
"[Base].[SITUACION].&amp;[" &amp; $C40 &amp; "]"
),0)/1000</f>
        <v>12.122386500000001</v>
      </c>
      <c r="AR40" s="8">
        <f>IFERROR(
GETPIVOTDATA(
"[Base].[Importe]",
TDinamica_R!$A$5,
"[Calendario].[AñoMes]",
"[Calendario].[AñoMes].&amp;[" &amp; TEXT(AR$6,"yyyymm") &amp; "]",
"[Base].[Metrica]",
"[Base].[Metrica].&amp;[" &amp; $A40 &amp; "]",
"[Base].[SEGMENTO_DESCRIP]",
"[Base].[SEGMENTO_DESCRIP].&amp;[" &amp; $C$6 &amp; "]",
"[Base].[SITUACION]",
"[Base].[SITUACION].&amp;[" &amp; $C40 &amp; "]"
),0)/1000</f>
        <v>16.586521540000003</v>
      </c>
      <c r="AS40" s="8">
        <f>IFERROR(
GETPIVOTDATA(
"[Base].[Importe]",
TDinamica_R!$A$5,
"[Calendario].[AñoMes]",
"[Calendario].[AñoMes].&amp;[" &amp; TEXT(AS$6,"yyyymm") &amp; "]",
"[Base].[Metrica]",
"[Base].[Metrica].&amp;[" &amp; $A40 &amp; "]",
"[Base].[SEGMENTO_DESCRIP]",
"[Base].[SEGMENTO_DESCRIP].&amp;[" &amp; $C$6 &amp; "]",
"[Base].[SITUACION]",
"[Base].[SITUACION].&amp;[" &amp; $C40 &amp; "]"
),0)/1000</f>
        <v>9.1727824800000022</v>
      </c>
      <c r="AT40" s="8">
        <f>IFERROR(
GETPIVOTDATA(
"[Base].[Importe]",
TDinamica_R!$A$5,
"[Calendario].[AñoMes]",
"[Calendario].[AñoMes].&amp;[" &amp; TEXT(AT$6,"yyyymm")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U40" s="8">
        <f>IFERROR(
GETPIVOTDATA(
"[Base].[Importe]",
TDinamica_R!$A$5,
"[Calendario].[AñoMes]",
"[Calendario].[AñoMes].&amp;[" &amp; TEXT(AU$6,"yyyymm")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V40" s="8">
        <f>IFERROR(
GETPIVOTDATA(
"[Base].[Importe]",
TDinamica_R!$A$5,
"[Calendario].[AñoMes]",
"[Calendario].[AñoMes].&amp;[" &amp; TEXT(AV$6,"yyyymm")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W40" s="8">
        <f>IFERROR(
GETPIVOTDATA(
"[Base].[Importe]",
TDinamica_R!$A$5,
"[Calendario].[AñoMes]",
"[Calendario].[AñoMes].&amp;[" &amp; TEXT(AW$6,"yyyymm")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X40" s="8">
        <f>IFERROR(
GETPIVOTDATA(
"[Base].[Importe]",
TDinamica_R!$A$5,
"[Calendario].[AñoMes]",
"[Calendario].[AñoMes].&amp;[" &amp; TEXT(AX$6,"yyyymm")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Y40" s="8">
        <f>IFERROR(
GETPIVOTDATA(
"[Base].[Importe]",
TDinamica_R!$A$5,
"[Calendario].[AñoMes]",
"[Calendario].[AñoMes].&amp;[" &amp; TEXT(AY$6,"yyyymm")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Z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TEXT(AZ$6,"yyyymm") &amp; "]"
),
0
)</f>
        <v>12.04567080812244</v>
      </c>
      <c r="BA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TEXT(BA$6,"yyyymm") &amp; "]"
),
0
)</f>
        <v>11.354155337578264</v>
      </c>
      <c r="BB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TEXT(BB$6,"yyyymm") &amp; "]"
),
0
)</f>
        <v>10.898935225944001</v>
      </c>
      <c r="BC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TEXT(BC$6,"yyyymm") &amp; "]"
),
0
)</f>
        <v>11.138789651819994</v>
      </c>
      <c r="BD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TEXT(BD$6,"yyyymm") &amp; "]"
),
0
)</f>
        <v>10.829085411846071</v>
      </c>
      <c r="BE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TEXT(BE$6,"yyyymm") &amp; "]"
),
0
)</f>
        <v>10.442063455551697</v>
      </c>
      <c r="BF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TEXT(BF$6,"yyyymm") &amp; "]"
),
0
)</f>
        <v>10.33380982842076</v>
      </c>
      <c r="BG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TEXT(BG$6,"yyyymm") &amp; "]"
),
0
)</f>
        <v>10.699206961314852</v>
      </c>
      <c r="BH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TEXT(BH$6,"yyyymm") &amp; "]"
),
0
)</f>
        <v>10.414846485448788</v>
      </c>
      <c r="BI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TEXT(BI$6,"yyyymm") &amp; "]"
),
0
)</f>
        <v>10.324358424618387</v>
      </c>
      <c r="BJ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TEXT(BJ$6,"yyyymm") &amp; "]"
),
0
)</f>
        <v>11.218857437657551</v>
      </c>
      <c r="BK40" s="8">
        <f>IFERROR(
GETPIVOTDATA(
"[Base_PPE].[Importe]",
TDinamica_P!$A$4,
"[Base_PPE].[Metrica]",
"[Base_PPE].[Metrica].&amp;[" &amp; TRIM($A40) &amp; "]",
"[Base_PPE].[SITUACION]",
"[Base_PPE].[SITUACION].&amp;[" &amp; TRIM($C40) &amp; "]",
"[Base_PPE].[SEGMENTO_DESCRIP]",
"[Base_PPE].[SEGMENTO_DESCRIP].&amp;[" &amp; TRIM($C$6) &amp; "]",
"[Base_PPE].[Periodo]",
"[Base_PPE].[Periodo].&amp;[" &amp; TEXT(BK$6,"yyyymm") &amp; "]"
),
0
)</f>
        <v>11.981250778445492</v>
      </c>
      <c r="BO40" s="24">
        <f t="shared" si="41"/>
        <v>36.292103099999991</v>
      </c>
      <c r="BP40" s="24">
        <f t="shared" si="41"/>
        <v>34.298761371644702</v>
      </c>
      <c r="BQ40" s="24">
        <f t="shared" si="41"/>
        <v>21.337643409999995</v>
      </c>
      <c r="BR40" s="24">
        <f t="shared" si="41"/>
        <v>58.940070370000001</v>
      </c>
      <c r="BS40" s="24">
        <f t="shared" si="41"/>
        <v>65.179077250000006</v>
      </c>
      <c r="BT40" s="24">
        <f t="shared" si="41"/>
        <v>34.900017180000006</v>
      </c>
    </row>
    <row r="41" spans="1:72" collapsed="1" x14ac:dyDescent="0.25">
      <c r="C41" s="3" t="s">
        <v>57</v>
      </c>
      <c r="D41" s="10">
        <f>SUM(D38:D40)</f>
        <v>933.23508898</v>
      </c>
      <c r="E41" s="10">
        <f t="shared" ref="E41:AY41" si="42">SUM(E38:E40)</f>
        <v>837.88257342999998</v>
      </c>
      <c r="F41" s="10">
        <f t="shared" si="42"/>
        <v>939.80860464</v>
      </c>
      <c r="G41" s="10">
        <f t="shared" si="42"/>
        <v>854.72410252999998</v>
      </c>
      <c r="H41" s="10">
        <f t="shared" si="42"/>
        <v>987.10783317000005</v>
      </c>
      <c r="I41" s="10">
        <f t="shared" si="42"/>
        <v>931.10638663999998</v>
      </c>
      <c r="J41" s="10">
        <f t="shared" si="42"/>
        <v>965.39182544000016</v>
      </c>
      <c r="K41" s="10">
        <f t="shared" si="42"/>
        <v>910.83275957999979</v>
      </c>
      <c r="L41" s="10">
        <f t="shared" si="42"/>
        <v>879.82697893000022</v>
      </c>
      <c r="M41" s="10">
        <f t="shared" si="42"/>
        <v>889.94217247000006</v>
      </c>
      <c r="N41" s="10">
        <f t="shared" si="42"/>
        <v>806.40248364999991</v>
      </c>
      <c r="O41" s="10">
        <f t="shared" si="42"/>
        <v>786.80882574999998</v>
      </c>
      <c r="P41" s="10">
        <f t="shared" si="42"/>
        <v>769.21311197</v>
      </c>
      <c r="Q41" s="10">
        <f t="shared" si="42"/>
        <v>672.03968206000002</v>
      </c>
      <c r="R41" s="10">
        <f t="shared" si="42"/>
        <v>704.92164351000008</v>
      </c>
      <c r="S41" s="10">
        <f t="shared" si="42"/>
        <v>698.73734502000002</v>
      </c>
      <c r="T41" s="10">
        <f t="shared" si="42"/>
        <v>700.82313797000006</v>
      </c>
      <c r="U41" s="10">
        <f t="shared" si="42"/>
        <v>670.70863727000005</v>
      </c>
      <c r="V41" s="10">
        <f t="shared" si="42"/>
        <v>687.54869858000018</v>
      </c>
      <c r="W41" s="10">
        <f t="shared" si="42"/>
        <v>650.23401595000007</v>
      </c>
      <c r="X41" s="10">
        <f t="shared" si="42"/>
        <v>614.6218147200002</v>
      </c>
      <c r="Y41" s="10">
        <f t="shared" si="42"/>
        <v>604.81818779000002</v>
      </c>
      <c r="Z41" s="10">
        <f t="shared" si="42"/>
        <v>553.39217602000019</v>
      </c>
      <c r="AA41" s="10">
        <f t="shared" si="42"/>
        <v>531.80313875000013</v>
      </c>
      <c r="AB41" s="10">
        <f t="shared" si="42"/>
        <v>495.25956143999991</v>
      </c>
      <c r="AC41" s="10">
        <f t="shared" si="42"/>
        <v>419.1105778999999</v>
      </c>
      <c r="AD41" s="10">
        <f t="shared" si="42"/>
        <v>443.42449941000001</v>
      </c>
      <c r="AE41" s="10">
        <f t="shared" si="42"/>
        <v>426.51687530999999</v>
      </c>
      <c r="AF41" s="10">
        <f t="shared" si="42"/>
        <v>431.25611299000002</v>
      </c>
      <c r="AG41" s="10">
        <f t="shared" si="42"/>
        <v>406.36191009000004</v>
      </c>
      <c r="AH41" s="10">
        <f t="shared" si="42"/>
        <v>416.46182931999999</v>
      </c>
      <c r="AI41" s="10">
        <f t="shared" si="42"/>
        <v>401.58013327999987</v>
      </c>
      <c r="AJ41" s="10">
        <f t="shared" si="42"/>
        <v>383.52507263000001</v>
      </c>
      <c r="AK41" s="10">
        <f t="shared" si="42"/>
        <v>388.83782484000005</v>
      </c>
      <c r="AL41" s="10">
        <f t="shared" si="42"/>
        <v>368.12491779000004</v>
      </c>
      <c r="AM41" s="10">
        <f t="shared" si="42"/>
        <v>434.15106777000005</v>
      </c>
      <c r="AN41" s="10">
        <f t="shared" si="42"/>
        <v>461.22497099000003</v>
      </c>
      <c r="AO41" s="10">
        <f t="shared" si="42"/>
        <v>482.68770476000003</v>
      </c>
      <c r="AP41" s="10">
        <f t="shared" si="42"/>
        <v>631.43709006999995</v>
      </c>
      <c r="AQ41" s="10">
        <f t="shared" si="42"/>
        <v>668.37639294999997</v>
      </c>
      <c r="AR41" s="10">
        <f t="shared" si="42"/>
        <v>784.02273642000011</v>
      </c>
      <c r="AS41" s="10">
        <f t="shared" si="42"/>
        <v>830.09307159000014</v>
      </c>
      <c r="AT41" s="10">
        <f t="shared" si="42"/>
        <v>0</v>
      </c>
      <c r="AU41" s="10">
        <f t="shared" si="42"/>
        <v>0</v>
      </c>
      <c r="AV41" s="10">
        <f t="shared" si="42"/>
        <v>0</v>
      </c>
      <c r="AW41" s="10">
        <f t="shared" si="42"/>
        <v>0</v>
      </c>
      <c r="AX41" s="10">
        <f t="shared" si="42"/>
        <v>0</v>
      </c>
      <c r="AY41" s="10">
        <f t="shared" si="42"/>
        <v>0</v>
      </c>
      <c r="AZ41" s="10">
        <f t="shared" ref="AZ41:BK41" si="43">SUM(AZ38:AZ40)</f>
        <v>341.11539797134088</v>
      </c>
      <c r="BA41" s="10">
        <f t="shared" si="43"/>
        <v>292.49528688791179</v>
      </c>
      <c r="BB41" s="10">
        <f t="shared" si="43"/>
        <v>323.2569901457332</v>
      </c>
      <c r="BC41" s="10">
        <f t="shared" si="43"/>
        <v>299.45176643068555</v>
      </c>
      <c r="BD41" s="10">
        <f t="shared" si="43"/>
        <v>301.38026300720696</v>
      </c>
      <c r="BE41" s="10">
        <f t="shared" si="43"/>
        <v>291.79715904723747</v>
      </c>
      <c r="BF41" s="10">
        <f t="shared" si="43"/>
        <v>294.23307668783974</v>
      </c>
      <c r="BG41" s="10">
        <f t="shared" si="43"/>
        <v>288.64323554368548</v>
      </c>
      <c r="BH41" s="10">
        <f t="shared" si="43"/>
        <v>270.3700090837014</v>
      </c>
      <c r="BI41" s="10">
        <f t="shared" si="43"/>
        <v>278.18038359894302</v>
      </c>
      <c r="BJ41" s="10">
        <f t="shared" si="43"/>
        <v>265.1141267246565</v>
      </c>
      <c r="BK41" s="10">
        <f t="shared" si="43"/>
        <v>278.00620140254688</v>
      </c>
      <c r="BO41" s="23">
        <f>SUM(BO38:BO40)</f>
        <v>1575.3497658199999</v>
      </c>
      <c r="BP41" s="23">
        <f t="shared" ref="BP41:BT41" si="44">SUM(BP38:BP40)</f>
        <v>956.86767500498581</v>
      </c>
      <c r="BQ41" s="23">
        <f t="shared" si="44"/>
        <v>943.91267574999995</v>
      </c>
      <c r="BR41" s="23">
        <f t="shared" si="44"/>
        <v>1357.7946387499999</v>
      </c>
      <c r="BS41" s="23">
        <f t="shared" si="44"/>
        <v>2146.1744375399999</v>
      </c>
      <c r="BT41" s="23">
        <f t="shared" si="44"/>
        <v>2710.9262670499998</v>
      </c>
    </row>
    <row r="44" spans="1:72" hidden="1" outlineLevel="1" x14ac:dyDescent="0.25">
      <c r="A44" s="11" t="s">
        <v>50</v>
      </c>
      <c r="C44" s="2" t="s">
        <v>0</v>
      </c>
      <c r="D44" s="8">
        <f>-IFERROR(
GETPIVOTDATA(
"[Base].[Importe]",
TDinamica_R!$A$5,
"[Calendario].[AñoMes]",
"[Calendario].[AñoMes].&amp;[" &amp; TEXT(D$6,"yyyymm") &amp; "]",
"[Base].[Metrica]",
"[Base].[Metrica].&amp;[" &amp; $A44 &amp; "]",
"[Base].[SEGMENTO_DESCRIP]",
"[Base].[SEGMENTO_DESCRIP].&amp;[" &amp; $C$6 &amp; "]",
"[Base].[SITUACION]",
"[Base].[SITUACION].&amp;[" &amp; $C44 &amp; "]"
),0)/1000</f>
        <v>-263.61992400000008</v>
      </c>
      <c r="E44" s="8">
        <f>-IFERROR(
GETPIVOTDATA(
"[Base].[Importe]",
TDinamica_R!$A$5,
"[Calendario].[AñoMes]",
"[Calendario].[AñoMes].&amp;[" &amp; TEXT(E$6,"yyyymm") &amp; "]",
"[Base].[Metrica]",
"[Base].[Metrica].&amp;[" &amp; $A44 &amp; "]",
"[Base].[SEGMENTO_DESCRIP]",
"[Base].[SEGMENTO_DESCRIP].&amp;[" &amp; $C$6 &amp; "]",
"[Base].[SITUACION]",
"[Base].[SITUACION].&amp;[" &amp; $C44 &amp; "]"
),0)/1000</f>
        <v>-250.30170088000003</v>
      </c>
      <c r="F44" s="8">
        <f>-IFERROR(
GETPIVOTDATA(
"[Base].[Importe]",
TDinamica_R!$A$5,
"[Calendario].[AñoMes]",
"[Calendario].[AñoMes].&amp;[" &amp; TEXT(F$6,"yyyymm") &amp; "]",
"[Base].[Metrica]",
"[Base].[Metrica].&amp;[" &amp; $A44 &amp; "]",
"[Base].[SEGMENTO_DESCRIP]",
"[Base].[SEGMENTO_DESCRIP].&amp;[" &amp; $C$6 &amp; "]",
"[Base].[SITUACION]",
"[Base].[SITUACION].&amp;[" &amp; $C44 &amp; "]"
),0)/1000</f>
        <v>-297.55373259999999</v>
      </c>
      <c r="G44" s="8">
        <f>-IFERROR(
GETPIVOTDATA(
"[Base].[Importe]",
TDinamica_R!$A$5,
"[Calendario].[AñoMes]",
"[Calendario].[AñoMes].&amp;[" &amp; TEXT(G$6,"yyyymm") &amp; "]",
"[Base].[Metrica]",
"[Base].[Metrica].&amp;[" &amp; $A44 &amp; "]",
"[Base].[SEGMENTO_DESCRIP]",
"[Base].[SEGMENTO_DESCRIP].&amp;[" &amp; $C$6 &amp; "]",
"[Base].[SITUACION]",
"[Base].[SITUACION].&amp;[" &amp; $C44 &amp; "]"
),0)/1000</f>
        <v>-298.08335311999997</v>
      </c>
      <c r="H44" s="8">
        <f>-IFERROR(
GETPIVOTDATA(
"[Base].[Importe]",
TDinamica_R!$A$5,
"[Calendario].[AñoMes]",
"[Calendario].[AñoMes].&amp;[" &amp; TEXT(H$6,"yyyymm") &amp; "]",
"[Base].[Metrica]",
"[Base].[Metrica].&amp;[" &amp; $A44 &amp; "]",
"[Base].[SEGMENTO_DESCRIP]",
"[Base].[SEGMENTO_DESCRIP].&amp;[" &amp; $C$6 &amp; "]",
"[Base].[SITUACION]",
"[Base].[SITUACION].&amp;[" &amp; $C44 &amp; "]"
),0)/1000</f>
        <v>-313.13650839999997</v>
      </c>
      <c r="I44" s="8">
        <f>-IFERROR(
GETPIVOTDATA(
"[Base].[Importe]",
TDinamica_R!$A$5,
"[Calendario].[AñoMes]",
"[Calendario].[AñoMes].&amp;[" &amp; TEXT(I$6,"yyyymm") &amp; "]",
"[Base].[Metrica]",
"[Base].[Metrica].&amp;[" &amp; $A44 &amp; "]",
"[Base].[SEGMENTO_DESCRIP]",
"[Base].[SEGMENTO_DESCRIP].&amp;[" &amp; $C$6 &amp; "]",
"[Base].[SITUACION]",
"[Base].[SITUACION].&amp;[" &amp; $C44 &amp; "]"
),0)/1000</f>
        <v>-309.41698250000002</v>
      </c>
      <c r="J44" s="8">
        <f>-IFERROR(
GETPIVOTDATA(
"[Base].[Importe]",
TDinamica_R!$A$5,
"[Calendario].[AñoMes]",
"[Calendario].[AñoMes].&amp;[" &amp; TEXT(J$6,"yyyymm") &amp; "]",
"[Base].[Metrica]",
"[Base].[Metrica].&amp;[" &amp; $A44 &amp; "]",
"[Base].[SEGMENTO_DESCRIP]",
"[Base].[SEGMENTO_DESCRIP].&amp;[" &amp; $C$6 &amp; "]",
"[Base].[SITUACION]",
"[Base].[SITUACION].&amp;[" &amp; $C44 &amp; "]"
),0)/1000</f>
        <v>-316.91763122999993</v>
      </c>
      <c r="K44" s="8">
        <f>-IFERROR(
GETPIVOTDATA(
"[Base].[Importe]",
TDinamica_R!$A$5,
"[Calendario].[AñoMes]",
"[Calendario].[AñoMes].&amp;[" &amp; TEXT(K$6,"yyyymm") &amp; "]",
"[Base].[Metrica]",
"[Base].[Metrica].&amp;[" &amp; $A44 &amp; "]",
"[Base].[SEGMENTO_DESCRIP]",
"[Base].[SEGMENTO_DESCRIP].&amp;[" &amp; $C$6 &amp; "]",
"[Base].[SITUACION]",
"[Base].[SITUACION].&amp;[" &amp; $C44 &amp; "]"
),0)/1000</f>
        <v>-306.45695991999997</v>
      </c>
      <c r="L44" s="8">
        <f>-IFERROR(
GETPIVOTDATA(
"[Base].[Importe]",
TDinamica_R!$A$5,
"[Calendario].[AñoMes]",
"[Calendario].[AñoMes].&amp;[" &amp; TEXT(L$6,"yyyymm") &amp; "]",
"[Base].[Metrica]",
"[Base].[Metrica].&amp;[" &amp; $A44 &amp; "]",
"[Base].[SEGMENTO_DESCRIP]",
"[Base].[SEGMENTO_DESCRIP].&amp;[" &amp; $C$6 &amp; "]",
"[Base].[SITUACION]",
"[Base].[SITUACION].&amp;[" &amp; $C44 &amp; "]"
),0)/1000</f>
        <v>-294.76263313590005</v>
      </c>
      <c r="M44" s="8">
        <f>-IFERROR(
GETPIVOTDATA(
"[Base].[Importe]",
TDinamica_R!$A$5,
"[Calendario].[AñoMes]",
"[Calendario].[AñoMes].&amp;[" &amp; TEXT(M$6,"yyyymm") &amp; "]",
"[Base].[Metrica]",
"[Base].[Metrica].&amp;[" &amp; $A44 &amp; "]",
"[Base].[SEGMENTO_DESCRIP]",
"[Base].[SEGMENTO_DESCRIP].&amp;[" &amp; $C$6 &amp; "]",
"[Base].[SITUACION]",
"[Base].[SITUACION].&amp;[" &amp; $C44 &amp; "]"
),0)/1000</f>
        <v>-296.81421</v>
      </c>
      <c r="N44" s="8">
        <f>-IFERROR(
GETPIVOTDATA(
"[Base].[Importe]",
TDinamica_R!$A$5,
"[Calendario].[AñoMes]",
"[Calendario].[AñoMes].&amp;[" &amp; TEXT(N$6,"yyyymm") &amp; "]",
"[Base].[Metrica]",
"[Base].[Metrica].&amp;[" &amp; $A44 &amp; "]",
"[Base].[SEGMENTO_DESCRIP]",
"[Base].[SEGMENTO_DESCRIP].&amp;[" &amp; $C$6 &amp; "]",
"[Base].[SITUACION]",
"[Base].[SITUACION].&amp;[" &amp; $C44 &amp; "]"
),0)/1000</f>
        <v>-279.72239000000002</v>
      </c>
      <c r="O44" s="8">
        <f>-IFERROR(
GETPIVOTDATA(
"[Base].[Importe]",
TDinamica_R!$A$5,
"[Calendario].[AñoMes]",
"[Calendario].[AñoMes].&amp;[" &amp; TEXT(O$6,"yyyymm") &amp; "]",
"[Base].[Metrica]",
"[Base].[Metrica].&amp;[" &amp; $A44 &amp; "]",
"[Base].[SEGMENTO_DESCRIP]",
"[Base].[SEGMENTO_DESCRIP].&amp;[" &amp; $C$6 &amp; "]",
"[Base].[SITUACION]",
"[Base].[SITUACION].&amp;[" &amp; $C44 &amp; "]"
),0)/1000</f>
        <v>-279.35621000000003</v>
      </c>
      <c r="P44" s="8">
        <f>-IFERROR(
GETPIVOTDATA(
"[Base].[Importe]",
TDinamica_R!$A$5,
"[Calendario].[AñoMes]",
"[Calendario].[AñoMes].&amp;[" &amp; TEXT(P$6,"yyyymm") &amp; "]",
"[Base].[Metrica]",
"[Base].[Metrica].&amp;[" &amp; $A44 &amp; "]",
"[Base].[SEGMENTO_DESCRIP]",
"[Base].[SEGMENTO_DESCRIP].&amp;[" &amp; $C$6 &amp; "]",
"[Base].[SITUACION]",
"[Base].[SITUACION].&amp;[" &amp; $C44 &amp; "]"
),0)/1000</f>
        <v>-258.82460000000003</v>
      </c>
      <c r="Q44" s="8">
        <f>-IFERROR(
GETPIVOTDATA(
"[Base].[Importe]",
TDinamica_R!$A$5,
"[Calendario].[AñoMes]",
"[Calendario].[AñoMes].&amp;[" &amp; TEXT(Q$6,"yyyymm") &amp; "]",
"[Base].[Metrica]",
"[Base].[Metrica].&amp;[" &amp; $A44 &amp; "]",
"[Base].[SEGMENTO_DESCRIP]",
"[Base].[SEGMENTO_DESCRIP].&amp;[" &amp; $C$6 &amp; "]",
"[Base].[SITUACION]",
"[Base].[SITUACION].&amp;[" &amp; $C44 &amp; "]"
),0)/1000</f>
        <v>-225.42834999999997</v>
      </c>
      <c r="R44" s="8">
        <f>-IFERROR(
GETPIVOTDATA(
"[Base].[Importe]",
TDinamica_R!$A$5,
"[Calendario].[AñoMes]",
"[Calendario].[AñoMes].&amp;[" &amp; TEXT(R$6,"yyyymm") &amp; "]",
"[Base].[Metrica]",
"[Base].[Metrica].&amp;[" &amp; $A44 &amp; "]",
"[Base].[SEGMENTO_DESCRIP]",
"[Base].[SEGMENTO_DESCRIP].&amp;[" &amp; $C$6 &amp; "]",
"[Base].[SITUACION]",
"[Base].[SITUACION].&amp;[" &amp; $C44 &amp; "]"
),0)/1000</f>
        <v>-232.30289999999999</v>
      </c>
      <c r="S44" s="8">
        <f>-IFERROR(
GETPIVOTDATA(
"[Base].[Importe]",
TDinamica_R!$A$5,
"[Calendario].[AñoMes]",
"[Calendario].[AñoMes].&amp;[" &amp; TEXT(S$6,"yyyymm") &amp; "]",
"[Base].[Metrica]",
"[Base].[Metrica].&amp;[" &amp; $A44 &amp; "]",
"[Base].[SEGMENTO_DESCRIP]",
"[Base].[SEGMENTO_DESCRIP].&amp;[" &amp; $C$6 &amp; "]",
"[Base].[SITUACION]",
"[Base].[SITUACION].&amp;[" &amp; $C44 &amp; "]"
),0)/1000</f>
        <v>-214.40102999999999</v>
      </c>
      <c r="T44" s="8">
        <f>-IFERROR(
GETPIVOTDATA(
"[Base].[Importe]",
TDinamica_R!$A$5,
"[Calendario].[AñoMes]",
"[Calendario].[AñoMes].&amp;[" &amp; TEXT(T$6,"yyyymm") &amp; "]",
"[Base].[Metrica]",
"[Base].[Metrica].&amp;[" &amp; $A44 &amp; "]",
"[Base].[SEGMENTO_DESCRIP]",
"[Base].[SEGMENTO_DESCRIP].&amp;[" &amp; $C$6 &amp; "]",
"[Base].[SITUACION]",
"[Base].[SITUACION].&amp;[" &amp; $C44 &amp; "]"
),0)/1000</f>
        <v>-209.65922169999999</v>
      </c>
      <c r="U44" s="8">
        <f>-IFERROR(
GETPIVOTDATA(
"[Base].[Importe]",
TDinamica_R!$A$5,
"[Calendario].[AñoMes]",
"[Calendario].[AñoMes].&amp;[" &amp; TEXT(U$6,"yyyymm") &amp; "]",
"[Base].[Metrica]",
"[Base].[Metrica].&amp;[" &amp; $A44 &amp; "]",
"[Base].[SEGMENTO_DESCRIP]",
"[Base].[SEGMENTO_DESCRIP].&amp;[" &amp; $C$6 &amp; "]",
"[Base].[SITUACION]",
"[Base].[SITUACION].&amp;[" &amp; $C44 &amp; "]"
),0)/1000</f>
        <v>-193.87835440000001</v>
      </c>
      <c r="V44" s="8">
        <f>-IFERROR(
GETPIVOTDATA(
"[Base].[Importe]",
TDinamica_R!$A$5,
"[Calendario].[AñoMes]",
"[Calendario].[AñoMes].&amp;[" &amp; TEXT(V$6,"yyyymm") &amp; "]",
"[Base].[Metrica]",
"[Base].[Metrica].&amp;[" &amp; $A44 &amp; "]",
"[Base].[SEGMENTO_DESCRIP]",
"[Base].[SEGMENTO_DESCRIP].&amp;[" &amp; $C$6 &amp; "]",
"[Base].[SITUACION]",
"[Base].[SITUACION].&amp;[" &amp; $C44 &amp; "]"
),0)/1000</f>
        <v>-191.69442146</v>
      </c>
      <c r="W44" s="8">
        <f>-IFERROR(
GETPIVOTDATA(
"[Base].[Importe]",
TDinamica_R!$A$5,
"[Calendario].[AñoMes]",
"[Calendario].[AñoMes].&amp;[" &amp; TEXT(W$6,"yyyymm") &amp; "]",
"[Base].[Metrica]",
"[Base].[Metrica].&amp;[" &amp; $A44 &amp; "]",
"[Base].[SEGMENTO_DESCRIP]",
"[Base].[SEGMENTO_DESCRIP].&amp;[" &amp; $C$6 &amp; "]",
"[Base].[SITUACION]",
"[Base].[SITUACION].&amp;[" &amp; $C44 &amp; "]"
),0)/1000</f>
        <v>-184.70759882999999</v>
      </c>
      <c r="X44" s="8">
        <f>-IFERROR(
GETPIVOTDATA(
"[Base].[Importe]",
TDinamica_R!$A$5,
"[Calendario].[AñoMes]",
"[Calendario].[AñoMes].&amp;[" &amp; TEXT(X$6,"yyyymm") &amp; "]",
"[Base].[Metrica]",
"[Base].[Metrica].&amp;[" &amp; $A44 &amp; "]",
"[Base].[SEGMENTO_DESCRIP]",
"[Base].[SEGMENTO_DESCRIP].&amp;[" &amp; $C$6 &amp; "]",
"[Base].[SITUACION]",
"[Base].[SITUACION].&amp;[" &amp; $C44 &amp; "]"
),0)/1000</f>
        <v>-175.19811059999998</v>
      </c>
      <c r="Y44" s="8">
        <f>-IFERROR(
GETPIVOTDATA(
"[Base].[Importe]",
TDinamica_R!$A$5,
"[Calendario].[AñoMes]",
"[Calendario].[AñoMes].&amp;[" &amp; TEXT(Y$6,"yyyymm") &amp; "]",
"[Base].[Metrica]",
"[Base].[Metrica].&amp;[" &amp; $A44 &amp; "]",
"[Base].[SEGMENTO_DESCRIP]",
"[Base].[SEGMENTO_DESCRIP].&amp;[" &amp; $C$6 &amp; "]",
"[Base].[SITUACION]",
"[Base].[SITUACION].&amp;[" &amp; $C44 &amp; "]"
),0)/1000</f>
        <v>-175.97089663999998</v>
      </c>
      <c r="Z44" s="8">
        <f>-IFERROR(
GETPIVOTDATA(
"[Base].[Importe]",
TDinamica_R!$A$5,
"[Calendario].[AñoMes]",
"[Calendario].[AñoMes].&amp;[" &amp; TEXT(Z$6,"yyyymm") &amp; "]",
"[Base].[Metrica]",
"[Base].[Metrica].&amp;[" &amp; $A44 &amp; "]",
"[Base].[SEGMENTO_DESCRIP]",
"[Base].[SEGMENTO_DESCRIP].&amp;[" &amp; $C$6 &amp; "]",
"[Base].[SITUACION]",
"[Base].[SITUACION].&amp;[" &amp; $C44 &amp; "]"
),0)/1000</f>
        <v>-163.79670246000001</v>
      </c>
      <c r="AA44" s="8">
        <f>-IFERROR(
GETPIVOTDATA(
"[Base].[Importe]",
TDinamica_R!$A$5,
"[Calendario].[AñoMes]",
"[Calendario].[AñoMes].&amp;[" &amp; TEXT(AA$6,"yyyymm") &amp; "]",
"[Base].[Metrica]",
"[Base].[Metrica].&amp;[" &amp; $A44 &amp; "]",
"[Base].[SEGMENTO_DESCRIP]",
"[Base].[SEGMENTO_DESCRIP].&amp;[" &amp; $C$6 &amp; "]",
"[Base].[SITUACION]",
"[Base].[SITUACION].&amp;[" &amp; $C44 &amp; "]"
),0)/1000</f>
        <v>-160.25922779999999</v>
      </c>
      <c r="AB44" s="8">
        <f>-IFERROR(
GETPIVOTDATA(
"[Base].[Importe]",
TDinamica_R!$A$5,
"[Calendario].[AñoMes]",
"[Calendario].[AñoMes].&amp;[" &amp; TEXT(AB$6,"yyyymm") &amp; "]",
"[Base].[Metrica]",
"[Base].[Metrica].&amp;[" &amp; $A44 &amp; "]",
"[Base].[SEGMENTO_DESCRIP]",
"[Base].[SEGMENTO_DESCRIP].&amp;[" &amp; $C$6 &amp; "]",
"[Base].[SITUACION]",
"[Base].[SITUACION].&amp;[" &amp; $C44 &amp; "]"
),0)/1000</f>
        <v>-152.24812410999999</v>
      </c>
      <c r="AC44" s="8">
        <f>-IFERROR(
GETPIVOTDATA(
"[Base].[Importe]",
TDinamica_R!$A$5,
"[Calendario].[AñoMes]",
"[Calendario].[AñoMes].&amp;[" &amp; TEXT(AC$6,"yyyymm") &amp; "]",
"[Base].[Metrica]",
"[Base].[Metrica].&amp;[" &amp; $A44 &amp; "]",
"[Base].[SEGMENTO_DESCRIP]",
"[Base].[SEGMENTO_DESCRIP].&amp;[" &amp; $C$6 &amp; "]",
"[Base].[SITUACION]",
"[Base].[SITUACION].&amp;[" &amp; $C44 &amp; "]"
),0)/1000</f>
        <v>-131.57187999999999</v>
      </c>
      <c r="AD44" s="8">
        <f>-IFERROR(
GETPIVOTDATA(
"[Base].[Importe]",
TDinamica_R!$A$5,
"[Calendario].[AñoMes]",
"[Calendario].[AñoMes].&amp;[" &amp; TEXT(AD$6,"yyyymm") &amp; "]",
"[Base].[Metrica]",
"[Base].[Metrica].&amp;[" &amp; $A44 &amp; "]",
"[Base].[SEGMENTO_DESCRIP]",
"[Base].[SEGMENTO_DESCRIP].&amp;[" &amp; $C$6 &amp; "]",
"[Base].[SITUACION]",
"[Base].[SITUACION].&amp;[" &amp; $C44 &amp; "]"
),0)/1000</f>
        <v>-139.37440924999999</v>
      </c>
      <c r="AE44" s="8">
        <f>-IFERROR(
GETPIVOTDATA(
"[Base].[Importe]",
TDinamica_R!$A$5,
"[Calendario].[AñoMes]",
"[Calendario].[AñoMes].&amp;[" &amp; TEXT(AE$6,"yyyymm") &amp; "]",
"[Base].[Metrica]",
"[Base].[Metrica].&amp;[" &amp; $A44 &amp; "]",
"[Base].[SEGMENTO_DESCRIP]",
"[Base].[SEGMENTO_DESCRIP].&amp;[" &amp; $C$6 &amp; "]",
"[Base].[SITUACION]",
"[Base].[SITUACION].&amp;[" &amp; $C44 &amp; "]"
),0)/1000</f>
        <v>-131.78565302999999</v>
      </c>
      <c r="AF44" s="8">
        <f>-IFERROR(
GETPIVOTDATA(
"[Base].[Importe]",
TDinamica_R!$A$5,
"[Calendario].[AñoMes]",
"[Calendario].[AñoMes].&amp;[" &amp; TEXT(AF$6,"yyyymm") &amp; "]",
"[Base].[Metrica]",
"[Base].[Metrica].&amp;[" &amp; $A44 &amp; "]",
"[Base].[SEGMENTO_DESCRIP]",
"[Base].[SEGMENTO_DESCRIP].&amp;[" &amp; $C$6 &amp; "]",
"[Base].[SITUACION]",
"[Base].[SITUACION].&amp;[" &amp; $C44 &amp; "]"
),0)/1000</f>
        <v>-132.22242559999998</v>
      </c>
      <c r="AG44" s="8">
        <f>-IFERROR(
GETPIVOTDATA(
"[Base].[Importe]",
TDinamica_R!$A$5,
"[Calendario].[AñoMes]",
"[Calendario].[AñoMes].&amp;[" &amp; TEXT(AG$6,"yyyymm") &amp; "]",
"[Base].[Metrica]",
"[Base].[Metrica].&amp;[" &amp; $A44 &amp; "]",
"[Base].[SEGMENTO_DESCRIP]",
"[Base].[SEGMENTO_DESCRIP].&amp;[" &amp; $C$6 &amp; "]",
"[Base].[SITUACION]",
"[Base].[SITUACION].&amp;[" &amp; $C44 &amp; "]"
),0)/1000</f>
        <v>-124.06034052</v>
      </c>
      <c r="AH44" s="8">
        <f>-IFERROR(
GETPIVOTDATA(
"[Base].[Importe]",
TDinamica_R!$A$5,
"[Calendario].[AñoMes]",
"[Calendario].[AñoMes].&amp;[" &amp; TEXT(AH$6,"yyyymm") &amp; "]",
"[Base].[Metrica]",
"[Base].[Metrica].&amp;[" &amp; $A44 &amp; "]",
"[Base].[SEGMENTO_DESCRIP]",
"[Base].[SEGMENTO_DESCRIP].&amp;[" &amp; $C$6 &amp; "]",
"[Base].[SITUACION]",
"[Base].[SITUACION].&amp;[" &amp; $C44 &amp; "]"
),0)/1000</f>
        <v>-124.90502280000001</v>
      </c>
      <c r="AI44" s="8">
        <f>-IFERROR(
GETPIVOTDATA(
"[Base].[Importe]",
TDinamica_R!$A$5,
"[Calendario].[AñoMes]",
"[Calendario].[AñoMes].&amp;[" &amp; TEXT(AI$6,"yyyymm") &amp; "]",
"[Base].[Metrica]",
"[Base].[Metrica].&amp;[" &amp; $A44 &amp; "]",
"[Base].[SEGMENTO_DESCRIP]",
"[Base].[SEGMENTO_DESCRIP].&amp;[" &amp; $C$6 &amp; "]",
"[Base].[SITUACION]",
"[Base].[SITUACION].&amp;[" &amp; $C44 &amp; "]"
),0)/1000</f>
        <v>-122.49773110000001</v>
      </c>
      <c r="AJ44" s="8">
        <f>-IFERROR(
GETPIVOTDATA(
"[Base].[Importe]",
TDinamica_R!$A$5,
"[Calendario].[AñoMes]",
"[Calendario].[AñoMes].&amp;[" &amp; TEXT(AJ$6,"yyyymm") &amp; "]",
"[Base].[Metrica]",
"[Base].[Metrica].&amp;[" &amp; $A44 &amp; "]",
"[Base].[SEGMENTO_DESCRIP]",
"[Base].[SEGMENTO_DESCRIP].&amp;[" &amp; $C$6 &amp; "]",
"[Base].[SITUACION]",
"[Base].[SITUACION].&amp;[" &amp; $C44 &amp; "]"
),0)/1000</f>
        <v>-116.11826523000001</v>
      </c>
      <c r="AK44" s="8">
        <f>-IFERROR(
GETPIVOTDATA(
"[Base].[Importe]",
TDinamica_R!$A$5,
"[Calendario].[AñoMes]",
"[Calendario].[AñoMes].&amp;[" &amp; TEXT(AK$6,"yyyymm") &amp; "]",
"[Base].[Metrica]",
"[Base].[Metrica].&amp;[" &amp; $A44 &amp; "]",
"[Base].[SEGMENTO_DESCRIP]",
"[Base].[SEGMENTO_DESCRIP].&amp;[" &amp; $C$6 &amp; "]",
"[Base].[SITUACION]",
"[Base].[SITUACION].&amp;[" &amp; $C44 &amp; "]"
),0)/1000</f>
        <v>-117.33533088000001</v>
      </c>
      <c r="AL44" s="8">
        <f>-IFERROR(
GETPIVOTDATA(
"[Base].[Importe]",
TDinamica_R!$A$5,
"[Calendario].[AñoMes]",
"[Calendario].[AñoMes].&amp;[" &amp; TEXT(AL$6,"yyyymm") &amp; "]",
"[Base].[Metrica]",
"[Base].[Metrica].&amp;[" &amp; $A44 &amp; "]",
"[Base].[SEGMENTO_DESCRIP]",
"[Base].[SEGMENTO_DESCRIP].&amp;[" &amp; $C$6 &amp; "]",
"[Base].[SITUACION]",
"[Base].[SITUACION].&amp;[" &amp; $C44 &amp; "]"
),0)/1000</f>
        <v>-112.30566</v>
      </c>
      <c r="AM44" s="8">
        <f>-IFERROR(
GETPIVOTDATA(
"[Base].[Importe]",
TDinamica_R!$A$5,
"[Calendario].[AñoMes]",
"[Calendario].[AñoMes].&amp;[" &amp; TEXT(AM$6,"yyyymm") &amp; "]",
"[Base].[Metrica]",
"[Base].[Metrica].&amp;[" &amp; $A44 &amp; "]",
"[Base].[SEGMENTO_DESCRIP]",
"[Base].[SEGMENTO_DESCRIP].&amp;[" &amp; $C$6 &amp; "]",
"[Base].[SITUACION]",
"[Base].[SITUACION].&amp;[" &amp; $C44 &amp; "]"
),0)/1000</f>
        <v>-118.56030896000001</v>
      </c>
      <c r="AN44" s="8">
        <f>-IFERROR(
GETPIVOTDATA(
"[Base].[Importe]",
TDinamica_R!$A$5,
"[Calendario].[AñoMes]",
"[Calendario].[AñoMes].&amp;[" &amp; TEXT(AN$6,"yyyymm") &amp; "]",
"[Base].[Metrica]",
"[Base].[Metrica].&amp;[" &amp; $A44 &amp; "]",
"[Base].[SEGMENTO_DESCRIP]",
"[Base].[SEGMENTO_DESCRIP].&amp;[" &amp; $C$6 &amp; "]",
"[Base].[SITUACION]",
"[Base].[SITUACION].&amp;[" &amp; $C44 &amp; "]"
),0)/1000</f>
        <v>-124.43937633000002</v>
      </c>
      <c r="AO44" s="8">
        <f>-IFERROR(
GETPIVOTDATA(
"[Base].[Importe]",
TDinamica_R!$A$5,
"[Calendario].[AñoMes]",
"[Calendario].[AñoMes].&amp;[" &amp; TEXT(AO$6,"yyyymm") &amp; "]",
"[Base].[Metrica]",
"[Base].[Metrica].&amp;[" &amp; $A44 &amp; "]",
"[Base].[SEGMENTO_DESCRIP]",
"[Base].[SEGMENTO_DESCRIP].&amp;[" &amp; $C$6 &amp; "]",
"[Base].[SITUACION]",
"[Base].[SITUACION].&amp;[" &amp; $C44 &amp; "]"
),0)/1000</f>
        <v>-123.04852602000001</v>
      </c>
      <c r="AP44" s="8">
        <f>-IFERROR(
GETPIVOTDATA(
"[Base].[Importe]",
TDinamica_R!$A$5,
"[Calendario].[AñoMes]",
"[Calendario].[AñoMes].&amp;[" &amp; TEXT(AP$6,"yyyymm") &amp; "]",
"[Base].[Metrica]",
"[Base].[Metrica].&amp;[" &amp; $A44 &amp; "]",
"[Base].[SEGMENTO_DESCRIP]",
"[Base].[SEGMENTO_DESCRIP].&amp;[" &amp; $C$6 &amp; "]",
"[Base].[SITUACION]",
"[Base].[SITUACION].&amp;[" &amp; $C44 &amp; "]"
),0)/1000</f>
        <v>-147.33668700000001</v>
      </c>
      <c r="AQ44" s="8">
        <f>-IFERROR(
GETPIVOTDATA(
"[Base].[Importe]",
TDinamica_R!$A$5,
"[Calendario].[AñoMes]",
"[Calendario].[AñoMes].&amp;[" &amp; TEXT(AQ$6,"yyyymm") &amp; "]",
"[Base].[Metrica]",
"[Base].[Metrica].&amp;[" &amp; $A44 &amp; "]",
"[Base].[SEGMENTO_DESCRIP]",
"[Base].[SEGMENTO_DESCRIP].&amp;[" &amp; $C$6 &amp; "]",
"[Base].[SITUACION]",
"[Base].[SITUACION].&amp;[" &amp; $C44 &amp; "]"
),0)/1000</f>
        <v>-154.42111399999999</v>
      </c>
      <c r="AR44" s="8">
        <f>-IFERROR(
GETPIVOTDATA(
"[Base].[Importe]",
TDinamica_R!$A$5,
"[Calendario].[AñoMes]",
"[Calendario].[AñoMes].&amp;[" &amp; TEXT(AR$6,"yyyymm") &amp; "]",
"[Base].[Metrica]",
"[Base].[Metrica].&amp;[" &amp; $A44 &amp; "]",
"[Base].[SEGMENTO_DESCRIP]",
"[Base].[SEGMENTO_DESCRIP].&amp;[" &amp; $C$6 &amp; "]",
"[Base].[SITUACION]",
"[Base].[SITUACION].&amp;[" &amp; $C44 &amp; "]"
),0)/1000</f>
        <v>-175.81619121000003</v>
      </c>
      <c r="AS44" s="8">
        <f>-IFERROR(
GETPIVOTDATA(
"[Base].[Importe]",
TDinamica_R!$A$5,
"[Calendario].[AñoMes]",
"[Calendario].[AñoMes].&amp;[" &amp; TEXT(AS$6,"yyyymm") &amp; "]",
"[Base].[Metrica]",
"[Base].[Metrica].&amp;[" &amp; $A44 &amp; "]",
"[Base].[SEGMENTO_DESCRIP]",
"[Base].[SEGMENTO_DESCRIP].&amp;[" &amp; $C$6 &amp; "]",
"[Base].[SITUACION]",
"[Base].[SITUACION].&amp;[" &amp; $C44 &amp; "]"
),0)/1000</f>
        <v>-184.09126494999998</v>
      </c>
      <c r="AT44" s="8">
        <f>-IFERROR(
GETPIVOTDATA(
"[Base].[Importe]",
TDinamica_R!$A$5,
"[Calendario].[AñoMes]",
"[Calendario].[AñoMes].&amp;[" &amp; TEXT(AT$6,"yyyymm")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U44" s="8">
        <f>-IFERROR(
GETPIVOTDATA(
"[Base].[Importe]",
TDinamica_R!$A$5,
"[Calendario].[AñoMes]",
"[Calendario].[AñoMes].&amp;[" &amp; TEXT(AU$6,"yyyymm")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V44" s="8">
        <f>-IFERROR(
GETPIVOTDATA(
"[Base].[Importe]",
TDinamica_R!$A$5,
"[Calendario].[AñoMes]",
"[Calendario].[AñoMes].&amp;[" &amp; TEXT(AV$6,"yyyymm")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W44" s="8">
        <f>-IFERROR(
GETPIVOTDATA(
"[Base].[Importe]",
TDinamica_R!$A$5,
"[Calendario].[AñoMes]",
"[Calendario].[AñoMes].&amp;[" &amp; TEXT(AW$6,"yyyymm")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X44" s="8">
        <f>-IFERROR(
GETPIVOTDATA(
"[Base].[Importe]",
TDinamica_R!$A$5,
"[Calendario].[AñoMes]",
"[Calendario].[AñoMes].&amp;[" &amp; TEXT(AX$6,"yyyymm")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Y44" s="8">
        <f>-IFERROR(
GETPIVOTDATA(
"[Base].[Importe]",
TDinamica_R!$A$5,
"[Calendario].[AñoMes]",
"[Calendario].[AñoMes].&amp;[" &amp; TEXT(AY$6,"yyyymm")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Z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TEXT(AZ$6,"yyyymm") &amp; "]"
),
0
)</f>
        <v>-106.16056881482733</v>
      </c>
      <c r="BA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TEXT(BA$6,"yyyymm") &amp; "]"
),
0
)</f>
        <v>-93.13669086205897</v>
      </c>
      <c r="BB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TEXT(BB$6,"yyyymm") &amp; "]"
),
0
)</f>
        <v>-100.11943526090056</v>
      </c>
      <c r="BC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TEXT(BC$6,"yyyymm") &amp; "]"
),
0
)</f>
        <v>-94.503904674310263</v>
      </c>
      <c r="BD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TEXT(BD$6,"yyyymm") &amp; "]"
),
0
)</f>
        <v>-95.685922322432759</v>
      </c>
      <c r="BE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TEXT(BE$6,"yyyymm") &amp; "]"
),
0
)</f>
        <v>-90.586981604808315</v>
      </c>
      <c r="BF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TEXT(BF$6,"yyyymm") &amp; "]"
),
0
)</f>
        <v>-91.495589305135127</v>
      </c>
      <c r="BG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TEXT(BG$6,"yyyymm") &amp; "]"
),
0
)</f>
        <v>-89.983319751402476</v>
      </c>
      <c r="BH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TEXT(BH$6,"yyyymm") &amp; "]"
),
0
)</f>
        <v>-85.548046669492606</v>
      </c>
      <c r="BI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TEXT(BI$6,"yyyymm") &amp; "]"
),
0
)</f>
        <v>-87.254198643996943</v>
      </c>
      <c r="BJ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TEXT(BJ$6,"yyyymm") &amp; "]"
),
0
)</f>
        <v>-83.754339365706471</v>
      </c>
      <c r="BK44" s="8">
        <f>IFERROR(
GETPIVOTDATA(
"[Base_PPE].[Importe]",
TDinamica_P!$A$4,
"[Base_PPE].[Metrica]",
"[Base_PPE].[Metrica].&amp;[" &amp; TRIM($A44) &amp; "]",
"[Base_PPE].[SITUACION]",
"[Base_PPE].[SITUACION].&amp;[" &amp; TRIM($C44) &amp; "]",
"[Base_PPE].[SEGMENTO_DESCRIP]",
"[Base_PPE].[SEGMENTO_DESCRIP].&amp;[" &amp; TRIM($C$6) &amp; "]",
"[Base_PPE].[Periodo]",
"[Base_PPE].[Periodo].&amp;[" &amp; TEXT(BK$6,"yyyymm") &amp; "]"
),
0
)</f>
        <v>-85.713642792988466</v>
      </c>
      <c r="BO44" s="24">
        <f t="shared" ref="BO44:BT46" si="45">SUMIFS($D44:$BM44,$D$6:$BM$6,"&gt;="&amp;BO$2,$D$6:$BM$6,"&lt;="&amp;BO$6,$D$5:$BM$5,BO$5)</f>
        <v>-394.82458935</v>
      </c>
      <c r="BP44" s="24">
        <f t="shared" si="45"/>
        <v>-299.41669493778687</v>
      </c>
      <c r="BQ44" s="24">
        <f t="shared" si="45"/>
        <v>-247.48790235000001</v>
      </c>
      <c r="BR44" s="24">
        <f t="shared" si="45"/>
        <v>-423.19441336</v>
      </c>
      <c r="BS44" s="24">
        <f t="shared" si="45"/>
        <v>-716.55584999999996</v>
      </c>
      <c r="BT44" s="24">
        <f t="shared" si="45"/>
        <v>-811.47535748000007</v>
      </c>
    </row>
    <row r="45" spans="1:72" hidden="1" outlineLevel="1" x14ac:dyDescent="0.25">
      <c r="A45" s="11" t="s">
        <v>50</v>
      </c>
      <c r="C45" s="2" t="s">
        <v>1</v>
      </c>
      <c r="D45" s="8">
        <f>-IFERROR(
GETPIVOTDATA(
"[Base].[Importe]",
TDinamica_R!$A$5,
"[Calendario].[AñoMes]",
"[Calendario].[AñoMes].&amp;[" &amp; TEXT(D$6,"yyyymm") &amp; "]",
"[Base].[Metrica]",
"[Base].[Metrica].&amp;[" &amp; $A45 &amp; "]",
"[Base].[SEGMENTO_DESCRIP]",
"[Base].[SEGMENTO_DESCRIP].&amp;[" &amp; $C$6 &amp; "]",
"[Base].[SITUACION]",
"[Base].[SITUACION].&amp;[" &amp; $C45 &amp; "]"
),0)/1000</f>
        <v>-2.0258099999999999</v>
      </c>
      <c r="E45" s="8">
        <f>-IFERROR(
GETPIVOTDATA(
"[Base].[Importe]",
TDinamica_R!$A$5,
"[Calendario].[AñoMes]",
"[Calendario].[AñoMes].&amp;[" &amp; TEXT(E$6,"yyyymm") &amp; "]",
"[Base].[Metrica]",
"[Base].[Metrica].&amp;[" &amp; $A45 &amp; "]",
"[Base].[SEGMENTO_DESCRIP]",
"[Base].[SEGMENTO_DESCRIP].&amp;[" &amp; $C$6 &amp; "]",
"[Base].[SITUACION]",
"[Base].[SITUACION].&amp;[" &amp; $C45 &amp; "]"
),0)/1000</f>
        <v>-2.1805400000000001</v>
      </c>
      <c r="F45" s="8">
        <f>-IFERROR(
GETPIVOTDATA(
"[Base].[Importe]",
TDinamica_R!$A$5,
"[Calendario].[AñoMes]",
"[Calendario].[AñoMes].&amp;[" &amp; TEXT(F$6,"yyyymm") &amp; "]",
"[Base].[Metrica]",
"[Base].[Metrica].&amp;[" &amp; $A45 &amp; "]",
"[Base].[SEGMENTO_DESCRIP]",
"[Base].[SEGMENTO_DESCRIP].&amp;[" &amp; $C$6 &amp; "]",
"[Base].[SITUACION]",
"[Base].[SITUACION].&amp;[" &amp; $C45 &amp; "]"
),0)/1000</f>
        <v>-2.60162</v>
      </c>
      <c r="G45" s="8">
        <f>-IFERROR(
GETPIVOTDATA(
"[Base].[Importe]",
TDinamica_R!$A$5,
"[Calendario].[AñoMes]",
"[Calendario].[AñoMes].&amp;[" &amp; TEXT(G$6,"yyyymm") &amp; "]",
"[Base].[Metrica]",
"[Base].[Metrica].&amp;[" &amp; $A45 &amp; "]",
"[Base].[SEGMENTO_DESCRIP]",
"[Base].[SEGMENTO_DESCRIP].&amp;[" &amp; $C$6 &amp; "]",
"[Base].[SITUACION]",
"[Base].[SITUACION].&amp;[" &amp; $C45 &amp; "]"
),0)/1000</f>
        <v>-2.9496500000000001</v>
      </c>
      <c r="H45" s="8">
        <f>-IFERROR(
GETPIVOTDATA(
"[Base].[Importe]",
TDinamica_R!$A$5,
"[Calendario].[AñoMes]",
"[Calendario].[AñoMes].&amp;[" &amp; TEXT(H$6,"yyyymm") &amp; "]",
"[Base].[Metrica]",
"[Base].[Metrica].&amp;[" &amp; $A45 &amp; "]",
"[Base].[SEGMENTO_DESCRIP]",
"[Base].[SEGMENTO_DESCRIP].&amp;[" &amp; $C$6 &amp; "]",
"[Base].[SITUACION]",
"[Base].[SITUACION].&amp;[" &amp; $C45 &amp; "]"
),0)/1000</f>
        <v>-3.165</v>
      </c>
      <c r="I45" s="8">
        <f>-IFERROR(
GETPIVOTDATA(
"[Base].[Importe]",
TDinamica_R!$A$5,
"[Calendario].[AñoMes]",
"[Calendario].[AñoMes].&amp;[" &amp; TEXT(I$6,"yyyymm") &amp; "]",
"[Base].[Metrica]",
"[Base].[Metrica].&amp;[" &amp; $A45 &amp; "]",
"[Base].[SEGMENTO_DESCRIP]",
"[Base].[SEGMENTO_DESCRIP].&amp;[" &amp; $C$6 &amp; "]",
"[Base].[SITUACION]",
"[Base].[SITUACION].&amp;[" &amp; $C45 &amp; "]"
),0)/1000</f>
        <v>-2.7221599999999997</v>
      </c>
      <c r="J45" s="8">
        <f>-IFERROR(
GETPIVOTDATA(
"[Base].[Importe]",
TDinamica_R!$A$5,
"[Calendario].[AñoMes]",
"[Calendario].[AñoMes].&amp;[" &amp; TEXT(J$6,"yyyymm") &amp; "]",
"[Base].[Metrica]",
"[Base].[Metrica].&amp;[" &amp; $A45 &amp; "]",
"[Base].[SEGMENTO_DESCRIP]",
"[Base].[SEGMENTO_DESCRIP].&amp;[" &amp; $C$6 &amp; "]",
"[Base].[SITUACION]",
"[Base].[SITUACION].&amp;[" &amp; $C45 &amp; "]"
),0)/1000</f>
        <v>-2.6756700000000002</v>
      </c>
      <c r="K45" s="8">
        <f>-IFERROR(
GETPIVOTDATA(
"[Base].[Importe]",
TDinamica_R!$A$5,
"[Calendario].[AñoMes]",
"[Calendario].[AñoMes].&amp;[" &amp; TEXT(K$6,"yyyymm") &amp; "]",
"[Base].[Metrica]",
"[Base].[Metrica].&amp;[" &amp; $A45 &amp; "]",
"[Base].[SEGMENTO_DESCRIP]",
"[Base].[SEGMENTO_DESCRIP].&amp;[" &amp; $C$6 &amp; "]",
"[Base].[SITUACION]",
"[Base].[SITUACION].&amp;[" &amp; $C45 &amp; "]"
),0)/1000</f>
        <v>-2.4086799999999999</v>
      </c>
      <c r="L45" s="8">
        <f>-IFERROR(
GETPIVOTDATA(
"[Base].[Importe]",
TDinamica_R!$A$5,
"[Calendario].[AñoMes]",
"[Calendario].[AñoMes].&amp;[" &amp; TEXT(L$6,"yyyymm") &amp; "]",
"[Base].[Metrica]",
"[Base].[Metrica].&amp;[" &amp; $A45 &amp; "]",
"[Base].[SEGMENTO_DESCRIP]",
"[Base].[SEGMENTO_DESCRIP].&amp;[" &amp; $C$6 &amp; "]",
"[Base].[SITUACION]",
"[Base].[SITUACION].&amp;[" &amp; $C45 &amp; "]"
),0)/1000</f>
        <v>-2.0918200000000002</v>
      </c>
      <c r="M45" s="8">
        <f>-IFERROR(
GETPIVOTDATA(
"[Base].[Importe]",
TDinamica_R!$A$5,
"[Calendario].[AñoMes]",
"[Calendario].[AñoMes].&amp;[" &amp; TEXT(M$6,"yyyymm") &amp; "]",
"[Base].[Metrica]",
"[Base].[Metrica].&amp;[" &amp; $A45 &amp; "]",
"[Base].[SEGMENTO_DESCRIP]",
"[Base].[SEGMENTO_DESCRIP].&amp;[" &amp; $C$6 &amp; "]",
"[Base].[SITUACION]",
"[Base].[SITUACION].&amp;[" &amp; $C45 &amp; "]"
),0)/1000</f>
        <v>-1.8978499999999998</v>
      </c>
      <c r="N45" s="8">
        <f>-IFERROR(
GETPIVOTDATA(
"[Base].[Importe]",
TDinamica_R!$A$5,
"[Calendario].[AñoMes]",
"[Calendario].[AñoMes].&amp;[" &amp; TEXT(N$6,"yyyymm") &amp; "]",
"[Base].[Metrica]",
"[Base].[Metrica].&amp;[" &amp; $A45 &amp; "]",
"[Base].[SEGMENTO_DESCRIP]",
"[Base].[SEGMENTO_DESCRIP].&amp;[" &amp; $C$6 &amp; "]",
"[Base].[SITUACION]",
"[Base].[SITUACION].&amp;[" &amp; $C45 &amp; "]"
),0)/1000</f>
        <v>-1.48089</v>
      </c>
      <c r="O45" s="8">
        <f>-IFERROR(
GETPIVOTDATA(
"[Base].[Importe]",
TDinamica_R!$A$5,
"[Calendario].[AñoMes]",
"[Calendario].[AñoMes].&amp;[" &amp; TEXT(O$6,"yyyymm") &amp; "]",
"[Base].[Metrica]",
"[Base].[Metrica].&amp;[" &amp; $A45 &amp; "]",
"[Base].[SEGMENTO_DESCRIP]",
"[Base].[SEGMENTO_DESCRIP].&amp;[" &amp; $C$6 &amp; "]",
"[Base].[SITUACION]",
"[Base].[SITUACION].&amp;[" &amp; $C45 &amp; "]"
),0)/1000</f>
        <v>-1.2745299999999999</v>
      </c>
      <c r="P45" s="8">
        <f>-IFERROR(
GETPIVOTDATA(
"[Base].[Importe]",
TDinamica_R!$A$5,
"[Calendario].[AñoMes]",
"[Calendario].[AñoMes].&amp;[" &amp; TEXT(P$6,"yyyymm") &amp; "]",
"[Base].[Metrica]",
"[Base].[Metrica].&amp;[" &amp; $A45 &amp; "]",
"[Base].[SEGMENTO_DESCRIP]",
"[Base].[SEGMENTO_DESCRIP].&amp;[" &amp; $C$6 &amp; "]",
"[Base].[SITUACION]",
"[Base].[SITUACION].&amp;[" &amp; $C45 &amp; "]"
),0)/1000</f>
        <v>-1.10734</v>
      </c>
      <c r="Q45" s="8">
        <f>-IFERROR(
GETPIVOTDATA(
"[Base].[Importe]",
TDinamica_R!$A$5,
"[Calendario].[AñoMes]",
"[Calendario].[AñoMes].&amp;[" &amp; TEXT(Q$6,"yyyymm") &amp; "]",
"[Base].[Metrica]",
"[Base].[Metrica].&amp;[" &amp; $A45 &amp; "]",
"[Base].[SEGMENTO_DESCRIP]",
"[Base].[SEGMENTO_DESCRIP].&amp;[" &amp; $C$6 &amp; "]",
"[Base].[SITUACION]",
"[Base].[SITUACION].&amp;[" &amp; $C45 &amp; "]"
),0)/1000</f>
        <v>-0.88078000000000001</v>
      </c>
      <c r="R45" s="8">
        <f>-IFERROR(
GETPIVOTDATA(
"[Base].[Importe]",
TDinamica_R!$A$5,
"[Calendario].[AñoMes]",
"[Calendario].[AñoMes].&amp;[" &amp; TEXT(R$6,"yyyymm") &amp; "]",
"[Base].[Metrica]",
"[Base].[Metrica].&amp;[" &amp; $A45 &amp; "]",
"[Base].[SEGMENTO_DESCRIP]",
"[Base].[SEGMENTO_DESCRIP].&amp;[" &amp; $C$6 &amp; "]",
"[Base].[SITUACION]",
"[Base].[SITUACION].&amp;[" &amp; $C45 &amp; "]"
),0)/1000</f>
        <v>-0.85547000000000006</v>
      </c>
      <c r="S45" s="8">
        <f>-IFERROR(
GETPIVOTDATA(
"[Base].[Importe]",
TDinamica_R!$A$5,
"[Calendario].[AñoMes]",
"[Calendario].[AñoMes].&amp;[" &amp; TEXT(S$6,"yyyymm") &amp; "]",
"[Base].[Metrica]",
"[Base].[Metrica].&amp;[" &amp; $A45 &amp; "]",
"[Base].[SEGMENTO_DESCRIP]",
"[Base].[SEGMENTO_DESCRIP].&amp;[" &amp; $C$6 &amp; "]",
"[Base].[SITUACION]",
"[Base].[SITUACION].&amp;[" &amp; $C45 &amp; "]"
),0)/1000</f>
        <v>-1.1636900000000001</v>
      </c>
      <c r="T45" s="8">
        <f>-IFERROR(
GETPIVOTDATA(
"[Base].[Importe]",
TDinamica_R!$A$5,
"[Calendario].[AñoMes]",
"[Calendario].[AñoMes].&amp;[" &amp; TEXT(T$6,"yyyymm") &amp; "]",
"[Base].[Metrica]",
"[Base].[Metrica].&amp;[" &amp; $A45 &amp; "]",
"[Base].[SEGMENTO_DESCRIP]",
"[Base].[SEGMENTO_DESCRIP].&amp;[" &amp; $C$6 &amp; "]",
"[Base].[SITUACION]",
"[Base].[SITUACION].&amp;[" &amp; $C45 &amp; "]"
),0)/1000</f>
        <v>-2.27339</v>
      </c>
      <c r="U45" s="8">
        <f>-IFERROR(
GETPIVOTDATA(
"[Base].[Importe]",
TDinamica_R!$A$5,
"[Calendario].[AñoMes]",
"[Calendario].[AñoMes].&amp;[" &amp; TEXT(U$6,"yyyymm") &amp; "]",
"[Base].[Metrica]",
"[Base].[Metrica].&amp;[" &amp; $A45 &amp; "]",
"[Base].[SEGMENTO_DESCRIP]",
"[Base].[SEGMENTO_DESCRIP].&amp;[" &amp; $C$6 &amp; "]",
"[Base].[SITUACION]",
"[Base].[SITUACION].&amp;[" &amp; $C45 &amp; "]"
),0)/1000</f>
        <v>-3.4719000000000002</v>
      </c>
      <c r="V45" s="8">
        <f>-IFERROR(
GETPIVOTDATA(
"[Base].[Importe]",
TDinamica_R!$A$5,
"[Calendario].[AñoMes]",
"[Calendario].[AñoMes].&amp;[" &amp; TEXT(V$6,"yyyymm") &amp; "]",
"[Base].[Metrica]",
"[Base].[Metrica].&amp;[" &amp; $A45 &amp; "]",
"[Base].[SEGMENTO_DESCRIP]",
"[Base].[SEGMENTO_DESCRIP].&amp;[" &amp; $C$6 &amp; "]",
"[Base].[SITUACION]",
"[Base].[SITUACION].&amp;[" &amp; $C45 &amp; "]"
),0)/1000</f>
        <v>-4.0994899999999994</v>
      </c>
      <c r="W45" s="8">
        <f>-IFERROR(
GETPIVOTDATA(
"[Base].[Importe]",
TDinamica_R!$A$5,
"[Calendario].[AñoMes]",
"[Calendario].[AñoMes].&amp;[" &amp; TEXT(W$6,"yyyymm") &amp; "]",
"[Base].[Metrica]",
"[Base].[Metrica].&amp;[" &amp; $A45 &amp; "]",
"[Base].[SEGMENTO_DESCRIP]",
"[Base].[SEGMENTO_DESCRIP].&amp;[" &amp; $C$6 &amp; "]",
"[Base].[SITUACION]",
"[Base].[SITUACION].&amp;[" &amp; $C45 &amp; "]"
),0)/1000</f>
        <v>-3.6878500000000001</v>
      </c>
      <c r="X45" s="8">
        <f>-IFERROR(
GETPIVOTDATA(
"[Base].[Importe]",
TDinamica_R!$A$5,
"[Calendario].[AñoMes]",
"[Calendario].[AñoMes].&amp;[" &amp; TEXT(X$6,"yyyymm") &amp; "]",
"[Base].[Metrica]",
"[Base].[Metrica].&amp;[" &amp; $A45 &amp; "]",
"[Base].[SEGMENTO_DESCRIP]",
"[Base].[SEGMENTO_DESCRIP].&amp;[" &amp; $C$6 &amp; "]",
"[Base].[SITUACION]",
"[Base].[SITUACION].&amp;[" &amp; $C45 &amp; "]"
),0)/1000</f>
        <v>-3.85059</v>
      </c>
      <c r="Y45" s="8">
        <f>-IFERROR(
GETPIVOTDATA(
"[Base].[Importe]",
TDinamica_R!$A$5,
"[Calendario].[AñoMes]",
"[Calendario].[AñoMes].&amp;[" &amp; TEXT(Y$6,"yyyymm") &amp; "]",
"[Base].[Metrica]",
"[Base].[Metrica].&amp;[" &amp; $A45 &amp; "]",
"[Base].[SEGMENTO_DESCRIP]",
"[Base].[SEGMENTO_DESCRIP].&amp;[" &amp; $C$6 &amp; "]",
"[Base].[SITUACION]",
"[Base].[SITUACION].&amp;[" &amp; $C45 &amp; "]"
),0)/1000</f>
        <v>-3.6561699999999999</v>
      </c>
      <c r="Z45" s="8">
        <f>-IFERROR(
GETPIVOTDATA(
"[Base].[Importe]",
TDinamica_R!$A$5,
"[Calendario].[AñoMes]",
"[Calendario].[AñoMes].&amp;[" &amp; TEXT(Z$6,"yyyymm") &amp; "]",
"[Base].[Metrica]",
"[Base].[Metrica].&amp;[" &amp; $A45 &amp; "]",
"[Base].[SEGMENTO_DESCRIP]",
"[Base].[SEGMENTO_DESCRIP].&amp;[" &amp; $C$6 &amp; "]",
"[Base].[SITUACION]",
"[Base].[SITUACION].&amp;[" &amp; $C45 &amp; "]"
),0)/1000</f>
        <v>-3.62039</v>
      </c>
      <c r="AA45" s="8">
        <f>-IFERROR(
GETPIVOTDATA(
"[Base].[Importe]",
TDinamica_R!$A$5,
"[Calendario].[AñoMes]",
"[Calendario].[AñoMes].&amp;[" &amp; TEXT(AA$6,"yyyymm") &amp; "]",
"[Base].[Metrica]",
"[Base].[Metrica].&amp;[" &amp; $A45 &amp; "]",
"[Base].[SEGMENTO_DESCRIP]",
"[Base].[SEGMENTO_DESCRIP].&amp;[" &amp; $C$6 &amp; "]",
"[Base].[SITUACION]",
"[Base].[SITUACION].&amp;[" &amp; $C45 &amp; "]"
),0)/1000</f>
        <v>-4.0568900000000001</v>
      </c>
      <c r="AB45" s="8">
        <f>-IFERROR(
GETPIVOTDATA(
"[Base].[Importe]",
TDinamica_R!$A$5,
"[Calendario].[AñoMes]",
"[Calendario].[AñoMes].&amp;[" &amp; TEXT(AB$6,"yyyymm") &amp; "]",
"[Base].[Metrica]",
"[Base].[Metrica].&amp;[" &amp; $A45 &amp; "]",
"[Base].[SEGMENTO_DESCRIP]",
"[Base].[SEGMENTO_DESCRIP].&amp;[" &amp; $C$6 &amp; "]",
"[Base].[SITUACION]",
"[Base].[SITUACION].&amp;[" &amp; $C45 &amp; "]"
),0)/1000</f>
        <v>-4.2708999999999993</v>
      </c>
      <c r="AC45" s="8">
        <f>-IFERROR(
GETPIVOTDATA(
"[Base].[Importe]",
TDinamica_R!$A$5,
"[Calendario].[AñoMes]",
"[Calendario].[AñoMes].&amp;[" &amp; TEXT(AC$6,"yyyymm") &amp; "]",
"[Base].[Metrica]",
"[Base].[Metrica].&amp;[" &amp; $A45 &amp; "]",
"[Base].[SEGMENTO_DESCRIP]",
"[Base].[SEGMENTO_DESCRIP].&amp;[" &amp; $C$6 &amp; "]",
"[Base].[SITUACION]",
"[Base].[SITUACION].&amp;[" &amp; $C45 &amp; "]"
),0)/1000</f>
        <v>-3.8469199999999999</v>
      </c>
      <c r="AD45" s="8">
        <f>-IFERROR(
GETPIVOTDATA(
"[Base].[Importe]",
TDinamica_R!$A$5,
"[Calendario].[AñoMes]",
"[Calendario].[AñoMes].&amp;[" &amp; TEXT(AD$6,"yyyymm") &amp; "]",
"[Base].[Metrica]",
"[Base].[Metrica].&amp;[" &amp; $A45 &amp; "]",
"[Base].[SEGMENTO_DESCRIP]",
"[Base].[SEGMENTO_DESCRIP].&amp;[" &amp; $C$6 &amp; "]",
"[Base].[SITUACION]",
"[Base].[SITUACION].&amp;[" &amp; $C45 &amp; "]"
),0)/1000</f>
        <v>-4.1504500000000002</v>
      </c>
      <c r="AE45" s="8">
        <f>-IFERROR(
GETPIVOTDATA(
"[Base].[Importe]",
TDinamica_R!$A$5,
"[Calendario].[AñoMes]",
"[Calendario].[AñoMes].&amp;[" &amp; TEXT(AE$6,"yyyymm") &amp; "]",
"[Base].[Metrica]",
"[Base].[Metrica].&amp;[" &amp; $A45 &amp; "]",
"[Base].[SEGMENTO_DESCRIP]",
"[Base].[SEGMENTO_DESCRIP].&amp;[" &amp; $C$6 &amp; "]",
"[Base].[SITUACION]",
"[Base].[SITUACION].&amp;[" &amp; $C45 &amp; "]"
),0)/1000</f>
        <v>-3.88158</v>
      </c>
      <c r="AF45" s="8">
        <f>-IFERROR(
GETPIVOTDATA(
"[Base].[Importe]",
TDinamica_R!$A$5,
"[Calendario].[AñoMes]",
"[Calendario].[AñoMes].&amp;[" &amp; TEXT(AF$6,"yyyymm") &amp; "]",
"[Base].[Metrica]",
"[Base].[Metrica].&amp;[" &amp; $A45 &amp; "]",
"[Base].[SEGMENTO_DESCRIP]",
"[Base].[SEGMENTO_DESCRIP].&amp;[" &amp; $C$6 &amp; "]",
"[Base].[SITUACION]",
"[Base].[SITUACION].&amp;[" &amp; $C45 &amp; "]"
),0)/1000</f>
        <v>-3.8041199999999997</v>
      </c>
      <c r="AG45" s="8">
        <f>-IFERROR(
GETPIVOTDATA(
"[Base].[Importe]",
TDinamica_R!$A$5,
"[Calendario].[AñoMes]",
"[Calendario].[AñoMes].&amp;[" &amp; TEXT(AG$6,"yyyymm") &amp; "]",
"[Base].[Metrica]",
"[Base].[Metrica].&amp;[" &amp; $A45 &amp; "]",
"[Base].[SEGMENTO_DESCRIP]",
"[Base].[SEGMENTO_DESCRIP].&amp;[" &amp; $C$6 &amp; "]",
"[Base].[SITUACION]",
"[Base].[SITUACION].&amp;[" &amp; $C45 &amp; "]"
),0)/1000</f>
        <v>-3.3466199999999997</v>
      </c>
      <c r="AH45" s="8">
        <f>-IFERROR(
GETPIVOTDATA(
"[Base].[Importe]",
TDinamica_R!$A$5,
"[Calendario].[AñoMes]",
"[Calendario].[AñoMes].&amp;[" &amp; TEXT(AH$6,"yyyymm") &amp; "]",
"[Base].[Metrica]",
"[Base].[Metrica].&amp;[" &amp; $A45 &amp; "]",
"[Base].[SEGMENTO_DESCRIP]",
"[Base].[SEGMENTO_DESCRIP].&amp;[" &amp; $C$6 &amp; "]",
"[Base].[SITUACION]",
"[Base].[SITUACION].&amp;[" &amp; $C45 &amp; "]"
),0)/1000</f>
        <v>-3.2392699999999999</v>
      </c>
      <c r="AI45" s="8">
        <f>-IFERROR(
GETPIVOTDATA(
"[Base].[Importe]",
TDinamica_R!$A$5,
"[Calendario].[AñoMes]",
"[Calendario].[AñoMes].&amp;[" &amp; TEXT(AI$6,"yyyymm") &amp; "]",
"[Base].[Metrica]",
"[Base].[Metrica].&amp;[" &amp; $A45 &amp; "]",
"[Base].[SEGMENTO_DESCRIP]",
"[Base].[SEGMENTO_DESCRIP].&amp;[" &amp; $C$6 &amp; "]",
"[Base].[SITUACION]",
"[Base].[SITUACION].&amp;[" &amp; $C45 &amp; "]"
),0)/1000</f>
        <v>-2.9215900000000001</v>
      </c>
      <c r="AJ45" s="8">
        <f>-IFERROR(
GETPIVOTDATA(
"[Base].[Importe]",
TDinamica_R!$A$5,
"[Calendario].[AñoMes]",
"[Calendario].[AñoMes].&amp;[" &amp; TEXT(AJ$6,"yyyymm") &amp; "]",
"[Base].[Metrica]",
"[Base].[Metrica].&amp;[" &amp; $A45 &amp; "]",
"[Base].[SEGMENTO_DESCRIP]",
"[Base].[SEGMENTO_DESCRIP].&amp;[" &amp; $C$6 &amp; "]",
"[Base].[SITUACION]",
"[Base].[SITUACION].&amp;[" &amp; $C45 &amp; "]"
),0)/1000</f>
        <v>-2.8160599999999998</v>
      </c>
      <c r="AK45" s="8">
        <f>-IFERROR(
GETPIVOTDATA(
"[Base].[Importe]",
TDinamica_R!$A$5,
"[Calendario].[AñoMes]",
"[Calendario].[AñoMes].&amp;[" &amp; TEXT(AK$6,"yyyymm") &amp; "]",
"[Base].[Metrica]",
"[Base].[Metrica].&amp;[" &amp; $A45 &amp; "]",
"[Base].[SEGMENTO_DESCRIP]",
"[Base].[SEGMENTO_DESCRIP].&amp;[" &amp; $C$6 &amp; "]",
"[Base].[SITUACION]",
"[Base].[SITUACION].&amp;[" &amp; $C45 &amp; "]"
),0)/1000</f>
        <v>-2.9183600000000003</v>
      </c>
      <c r="AL45" s="8">
        <f>-IFERROR(
GETPIVOTDATA(
"[Base].[Importe]",
TDinamica_R!$A$5,
"[Calendario].[AñoMes]",
"[Calendario].[AñoMes].&amp;[" &amp; TEXT(AL$6,"yyyymm") &amp; "]",
"[Base].[Metrica]",
"[Base].[Metrica].&amp;[" &amp; $A45 &amp; "]",
"[Base].[SEGMENTO_DESCRIP]",
"[Base].[SEGMENTO_DESCRIP].&amp;[" &amp; $C$6 &amp; "]",
"[Base].[SITUACION]",
"[Base].[SITUACION].&amp;[" &amp; $C45 &amp; "]"
),0)/1000</f>
        <v>-2.5651999999999999</v>
      </c>
      <c r="AM45" s="8">
        <f>-IFERROR(
GETPIVOTDATA(
"[Base].[Importe]",
TDinamica_R!$A$5,
"[Calendario].[AñoMes]",
"[Calendario].[AñoMes].&amp;[" &amp; TEXT(AM$6,"yyyymm") &amp; "]",
"[Base].[Metrica]",
"[Base].[Metrica].&amp;[" &amp; $A45 &amp; "]",
"[Base].[SEGMENTO_DESCRIP]",
"[Base].[SEGMENTO_DESCRIP].&amp;[" &amp; $C$6 &amp; "]",
"[Base].[SITUACION]",
"[Base].[SITUACION].&amp;[" &amp; $C45 &amp; "]"
),0)/1000</f>
        <v>-2.5076499999999999</v>
      </c>
      <c r="AN45" s="8">
        <f>-IFERROR(
GETPIVOTDATA(
"[Base].[Importe]",
TDinamica_R!$A$5,
"[Calendario].[AñoMes]",
"[Calendario].[AñoMes].&amp;[" &amp; TEXT(AN$6,"yyyymm") &amp; "]",
"[Base].[Metrica]",
"[Base].[Metrica].&amp;[" &amp; $A45 &amp; "]",
"[Base].[SEGMENTO_DESCRIP]",
"[Base].[SEGMENTO_DESCRIP].&amp;[" &amp; $C$6 &amp; "]",
"[Base].[SITUACION]",
"[Base].[SITUACION].&amp;[" &amp; $C45 &amp; "]"
),0)/1000</f>
        <v>-2.3346799999999996</v>
      </c>
      <c r="AO45" s="8">
        <f>-IFERROR(
GETPIVOTDATA(
"[Base].[Importe]",
TDinamica_R!$A$5,
"[Calendario].[AñoMes]",
"[Calendario].[AñoMes].&amp;[" &amp; TEXT(AO$6,"yyyymm") &amp; "]",
"[Base].[Metrica]",
"[Base].[Metrica].&amp;[" &amp; $A45 &amp; "]",
"[Base].[SEGMENTO_DESCRIP]",
"[Base].[SEGMENTO_DESCRIP].&amp;[" &amp; $C$6 &amp; "]",
"[Base].[SITUACION]",
"[Base].[SITUACION].&amp;[" &amp; $C45 &amp; "]"
),0)/1000</f>
        <v>-1.9592100000000001</v>
      </c>
      <c r="AP45" s="8">
        <f>-IFERROR(
GETPIVOTDATA(
"[Base].[Importe]",
TDinamica_R!$A$5,
"[Calendario].[AñoMes]",
"[Calendario].[AñoMes].&amp;[" &amp; TEXT(AP$6,"yyyymm") &amp; "]",
"[Base].[Metrica]",
"[Base].[Metrica].&amp;[" &amp; $A45 &amp; "]",
"[Base].[SEGMENTO_DESCRIP]",
"[Base].[SEGMENTO_DESCRIP].&amp;[" &amp; $C$6 &amp; "]",
"[Base].[SITUACION]",
"[Base].[SITUACION].&amp;[" &amp; $C45 &amp; "]"
),0)/1000</f>
        <v>-2.1113000000000004</v>
      </c>
      <c r="AQ45" s="8">
        <f>-IFERROR(
GETPIVOTDATA(
"[Base].[Importe]",
TDinamica_R!$A$5,
"[Calendario].[AñoMes]",
"[Calendario].[AñoMes].&amp;[" &amp; TEXT(AQ$6,"yyyymm") &amp; "]",
"[Base].[Metrica]",
"[Base].[Metrica].&amp;[" &amp; $A45 &amp; "]",
"[Base].[SEGMENTO_DESCRIP]",
"[Base].[SEGMENTO_DESCRIP].&amp;[" &amp; $C$6 &amp; "]",
"[Base].[SITUACION]",
"[Base].[SITUACION].&amp;[" &amp; $C45 &amp; "]"
),0)/1000</f>
        <v>-1.7991199999999998</v>
      </c>
      <c r="AR45" s="8">
        <f>-IFERROR(
GETPIVOTDATA(
"[Base].[Importe]",
TDinamica_R!$A$5,
"[Calendario].[AñoMes]",
"[Calendario].[AñoMes].&amp;[" &amp; TEXT(AR$6,"yyyymm") &amp; "]",
"[Base].[Metrica]",
"[Base].[Metrica].&amp;[" &amp; $A45 &amp; "]",
"[Base].[SEGMENTO_DESCRIP]",
"[Base].[SEGMENTO_DESCRIP].&amp;[" &amp; $C$6 &amp; "]",
"[Base].[SITUACION]",
"[Base].[SITUACION].&amp;[" &amp; $C45 &amp; "]"
),0)/1000</f>
        <v>-1.6609500000000001</v>
      </c>
      <c r="AS45" s="8">
        <f>-IFERROR(
GETPIVOTDATA(
"[Base].[Importe]",
TDinamica_R!$A$5,
"[Calendario].[AñoMes]",
"[Calendario].[AñoMes].&amp;[" &amp; TEXT(AS$6,"yyyymm") &amp; "]",
"[Base].[Metrica]",
"[Base].[Metrica].&amp;[" &amp; $A45 &amp; "]",
"[Base].[SEGMENTO_DESCRIP]",
"[Base].[SEGMENTO_DESCRIP].&amp;[" &amp; $C$6 &amp; "]",
"[Base].[SITUACION]",
"[Base].[SITUACION].&amp;[" &amp; $C45 &amp; "]"
),0)/1000</f>
        <v>-1.6796800000000001</v>
      </c>
      <c r="AT45" s="8">
        <f>-IFERROR(
GETPIVOTDATA(
"[Base].[Importe]",
TDinamica_R!$A$5,
"[Calendario].[AñoMes]",
"[Calendario].[AñoMes].&amp;[" &amp; TEXT(AT$6,"yyyymm")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U45" s="8">
        <f>-IFERROR(
GETPIVOTDATA(
"[Base].[Importe]",
TDinamica_R!$A$5,
"[Calendario].[AñoMes]",
"[Calendario].[AñoMes].&amp;[" &amp; TEXT(AU$6,"yyyymm")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V45" s="8">
        <f>-IFERROR(
GETPIVOTDATA(
"[Base].[Importe]",
TDinamica_R!$A$5,
"[Calendario].[AñoMes]",
"[Calendario].[AñoMes].&amp;[" &amp; TEXT(AV$6,"yyyymm")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W45" s="8">
        <f>-IFERROR(
GETPIVOTDATA(
"[Base].[Importe]",
TDinamica_R!$A$5,
"[Calendario].[AñoMes]",
"[Calendario].[AñoMes].&amp;[" &amp; TEXT(AW$6,"yyyymm")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X45" s="8">
        <f>-IFERROR(
GETPIVOTDATA(
"[Base].[Importe]",
TDinamica_R!$A$5,
"[Calendario].[AñoMes]",
"[Calendario].[AñoMes].&amp;[" &amp; TEXT(AX$6,"yyyymm")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Y45" s="8">
        <f>-IFERROR(
GETPIVOTDATA(
"[Base].[Importe]",
TDinamica_R!$A$5,
"[Calendario].[AñoMes]",
"[Calendario].[AñoMes].&amp;[" &amp; TEXT(AY$6,"yyyymm")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Z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TEXT(AZ$6,"yyyymm") &amp; "]"
),
0
)</f>
        <v>-0.67879780932732292</v>
      </c>
      <c r="BA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TEXT(BA$6,"yyyymm") &amp; "]"
),
0
)</f>
        <v>-0.59552225869697606</v>
      </c>
      <c r="BB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TEXT(BB$6,"yyyymm") &amp; "]"
),
0
)</f>
        <v>-0.64017039551408295</v>
      </c>
      <c r="BC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TEXT(BC$6,"yyyymm") &amp; "]"
),
0
)</f>
        <v>-0.604264315667837</v>
      </c>
      <c r="BD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TEXT(BD$6,"yyyymm") &amp; "]"
),
0
)</f>
        <v>-0.61182221592298069</v>
      </c>
      <c r="BE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TEXT(BE$6,"yyyymm") &amp; "]"
),
0
)</f>
        <v>-0.57921924640564015</v>
      </c>
      <c r="BF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TEXT(BF$6,"yyyymm") &amp; "]"
),
0
)</f>
        <v>-0.58502894508571768</v>
      </c>
      <c r="BG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TEXT(BG$6,"yyyymm") &amp; "]"
),
0
)</f>
        <v>-0.57535939195835395</v>
      </c>
      <c r="BH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TEXT(BH$6,"yyyymm") &amp; "]"
),
0
)</f>
        <v>-0.5469999578918292</v>
      </c>
      <c r="BI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TEXT(BI$6,"yyyymm") &amp; "]"
),
0
)</f>
        <v>-0.55790920824346513</v>
      </c>
      <c r="BJ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TEXT(BJ$6,"yyyymm") &amp; "]"
),
0
)</f>
        <v>-0.53553087288242041</v>
      </c>
      <c r="BK45" s="8">
        <f>IFERROR(
GETPIVOTDATA(
"[Base_PPE].[Importe]",
TDinamica_P!$A$4,
"[Base_PPE].[Metrica]",
"[Base_PPE].[Metrica].&amp;[" &amp; TRIM($A45) &amp; "]",
"[Base_PPE].[SITUACION]",
"[Base_PPE].[SITUACION].&amp;[" &amp; TRIM($C45) &amp; "]",
"[Base_PPE].[SEGMENTO_DESCRIP]",
"[Base_PPE].[SEGMENTO_DESCRIP].&amp;[" &amp; TRIM($C$6) &amp; "]",
"[Base_PPE].[Periodo]",
"[Base_PPE].[Periodo].&amp;[" &amp; TEXT(BK$6,"yyyymm") &amp; "]"
),
0
)</f>
        <v>-0.54805879063092422</v>
      </c>
      <c r="BO45" s="24">
        <f t="shared" si="45"/>
        <v>-6.4051899999999993</v>
      </c>
      <c r="BP45" s="24">
        <f t="shared" si="45"/>
        <v>-1.9144904635383819</v>
      </c>
      <c r="BQ45" s="24">
        <f t="shared" si="45"/>
        <v>-4.2938899999999993</v>
      </c>
      <c r="BR45" s="24">
        <f t="shared" si="45"/>
        <v>-12.268269999999998</v>
      </c>
      <c r="BS45" s="24">
        <f t="shared" si="45"/>
        <v>-2.8435899999999998</v>
      </c>
      <c r="BT45" s="24">
        <f t="shared" si="45"/>
        <v>-6.807970000000001</v>
      </c>
    </row>
    <row r="46" spans="1:72" hidden="1" outlineLevel="1" x14ac:dyDescent="0.25">
      <c r="A46" s="11" t="s">
        <v>50</v>
      </c>
      <c r="C46" s="2" t="s">
        <v>45</v>
      </c>
      <c r="D46" s="8">
        <f>-IFERROR(
GETPIVOTDATA(
"[Base].[Importe]",
TDinamica_R!$A$5,
"[Calendario].[AñoMes]",
"[Calendario].[AñoMes].&amp;[" &amp; TEXT(D$6,"yyyymm") &amp; "]",
"[Base].[Metrica]",
"[Base].[Metrica].&amp;[" &amp; $A46 &amp; "]",
"[Base].[SEGMENTO_DESCRIP]",
"[Base].[SEGMENTO_DESCRIP].&amp;[" &amp; $C$6 &amp; "]",
"[Base].[SITUACION]",
"[Base].[SITUACION].&amp;[" &amp; $C46 &amp; "]"
),0)/1000</f>
        <v>-13.76031476</v>
      </c>
      <c r="E46" s="8">
        <f>-IFERROR(
GETPIVOTDATA(
"[Base].[Importe]",
TDinamica_R!$A$5,
"[Calendario].[AñoMes]",
"[Calendario].[AñoMes].&amp;[" &amp; TEXT(E$6,"yyyymm") &amp; "]",
"[Base].[Metrica]",
"[Base].[Metrica].&amp;[" &amp; $A46 &amp; "]",
"[Base].[SEGMENTO_DESCRIP]",
"[Base].[SEGMENTO_DESCRIP].&amp;[" &amp; $C$6 &amp; "]",
"[Base].[SITUACION]",
"[Base].[SITUACION].&amp;[" &amp; $C46 &amp; "]"
),0)/1000</f>
        <v>-12.375078910000001</v>
      </c>
      <c r="F46" s="8">
        <f>-IFERROR(
GETPIVOTDATA(
"[Base].[Importe]",
TDinamica_R!$A$5,
"[Calendario].[AñoMes]",
"[Calendario].[AñoMes].&amp;[" &amp; TEXT(F$6,"yyyymm") &amp; "]",
"[Base].[Metrica]",
"[Base].[Metrica].&amp;[" &amp; $A46 &amp; "]",
"[Base].[SEGMENTO_DESCRIP]",
"[Base].[SEGMENTO_DESCRIP].&amp;[" &amp; $C$6 &amp; "]",
"[Base].[SITUACION]",
"[Base].[SITUACION].&amp;[" &amp; $C46 &amp; "]"
),0)/1000</f>
        <v>-11.170173599999998</v>
      </c>
      <c r="G46" s="8">
        <f>-IFERROR(
GETPIVOTDATA(
"[Base].[Importe]",
TDinamica_R!$A$5,
"[Calendario].[AñoMes]",
"[Calendario].[AñoMes].&amp;[" &amp; TEXT(G$6,"yyyymm") &amp; "]",
"[Base].[Metrica]",
"[Base].[Metrica].&amp;[" &amp; $A46 &amp; "]",
"[Base].[SEGMENTO_DESCRIP]",
"[Base].[SEGMENTO_DESCRIP].&amp;[" &amp; $C$6 &amp; "]",
"[Base].[SITUACION]",
"[Base].[SITUACION].&amp;[" &amp; $C46 &amp; "]"
),0)/1000</f>
        <v>-11.772415000000001</v>
      </c>
      <c r="H46" s="8">
        <f>-IFERROR(
GETPIVOTDATA(
"[Base].[Importe]",
TDinamica_R!$A$5,
"[Calendario].[AñoMes]",
"[Calendario].[AñoMes].&amp;[" &amp; TEXT(H$6,"yyyymm") &amp; "]",
"[Base].[Metrica]",
"[Base].[Metrica].&amp;[" &amp; $A46 &amp; "]",
"[Base].[SEGMENTO_DESCRIP]",
"[Base].[SEGMENTO_DESCRIP].&amp;[" &amp; $C$6 &amp; "]",
"[Base].[SITUACION]",
"[Base].[SITUACION].&amp;[" &amp; $C46 &amp; "]"
),0)/1000</f>
        <v>-10.616852000000002</v>
      </c>
      <c r="I46" s="8">
        <f>-IFERROR(
GETPIVOTDATA(
"[Base].[Importe]",
TDinamica_R!$A$5,
"[Calendario].[AñoMes]",
"[Calendario].[AñoMes].&amp;[" &amp; TEXT(I$6,"yyyymm") &amp; "]",
"[Base].[Metrica]",
"[Base].[Metrica].&amp;[" &amp; $A46 &amp; "]",
"[Base].[SEGMENTO_DESCRIP]",
"[Base].[SEGMENTO_DESCRIP].&amp;[" &amp; $C$6 &amp; "]",
"[Base].[SITUACION]",
"[Base].[SITUACION].&amp;[" &amp; $C46 &amp; "]"
),0)/1000</f>
        <v>-13.105030500000002</v>
      </c>
      <c r="J46" s="8">
        <f>-IFERROR(
GETPIVOTDATA(
"[Base].[Importe]",
TDinamica_R!$A$5,
"[Calendario].[AñoMes]",
"[Calendario].[AñoMes].&amp;[" &amp; TEXT(J$6,"yyyymm") &amp; "]",
"[Base].[Metrica]",
"[Base].[Metrica].&amp;[" &amp; $A46 &amp; "]",
"[Base].[SEGMENTO_DESCRIP]",
"[Base].[SEGMENTO_DESCRIP].&amp;[" &amp; $C$6 &amp; "]",
"[Base].[SITUACION]",
"[Base].[SITUACION].&amp;[" &amp; $C46 &amp; "]"
),0)/1000</f>
        <v>-11.97548609</v>
      </c>
      <c r="K46" s="8">
        <f>-IFERROR(
GETPIVOTDATA(
"[Base].[Importe]",
TDinamica_R!$A$5,
"[Calendario].[AñoMes]",
"[Calendario].[AñoMes].&amp;[" &amp; TEXT(K$6,"yyyymm") &amp; "]",
"[Base].[Metrica]",
"[Base].[Metrica].&amp;[" &amp; $A46 &amp; "]",
"[Base].[SEGMENTO_DESCRIP]",
"[Base].[SEGMENTO_DESCRIP].&amp;[" &amp; $C$6 &amp; "]",
"[Base].[SITUACION]",
"[Base].[SITUACION].&amp;[" &amp; $C46 &amp; "]"
),0)/1000</f>
        <v>-22.388707120000007</v>
      </c>
      <c r="L46" s="8">
        <f>-IFERROR(
GETPIVOTDATA(
"[Base].[Importe]",
TDinamica_R!$A$5,
"[Calendario].[AñoMes]",
"[Calendario].[AñoMes].&amp;[" &amp; TEXT(L$6,"yyyymm") &amp; "]",
"[Base].[Metrica]",
"[Base].[Metrica].&amp;[" &amp; $A46 &amp; "]",
"[Base].[SEGMENTO_DESCRIP]",
"[Base].[SEGMENTO_DESCRIP].&amp;[" &amp; $C$6 &amp; "]",
"[Base].[SITUACION]",
"[Base].[SITUACION].&amp;[" &amp; $C46 &amp; "]"
),0)/1000</f>
        <v>-21.889269920000004</v>
      </c>
      <c r="M46" s="8">
        <f>-IFERROR(
GETPIVOTDATA(
"[Base].[Importe]",
TDinamica_R!$A$5,
"[Calendario].[AñoMes]",
"[Calendario].[AñoMes].&amp;[" &amp; TEXT(M$6,"yyyymm") &amp; "]",
"[Base].[Metrica]",
"[Base].[Metrica].&amp;[" &amp; $A46 &amp; "]",
"[Base].[SEGMENTO_DESCRIP]",
"[Base].[SEGMENTO_DESCRIP].&amp;[" &amp; $C$6 &amp; "]",
"[Base].[SITUACION]",
"[Base].[SITUACION].&amp;[" &amp; $C46 &amp; "]"
),0)/1000</f>
        <v>-23.031041800000004</v>
      </c>
      <c r="N46" s="8">
        <f>-IFERROR(
GETPIVOTDATA(
"[Base].[Importe]",
TDinamica_R!$A$5,
"[Calendario].[AñoMes]",
"[Calendario].[AñoMes].&amp;[" &amp; TEXT(N$6,"yyyymm") &amp; "]",
"[Base].[Metrica]",
"[Base].[Metrica].&amp;[" &amp; $A46 &amp; "]",
"[Base].[SEGMENTO_DESCRIP]",
"[Base].[SEGMENTO_DESCRIP].&amp;[" &amp; $C$6 &amp; "]",
"[Base].[SITUACION]",
"[Base].[SITUACION].&amp;[" &amp; $C46 &amp; "]"
),0)/1000</f>
        <v>-19.731429379999998</v>
      </c>
      <c r="O46" s="8">
        <f>-IFERROR(
GETPIVOTDATA(
"[Base].[Importe]",
TDinamica_R!$A$5,
"[Calendario].[AñoMes]",
"[Calendario].[AñoMes].&amp;[" &amp; TEXT(O$6,"yyyymm") &amp; "]",
"[Base].[Metrica]",
"[Base].[Metrica].&amp;[" &amp; $A46 &amp; "]",
"[Base].[SEGMENTO_DESCRIP]",
"[Base].[SEGMENTO_DESCRIP].&amp;[" &amp; $C$6 &amp; "]",
"[Base].[SITUACION]",
"[Base].[SITUACION].&amp;[" &amp; $C46 &amp; "]"
),0)/1000</f>
        <v>-19.770231639999999</v>
      </c>
      <c r="P46" s="8">
        <f>-IFERROR(
GETPIVOTDATA(
"[Base].[Importe]",
TDinamica_R!$A$5,
"[Calendario].[AñoMes]",
"[Calendario].[AñoMes].&amp;[" &amp; TEXT(P$6,"yyyymm") &amp; "]",
"[Base].[Metrica]",
"[Base].[Metrica].&amp;[" &amp; $A46 &amp; "]",
"[Base].[SEGMENTO_DESCRIP]",
"[Base].[SEGMENTO_DESCRIP].&amp;[" &amp; $C$6 &amp; "]",
"[Base].[SITUACION]",
"[Base].[SITUACION].&amp;[" &amp; $C46 &amp; "]"
),0)/1000</f>
        <v>-27.965663840000001</v>
      </c>
      <c r="Q46" s="8">
        <f>-IFERROR(
GETPIVOTDATA(
"[Base].[Importe]",
TDinamica_R!$A$5,
"[Calendario].[AñoMes]",
"[Calendario].[AñoMes].&amp;[" &amp; TEXT(Q$6,"yyyymm") &amp; "]",
"[Base].[Metrica]",
"[Base].[Metrica].&amp;[" &amp; $A46 &amp; "]",
"[Base].[SEGMENTO_DESCRIP]",
"[Base].[SEGMENTO_DESCRIP].&amp;[" &amp; $C$6 &amp; "]",
"[Base].[SITUACION]",
"[Base].[SITUACION].&amp;[" &amp; $C46 &amp; "]"
),0)/1000</f>
        <v>-28.014789480000001</v>
      </c>
      <c r="R46" s="8">
        <f>-IFERROR(
GETPIVOTDATA(
"[Base].[Importe]",
TDinamica_R!$A$5,
"[Calendario].[AñoMes]",
"[Calendario].[AñoMes].&amp;[" &amp; TEXT(R$6,"yyyymm") &amp; "]",
"[Base].[Metrica]",
"[Base].[Metrica].&amp;[" &amp; $A46 &amp; "]",
"[Base].[SEGMENTO_DESCRIP]",
"[Base].[SEGMENTO_DESCRIP].&amp;[" &amp; $C$6 &amp; "]",
"[Base].[SITUACION]",
"[Base].[SITUACION].&amp;[" &amp; $C46 &amp; "]"
),0)/1000</f>
        <v>-25.58137284</v>
      </c>
      <c r="S46" s="8">
        <f>-IFERROR(
GETPIVOTDATA(
"[Base].[Importe]",
TDinamica_R!$A$5,
"[Calendario].[AñoMes]",
"[Calendario].[AñoMes].&amp;[" &amp; TEXT(S$6,"yyyymm") &amp; "]",
"[Base].[Metrica]",
"[Base].[Metrica].&amp;[" &amp; $A46 &amp; "]",
"[Base].[SEGMENTO_DESCRIP]",
"[Base].[SEGMENTO_DESCRIP].&amp;[" &amp; $C$6 &amp; "]",
"[Base].[SITUACION]",
"[Base].[SITUACION].&amp;[" &amp; $C46 &amp; "]"
),0)/1000</f>
        <v>-27.161856159999999</v>
      </c>
      <c r="T46" s="8">
        <f>-IFERROR(
GETPIVOTDATA(
"[Base].[Importe]",
TDinamica_R!$A$5,
"[Calendario].[AñoMes]",
"[Calendario].[AñoMes].&amp;[" &amp; TEXT(T$6,"yyyymm") &amp; "]",
"[Base].[Metrica]",
"[Base].[Metrica].&amp;[" &amp; $A46 &amp; "]",
"[Base].[SEGMENTO_DESCRIP]",
"[Base].[SEGMENTO_DESCRIP].&amp;[" &amp; $C$6 &amp; "]",
"[Base].[SITUACION]",
"[Base].[SITUACION].&amp;[" &amp; $C46 &amp; "]"
),0)/1000</f>
        <v>-25.045871200000001</v>
      </c>
      <c r="U46" s="8">
        <f>-IFERROR(
GETPIVOTDATA(
"[Base].[Importe]",
TDinamica_R!$A$5,
"[Calendario].[AñoMes]",
"[Calendario].[AñoMes].&amp;[" &amp; TEXT(U$6,"yyyymm") &amp; "]",
"[Base].[Metrica]",
"[Base].[Metrica].&amp;[" &amp; $A46 &amp; "]",
"[Base].[SEGMENTO_DESCRIP]",
"[Base].[SEGMENTO_DESCRIP].&amp;[" &amp; $C$6 &amp; "]",
"[Base].[SITUACION]",
"[Base].[SITUACION].&amp;[" &amp; $C46 &amp; "]"
),0)/1000</f>
        <v>-21.350505830000003</v>
      </c>
      <c r="V46" s="8">
        <f>-IFERROR(
GETPIVOTDATA(
"[Base].[Importe]",
TDinamica_R!$A$5,
"[Calendario].[AñoMes]",
"[Calendario].[AñoMes].&amp;[" &amp; TEXT(V$6,"yyyymm") &amp; "]",
"[Base].[Metrica]",
"[Base].[Metrica].&amp;[" &amp; $A46 &amp; "]",
"[Base].[SEGMENTO_DESCRIP]",
"[Base].[SEGMENTO_DESCRIP].&amp;[" &amp; $C$6 &amp; "]",
"[Base].[SITUACION]",
"[Base].[SITUACION].&amp;[" &amp; $C46 &amp; "]"
),0)/1000</f>
        <v>-16.796095280000003</v>
      </c>
      <c r="W46" s="8">
        <f>-IFERROR(
GETPIVOTDATA(
"[Base].[Importe]",
TDinamica_R!$A$5,
"[Calendario].[AñoMes]",
"[Calendario].[AñoMes].&amp;[" &amp; TEXT(W$6,"yyyymm") &amp; "]",
"[Base].[Metrica]",
"[Base].[Metrica].&amp;[" &amp; $A46 &amp; "]",
"[Base].[SEGMENTO_DESCRIP]",
"[Base].[SEGMENTO_DESCRIP].&amp;[" &amp; $C$6 &amp; "]",
"[Base].[SITUACION]",
"[Base].[SITUACION].&amp;[" &amp; $C46 &amp; "]"
),0)/1000</f>
        <v>-12.631166040000002</v>
      </c>
      <c r="X46" s="8">
        <f>-IFERROR(
GETPIVOTDATA(
"[Base].[Importe]",
TDinamica_R!$A$5,
"[Calendario].[AñoMes]",
"[Calendario].[AñoMes].&amp;[" &amp; TEXT(X$6,"yyyymm") &amp; "]",
"[Base].[Metrica]",
"[Base].[Metrica].&amp;[" &amp; $A46 &amp; "]",
"[Base].[SEGMENTO_DESCRIP]",
"[Base].[SEGMENTO_DESCRIP].&amp;[" &amp; $C$6 &amp; "]",
"[Base].[SITUACION]",
"[Base].[SITUACION].&amp;[" &amp; $C46 &amp; "]"
),0)/1000</f>
        <v>-11.280718520000001</v>
      </c>
      <c r="Y46" s="8">
        <f>-IFERROR(
GETPIVOTDATA(
"[Base].[Importe]",
TDinamica_R!$A$5,
"[Calendario].[AñoMes]",
"[Calendario].[AñoMes].&amp;[" &amp; TEXT(Y$6,"yyyymm") &amp; "]",
"[Base].[Metrica]",
"[Base].[Metrica].&amp;[" &amp; $A46 &amp; "]",
"[Base].[SEGMENTO_DESCRIP]",
"[Base].[SEGMENTO_DESCRIP].&amp;[" &amp; $C$6 &amp; "]",
"[Base].[SITUACION]",
"[Base].[SITUACION].&amp;[" &amp; $C46 &amp; "]"
),0)/1000</f>
        <v>-8.9173433599999985</v>
      </c>
      <c r="Z46" s="8">
        <f>-IFERROR(
GETPIVOTDATA(
"[Base].[Importe]",
TDinamica_R!$A$5,
"[Calendario].[AñoMes]",
"[Calendario].[AñoMes].&amp;[" &amp; TEXT(Z$6,"yyyymm") &amp; "]",
"[Base].[Metrica]",
"[Base].[Metrica].&amp;[" &amp; $A46 &amp; "]",
"[Base].[SEGMENTO_DESCRIP]",
"[Base].[SEGMENTO_DESCRIP].&amp;[" &amp; $C$6 &amp; "]",
"[Base].[SITUACION]",
"[Base].[SITUACION].&amp;[" &amp; $C46 &amp; "]"
),0)/1000</f>
        <v>-7.18907454</v>
      </c>
      <c r="AA46" s="8">
        <f>-IFERROR(
GETPIVOTDATA(
"[Base].[Importe]",
TDinamica_R!$A$5,
"[Calendario].[AñoMes]",
"[Calendario].[AñoMes].&amp;[" &amp; TEXT(AA$6,"yyyymm") &amp; "]",
"[Base].[Metrica]",
"[Base].[Metrica].&amp;[" &amp; $A46 &amp; "]",
"[Base].[SEGMENTO_DESCRIP]",
"[Base].[SEGMENTO_DESCRIP].&amp;[" &amp; $C$6 &amp; "]",
"[Base].[SITUACION]",
"[Base].[SITUACION].&amp;[" &amp; $C46 &amp; "]"
),0)/1000</f>
        <v>-7.1571814500000004</v>
      </c>
      <c r="AB46" s="8">
        <f>-IFERROR(
GETPIVOTDATA(
"[Base].[Importe]",
TDinamica_R!$A$5,
"[Calendario].[AñoMes]",
"[Calendario].[AñoMes].&amp;[" &amp; TEXT(AB$6,"yyyymm") &amp; "]",
"[Base].[Metrica]",
"[Base].[Metrica].&amp;[" &amp; $A46 &amp; "]",
"[Base].[SEGMENTO_DESCRIP]",
"[Base].[SEGMENTO_DESCRIP].&amp;[" &amp; $C$6 &amp; "]",
"[Base].[SITUACION]",
"[Base].[SITUACION].&amp;[" &amp; $C46 &amp; "]"
),0)/1000</f>
        <v>-8.8968600000000002</v>
      </c>
      <c r="AC46" s="8">
        <f>-IFERROR(
GETPIVOTDATA(
"[Base].[Importe]",
TDinamica_R!$A$5,
"[Calendario].[AñoMes]",
"[Calendario].[AñoMes].&amp;[" &amp; TEXT(AC$6,"yyyymm") &amp; "]",
"[Base].[Metrica]",
"[Base].[Metrica].&amp;[" &amp; $A46 &amp; "]",
"[Base].[SEGMENTO_DESCRIP]",
"[Base].[SEGMENTO_DESCRIP].&amp;[" &amp; $C$6 &amp; "]",
"[Base].[SITUACION]",
"[Base].[SITUACION].&amp;[" &amp; $C46 &amp; "]"
),0)/1000</f>
        <v>-9.4047100000000015</v>
      </c>
      <c r="AD46" s="8">
        <f>-IFERROR(
GETPIVOTDATA(
"[Base].[Importe]",
TDinamica_R!$A$5,
"[Calendario].[AñoMes]",
"[Calendario].[AñoMes].&amp;[" &amp; TEXT(AD$6,"yyyymm") &amp; "]",
"[Base].[Metrica]",
"[Base].[Metrica].&amp;[" &amp; $A46 &amp; "]",
"[Base].[SEGMENTO_DESCRIP]",
"[Base].[SEGMENTO_DESCRIP].&amp;[" &amp; $C$6 &amp; "]",
"[Base].[SITUACION]",
"[Base].[SITUACION].&amp;[" &amp; $C46 &amp; "]"
),0)/1000</f>
        <v>-9.5493400000000008</v>
      </c>
      <c r="AE46" s="8">
        <f>-IFERROR(
GETPIVOTDATA(
"[Base].[Importe]",
TDinamica_R!$A$5,
"[Calendario].[AñoMes]",
"[Calendario].[AñoMes].&amp;[" &amp; TEXT(AE$6,"yyyymm") &amp; "]",
"[Base].[Metrica]",
"[Base].[Metrica].&amp;[" &amp; $A46 &amp; "]",
"[Base].[SEGMENTO_DESCRIP]",
"[Base].[SEGMENTO_DESCRIP].&amp;[" &amp; $C$6 &amp; "]",
"[Base].[SITUACION]",
"[Base].[SITUACION].&amp;[" &amp; $C46 &amp; "]"
),0)/1000</f>
        <v>-9.772120000000001</v>
      </c>
      <c r="AF46" s="8">
        <f>-IFERROR(
GETPIVOTDATA(
"[Base].[Importe]",
TDinamica_R!$A$5,
"[Calendario].[AñoMes]",
"[Calendario].[AñoMes].&amp;[" &amp; TEXT(AF$6,"yyyymm") &amp; "]",
"[Base].[Metrica]",
"[Base].[Metrica].&amp;[" &amp; $A46 &amp; "]",
"[Base].[SEGMENTO_DESCRIP]",
"[Base].[SEGMENTO_DESCRIP].&amp;[" &amp; $C$6 &amp; "]",
"[Base].[SITUACION]",
"[Base].[SITUACION].&amp;[" &amp; $C46 &amp; "]"
),0)/1000</f>
        <v>-10.404720000000001</v>
      </c>
      <c r="AG46" s="8">
        <f>-IFERROR(
GETPIVOTDATA(
"[Base].[Importe]",
TDinamica_R!$A$5,
"[Calendario].[AñoMes]",
"[Calendario].[AñoMes].&amp;[" &amp; TEXT(AG$6,"yyyymm") &amp; "]",
"[Base].[Metrica]",
"[Base].[Metrica].&amp;[" &amp; $A46 &amp; "]",
"[Base].[SEGMENTO_DESCRIP]",
"[Base].[SEGMENTO_DESCRIP].&amp;[" &amp; $C$6 &amp; "]",
"[Base].[SITUACION]",
"[Base].[SITUACION].&amp;[" &amp; $C46 &amp; "]"
),0)/1000</f>
        <v>-10.461368320000002</v>
      </c>
      <c r="AH46" s="8">
        <f>-IFERROR(
GETPIVOTDATA(
"[Base].[Importe]",
TDinamica_R!$A$5,
"[Calendario].[AñoMes]",
"[Calendario].[AñoMes].&amp;[" &amp; TEXT(AH$6,"yyyymm") &amp; "]",
"[Base].[Metrica]",
"[Base].[Metrica].&amp;[" &amp; $A46 &amp; "]",
"[Base].[SEGMENTO_DESCRIP]",
"[Base].[SEGMENTO_DESCRIP].&amp;[" &amp; $C$6 &amp; "]",
"[Base].[SITUACION]",
"[Base].[SITUACION].&amp;[" &amp; $C46 &amp; "]"
),0)/1000</f>
        <v>-9.0267199999999992</v>
      </c>
      <c r="AI46" s="8">
        <f>-IFERROR(
GETPIVOTDATA(
"[Base].[Importe]",
TDinamica_R!$A$5,
"[Calendario].[AñoMes]",
"[Calendario].[AñoMes].&amp;[" &amp; TEXT(AI$6,"yyyymm") &amp; "]",
"[Base].[Metrica]",
"[Base].[Metrica].&amp;[" &amp; $A46 &amp; "]",
"[Base].[SEGMENTO_DESCRIP]",
"[Base].[SEGMENTO_DESCRIP].&amp;[" &amp; $C$6 &amp; "]",
"[Base].[SITUACION]",
"[Base].[SITUACION].&amp;[" &amp; $C46 &amp; "]"
),0)/1000</f>
        <v>-8.6995000000000005</v>
      </c>
      <c r="AJ46" s="8">
        <f>-IFERROR(
GETPIVOTDATA(
"[Base].[Importe]",
TDinamica_R!$A$5,
"[Calendario].[AñoMes]",
"[Calendario].[AñoMes].&amp;[" &amp; TEXT(AJ$6,"yyyymm") &amp; "]",
"[Base].[Metrica]",
"[Base].[Metrica].&amp;[" &amp; $A46 &amp; "]",
"[Base].[SEGMENTO_DESCRIP]",
"[Base].[SEGMENTO_DESCRIP].&amp;[" &amp; $C$6 &amp; "]",
"[Base].[SITUACION]",
"[Base].[SITUACION].&amp;[" &amp; $C46 &amp; "]"
),0)/1000</f>
        <v>-8.0337899999999998</v>
      </c>
      <c r="AK46" s="8">
        <f>-IFERROR(
GETPIVOTDATA(
"[Base].[Importe]",
TDinamica_R!$A$5,
"[Calendario].[AñoMes]",
"[Calendario].[AñoMes].&amp;[" &amp; TEXT(AK$6,"yyyymm") &amp; "]",
"[Base].[Metrica]",
"[Base].[Metrica].&amp;[" &amp; $A46 &amp; "]",
"[Base].[SEGMENTO_DESCRIP]",
"[Base].[SEGMENTO_DESCRIP].&amp;[" &amp; $C$6 &amp; "]",
"[Base].[SITUACION]",
"[Base].[SITUACION].&amp;[" &amp; $C46 &amp; "]"
),0)/1000</f>
        <v>-10.769469999999998</v>
      </c>
      <c r="AL46" s="8">
        <f>-IFERROR(
GETPIVOTDATA(
"[Base].[Importe]",
TDinamica_R!$A$5,
"[Calendario].[AñoMes]",
"[Calendario].[AñoMes].&amp;[" &amp; TEXT(AL$6,"yyyymm") &amp; "]",
"[Base].[Metrica]",
"[Base].[Metrica].&amp;[" &amp; $A46 &amp; "]",
"[Base].[SEGMENTO_DESCRIP]",
"[Base].[SEGMENTO_DESCRIP].&amp;[" &amp; $C$6 &amp; "]",
"[Base].[SITUACION]",
"[Base].[SITUACION].&amp;[" &amp; $C46 &amp; "]"
),0)/1000</f>
        <v>-6.1718700000000002</v>
      </c>
      <c r="AM46" s="8">
        <f>-IFERROR(
GETPIVOTDATA(
"[Base].[Importe]",
TDinamica_R!$A$5,
"[Calendario].[AñoMes]",
"[Calendario].[AñoMes].&amp;[" &amp; TEXT(AM$6,"yyyymm") &amp; "]",
"[Base].[Metrica]",
"[Base].[Metrica].&amp;[" &amp; $A46 &amp; "]",
"[Base].[SEGMENTO_DESCRIP]",
"[Base].[SEGMENTO_DESCRIP].&amp;[" &amp; $C$6 &amp; "]",
"[Base].[SITUACION]",
"[Base].[SITUACION].&amp;[" &amp; $C46 &amp; "]"
),0)/1000</f>
        <v>-5.7923499999999981</v>
      </c>
      <c r="AN46" s="8">
        <f>-IFERROR(
GETPIVOTDATA(
"[Base].[Importe]",
TDinamica_R!$A$5,
"[Calendario].[AñoMes]",
"[Calendario].[AñoMes].&amp;[" &amp; TEXT(AN$6,"yyyymm") &amp; "]",
"[Base].[Metrica]",
"[Base].[Metrica].&amp;[" &amp; $A46 &amp; "]",
"[Base].[SEGMENTO_DESCRIP]",
"[Base].[SEGMENTO_DESCRIP].&amp;[" &amp; $C$6 &amp; "]",
"[Base].[SITUACION]",
"[Base].[SITUACION].&amp;[" &amp; $C46 &amp; "]"
),0)/1000</f>
        <v>-6.7807599999999999</v>
      </c>
      <c r="AO46" s="8">
        <f>-IFERROR(
GETPIVOTDATA(
"[Base].[Importe]",
TDinamica_R!$A$5,
"[Calendario].[AñoMes]",
"[Calendario].[AñoMes].&amp;[" &amp; TEXT(AO$6,"yyyymm") &amp; "]",
"[Base].[Metrica]",
"[Base].[Metrica].&amp;[" &amp; $A46 &amp; "]",
"[Base].[SEGMENTO_DESCRIP]",
"[Base].[SEGMENTO_DESCRIP].&amp;[" &amp; $C$6 &amp; "]",
"[Base].[SITUACION]",
"[Base].[SITUACION].&amp;[" &amp; $C46 &amp; "]"
),0)/1000</f>
        <v>-5.8757699999999993</v>
      </c>
      <c r="AP46" s="8">
        <f>-IFERROR(
GETPIVOTDATA(
"[Base].[Importe]",
TDinamica_R!$A$5,
"[Calendario].[AñoMes]",
"[Calendario].[AñoMes].&amp;[" &amp; TEXT(AP$6,"yyyymm") &amp; "]",
"[Base].[Metrica]",
"[Base].[Metrica].&amp;[" &amp; $A46 &amp; "]",
"[Base].[SEGMENTO_DESCRIP]",
"[Base].[SEGMENTO_DESCRIP].&amp;[" &amp; $C$6 &amp; "]",
"[Base].[SITUACION]",
"[Base].[SITUACION].&amp;[" &amp; $C46 &amp; "]"
),0)/1000</f>
        <v>-6.1194600000000001</v>
      </c>
      <c r="AQ46" s="8">
        <f>-IFERROR(
GETPIVOTDATA(
"[Base].[Importe]",
TDinamica_R!$A$5,
"[Calendario].[AñoMes]",
"[Calendario].[AñoMes].&amp;[" &amp; TEXT(AQ$6,"yyyymm") &amp; "]",
"[Base].[Metrica]",
"[Base].[Metrica].&amp;[" &amp; $A46 &amp; "]",
"[Base].[SEGMENTO_DESCRIP]",
"[Base].[SEGMENTO_DESCRIP].&amp;[" &amp; $C$6 &amp; "]",
"[Base].[SITUACION]",
"[Base].[SITUACION].&amp;[" &amp; $C46 &amp; "]"
),0)/1000</f>
        <v>-5.6028399999999996</v>
      </c>
      <c r="AR46" s="8">
        <f>-IFERROR(
GETPIVOTDATA(
"[Base].[Importe]",
TDinamica_R!$A$5,
"[Calendario].[AñoMes]",
"[Calendario].[AñoMes].&amp;[" &amp; TEXT(AR$6,"yyyymm") &amp; "]",
"[Base].[Metrica]",
"[Base].[Metrica].&amp;[" &amp; $A46 &amp; "]",
"[Base].[SEGMENTO_DESCRIP]",
"[Base].[SEGMENTO_DESCRIP].&amp;[" &amp; $C$6 &amp; "]",
"[Base].[SITUACION]",
"[Base].[SITUACION].&amp;[" &amp; $C46 &amp; "]"
),0)/1000</f>
        <v>-5.5018761500000002</v>
      </c>
      <c r="AS46" s="8">
        <f>-IFERROR(
GETPIVOTDATA(
"[Base].[Importe]",
TDinamica_R!$A$5,
"[Calendario].[AñoMes]",
"[Calendario].[AñoMes].&amp;[" &amp; TEXT(AS$6,"yyyymm") &amp; "]",
"[Base].[Metrica]",
"[Base].[Metrica].&amp;[" &amp; $A46 &amp; "]",
"[Base].[SEGMENTO_DESCRIP]",
"[Base].[SEGMENTO_DESCRIP].&amp;[" &amp; $C$6 &amp; "]",
"[Base].[SITUACION]",
"[Base].[SITUACION].&amp;[" &amp; $C46 &amp; "]"
),0)/1000</f>
        <v>-5.7424200000000001</v>
      </c>
      <c r="AT46" s="8">
        <f>-IFERROR(
GETPIVOTDATA(
"[Base].[Importe]",
TDinamica_R!$A$5,
"[Calendario].[AñoMes]",
"[Calendario].[AñoMes].&amp;[" &amp; TEXT(AT$6,"yyyymm")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U46" s="8">
        <f>-IFERROR(
GETPIVOTDATA(
"[Base].[Importe]",
TDinamica_R!$A$5,
"[Calendario].[AñoMes]",
"[Calendario].[AñoMes].&amp;[" &amp; TEXT(AU$6,"yyyymm")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V46" s="8">
        <f>-IFERROR(
GETPIVOTDATA(
"[Base].[Importe]",
TDinamica_R!$A$5,
"[Calendario].[AñoMes]",
"[Calendario].[AñoMes].&amp;[" &amp; TEXT(AV$6,"yyyymm")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W46" s="8">
        <f>-IFERROR(
GETPIVOTDATA(
"[Base].[Importe]",
TDinamica_R!$A$5,
"[Calendario].[AñoMes]",
"[Calendario].[AñoMes].&amp;[" &amp; TEXT(AW$6,"yyyymm")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X46" s="8">
        <f>-IFERROR(
GETPIVOTDATA(
"[Base].[Importe]",
TDinamica_R!$A$5,
"[Calendario].[AñoMes]",
"[Calendario].[AñoMes].&amp;[" &amp; TEXT(AX$6,"yyyymm")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Y46" s="8">
        <f>-IFERROR(
GETPIVOTDATA(
"[Base].[Importe]",
TDinamica_R!$A$5,
"[Calendario].[AñoMes]",
"[Calendario].[AñoMes].&amp;[" &amp; TEXT(AY$6,"yyyymm")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Z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TEXT(AZ$6,"yyyymm") &amp; "]"
),
0
)</f>
        <v>-8.2368323788667084</v>
      </c>
      <c r="BA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TEXT(BA$6,"yyyymm") &amp; "]"
),
0
)</f>
        <v>-7.2263300726207049</v>
      </c>
      <c r="BB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TEXT(BB$6,"yyyymm") &amp; "]"
),
0
)</f>
        <v>-7.7681102815987808</v>
      </c>
      <c r="BC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TEXT(BC$6,"yyyymm") &amp; "]"
),
0
)</f>
        <v>-7.3324100524409745</v>
      </c>
      <c r="BD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TEXT(BD$6,"yyyymm") &amp; "]"
),
0
)</f>
        <v>-7.4241209517432347</v>
      </c>
      <c r="BE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TEXT(BE$6,"yyyymm") &amp; "]"
),
0
)</f>
        <v>-7.0285021219863157</v>
      </c>
      <c r="BF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TEXT(BF$6,"yyyymm") &amp; "]"
),
0
)</f>
        <v>-7.0989995713622109</v>
      </c>
      <c r="BG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TEXT(BG$6,"yyyymm") &amp; "]"
),
0
)</f>
        <v>-6.9816649435920217</v>
      </c>
      <c r="BH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TEXT(BH$6,"yyyymm") &amp; "]"
),
0
)</f>
        <v>-6.6375390469616651</v>
      </c>
      <c r="BI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TEXT(BI$6,"yyyymm") &amp; "]"
),
0
)</f>
        <v>-6.7699167083076341</v>
      </c>
      <c r="BJ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TEXT(BJ$6,"yyyymm") &amp; "]"
),
0
)</f>
        <v>-6.4983681046525108</v>
      </c>
      <c r="BK46" s="8">
        <f>IFERROR(
GETPIVOTDATA(
"[Base_PPE].[Importe]",
TDinamica_P!$A$4,
"[Base_PPE].[Metrica]",
"[Base_PPE].[Metrica].&amp;[" &amp; TRIM($A46) &amp; "]",
"[Base_PPE].[SITUACION]",
"[Base_PPE].[SITUACION].&amp;[" &amp; TRIM($C46) &amp; "]",
"[Base_PPE].[SEGMENTO_DESCRIP]",
"[Base_PPE].[SEGMENTO_DESCRIP].&amp;[" &amp; TRIM($C$6) &amp; "]",
"[Base_PPE].[Periodo]",
"[Base_PPE].[Periodo].&amp;[" &amp; TEXT(BK$6,"yyyymm") &amp; "]"
),
0
)</f>
        <v>-6.6503873910036493</v>
      </c>
      <c r="BO46" s="24">
        <f t="shared" si="45"/>
        <v>-18.77599</v>
      </c>
      <c r="BP46" s="24">
        <f t="shared" si="45"/>
        <v>-23.231272733086193</v>
      </c>
      <c r="BQ46" s="24">
        <f t="shared" si="45"/>
        <v>-12.65653</v>
      </c>
      <c r="BR46" s="24">
        <f t="shared" si="45"/>
        <v>-27.850910000000002</v>
      </c>
      <c r="BS46" s="24">
        <f t="shared" si="45"/>
        <v>-81.56182616000001</v>
      </c>
      <c r="BT46" s="24">
        <f t="shared" si="45"/>
        <v>-37.305567269999997</v>
      </c>
    </row>
    <row r="47" spans="1:72" collapsed="1" x14ac:dyDescent="0.25">
      <c r="C47" s="3" t="s">
        <v>58</v>
      </c>
      <c r="D47" s="10">
        <f>SUM(D44:D46)</f>
        <v>-279.40604876000009</v>
      </c>
      <c r="E47" s="10">
        <f t="shared" ref="E47:AY47" si="46">SUM(E44:E46)</f>
        <v>-264.85731979000002</v>
      </c>
      <c r="F47" s="10">
        <f t="shared" si="46"/>
        <v>-311.32552620000001</v>
      </c>
      <c r="G47" s="10">
        <f t="shared" si="46"/>
        <v>-312.80541812000001</v>
      </c>
      <c r="H47" s="10">
        <f t="shared" si="46"/>
        <v>-326.91836039999998</v>
      </c>
      <c r="I47" s="10">
        <f t="shared" si="46"/>
        <v>-325.24417299999999</v>
      </c>
      <c r="J47" s="10">
        <f t="shared" si="46"/>
        <v>-331.56878731999996</v>
      </c>
      <c r="K47" s="10">
        <f t="shared" si="46"/>
        <v>-331.25434703999997</v>
      </c>
      <c r="L47" s="10">
        <f t="shared" si="46"/>
        <v>-318.74372305590003</v>
      </c>
      <c r="M47" s="10">
        <f t="shared" si="46"/>
        <v>-321.74310180000003</v>
      </c>
      <c r="N47" s="10">
        <f t="shared" si="46"/>
        <v>-300.93470938000002</v>
      </c>
      <c r="O47" s="10">
        <f t="shared" si="46"/>
        <v>-300.40097164000008</v>
      </c>
      <c r="P47" s="10">
        <f t="shared" si="46"/>
        <v>-287.89760384000004</v>
      </c>
      <c r="Q47" s="10">
        <f t="shared" si="46"/>
        <v>-254.32391947999994</v>
      </c>
      <c r="R47" s="10">
        <f t="shared" si="46"/>
        <v>-258.73974283999996</v>
      </c>
      <c r="S47" s="10">
        <f t="shared" si="46"/>
        <v>-242.72657615999998</v>
      </c>
      <c r="T47" s="10">
        <f t="shared" si="46"/>
        <v>-236.97848289999999</v>
      </c>
      <c r="U47" s="10">
        <f t="shared" si="46"/>
        <v>-218.70076023000001</v>
      </c>
      <c r="V47" s="10">
        <f t="shared" si="46"/>
        <v>-212.59000674000001</v>
      </c>
      <c r="W47" s="10">
        <f t="shared" si="46"/>
        <v>-201.02661487</v>
      </c>
      <c r="X47" s="10">
        <f t="shared" si="46"/>
        <v>-190.32941911999998</v>
      </c>
      <c r="Y47" s="10">
        <f t="shared" si="46"/>
        <v>-188.54440999999997</v>
      </c>
      <c r="Z47" s="10">
        <f t="shared" si="46"/>
        <v>-174.606167</v>
      </c>
      <c r="AA47" s="10">
        <f t="shared" si="46"/>
        <v>-171.47329925</v>
      </c>
      <c r="AB47" s="10">
        <f t="shared" si="46"/>
        <v>-165.41588411000001</v>
      </c>
      <c r="AC47" s="10">
        <f t="shared" si="46"/>
        <v>-144.82351</v>
      </c>
      <c r="AD47" s="10">
        <f t="shared" si="46"/>
        <v>-153.07419924999999</v>
      </c>
      <c r="AE47" s="10">
        <f t="shared" si="46"/>
        <v>-145.43935303000001</v>
      </c>
      <c r="AF47" s="10">
        <f t="shared" si="46"/>
        <v>-146.43126559999999</v>
      </c>
      <c r="AG47" s="10">
        <f t="shared" si="46"/>
        <v>-137.86832884</v>
      </c>
      <c r="AH47" s="10">
        <f t="shared" si="46"/>
        <v>-137.17101280000003</v>
      </c>
      <c r="AI47" s="10">
        <f t="shared" si="46"/>
        <v>-134.11882109999999</v>
      </c>
      <c r="AJ47" s="10">
        <f t="shared" si="46"/>
        <v>-126.96811523</v>
      </c>
      <c r="AK47" s="10">
        <f t="shared" si="46"/>
        <v>-131.02316088000003</v>
      </c>
      <c r="AL47" s="10">
        <f t="shared" si="46"/>
        <v>-121.04273000000001</v>
      </c>
      <c r="AM47" s="10">
        <f t="shared" si="46"/>
        <v>-126.86030896000001</v>
      </c>
      <c r="AN47" s="10">
        <f t="shared" si="46"/>
        <v>-133.55481633000002</v>
      </c>
      <c r="AO47" s="10">
        <f t="shared" si="46"/>
        <v>-130.88350602</v>
      </c>
      <c r="AP47" s="10">
        <f t="shared" si="46"/>
        <v>-155.56744700000002</v>
      </c>
      <c r="AQ47" s="10">
        <f t="shared" si="46"/>
        <v>-161.82307399999996</v>
      </c>
      <c r="AR47" s="10">
        <f t="shared" si="46"/>
        <v>-182.97901736000003</v>
      </c>
      <c r="AS47" s="10">
        <f t="shared" si="46"/>
        <v>-191.51336494999998</v>
      </c>
      <c r="AT47" s="10">
        <f t="shared" si="46"/>
        <v>0</v>
      </c>
      <c r="AU47" s="10">
        <f t="shared" si="46"/>
        <v>0</v>
      </c>
      <c r="AV47" s="10">
        <f t="shared" si="46"/>
        <v>0</v>
      </c>
      <c r="AW47" s="10">
        <f t="shared" si="46"/>
        <v>0</v>
      </c>
      <c r="AX47" s="10">
        <f t="shared" si="46"/>
        <v>0</v>
      </c>
      <c r="AY47" s="10">
        <f t="shared" si="46"/>
        <v>0</v>
      </c>
      <c r="AZ47" s="10">
        <f t="shared" ref="AZ47:BK47" si="47">SUM(AZ44:AZ46)</f>
        <v>-115.07619900302136</v>
      </c>
      <c r="BA47" s="10">
        <f t="shared" si="47"/>
        <v>-100.95854319337664</v>
      </c>
      <c r="BB47" s="10">
        <f t="shared" si="47"/>
        <v>-108.52771593801342</v>
      </c>
      <c r="BC47" s="10">
        <f t="shared" si="47"/>
        <v>-102.44057904241907</v>
      </c>
      <c r="BD47" s="10">
        <f t="shared" si="47"/>
        <v>-103.72186549009898</v>
      </c>
      <c r="BE47" s="10">
        <f t="shared" si="47"/>
        <v>-98.194702973200279</v>
      </c>
      <c r="BF47" s="10">
        <f t="shared" si="47"/>
        <v>-99.179617821583065</v>
      </c>
      <c r="BG47" s="10">
        <f t="shared" si="47"/>
        <v>-97.540344086952857</v>
      </c>
      <c r="BH47" s="10">
        <f t="shared" si="47"/>
        <v>-92.732585674346097</v>
      </c>
      <c r="BI47" s="10">
        <f t="shared" si="47"/>
        <v>-94.582024560548035</v>
      </c>
      <c r="BJ47" s="10">
        <f t="shared" si="47"/>
        <v>-90.788238343241403</v>
      </c>
      <c r="BK47" s="10">
        <f t="shared" si="47"/>
        <v>-92.912088974623032</v>
      </c>
      <c r="BO47" s="23">
        <f>SUM(BO44:BO46)</f>
        <v>-420.00576934999998</v>
      </c>
      <c r="BP47" s="23">
        <f t="shared" ref="BP47:BT47" si="48">SUM(BP44:BP46)</f>
        <v>-324.56245813441143</v>
      </c>
      <c r="BQ47" s="23">
        <f t="shared" si="48"/>
        <v>-264.43832235000002</v>
      </c>
      <c r="BR47" s="23">
        <f t="shared" si="48"/>
        <v>-463.31359335999997</v>
      </c>
      <c r="BS47" s="23">
        <f t="shared" si="48"/>
        <v>-800.96126615999992</v>
      </c>
      <c r="BT47" s="23">
        <f t="shared" si="48"/>
        <v>-855.58889475000001</v>
      </c>
    </row>
    <row r="50" spans="1:72" hidden="1" outlineLevel="1" x14ac:dyDescent="0.25">
      <c r="A50" s="11"/>
      <c r="C50" s="2" t="s">
        <v>0</v>
      </c>
      <c r="D50" s="8">
        <f>D38+D44</f>
        <v>648.62710576999996</v>
      </c>
      <c r="E50" s="8">
        <f t="shared" ref="E50:AY50" si="49">E38+E44</f>
        <v>577.18733359999987</v>
      </c>
      <c r="F50" s="8">
        <f t="shared" si="49"/>
        <v>629.96307202000003</v>
      </c>
      <c r="G50" s="8">
        <f t="shared" si="49"/>
        <v>536.89858999</v>
      </c>
      <c r="H50" s="8">
        <f t="shared" si="49"/>
        <v>645.30119816000001</v>
      </c>
      <c r="I50" s="8">
        <f t="shared" si="49"/>
        <v>602.89964094999993</v>
      </c>
      <c r="J50" s="8">
        <f t="shared" si="49"/>
        <v>618.1696576300003</v>
      </c>
      <c r="K50" s="8">
        <f t="shared" si="49"/>
        <v>584.76733412999988</v>
      </c>
      <c r="L50" s="8">
        <f t="shared" si="49"/>
        <v>565.48274291410019</v>
      </c>
      <c r="M50" s="8">
        <f t="shared" si="49"/>
        <v>572.16168028000004</v>
      </c>
      <c r="N50" s="8">
        <f t="shared" si="49"/>
        <v>498.96219338999992</v>
      </c>
      <c r="O50" s="8">
        <f t="shared" si="49"/>
        <v>482.0607236699999</v>
      </c>
      <c r="P50" s="8">
        <f t="shared" si="49"/>
        <v>487.97985353000001</v>
      </c>
      <c r="Q50" s="8">
        <f t="shared" si="49"/>
        <v>422.74802243000005</v>
      </c>
      <c r="R50" s="8">
        <f t="shared" si="49"/>
        <v>450.42868307000003</v>
      </c>
      <c r="S50" s="8">
        <f t="shared" si="49"/>
        <v>450.61416541000006</v>
      </c>
      <c r="T50" s="8">
        <f t="shared" si="49"/>
        <v>456.48296879000009</v>
      </c>
      <c r="U50" s="8">
        <f t="shared" si="49"/>
        <v>438.07767479999995</v>
      </c>
      <c r="V50" s="8">
        <f t="shared" si="49"/>
        <v>461.57815958000009</v>
      </c>
      <c r="W50" s="8">
        <f t="shared" si="49"/>
        <v>444.96968812000006</v>
      </c>
      <c r="X50" s="8">
        <f t="shared" si="49"/>
        <v>419.5177316500002</v>
      </c>
      <c r="Y50" s="8">
        <f t="shared" si="49"/>
        <v>411.47578643000008</v>
      </c>
      <c r="Z50" s="8">
        <f t="shared" si="49"/>
        <v>368.07417600000008</v>
      </c>
      <c r="AA50" s="8">
        <f t="shared" si="49"/>
        <v>345.84898948000011</v>
      </c>
      <c r="AB50" s="8">
        <f t="shared" si="49"/>
        <v>321.29970127999991</v>
      </c>
      <c r="AC50" s="8">
        <f t="shared" si="49"/>
        <v>264.21099167999989</v>
      </c>
      <c r="AD50" s="8">
        <f t="shared" si="49"/>
        <v>278.14088684000001</v>
      </c>
      <c r="AE50" s="8">
        <f t="shared" si="49"/>
        <v>267.76753284</v>
      </c>
      <c r="AF50" s="8">
        <f t="shared" si="49"/>
        <v>273.24159668000004</v>
      </c>
      <c r="AG50" s="8">
        <f t="shared" si="49"/>
        <v>257.23123242000003</v>
      </c>
      <c r="AH50" s="8">
        <f t="shared" si="49"/>
        <v>264.56569413</v>
      </c>
      <c r="AI50" s="8">
        <f t="shared" si="49"/>
        <v>259.0270792899999</v>
      </c>
      <c r="AJ50" s="8">
        <f t="shared" si="49"/>
        <v>248.34392675999999</v>
      </c>
      <c r="AK50" s="8">
        <f t="shared" si="49"/>
        <v>257.37977020000005</v>
      </c>
      <c r="AL50" s="8">
        <f t="shared" si="49"/>
        <v>239.46313006000003</v>
      </c>
      <c r="AM50" s="8">
        <f t="shared" si="49"/>
        <v>290.29416545000004</v>
      </c>
      <c r="AN50" s="8">
        <f t="shared" si="49"/>
        <v>323.38062531000003</v>
      </c>
      <c r="AO50" s="8">
        <f t="shared" si="49"/>
        <v>346.02899266000003</v>
      </c>
      <c r="AP50" s="8">
        <f t="shared" si="49"/>
        <v>466.32084139999995</v>
      </c>
      <c r="AQ50" s="8">
        <f t="shared" si="49"/>
        <v>498.34660735</v>
      </c>
      <c r="AR50" s="8">
        <f t="shared" si="49"/>
        <v>589.04863005000004</v>
      </c>
      <c r="AS50" s="8">
        <f t="shared" si="49"/>
        <v>634.35727086000009</v>
      </c>
      <c r="AT50" s="8">
        <f t="shared" si="49"/>
        <v>0</v>
      </c>
      <c r="AU50" s="8">
        <f t="shared" si="49"/>
        <v>0</v>
      </c>
      <c r="AV50" s="8">
        <f t="shared" si="49"/>
        <v>0</v>
      </c>
      <c r="AW50" s="8">
        <f t="shared" si="49"/>
        <v>0</v>
      </c>
      <c r="AX50" s="8">
        <f t="shared" si="49"/>
        <v>0</v>
      </c>
      <c r="AY50" s="8">
        <f t="shared" si="49"/>
        <v>0</v>
      </c>
      <c r="AZ50" s="8">
        <f t="shared" ref="AZ50:BK50" si="50">AZ38+AZ44</f>
        <v>219.31575758470211</v>
      </c>
      <c r="BA50" s="8">
        <f t="shared" si="50"/>
        <v>184.91429605922656</v>
      </c>
      <c r="BB50" s="8">
        <f t="shared" si="50"/>
        <v>208.96874890785864</v>
      </c>
      <c r="BC50" s="8">
        <f t="shared" si="50"/>
        <v>190.75983792629899</v>
      </c>
      <c r="BD50" s="8">
        <f t="shared" si="50"/>
        <v>191.80492543582073</v>
      </c>
      <c r="BE50" s="8">
        <f t="shared" si="50"/>
        <v>187.91324747188509</v>
      </c>
      <c r="BF50" s="8">
        <f t="shared" si="50"/>
        <v>189.54455074022496</v>
      </c>
      <c r="BG50" s="8">
        <f t="shared" si="50"/>
        <v>185.17729069212515</v>
      </c>
      <c r="BH50" s="8">
        <f t="shared" si="50"/>
        <v>171.80651182995959</v>
      </c>
      <c r="BI50" s="8">
        <f t="shared" si="50"/>
        <v>177.99542047985031</v>
      </c>
      <c r="BJ50" s="8">
        <f t="shared" si="50"/>
        <v>167.6807256828551</v>
      </c>
      <c r="BK50" s="8">
        <f t="shared" si="50"/>
        <v>177.81920101279383</v>
      </c>
      <c r="BO50" s="24">
        <f>BO38+BO44</f>
        <v>1135.7304593699998</v>
      </c>
      <c r="BP50" s="24">
        <f t="shared" ref="BP50:BT50" si="51">BP38+BP44</f>
        <v>613.19880255178737</v>
      </c>
      <c r="BQ50" s="24">
        <f t="shared" si="51"/>
        <v>669.40961797</v>
      </c>
      <c r="BR50" s="24">
        <f t="shared" si="51"/>
        <v>863.65157979999981</v>
      </c>
      <c r="BS50" s="24">
        <f t="shared" si="51"/>
        <v>1361.1565590299999</v>
      </c>
      <c r="BT50" s="24">
        <f t="shared" si="51"/>
        <v>1855.7775113899997</v>
      </c>
    </row>
    <row r="51" spans="1:72" hidden="1" outlineLevel="1" x14ac:dyDescent="0.25">
      <c r="A51" s="11"/>
      <c r="C51" s="2" t="s">
        <v>1</v>
      </c>
      <c r="D51" s="8">
        <f t="shared" ref="D51:AY53" si="52">D39+D45</f>
        <v>0.78025094000000017</v>
      </c>
      <c r="E51" s="8">
        <f t="shared" si="52"/>
        <v>1.2144577999999999</v>
      </c>
      <c r="F51" s="8">
        <f t="shared" si="52"/>
        <v>-2.9297740000000072E-2</v>
      </c>
      <c r="G51" s="8">
        <f t="shared" si="52"/>
        <v>-0.58224474000000015</v>
      </c>
      <c r="H51" s="8">
        <f t="shared" si="52"/>
        <v>-0.65413458000000002</v>
      </c>
      <c r="I51" s="8">
        <f t="shared" si="52"/>
        <v>0.13425578000000016</v>
      </c>
      <c r="J51" s="8">
        <f t="shared" si="52"/>
        <v>0.27516177999999991</v>
      </c>
      <c r="K51" s="8">
        <f t="shared" si="52"/>
        <v>4.7640790000000433E-2</v>
      </c>
      <c r="L51" s="8">
        <f t="shared" si="52"/>
        <v>3.2742469999999635E-2</v>
      </c>
      <c r="M51" s="8">
        <f t="shared" si="52"/>
        <v>0.49518936000000058</v>
      </c>
      <c r="N51" s="8">
        <f t="shared" si="52"/>
        <v>7.2243939999999895E-2</v>
      </c>
      <c r="O51" s="8">
        <f t="shared" si="52"/>
        <v>0.33320339000000021</v>
      </c>
      <c r="P51" s="8">
        <f t="shared" si="52"/>
        <v>0.15971479999999993</v>
      </c>
      <c r="Q51" s="8">
        <f t="shared" si="52"/>
        <v>0.2635629599999999</v>
      </c>
      <c r="R51" s="8">
        <f t="shared" si="52"/>
        <v>1.6083499999999917E-2</v>
      </c>
      <c r="S51" s="8">
        <f t="shared" si="52"/>
        <v>0.1442198899999998</v>
      </c>
      <c r="T51" s="8">
        <f t="shared" si="52"/>
        <v>-0.72016396000000005</v>
      </c>
      <c r="U51" s="8">
        <f t="shared" si="52"/>
        <v>-0.13732277000000037</v>
      </c>
      <c r="V51" s="8">
        <f t="shared" si="52"/>
        <v>0.68471642000000088</v>
      </c>
      <c r="W51" s="8">
        <f t="shared" si="52"/>
        <v>3.4782660099999996</v>
      </c>
      <c r="X51" s="8">
        <f t="shared" si="52"/>
        <v>0.68191519000000023</v>
      </c>
      <c r="Y51" s="8">
        <f t="shared" si="52"/>
        <v>0.21285869999999996</v>
      </c>
      <c r="Z51" s="8">
        <f t="shared" si="52"/>
        <v>0.6492179900000008</v>
      </c>
      <c r="AA51" s="8">
        <f t="shared" si="52"/>
        <v>1.7592900800000004</v>
      </c>
      <c r="AB51" s="8">
        <f t="shared" si="52"/>
        <v>0.52286379000000061</v>
      </c>
      <c r="AC51" s="8">
        <f t="shared" si="52"/>
        <v>-0.52151648999999978</v>
      </c>
      <c r="AD51" s="8">
        <f t="shared" si="52"/>
        <v>-0.26104208000000018</v>
      </c>
      <c r="AE51" s="8">
        <f t="shared" si="52"/>
        <v>1.0147726100000001</v>
      </c>
      <c r="AF51" s="8">
        <f t="shared" si="52"/>
        <v>-0.36663709999999972</v>
      </c>
      <c r="AG51" s="8">
        <f t="shared" si="52"/>
        <v>0.82425002000000092</v>
      </c>
      <c r="AH51" s="8">
        <f t="shared" si="52"/>
        <v>1.34282338</v>
      </c>
      <c r="AI51" s="8">
        <f t="shared" si="52"/>
        <v>1.1123960799999999</v>
      </c>
      <c r="AJ51" s="8">
        <f t="shared" si="52"/>
        <v>1.16577493</v>
      </c>
      <c r="AK51" s="8">
        <f t="shared" si="52"/>
        <v>0.71102372999999952</v>
      </c>
      <c r="AL51" s="8">
        <f t="shared" si="52"/>
        <v>1.2716736200000001</v>
      </c>
      <c r="AM51" s="8">
        <f t="shared" si="52"/>
        <v>0.96343291000000031</v>
      </c>
      <c r="AN51" s="8">
        <f t="shared" si="52"/>
        <v>0.39270101000000057</v>
      </c>
      <c r="AO51" s="8">
        <f t="shared" si="52"/>
        <v>0.99092100999999966</v>
      </c>
      <c r="AP51" s="8">
        <f t="shared" si="52"/>
        <v>0.7138019799999995</v>
      </c>
      <c r="AQ51" s="8">
        <f t="shared" si="52"/>
        <v>1.6871651000000001</v>
      </c>
      <c r="AR51" s="8">
        <f t="shared" si="52"/>
        <v>0.91044361999999968</v>
      </c>
      <c r="AS51" s="8">
        <f t="shared" si="52"/>
        <v>0.79207329999999998</v>
      </c>
      <c r="AT51" s="8">
        <f t="shared" si="52"/>
        <v>0</v>
      </c>
      <c r="AU51" s="8">
        <f t="shared" si="52"/>
        <v>0</v>
      </c>
      <c r="AV51" s="8">
        <f t="shared" si="52"/>
        <v>0</v>
      </c>
      <c r="AW51" s="8">
        <f t="shared" si="52"/>
        <v>0</v>
      </c>
      <c r="AX51" s="8">
        <f t="shared" si="52"/>
        <v>0</v>
      </c>
      <c r="AY51" s="8">
        <f t="shared" si="52"/>
        <v>0</v>
      </c>
      <c r="AZ51" s="8">
        <f t="shared" ref="AZ51:BK51" si="53">AZ39+AZ45</f>
        <v>2.9146029543616367</v>
      </c>
      <c r="BA51" s="8">
        <f t="shared" si="53"/>
        <v>2.4946223703510104</v>
      </c>
      <c r="BB51" s="8">
        <f t="shared" si="53"/>
        <v>2.6297003555159391</v>
      </c>
      <c r="BC51" s="8">
        <f t="shared" si="53"/>
        <v>2.4449698625884486</v>
      </c>
      <c r="BD51" s="8">
        <f t="shared" si="53"/>
        <v>2.4485076211844552</v>
      </c>
      <c r="BE51" s="8">
        <f t="shared" si="53"/>
        <v>2.2756472685867046</v>
      </c>
      <c r="BF51" s="8">
        <f t="shared" si="53"/>
        <v>2.2740978689731315</v>
      </c>
      <c r="BG51" s="8">
        <f t="shared" si="53"/>
        <v>2.2080587468846429</v>
      </c>
      <c r="BH51" s="8">
        <f t="shared" si="53"/>
        <v>2.0536041409085994</v>
      </c>
      <c r="BI51" s="8">
        <f t="shared" si="53"/>
        <v>2.0484968422339227</v>
      </c>
      <c r="BJ51" s="8">
        <f t="shared" si="53"/>
        <v>1.924673365554942</v>
      </c>
      <c r="BK51" s="8">
        <f t="shared" si="53"/>
        <v>1.9440480276881906</v>
      </c>
      <c r="BO51" s="24">
        <f t="shared" ref="BO51:BT52" si="54">BO39+BO45</f>
        <v>2.0974240000000002</v>
      </c>
      <c r="BP51" s="24">
        <f t="shared" si="54"/>
        <v>8.0389256802285853</v>
      </c>
      <c r="BQ51" s="24">
        <f t="shared" si="54"/>
        <v>1.3836220200000007</v>
      </c>
      <c r="BR51" s="24">
        <f t="shared" si="54"/>
        <v>-0.25969477999999668</v>
      </c>
      <c r="BS51" s="24">
        <f t="shared" si="54"/>
        <v>0.43936126000000009</v>
      </c>
      <c r="BT51" s="24">
        <f t="shared" si="54"/>
        <v>1.9654109999999996</v>
      </c>
    </row>
    <row r="52" spans="1:72" hidden="1" outlineLevel="1" x14ac:dyDescent="0.25">
      <c r="A52" s="11"/>
      <c r="C52" s="2" t="s">
        <v>45</v>
      </c>
      <c r="D52" s="8">
        <f t="shared" si="52"/>
        <v>4.4216835100000011</v>
      </c>
      <c r="E52" s="8">
        <f t="shared" si="52"/>
        <v>-5.3765377600000006</v>
      </c>
      <c r="F52" s="8">
        <f t="shared" si="52"/>
        <v>-1.4506958399999981</v>
      </c>
      <c r="G52" s="8">
        <f t="shared" si="52"/>
        <v>5.6023391599999979</v>
      </c>
      <c r="H52" s="8">
        <f t="shared" si="52"/>
        <v>15.542409190000001</v>
      </c>
      <c r="I52" s="8">
        <f t="shared" si="52"/>
        <v>2.8283169099999981</v>
      </c>
      <c r="J52" s="8">
        <f t="shared" si="52"/>
        <v>15.378218709999999</v>
      </c>
      <c r="K52" s="8">
        <f t="shared" si="52"/>
        <v>-5.2365623800000094</v>
      </c>
      <c r="L52" s="8">
        <f t="shared" si="52"/>
        <v>-4.4322295100000026</v>
      </c>
      <c r="M52" s="8">
        <f t="shared" si="52"/>
        <v>-4.457798970000006</v>
      </c>
      <c r="N52" s="8">
        <f t="shared" si="52"/>
        <v>6.4333369400000038</v>
      </c>
      <c r="O52" s="8">
        <f t="shared" si="52"/>
        <v>4.0139270500000066</v>
      </c>
      <c r="P52" s="8">
        <f t="shared" si="52"/>
        <v>-6.8240601999999981</v>
      </c>
      <c r="Q52" s="8">
        <f t="shared" si="52"/>
        <v>-5.2958228100000042</v>
      </c>
      <c r="R52" s="8">
        <f t="shared" si="52"/>
        <v>-4.2628659000000013</v>
      </c>
      <c r="S52" s="8">
        <f t="shared" si="52"/>
        <v>5.2523835600000055</v>
      </c>
      <c r="T52" s="8">
        <f t="shared" si="52"/>
        <v>8.0818502400000014</v>
      </c>
      <c r="U52" s="8">
        <f t="shared" si="52"/>
        <v>14.067525009999997</v>
      </c>
      <c r="V52" s="8">
        <f t="shared" si="52"/>
        <v>12.695815840000002</v>
      </c>
      <c r="W52" s="8">
        <f t="shared" si="52"/>
        <v>0.7594469499999974</v>
      </c>
      <c r="X52" s="8">
        <f t="shared" si="52"/>
        <v>4.092748760000001</v>
      </c>
      <c r="Y52" s="8">
        <f t="shared" si="52"/>
        <v>4.5851326600000029</v>
      </c>
      <c r="Z52" s="8">
        <f t="shared" si="52"/>
        <v>10.06261503</v>
      </c>
      <c r="AA52" s="8">
        <f t="shared" si="52"/>
        <v>12.721559939999999</v>
      </c>
      <c r="AB52" s="8">
        <f t="shared" si="52"/>
        <v>8.0211122599999989</v>
      </c>
      <c r="AC52" s="8">
        <f t="shared" si="52"/>
        <v>10.597592709999997</v>
      </c>
      <c r="AD52" s="8">
        <f t="shared" si="52"/>
        <v>12.470455400000002</v>
      </c>
      <c r="AE52" s="8">
        <f t="shared" si="52"/>
        <v>12.295216830000001</v>
      </c>
      <c r="AF52" s="8">
        <f t="shared" si="52"/>
        <v>11.949887809999996</v>
      </c>
      <c r="AG52" s="8">
        <f t="shared" si="52"/>
        <v>10.438098810000003</v>
      </c>
      <c r="AH52" s="8">
        <f t="shared" si="52"/>
        <v>13.382299010000002</v>
      </c>
      <c r="AI52" s="8">
        <f t="shared" si="52"/>
        <v>7.3218368099999971</v>
      </c>
      <c r="AJ52" s="8">
        <f t="shared" si="52"/>
        <v>7.04725571</v>
      </c>
      <c r="AK52" s="8">
        <f t="shared" si="52"/>
        <v>-0.2761299699999995</v>
      </c>
      <c r="AL52" s="8">
        <f t="shared" si="52"/>
        <v>6.3473841099999984</v>
      </c>
      <c r="AM52" s="8">
        <f t="shared" si="52"/>
        <v>16.033160450000004</v>
      </c>
      <c r="AN52" s="8">
        <f t="shared" si="52"/>
        <v>3.8968283399999981</v>
      </c>
      <c r="AO52" s="8">
        <f t="shared" si="52"/>
        <v>4.7842850699999975</v>
      </c>
      <c r="AP52" s="8">
        <f t="shared" si="52"/>
        <v>8.8349996900000001</v>
      </c>
      <c r="AQ52" s="8">
        <f t="shared" si="52"/>
        <v>6.5195465000000015</v>
      </c>
      <c r="AR52" s="8">
        <f t="shared" si="52"/>
        <v>11.084645390000002</v>
      </c>
      <c r="AS52" s="8">
        <f t="shared" si="52"/>
        <v>3.4303624800000021</v>
      </c>
      <c r="AT52" s="8">
        <f t="shared" si="52"/>
        <v>0</v>
      </c>
      <c r="AU52" s="8">
        <f t="shared" si="52"/>
        <v>0</v>
      </c>
      <c r="AV52" s="8">
        <f t="shared" si="52"/>
        <v>0</v>
      </c>
      <c r="AW52" s="8">
        <f t="shared" si="52"/>
        <v>0</v>
      </c>
      <c r="AX52" s="8">
        <f t="shared" si="52"/>
        <v>0</v>
      </c>
      <c r="AY52" s="8">
        <f t="shared" si="52"/>
        <v>0</v>
      </c>
      <c r="AZ52" s="8">
        <f t="shared" ref="AZ52:BK52" si="55">AZ40+AZ46</f>
        <v>3.8088384292557311</v>
      </c>
      <c r="BA52" s="8">
        <f t="shared" si="55"/>
        <v>4.1278252649575595</v>
      </c>
      <c r="BB52" s="8">
        <f t="shared" si="55"/>
        <v>3.1308249443452203</v>
      </c>
      <c r="BC52" s="8">
        <f t="shared" si="55"/>
        <v>3.8063795993790199</v>
      </c>
      <c r="BD52" s="8">
        <f t="shared" si="55"/>
        <v>3.4049644601028364</v>
      </c>
      <c r="BE52" s="8">
        <f t="shared" si="55"/>
        <v>3.4135613335653812</v>
      </c>
      <c r="BF52" s="8">
        <f t="shared" si="55"/>
        <v>3.2348102570585491</v>
      </c>
      <c r="BG52" s="8">
        <f t="shared" si="55"/>
        <v>3.7175420177228302</v>
      </c>
      <c r="BH52" s="8">
        <f t="shared" si="55"/>
        <v>3.7773074384871226</v>
      </c>
      <c r="BI52" s="8">
        <f t="shared" si="55"/>
        <v>3.5544417163107527</v>
      </c>
      <c r="BJ52" s="8">
        <f t="shared" si="55"/>
        <v>4.7204893330050401</v>
      </c>
      <c r="BK52" s="8">
        <f t="shared" si="55"/>
        <v>5.330863387441843</v>
      </c>
      <c r="BO52" s="24">
        <f t="shared" si="54"/>
        <v>17.516113099999991</v>
      </c>
      <c r="BP52" s="24">
        <f t="shared" si="54"/>
        <v>11.067488638558508</v>
      </c>
      <c r="BQ52" s="24">
        <f t="shared" si="54"/>
        <v>8.6811134099999947</v>
      </c>
      <c r="BR52" s="24">
        <f t="shared" si="54"/>
        <v>31.089160369999998</v>
      </c>
      <c r="BS52" s="24">
        <f t="shared" si="54"/>
        <v>-16.382748910000004</v>
      </c>
      <c r="BT52" s="24">
        <f t="shared" si="54"/>
        <v>-2.4055500899999913</v>
      </c>
    </row>
    <row r="53" spans="1:72" collapsed="1" x14ac:dyDescent="0.25">
      <c r="C53" s="3" t="s">
        <v>66</v>
      </c>
      <c r="D53" s="10">
        <f t="shared" si="52"/>
        <v>653.82904021999991</v>
      </c>
      <c r="E53" s="10">
        <f t="shared" si="52"/>
        <v>573.02525363999996</v>
      </c>
      <c r="F53" s="10">
        <f t="shared" si="52"/>
        <v>628.48307843999999</v>
      </c>
      <c r="G53" s="10">
        <f t="shared" si="52"/>
        <v>541.91868440999997</v>
      </c>
      <c r="H53" s="10">
        <f t="shared" si="52"/>
        <v>660.18947277000007</v>
      </c>
      <c r="I53" s="10">
        <f t="shared" si="52"/>
        <v>605.86221363999994</v>
      </c>
      <c r="J53" s="10">
        <f t="shared" si="52"/>
        <v>633.82303812000021</v>
      </c>
      <c r="K53" s="10">
        <f t="shared" si="52"/>
        <v>579.57841253999982</v>
      </c>
      <c r="L53" s="10">
        <f t="shared" si="52"/>
        <v>561.08325587410013</v>
      </c>
      <c r="M53" s="10">
        <f t="shared" si="52"/>
        <v>568.19907067000008</v>
      </c>
      <c r="N53" s="10">
        <f t="shared" si="52"/>
        <v>505.46777426999989</v>
      </c>
      <c r="O53" s="10">
        <f t="shared" si="52"/>
        <v>486.4078541099999</v>
      </c>
      <c r="P53" s="10">
        <f t="shared" si="52"/>
        <v>481.31550812999996</v>
      </c>
      <c r="Q53" s="10">
        <f t="shared" si="52"/>
        <v>417.71576258000005</v>
      </c>
      <c r="R53" s="10">
        <f t="shared" si="52"/>
        <v>446.18190067000012</v>
      </c>
      <c r="S53" s="10">
        <f t="shared" si="52"/>
        <v>456.01076886000004</v>
      </c>
      <c r="T53" s="10">
        <f t="shared" si="52"/>
        <v>463.84465507000004</v>
      </c>
      <c r="U53" s="10">
        <f t="shared" si="52"/>
        <v>452.00787704000004</v>
      </c>
      <c r="V53" s="10">
        <f t="shared" si="52"/>
        <v>474.95869184000014</v>
      </c>
      <c r="W53" s="10">
        <f t="shared" si="52"/>
        <v>449.20740108000007</v>
      </c>
      <c r="X53" s="10">
        <f t="shared" si="52"/>
        <v>424.29239560000019</v>
      </c>
      <c r="Y53" s="10">
        <f t="shared" si="52"/>
        <v>416.27377779000005</v>
      </c>
      <c r="Z53" s="10">
        <f t="shared" si="52"/>
        <v>378.78600902000017</v>
      </c>
      <c r="AA53" s="10">
        <f t="shared" si="52"/>
        <v>360.32983950000016</v>
      </c>
      <c r="AB53" s="10">
        <f t="shared" si="52"/>
        <v>329.84367732999988</v>
      </c>
      <c r="AC53" s="10">
        <f t="shared" si="52"/>
        <v>274.2870678999999</v>
      </c>
      <c r="AD53" s="10">
        <f t="shared" si="52"/>
        <v>290.35030016000002</v>
      </c>
      <c r="AE53" s="10">
        <f t="shared" si="52"/>
        <v>281.07752227999998</v>
      </c>
      <c r="AF53" s="10">
        <f t="shared" si="52"/>
        <v>284.82484739000006</v>
      </c>
      <c r="AG53" s="10">
        <f t="shared" si="52"/>
        <v>268.49358125000003</v>
      </c>
      <c r="AH53" s="10">
        <f t="shared" si="52"/>
        <v>279.29081651999996</v>
      </c>
      <c r="AI53" s="10">
        <f t="shared" si="52"/>
        <v>267.46131217999988</v>
      </c>
      <c r="AJ53" s="10">
        <f t="shared" si="52"/>
        <v>256.55695739999999</v>
      </c>
      <c r="AK53" s="10">
        <f t="shared" si="52"/>
        <v>257.81466396000002</v>
      </c>
      <c r="AL53" s="10">
        <f t="shared" si="52"/>
        <v>247.08218779000003</v>
      </c>
      <c r="AM53" s="10">
        <f t="shared" si="52"/>
        <v>307.29075881000006</v>
      </c>
      <c r="AN53" s="10">
        <f t="shared" si="52"/>
        <v>327.67015465999998</v>
      </c>
      <c r="AO53" s="10">
        <f t="shared" si="52"/>
        <v>351.80419874000006</v>
      </c>
      <c r="AP53" s="10">
        <f t="shared" si="52"/>
        <v>475.86964306999994</v>
      </c>
      <c r="AQ53" s="10">
        <f t="shared" si="52"/>
        <v>506.55331895</v>
      </c>
      <c r="AR53" s="10">
        <f t="shared" si="52"/>
        <v>601.04371906000006</v>
      </c>
      <c r="AS53" s="10">
        <f t="shared" si="52"/>
        <v>638.57970664000015</v>
      </c>
      <c r="AT53" s="10">
        <f t="shared" si="52"/>
        <v>0</v>
      </c>
      <c r="AU53" s="10">
        <f t="shared" si="52"/>
        <v>0</v>
      </c>
      <c r="AV53" s="10">
        <f t="shared" si="52"/>
        <v>0</v>
      </c>
      <c r="AW53" s="10">
        <f t="shared" si="52"/>
        <v>0</v>
      </c>
      <c r="AX53" s="10">
        <f t="shared" si="52"/>
        <v>0</v>
      </c>
      <c r="AY53" s="10">
        <f t="shared" si="52"/>
        <v>0</v>
      </c>
      <c r="AZ53" s="10">
        <f t="shared" ref="AZ53:BK53" si="56">AZ41+AZ47</f>
        <v>226.03919896831951</v>
      </c>
      <c r="BA53" s="10">
        <f t="shared" si="56"/>
        <v>191.53674369453515</v>
      </c>
      <c r="BB53" s="10">
        <f t="shared" si="56"/>
        <v>214.72927420771978</v>
      </c>
      <c r="BC53" s="10">
        <f t="shared" si="56"/>
        <v>197.01118738826648</v>
      </c>
      <c r="BD53" s="10">
        <f t="shared" si="56"/>
        <v>197.65839751710797</v>
      </c>
      <c r="BE53" s="10">
        <f t="shared" si="56"/>
        <v>193.60245607403721</v>
      </c>
      <c r="BF53" s="10">
        <f t="shared" si="56"/>
        <v>195.05345886625668</v>
      </c>
      <c r="BG53" s="10">
        <f t="shared" si="56"/>
        <v>191.10289145673261</v>
      </c>
      <c r="BH53" s="10">
        <f t="shared" si="56"/>
        <v>177.63742340935531</v>
      </c>
      <c r="BI53" s="10">
        <f t="shared" si="56"/>
        <v>183.59835903839499</v>
      </c>
      <c r="BJ53" s="10">
        <f t="shared" si="56"/>
        <v>174.3258883814151</v>
      </c>
      <c r="BK53" s="10">
        <f t="shared" si="56"/>
        <v>185.09411242792385</v>
      </c>
      <c r="BO53" s="23">
        <f t="shared" ref="BO53:BT53" si="57">SUM(BO50:BO52)</f>
        <v>1155.3439964699999</v>
      </c>
      <c r="BP53" s="23">
        <f t="shared" si="57"/>
        <v>632.30521687057444</v>
      </c>
      <c r="BQ53" s="23">
        <f t="shared" si="57"/>
        <v>679.47435339999993</v>
      </c>
      <c r="BR53" s="23">
        <f t="shared" si="57"/>
        <v>894.48104538999974</v>
      </c>
      <c r="BS53" s="23">
        <f t="shared" si="57"/>
        <v>1345.2131713799999</v>
      </c>
      <c r="BT53" s="23">
        <f t="shared" si="57"/>
        <v>1855.3373722999997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11" t="s">
        <v>64</v>
      </c>
      <c r="C56" s="2" t="s">
        <v>67</v>
      </c>
      <c r="D56" s="8">
        <f>IFERROR(
GETPIVOTDATA(
"[Base].[Importe]",
TDinamica_R!$A$5,
"[Calendario].[AñoMes]",
"[Calendario].[AñoMes].&amp;[" &amp; TEXT(D$6,"yyyymm") &amp; "]",
"[Base].[Metrica]",
"[Base].[Metrica].&amp;[" &amp; $A56 &amp; "]",
"[Base].[SEGMENTO_DESCRIP]",
"[Base].[SEGMENTO_DESCRIP].&amp;[" &amp; $C$6 &amp; "]",
"[Base].[SITUACION]",
"[Base].[SITUACION].&amp;[" &amp; $C56 &amp; "]"
),0)/1000</f>
        <v>-1109.6965667330983</v>
      </c>
      <c r="E56" s="8">
        <f>IFERROR(
GETPIVOTDATA(
"[Base].[Importe]",
TDinamica_R!$A$5,
"[Calendario].[AñoMes]",
"[Calendario].[AñoMes].&amp;[" &amp; TEXT(E$6,"yyyymm") &amp; "]",
"[Base].[Metrica]",
"[Base].[Metrica].&amp;[" &amp; $A56 &amp; "]",
"[Base].[SEGMENTO_DESCRIP]",
"[Base].[SEGMENTO_DESCRIP].&amp;[" &amp; $C$6 &amp; "]",
"[Base].[SITUACION]",
"[Base].[SITUACION].&amp;[" &amp; $C56 &amp; "]"
),0)/1000</f>
        <v>-561.23035312888987</v>
      </c>
      <c r="F56" s="8">
        <f>IFERROR(
GETPIVOTDATA(
"[Base].[Importe]",
TDinamica_R!$A$5,
"[Calendario].[AñoMes]",
"[Calendario].[AñoMes].&amp;[" &amp; TEXT(F$6,"yyyymm") &amp; "]",
"[Base].[Metrica]",
"[Base].[Metrica].&amp;[" &amp; $A56 &amp; "]",
"[Base].[SEGMENTO_DESCRIP]",
"[Base].[SEGMENTO_DESCRIP].&amp;[" &amp; $C$6 &amp; "]",
"[Base].[SITUACION]",
"[Base].[SITUACION].&amp;[" &amp; $C56 &amp; "]"
),0)/1000</f>
        <v>-975.12933150290178</v>
      </c>
      <c r="G56" s="8">
        <f>IFERROR(
GETPIVOTDATA(
"[Base].[Importe]",
TDinamica_R!$A$5,
"[Calendario].[AñoMes]",
"[Calendario].[AñoMes].&amp;[" &amp; TEXT(G$6,"yyyymm") &amp; "]",
"[Base].[Metrica]",
"[Base].[Metrica].&amp;[" &amp; $A56 &amp; "]",
"[Base].[SEGMENTO_DESCRIP]",
"[Base].[SEGMENTO_DESCRIP].&amp;[" &amp; $C$6 &amp; "]",
"[Base].[SITUACION]",
"[Base].[SITUACION].&amp;[" &amp; $C56 &amp; "]"
),0)/1000</f>
        <v>-674.82892413077957</v>
      </c>
      <c r="H56" s="8">
        <f>IFERROR(
GETPIVOTDATA(
"[Base].[Importe]",
TDinamica_R!$A$5,
"[Calendario].[AñoMes]",
"[Calendario].[AñoMes].&amp;[" &amp; TEXT(H$6,"yyyymm") &amp; "]",
"[Base].[Metrica]",
"[Base].[Metrica].&amp;[" &amp; $A56 &amp; "]",
"[Base].[SEGMENTO_DESCRIP]",
"[Base].[SEGMENTO_DESCRIP].&amp;[" &amp; $C$6 &amp; "]",
"[Base].[SITUACION]",
"[Base].[SITUACION].&amp;[" &amp; $C56 &amp; "]"
),0)/1000</f>
        <v>-1399.5600721776584</v>
      </c>
      <c r="I56" s="8">
        <f>IFERROR(
GETPIVOTDATA(
"[Base].[Importe]",
TDinamica_R!$A$5,
"[Calendario].[AñoMes]",
"[Calendario].[AñoMes].&amp;[" &amp; TEXT(I$6,"yyyymm") &amp; "]",
"[Base].[Metrica]",
"[Base].[Metrica].&amp;[" &amp; $A56 &amp; "]",
"[Base].[SEGMENTO_DESCRIP]",
"[Base].[SEGMENTO_DESCRIP].&amp;[" &amp; $C$6 &amp; "]",
"[Base].[SITUACION]",
"[Base].[SITUACION].&amp;[" &amp; $C56 &amp; "]"
),0)/1000</f>
        <v>-1128.3391710002725</v>
      </c>
      <c r="J56" s="8">
        <f>IFERROR(
GETPIVOTDATA(
"[Base].[Importe]",
TDinamica_R!$A$5,
"[Calendario].[AñoMes]",
"[Calendario].[AñoMes].&amp;[" &amp; TEXT(J$6,"yyyymm") &amp; "]",
"[Base].[Metrica]",
"[Base].[Metrica].&amp;[" &amp; $A56 &amp; "]",
"[Base].[SEGMENTO_DESCRIP]",
"[Base].[SEGMENTO_DESCRIP].&amp;[" &amp; $C$6 &amp; "]",
"[Base].[SITUACION]",
"[Base].[SITUACION].&amp;[" &amp; $C56 &amp; "]"
),0)/1000</f>
        <v>-1750.7965209040685</v>
      </c>
      <c r="K56" s="8">
        <f>IFERROR(
GETPIVOTDATA(
"[Base].[Importe]",
TDinamica_R!$A$5,
"[Calendario].[AñoMes]",
"[Calendario].[AñoMes].&amp;[" &amp; TEXT(K$6,"yyyymm") &amp; "]",
"[Base].[Metrica]",
"[Base].[Metrica].&amp;[" &amp; $A56 &amp; "]",
"[Base].[SEGMENTO_DESCRIP]",
"[Base].[SEGMENTO_DESCRIP].&amp;[" &amp; $C$6 &amp; "]",
"[Base].[SITUACION]",
"[Base].[SITUACION].&amp;[" &amp; $C56 &amp; "]"
),0)/1000</f>
        <v>-1953.1718550055423</v>
      </c>
      <c r="L56" s="8">
        <f>IFERROR(
GETPIVOTDATA(
"[Base].[Importe]",
TDinamica_R!$A$5,
"[Calendario].[AñoMes]",
"[Calendario].[AñoMes].&amp;[" &amp; TEXT(L$6,"yyyymm") &amp; "]",
"[Base].[Metrica]",
"[Base].[Metrica].&amp;[" &amp; $A56 &amp; "]",
"[Base].[SEGMENTO_DESCRIP]",
"[Base].[SEGMENTO_DESCRIP].&amp;[" &amp; $C$6 &amp; "]",
"[Base].[SITUACION]",
"[Base].[SITUACION].&amp;[" &amp; $C56 &amp; "]"
),0)/1000</f>
        <v>-1422.9024477564385</v>
      </c>
      <c r="M56" s="8">
        <f>IFERROR(
GETPIVOTDATA(
"[Base].[Importe]",
TDinamica_R!$A$5,
"[Calendario].[AñoMes]",
"[Calendario].[AñoMes].&amp;[" &amp; TEXT(M$6,"yyyymm") &amp; "]",
"[Base].[Metrica]",
"[Base].[Metrica].&amp;[" &amp; $A56 &amp; "]",
"[Base].[SEGMENTO_DESCRIP]",
"[Base].[SEGMENTO_DESCRIP].&amp;[" &amp; $C$6 &amp; "]",
"[Base].[SITUACION]",
"[Base].[SITUACION].&amp;[" &amp; $C56 &amp; "]"
),0)/1000</f>
        <v>-1900.0110891695035</v>
      </c>
      <c r="N56" s="8">
        <f>IFERROR(
GETPIVOTDATA(
"[Base].[Importe]",
TDinamica_R!$A$5,
"[Calendario].[AñoMes]",
"[Calendario].[AñoMes].&amp;[" &amp; TEXT(N$6,"yyyymm") &amp; "]",
"[Base].[Metrica]",
"[Base].[Metrica].&amp;[" &amp; $A56 &amp; "]",
"[Base].[SEGMENTO_DESCRIP]",
"[Base].[SEGMENTO_DESCRIP].&amp;[" &amp; $C$6 &amp; "]",
"[Base].[SITUACION]",
"[Base].[SITUACION].&amp;[" &amp; $C56 &amp; "]"
),0)/1000</f>
        <v>-1330.3678310630662</v>
      </c>
      <c r="O56" s="8">
        <f>IFERROR(
GETPIVOTDATA(
"[Base].[Importe]",
TDinamica_R!$A$5,
"[Calendario].[AñoMes]",
"[Calendario].[AñoMes].&amp;[" &amp; TEXT(O$6,"yyyymm") &amp; "]",
"[Base].[Metrica]",
"[Base].[Metrica].&amp;[" &amp; $A56 &amp; "]",
"[Base].[SEGMENTO_DESCRIP]",
"[Base].[SEGMENTO_DESCRIP].&amp;[" &amp; $C$6 &amp; "]",
"[Base].[SITUACION]",
"[Base].[SITUACION].&amp;[" &amp; $C56 &amp; "]"
),0)/1000</f>
        <v>-1699.5581902890913</v>
      </c>
      <c r="P56" s="8">
        <f>IFERROR(
GETPIVOTDATA(
"[Base].[Importe]",
TDinamica_R!$A$5,
"[Calendario].[AñoMes]",
"[Calendario].[AñoMes].&amp;[" &amp; TEXT(P$6,"yyyymm") &amp; "]",
"[Base].[Metrica]",
"[Base].[Metrica].&amp;[" &amp; $A56 &amp; "]",
"[Base].[SEGMENTO_DESCRIP]",
"[Base].[SEGMENTO_DESCRIP].&amp;[" &amp; $C$6 &amp; "]",
"[Base].[SITUACION]",
"[Base].[SITUACION].&amp;[" &amp; $C56 &amp; "]"
),0)/1000</f>
        <v>-2275.3401079509372</v>
      </c>
      <c r="Q56" s="8">
        <f>IFERROR(
GETPIVOTDATA(
"[Base].[Importe]",
TDinamica_R!$A$5,
"[Calendario].[AñoMes]",
"[Calendario].[AñoMes].&amp;[" &amp; TEXT(Q$6,"yyyymm") &amp; "]",
"[Base].[Metrica]",
"[Base].[Metrica].&amp;[" &amp; $A56 &amp; "]",
"[Base].[SEGMENTO_DESCRIP]",
"[Base].[SEGMENTO_DESCRIP].&amp;[" &amp; $C$6 &amp; "]",
"[Base].[SITUACION]",
"[Base].[SITUACION].&amp;[" &amp; $C56 &amp; "]"
),0)/1000</f>
        <v>-1065.8991405047429</v>
      </c>
      <c r="R56" s="8">
        <f>IFERROR(
GETPIVOTDATA(
"[Base].[Importe]",
TDinamica_R!$A$5,
"[Calendario].[AñoMes]",
"[Calendario].[AñoMes].&amp;[" &amp; TEXT(R$6,"yyyymm") &amp; "]",
"[Base].[Metrica]",
"[Base].[Metrica].&amp;[" &amp; $A56 &amp; "]",
"[Base].[SEGMENTO_DESCRIP]",
"[Base].[SEGMENTO_DESCRIP].&amp;[" &amp; $C$6 &amp; "]",
"[Base].[SITUACION]",
"[Base].[SITUACION].&amp;[" &amp; $C56 &amp; "]"
),0)/1000</f>
        <v>-1602.7119913121569</v>
      </c>
      <c r="S56" s="8">
        <f>IFERROR(
GETPIVOTDATA(
"[Base].[Importe]",
TDinamica_R!$A$5,
"[Calendario].[AñoMes]",
"[Calendario].[AñoMes].&amp;[" &amp; TEXT(S$6,"yyyymm") &amp; "]",
"[Base].[Metrica]",
"[Base].[Metrica].&amp;[" &amp; $A56 &amp; "]",
"[Base].[SEGMENTO_DESCRIP]",
"[Base].[SEGMENTO_DESCRIP].&amp;[" &amp; $C$6 &amp; "]",
"[Base].[SITUACION]",
"[Base].[SITUACION].&amp;[" &amp; $C56 &amp; "]"
),0)/1000</f>
        <v>-1097.0301693760052</v>
      </c>
      <c r="T56" s="8">
        <f>IFERROR(
GETPIVOTDATA(
"[Base].[Importe]",
TDinamica_R!$A$5,
"[Calendario].[AñoMes]",
"[Calendario].[AñoMes].&amp;[" &amp; TEXT(T$6,"yyyymm") &amp; "]",
"[Base].[Metrica]",
"[Base].[Metrica].&amp;[" &amp; $A56 &amp; "]",
"[Base].[SEGMENTO_DESCRIP]",
"[Base].[SEGMENTO_DESCRIP].&amp;[" &amp; $C$6 &amp; "]",
"[Base].[SITUACION]",
"[Base].[SITUACION].&amp;[" &amp; $C56 &amp; "]"
),0)/1000</f>
        <v>-940.85609024020357</v>
      </c>
      <c r="U56" s="8">
        <f>IFERROR(
GETPIVOTDATA(
"[Base].[Importe]",
TDinamica_R!$A$5,
"[Calendario].[AñoMes]",
"[Calendario].[AñoMes].&amp;[" &amp; TEXT(U$6,"yyyymm") &amp; "]",
"[Base].[Metrica]",
"[Base].[Metrica].&amp;[" &amp; $A56 &amp; "]",
"[Base].[SEGMENTO_DESCRIP]",
"[Base].[SEGMENTO_DESCRIP].&amp;[" &amp; $C$6 &amp; "]",
"[Base].[SITUACION]",
"[Base].[SITUACION].&amp;[" &amp; $C56 &amp; "]"
),0)/1000</f>
        <v>-781.5741096308202</v>
      </c>
      <c r="V56" s="8">
        <f>IFERROR(
GETPIVOTDATA(
"[Base].[Importe]",
TDinamica_R!$A$5,
"[Calendario].[AñoMes]",
"[Calendario].[AñoMes].&amp;[" &amp; TEXT(V$6,"yyyymm") &amp; "]",
"[Base].[Metrica]",
"[Base].[Metrica].&amp;[" &amp; $A56 &amp; "]",
"[Base].[SEGMENTO_DESCRIP]",
"[Base].[SEGMENTO_DESCRIP].&amp;[" &amp; $C$6 &amp; "]",
"[Base].[SITUACION]",
"[Base].[SITUACION].&amp;[" &amp; $C56 &amp; "]"
),0)/1000</f>
        <v>-677.86745992168221</v>
      </c>
      <c r="W56" s="8">
        <f>IFERROR(
GETPIVOTDATA(
"[Base].[Importe]",
TDinamica_R!$A$5,
"[Calendario].[AñoMes]",
"[Calendario].[AñoMes].&amp;[" &amp; TEXT(W$6,"yyyymm") &amp; "]",
"[Base].[Metrica]",
"[Base].[Metrica].&amp;[" &amp; $A56 &amp; "]",
"[Base].[SEGMENTO_DESCRIP]",
"[Base].[SEGMENTO_DESCRIP].&amp;[" &amp; $C$6 &amp; "]",
"[Base].[SITUACION]",
"[Base].[SITUACION].&amp;[" &amp; $C56 &amp; "]"
),0)/1000</f>
        <v>-410.68851634383157</v>
      </c>
      <c r="X56" s="8">
        <f>IFERROR(
GETPIVOTDATA(
"[Base].[Importe]",
TDinamica_R!$A$5,
"[Calendario].[AñoMes]",
"[Calendario].[AñoMes].&amp;[" &amp; TEXT(X$6,"yyyymm") &amp; "]",
"[Base].[Metrica]",
"[Base].[Metrica].&amp;[" &amp; $A56 &amp; "]",
"[Base].[SEGMENTO_DESCRIP]",
"[Base].[SEGMENTO_DESCRIP].&amp;[" &amp; $C$6 &amp; "]",
"[Base].[SITUACION]",
"[Base].[SITUACION].&amp;[" &amp; $C56 &amp; "]"
),0)/1000</f>
        <v>-426.17939498397703</v>
      </c>
      <c r="Y56" s="8">
        <f>IFERROR(
GETPIVOTDATA(
"[Base].[Importe]",
TDinamica_R!$A$5,
"[Calendario].[AñoMes]",
"[Calendario].[AñoMes].&amp;[" &amp; TEXT(Y$6,"yyyymm") &amp; "]",
"[Base].[Metrica]",
"[Base].[Metrica].&amp;[" &amp; $A56 &amp; "]",
"[Base].[SEGMENTO_DESCRIP]",
"[Base].[SEGMENTO_DESCRIP].&amp;[" &amp; $C$6 &amp; "]",
"[Base].[SITUACION]",
"[Base].[SITUACION].&amp;[" &amp; $C56 &amp; "]"
),0)/1000</f>
        <v>-491.29542449985428</v>
      </c>
      <c r="Z56" s="8">
        <f>IFERROR(
GETPIVOTDATA(
"[Base].[Importe]",
TDinamica_R!$A$5,
"[Calendario].[AñoMes]",
"[Calendario].[AñoMes].&amp;[" &amp; TEXT(Z$6,"yyyymm") &amp; "]",
"[Base].[Metrica]",
"[Base].[Metrica].&amp;[" &amp; $A56 &amp; "]",
"[Base].[SEGMENTO_DESCRIP]",
"[Base].[SEGMENTO_DESCRIP].&amp;[" &amp; $C$6 &amp; "]",
"[Base].[SITUACION]",
"[Base].[SITUACION].&amp;[" &amp; $C56 &amp; "]"
),0)/1000</f>
        <v>-245.7908112101926</v>
      </c>
      <c r="AA56" s="8">
        <f>IFERROR(
GETPIVOTDATA(
"[Base].[Importe]",
TDinamica_R!$A$5,
"[Calendario].[AñoMes]",
"[Calendario].[AñoMes].&amp;[" &amp; TEXT(AA$6,"yyyymm") &amp; "]",
"[Base].[Metrica]",
"[Base].[Metrica].&amp;[" &amp; $A56 &amp; "]",
"[Base].[SEGMENTO_DESCRIP]",
"[Base].[SEGMENTO_DESCRIP].&amp;[" &amp; $C$6 &amp; "]",
"[Base].[SITUACION]",
"[Base].[SITUACION].&amp;[" &amp; $C56 &amp; "]"
),0)/1000</f>
        <v>-253.42967601817199</v>
      </c>
      <c r="AB56" s="8">
        <f>IFERROR(
GETPIVOTDATA(
"[Base].[Importe]",
TDinamica_R!$A$5,
"[Calendario].[AñoMes]",
"[Calendario].[AñoMes].&amp;[" &amp; TEXT(AB$6,"yyyymm") &amp; "]",
"[Base].[Metrica]",
"[Base].[Metrica].&amp;[" &amp; $A56 &amp; "]",
"[Base].[SEGMENTO_DESCRIP]",
"[Base].[SEGMENTO_DESCRIP].&amp;[" &amp; $C$6 &amp; "]",
"[Base].[SITUACION]",
"[Base].[SITUACION].&amp;[" &amp; $C56 &amp; "]"
),0)/1000</f>
        <v>-551.89442594580441</v>
      </c>
      <c r="AC56" s="8">
        <f>IFERROR(
GETPIVOTDATA(
"[Base].[Importe]",
TDinamica_R!$A$5,
"[Calendario].[AñoMes]",
"[Calendario].[AñoMes].&amp;[" &amp; TEXT(AC$6,"yyyymm") &amp; "]",
"[Base].[Metrica]",
"[Base].[Metrica].&amp;[" &amp; $A56 &amp; "]",
"[Base].[SEGMENTO_DESCRIP]",
"[Base].[SEGMENTO_DESCRIP].&amp;[" &amp; $C$6 &amp; "]",
"[Base].[SITUACION]",
"[Base].[SITUACION].&amp;[" &amp; $C56 &amp; "]"
),0)/1000</f>
        <v>-378.83171179631233</v>
      </c>
      <c r="AD56" s="8">
        <f>IFERROR(
GETPIVOTDATA(
"[Base].[Importe]",
TDinamica_R!$A$5,
"[Calendario].[AñoMes]",
"[Calendario].[AñoMes].&amp;[" &amp; TEXT(AD$6,"yyyymm") &amp; "]",
"[Base].[Metrica]",
"[Base].[Metrica].&amp;[" &amp; $A56 &amp; "]",
"[Base].[SEGMENTO_DESCRIP]",
"[Base].[SEGMENTO_DESCRIP].&amp;[" &amp; $C$6 &amp; "]",
"[Base].[SITUACION]",
"[Base].[SITUACION].&amp;[" &amp; $C56 &amp; "]"
),0)/1000</f>
        <v>-497.29447999999996</v>
      </c>
      <c r="AE56" s="8">
        <f>IFERROR(
GETPIVOTDATA(
"[Base].[Importe]",
TDinamica_R!$A$5,
"[Calendario].[AñoMes]",
"[Calendario].[AñoMes].&amp;[" &amp; TEXT(AE$6,"yyyymm") &amp; "]",
"[Base].[Metrica]",
"[Base].[Metrica].&amp;[" &amp; $A56 &amp; "]",
"[Base].[SEGMENTO_DESCRIP]",
"[Base].[SEGMENTO_DESCRIP].&amp;[" &amp; $C$6 &amp; "]",
"[Base].[SITUACION]",
"[Base].[SITUACION].&amp;[" &amp; $C56 &amp; "]"
),0)/1000</f>
        <v>-487.76021000000009</v>
      </c>
      <c r="AF56" s="8">
        <f>IFERROR(
GETPIVOTDATA(
"[Base].[Importe]",
TDinamica_R!$A$5,
"[Calendario].[AñoMes]",
"[Calendario].[AñoMes].&amp;[" &amp; TEXT(AF$6,"yyyymm") &amp; "]",
"[Base].[Metrica]",
"[Base].[Metrica].&amp;[" &amp; $A56 &amp; "]",
"[Base].[SEGMENTO_DESCRIP]",
"[Base].[SEGMENTO_DESCRIP].&amp;[" &amp; $C$6 &amp; "]",
"[Base].[SITUACION]",
"[Base].[SITUACION].&amp;[" &amp; $C56 &amp; "]"
),0)/1000</f>
        <v>-491.94037000000003</v>
      </c>
      <c r="AG56" s="8">
        <f>IFERROR(
GETPIVOTDATA(
"[Base].[Importe]",
TDinamica_R!$A$5,
"[Calendario].[AñoMes]",
"[Calendario].[AñoMes].&amp;[" &amp; TEXT(AG$6,"yyyymm") &amp; "]",
"[Base].[Metrica]",
"[Base].[Metrica].&amp;[" &amp; $A56 &amp; "]",
"[Base].[SEGMENTO_DESCRIP]",
"[Base].[SEGMENTO_DESCRIP].&amp;[" &amp; $C$6 &amp; "]",
"[Base].[SITUACION]",
"[Base].[SITUACION].&amp;[" &amp; $C56 &amp; "]"
),0)/1000</f>
        <v>-431.13873000000001</v>
      </c>
      <c r="AH56" s="8">
        <f>IFERROR(
GETPIVOTDATA(
"[Base].[Importe]",
TDinamica_R!$A$5,
"[Calendario].[AñoMes]",
"[Calendario].[AñoMes].&amp;[" &amp; TEXT(AH$6,"yyyymm") &amp; "]",
"[Base].[Metrica]",
"[Base].[Metrica].&amp;[" &amp; $A56 &amp; "]",
"[Base].[SEGMENTO_DESCRIP]",
"[Base].[SEGMENTO_DESCRIP].&amp;[" &amp; $C$6 &amp; "]",
"[Base].[SITUACION]",
"[Base].[SITUACION].&amp;[" &amp; $C56 &amp; "]"
),0)/1000</f>
        <v>-444.57818999999995</v>
      </c>
      <c r="AI56" s="8">
        <f>IFERROR(
GETPIVOTDATA(
"[Base].[Importe]",
TDinamica_R!$A$5,
"[Calendario].[AñoMes]",
"[Calendario].[AñoMes].&amp;[" &amp; TEXT(AI$6,"yyyymm") &amp; "]",
"[Base].[Metrica]",
"[Base].[Metrica].&amp;[" &amp; $A56 &amp; "]",
"[Base].[SEGMENTO_DESCRIP]",
"[Base].[SEGMENTO_DESCRIP].&amp;[" &amp; $C$6 &amp; "]",
"[Base].[SITUACION]",
"[Base].[SITUACION].&amp;[" &amp; $C56 &amp; "]"
),0)/1000</f>
        <v>-294.57682389360497</v>
      </c>
      <c r="AJ56" s="8">
        <f>IFERROR(
GETPIVOTDATA(
"[Base].[Importe]",
TDinamica_R!$A$5,
"[Calendario].[AñoMes]",
"[Calendario].[AñoMes].&amp;[" &amp; TEXT(AJ$6,"yyyymm") &amp; "]",
"[Base].[Metrica]",
"[Base].[Metrica].&amp;[" &amp; $A56 &amp; "]",
"[Base].[SEGMENTO_DESCRIP]",
"[Base].[SEGMENTO_DESCRIP].&amp;[" &amp; $C$6 &amp; "]",
"[Base].[SITUACION]",
"[Base].[SITUACION].&amp;[" &amp; $C56 &amp; "]"
),0)/1000</f>
        <v>-471.018698045262</v>
      </c>
      <c r="AK56" s="8">
        <f>IFERROR(
GETPIVOTDATA(
"[Base].[Importe]",
TDinamica_R!$A$5,
"[Calendario].[AñoMes]",
"[Calendario].[AñoMes].&amp;[" &amp; TEXT(AK$6,"yyyymm") &amp; "]",
"[Base].[Metrica]",
"[Base].[Metrica].&amp;[" &amp; $A56 &amp; "]",
"[Base].[SEGMENTO_DESCRIP]",
"[Base].[SEGMENTO_DESCRIP].&amp;[" &amp; $C$6 &amp; "]",
"[Base].[SITUACION]",
"[Base].[SITUACION].&amp;[" &amp; $C56 &amp; "]"
),0)/1000</f>
        <v>-464.68795655475498</v>
      </c>
      <c r="AL56" s="8">
        <f>IFERROR(
GETPIVOTDATA(
"[Base].[Importe]",
TDinamica_R!$A$5,
"[Calendario].[AñoMes]",
"[Calendario].[AñoMes].&amp;[" &amp; TEXT(AL$6,"yyyymm") &amp; "]",
"[Base].[Metrica]",
"[Base].[Metrica].&amp;[" &amp; $A56 &amp; "]",
"[Base].[SEGMENTO_DESCRIP]",
"[Base].[SEGMENTO_DESCRIP].&amp;[" &amp; $C$6 &amp; "]",
"[Base].[SITUACION]",
"[Base].[SITUACION].&amp;[" &amp; $C56 &amp; "]"
),0)/1000</f>
        <v>-174.94902999999999</v>
      </c>
      <c r="AM56" s="8">
        <f>IFERROR(
GETPIVOTDATA(
"[Base].[Importe]",
TDinamica_R!$A$5,
"[Calendario].[AñoMes]",
"[Calendario].[AñoMes].&amp;[" &amp; TEXT(AM$6,"yyyymm") &amp; "]",
"[Base].[Metrica]",
"[Base].[Metrica].&amp;[" &amp; $A56 &amp; "]",
"[Base].[SEGMENTO_DESCRIP]",
"[Base].[SEGMENTO_DESCRIP].&amp;[" &amp; $C$6 &amp; "]",
"[Base].[SITUACION]",
"[Base].[SITUACION].&amp;[" &amp; $C56 &amp; "]"
),0)/1000</f>
        <v>-268.17396399999996</v>
      </c>
      <c r="AN56" s="8">
        <f>IFERROR(
GETPIVOTDATA(
"[Base].[Importe]",
TDinamica_R!$A$5,
"[Calendario].[AñoMes]",
"[Calendario].[AñoMes].&amp;[" &amp; TEXT(AN$6,"yyyymm") &amp; "]",
"[Base].[Metrica]",
"[Base].[Metrica].&amp;[" &amp; $A56 &amp; "]",
"[Base].[SEGMENTO_DESCRIP]",
"[Base].[SEGMENTO_DESCRIP].&amp;[" &amp; $C$6 &amp; "]",
"[Base].[SITUACION]",
"[Base].[SITUACION].&amp;[" &amp; $C56 &amp; "]"
),0)/1000</f>
        <v>-219.10590999999999</v>
      </c>
      <c r="AO56" s="8">
        <f>IFERROR(
GETPIVOTDATA(
"[Base].[Importe]",
TDinamica_R!$A$5,
"[Calendario].[AñoMes]",
"[Calendario].[AñoMes].&amp;[" &amp; TEXT(AO$6,"yyyymm") &amp; "]",
"[Base].[Metrica]",
"[Base].[Metrica].&amp;[" &amp; $A56 &amp; "]",
"[Base].[SEGMENTO_DESCRIP]",
"[Base].[SEGMENTO_DESCRIP].&amp;[" &amp; $C$6 &amp; "]",
"[Base].[SITUACION]",
"[Base].[SITUACION].&amp;[" &amp; $C56 &amp; "]"
),0)/1000</f>
        <v>-380.08696999999995</v>
      </c>
      <c r="AP56" s="8">
        <f>IFERROR(
GETPIVOTDATA(
"[Base].[Importe]",
TDinamica_R!$A$5,
"[Calendario].[AñoMes]",
"[Calendario].[AñoMes].&amp;[" &amp; TEXT(AP$6,"yyyymm") &amp; "]",
"[Base].[Metrica]",
"[Base].[Metrica].&amp;[" &amp; $A56 &amp; "]",
"[Base].[SEGMENTO_DESCRIP]",
"[Base].[SEGMENTO_DESCRIP].&amp;[" &amp; $C$6 &amp; "]",
"[Base].[SITUACION]",
"[Base].[SITUACION].&amp;[" &amp; $C56 &amp; "]"
),0)/1000</f>
        <v>-204.57328316019999</v>
      </c>
      <c r="AQ56" s="8">
        <f>IFERROR(
GETPIVOTDATA(
"[Base].[Importe]",
TDinamica_R!$A$5,
"[Calendario].[AñoMes]",
"[Calendario].[AñoMes].&amp;[" &amp; TEXT(AQ$6,"yyyymm") &amp; "]",
"[Base].[Metrica]",
"[Base].[Metrica].&amp;[" &amp; $A56 &amp; "]",
"[Base].[SEGMENTO_DESCRIP]",
"[Base].[SEGMENTO_DESCRIP].&amp;[" &amp; $C$6 &amp; "]",
"[Base].[SITUACION]",
"[Base].[SITUACION].&amp;[" &amp; $C56 &amp; "]"
),0)/1000</f>
        <v>-370.07303999999999</v>
      </c>
      <c r="AR56" s="8">
        <f>IFERROR(
GETPIVOTDATA(
"[Base].[Importe]",
TDinamica_R!$A$5,
"[Calendario].[AñoMes]",
"[Calendario].[AñoMes].&amp;[" &amp; TEXT(AR$6,"yyyymm") &amp; "]",
"[Base].[Metrica]",
"[Base].[Metrica].&amp;[" &amp; $A56 &amp; "]",
"[Base].[SEGMENTO_DESCRIP]",
"[Base].[SEGMENTO_DESCRIP].&amp;[" &amp; $C$6 &amp; "]",
"[Base].[SITUACION]",
"[Base].[SITUACION].&amp;[" &amp; $C56 &amp; "]"
),0)/1000</f>
        <v>-418.23928000000001</v>
      </c>
      <c r="AS56" s="8">
        <f>IFERROR(
GETPIVOTDATA(
"[Base].[Importe]",
TDinamica_R!$A$5,
"[Calendario].[AñoMes]",
"[Calendario].[AñoMes].&amp;[" &amp; TEXT(AS$6,"yyyymm") &amp; "]",
"[Base].[Metrica]",
"[Base].[Metrica].&amp;[" &amp; $A56 &amp; "]",
"[Base].[SEGMENTO_DESCRIP]",
"[Base].[SEGMENTO_DESCRIP].&amp;[" &amp; $C$6 &amp; "]",
"[Base].[SITUACION]",
"[Base].[SITUACION].&amp;[" &amp; $C56 &amp; "]"
),0)/1000</f>
        <v>-489.37834000000004</v>
      </c>
      <c r="AT56" s="8">
        <f>IFERROR(
GETPIVOTDATA(
"[Base].[Importe]",
TDinamica_R!$A$5,
"[Calendario].[AñoMes]",
"[Calendario].[AñoMes].&amp;[" &amp; TEXT(AT$6,"yyyymm")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U56" s="8">
        <f>IFERROR(
GETPIVOTDATA(
"[Base].[Importe]",
TDinamica_R!$A$5,
"[Calendario].[AñoMes]",
"[Calendario].[AñoMes].&amp;[" &amp; TEXT(AU$6,"yyyymm")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V56" s="8">
        <f>IFERROR(
GETPIVOTDATA(
"[Base].[Importe]",
TDinamica_R!$A$5,
"[Calendario].[AñoMes]",
"[Calendario].[AñoMes].&amp;[" &amp; TEXT(AV$6,"yyyymm")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W56" s="8">
        <f>IFERROR(
GETPIVOTDATA(
"[Base].[Importe]",
TDinamica_R!$A$5,
"[Calendario].[AñoMes]",
"[Calendario].[AñoMes].&amp;[" &amp; TEXT(AW$6,"yyyymm")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X56" s="8">
        <f>IFERROR(
GETPIVOTDATA(
"[Base].[Importe]",
TDinamica_R!$A$5,
"[Calendario].[AñoMes]",
"[Calendario].[AñoMes].&amp;[" &amp; TEXT(AX$6,"yyyymm")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Y56" s="8">
        <f>IFERROR(
GETPIVOTDATA(
"[Base].[Importe]",
TDinamica_R!$A$5,
"[Calendario].[AñoMes]",
"[Calendario].[AñoMes].&amp;[" &amp; TEXT(AY$6,"yyyymm")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Z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TEXT(AZ$6,"yyyymm") &amp; "]"
),
0
)</f>
        <v>-252.7598450618793</v>
      </c>
      <c r="BA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TEXT(BA$6,"yyyymm") &amp; "]"
),
0
)</f>
        <v>-253.21840365138118</v>
      </c>
      <c r="BB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TEXT(BB$6,"yyyymm") &amp; "]"
),
0
)</f>
        <v>-262.40138356073976</v>
      </c>
      <c r="BC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TEXT(BC$6,"yyyymm") &amp; "]"
),
0
)</f>
        <v>-304.2615108307416</v>
      </c>
      <c r="BD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TEXT(BD$6,"yyyymm") &amp; "]"
),
0
)</f>
        <v>-248.89224300428711</v>
      </c>
      <c r="BE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TEXT(BE$6,"yyyymm") &amp; "]"
),
0
)</f>
        <v>-265.62445205615001</v>
      </c>
      <c r="BF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TEXT(BF$6,"yyyymm") &amp; "]"
),
0
)</f>
        <v>-243.09391981126143</v>
      </c>
      <c r="BG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TEXT(BG$6,"yyyymm") &amp; "]"
),
0
)</f>
        <v>-366.96180718994503</v>
      </c>
      <c r="BH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TEXT(BH$6,"yyyymm") &amp; "]"
),
0
)</f>
        <v>-237.06893837389933</v>
      </c>
      <c r="BI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TEXT(BI$6,"yyyymm") &amp; "]"
),
0
)</f>
        <v>-317.78554708656986</v>
      </c>
      <c r="BJ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TEXT(BJ$6,"yyyymm") &amp; "]"
),
0
)</f>
        <v>-293.75055540138959</v>
      </c>
      <c r="BK56" s="8">
        <f>IFERROR(
GETPIVOTDATA(
"[Base_PPE].[Importe]",
TDinamica_P!$A$4,
"[Base_PPE].[Metrica]",
"[Base_PPE].[Metrica].&amp;[" &amp; TRIM($A56) &amp; "]",
"[Base_PPE].[SITUACION]",
"[Base_PPE].[SITUACION].&amp;[" &amp; TRIM($C56) &amp; "]",
"[Base_PPE].[SEGMENTO_DESCRIP]",
"[Base_PPE].[SEGMENTO_DESCRIP].&amp;[" &amp; TRIM($C$6) &amp; "]",
"[Base_PPE].[Periodo]",
"[Base_PPE].[Periodo].&amp;[" &amp; TEXT(BK$6,"yyyymm") &amp; "]"
),
0
)</f>
        <v>-297.0514073094281</v>
      </c>
      <c r="BO56" s="24">
        <f t="shared" ref="BO56:BT57" si="58">SUMIFS($D56:$BM56,$D$6:$BM$6,"&gt;="&amp;BO$2,$D$6:$BM$6,"&lt;="&amp;BO$6,$D$5:$BM$5,BO$5)</f>
        <v>-803.76616316019999</v>
      </c>
      <c r="BP56" s="24">
        <f t="shared" si="58"/>
        <v>-768.37963227400019</v>
      </c>
      <c r="BQ56" s="24">
        <f t="shared" si="58"/>
        <v>-599.19287999999995</v>
      </c>
      <c r="BR56" s="24">
        <f t="shared" si="58"/>
        <v>-1428.0206177421167</v>
      </c>
      <c r="BS56" s="24">
        <f t="shared" si="58"/>
        <v>-4943.9512397678373</v>
      </c>
      <c r="BT56" s="24">
        <f t="shared" si="58"/>
        <v>-2646.0562513648902</v>
      </c>
    </row>
    <row r="57" spans="1:72" hidden="1" outlineLevel="1" x14ac:dyDescent="0.25">
      <c r="A57" s="11" t="s">
        <v>65</v>
      </c>
      <c r="C57" s="2" t="s">
        <v>69</v>
      </c>
      <c r="D57" s="8">
        <f>IFERROR(
GETPIVOTDATA(
"[Base].[Importe]",
TDinamica_R!$A$5,
"[Calendario].[AñoMes]",
"[Calendario].[AñoMes].&amp;[" &amp; TEXT(D$6,"yyyymm") &amp; "]",
"[Base].[Metrica]",
"[Base].[Metrica].&amp;[" &amp; $A57 &amp; "]",
"[Base].[SEGMENTO_DESCRIP]",
"[Base].[SEGMENTO_DESCRIP].&amp;[" &amp; $C$6 &amp; "]",
"[Base].[SITUACION]",
"[Base].[SITUACION].&amp;[" &amp; $C57 &amp; "]"
),0)/1000</f>
        <v>52.755367391412044</v>
      </c>
      <c r="E57" s="8">
        <f>IFERROR(
GETPIVOTDATA(
"[Base].[Importe]",
TDinamica_R!$A$5,
"[Calendario].[AñoMes]",
"[Calendario].[AñoMes].&amp;[" &amp; TEXT(E$6,"yyyymm") &amp; "]",
"[Base].[Metrica]",
"[Base].[Metrica].&amp;[" &amp; $A57 &amp; "]",
"[Base].[SEGMENTO_DESCRIP]",
"[Base].[SEGMENTO_DESCRIP].&amp;[" &amp; $C$6 &amp; "]",
"[Base].[SITUACION]",
"[Base].[SITUACION].&amp;[" &amp; $C57 &amp; "]"
),0)/1000</f>
        <v>64.120431676168678</v>
      </c>
      <c r="F57" s="8">
        <f>IFERROR(
GETPIVOTDATA(
"[Base].[Importe]",
TDinamica_R!$A$5,
"[Calendario].[AñoMes]",
"[Calendario].[AñoMes].&amp;[" &amp; TEXT(F$6,"yyyymm") &amp; "]",
"[Base].[Metrica]",
"[Base].[Metrica].&amp;[" &amp; $A57 &amp; "]",
"[Base].[SEGMENTO_DESCRIP]",
"[Base].[SEGMENTO_DESCRIP].&amp;[" &amp; $C$6 &amp; "]",
"[Base].[SITUACION]",
"[Base].[SITUACION].&amp;[" &amp; $C57 &amp; "]"
),0)/1000</f>
        <v>62.427017934832975</v>
      </c>
      <c r="G57" s="8">
        <f>IFERROR(
GETPIVOTDATA(
"[Base].[Importe]",
TDinamica_R!$A$5,
"[Calendario].[AñoMes]",
"[Calendario].[AñoMes].&amp;[" &amp; TEXT(G$6,"yyyymm") &amp; "]",
"[Base].[Metrica]",
"[Base].[Metrica].&amp;[" &amp; $A57 &amp; "]",
"[Base].[SEGMENTO_DESCRIP]",
"[Base].[SEGMENTO_DESCRIP].&amp;[" &amp; $C$6 &amp; "]",
"[Base].[SITUACION]",
"[Base].[SITUACION].&amp;[" &amp; $C57 &amp; "]"
),0)/1000</f>
        <v>46.032984074799067</v>
      </c>
      <c r="H57" s="8">
        <f>IFERROR(
GETPIVOTDATA(
"[Base].[Importe]",
TDinamica_R!$A$5,
"[Calendario].[AñoMes]",
"[Calendario].[AñoMes].&amp;[" &amp; TEXT(H$6,"yyyymm") &amp; "]",
"[Base].[Metrica]",
"[Base].[Metrica].&amp;[" &amp; $A57 &amp; "]",
"[Base].[SEGMENTO_DESCRIP]",
"[Base].[SEGMENTO_DESCRIP].&amp;[" &amp; $C$6 &amp; "]",
"[Base].[SITUACION]",
"[Base].[SITUACION].&amp;[" &amp; $C57 &amp; "]"
),0)/1000</f>
        <v>45.045971585253525</v>
      </c>
      <c r="I57" s="8">
        <f>IFERROR(
GETPIVOTDATA(
"[Base].[Importe]",
TDinamica_R!$A$5,
"[Calendario].[AñoMes]",
"[Calendario].[AñoMes].&amp;[" &amp; TEXT(I$6,"yyyymm") &amp; "]",
"[Base].[Metrica]",
"[Base].[Metrica].&amp;[" &amp; $A57 &amp; "]",
"[Base].[SEGMENTO_DESCRIP]",
"[Base].[SEGMENTO_DESCRIP].&amp;[" &amp; $C$6 &amp; "]",
"[Base].[SITUACION]",
"[Base].[SITUACION].&amp;[" &amp; $C57 &amp; "]"
),0)/1000</f>
        <v>54.011688453168233</v>
      </c>
      <c r="J57" s="8">
        <f>IFERROR(
GETPIVOTDATA(
"[Base].[Importe]",
TDinamica_R!$A$5,
"[Calendario].[AñoMes]",
"[Calendario].[AñoMes].&amp;[" &amp; TEXT(J$6,"yyyymm") &amp; "]",
"[Base].[Metrica]",
"[Base].[Metrica].&amp;[" &amp; $A57 &amp; "]",
"[Base].[SEGMENTO_DESCRIP]",
"[Base].[SEGMENTO_DESCRIP].&amp;[" &amp; $C$6 &amp; "]",
"[Base].[SITUACION]",
"[Base].[SITUACION].&amp;[" &amp; $C57 &amp; "]"
),0)/1000</f>
        <v>41.892345670902834</v>
      </c>
      <c r="K57" s="8">
        <f>IFERROR(
GETPIVOTDATA(
"[Base].[Importe]",
TDinamica_R!$A$5,
"[Calendario].[AñoMes]",
"[Calendario].[AñoMes].&amp;[" &amp; TEXT(K$6,"yyyymm") &amp; "]",
"[Base].[Metrica]",
"[Base].[Metrica].&amp;[" &amp; $A57 &amp; "]",
"[Base].[SEGMENTO_DESCRIP]",
"[Base].[SEGMENTO_DESCRIP].&amp;[" &amp; $C$6 &amp; "]",
"[Base].[SITUACION]",
"[Base].[SITUACION].&amp;[" &amp; $C57 &amp; "]"
),0)/1000</f>
        <v>54.436118065056966</v>
      </c>
      <c r="L57" s="8">
        <f>IFERROR(
GETPIVOTDATA(
"[Base].[Importe]",
TDinamica_R!$A$5,
"[Calendario].[AñoMes]",
"[Calendario].[AñoMes].&amp;[" &amp; TEXT(L$6,"yyyymm") &amp; "]",
"[Base].[Metrica]",
"[Base].[Metrica].&amp;[" &amp; $A57 &amp; "]",
"[Base].[SEGMENTO_DESCRIP]",
"[Base].[SEGMENTO_DESCRIP].&amp;[" &amp; $C$6 &amp; "]",
"[Base].[SITUACION]",
"[Base].[SITUACION].&amp;[" &amp; $C57 &amp; "]"
),0)/1000</f>
        <v>31.670592387553516</v>
      </c>
      <c r="M57" s="8">
        <f>IFERROR(
GETPIVOTDATA(
"[Base].[Importe]",
TDinamica_R!$A$5,
"[Calendario].[AñoMes]",
"[Calendario].[AñoMes].&amp;[" &amp; TEXT(M$6,"yyyymm") &amp; "]",
"[Base].[Metrica]",
"[Base].[Metrica].&amp;[" &amp; $A57 &amp; "]",
"[Base].[SEGMENTO_DESCRIP]",
"[Base].[SEGMENTO_DESCRIP].&amp;[" &amp; $C$6 &amp; "]",
"[Base].[SITUACION]",
"[Base].[SITUACION].&amp;[" &amp; $C57 &amp; "]"
),0)/1000</f>
        <v>41.361291827684205</v>
      </c>
      <c r="N57" s="8">
        <f>IFERROR(
GETPIVOTDATA(
"[Base].[Importe]",
TDinamica_R!$A$5,
"[Calendario].[AñoMes]",
"[Calendario].[AñoMes].&amp;[" &amp; TEXT(N$6,"yyyymm") &amp; "]",
"[Base].[Metrica]",
"[Base].[Metrica].&amp;[" &amp; $A57 &amp; "]",
"[Base].[SEGMENTO_DESCRIP]",
"[Base].[SEGMENTO_DESCRIP].&amp;[" &amp; $C$6 &amp; "]",
"[Base].[SITUACION]",
"[Base].[SITUACION].&amp;[" &amp; $C57 &amp; "]"
),0)/1000</f>
        <v>48.352243911908793</v>
      </c>
      <c r="O57" s="8">
        <f>IFERROR(
GETPIVOTDATA(
"[Base].[Importe]",
TDinamica_R!$A$5,
"[Calendario].[AñoMes]",
"[Calendario].[AñoMes].&amp;[" &amp; TEXT(O$6,"yyyymm") &amp; "]",
"[Base].[Metrica]",
"[Base].[Metrica].&amp;[" &amp; $A57 &amp; "]",
"[Base].[SEGMENTO_DESCRIP]",
"[Base].[SEGMENTO_DESCRIP].&amp;[" &amp; $C$6 &amp; "]",
"[Base].[SITUACION]",
"[Base].[SITUACION].&amp;[" &amp; $C57 &amp; "]"
),0)/1000</f>
        <v>35.471160739673259</v>
      </c>
      <c r="P57" s="8">
        <f>IFERROR(
GETPIVOTDATA(
"[Base].[Importe]",
TDinamica_R!$A$5,
"[Calendario].[AñoMes]",
"[Calendario].[AñoMes].&amp;[" &amp; TEXT(P$6,"yyyymm") &amp; "]",
"[Base].[Metrica]",
"[Base].[Metrica].&amp;[" &amp; $A57 &amp; "]",
"[Base].[SEGMENTO_DESCRIP]",
"[Base].[SEGMENTO_DESCRIP].&amp;[" &amp; $C$6 &amp; "]",
"[Base].[SITUACION]",
"[Base].[SITUACION].&amp;[" &amp; $C57 &amp; "]"
),0)/1000</f>
        <v>47.68287999999999</v>
      </c>
      <c r="Q57" s="8">
        <f>IFERROR(
GETPIVOTDATA(
"[Base].[Importe]",
TDinamica_R!$A$5,
"[Calendario].[AñoMes]",
"[Calendario].[AñoMes].&amp;[" &amp; TEXT(Q$6,"yyyymm") &amp; "]",
"[Base].[Metrica]",
"[Base].[Metrica].&amp;[" &amp; $A57 &amp; "]",
"[Base].[SEGMENTO_DESCRIP]",
"[Base].[SEGMENTO_DESCRIP].&amp;[" &amp; $C$6 &amp; "]",
"[Base].[SITUACION]",
"[Base].[SITUACION].&amp;[" &amp; $C57 &amp; "]"
),0)/1000</f>
        <v>62.623919999999998</v>
      </c>
      <c r="R57" s="8">
        <f>IFERROR(
GETPIVOTDATA(
"[Base].[Importe]",
TDinamica_R!$A$5,
"[Calendario].[AñoMes]",
"[Calendario].[AñoMes].&amp;[" &amp; TEXT(R$6,"yyyymm") &amp; "]",
"[Base].[Metrica]",
"[Base].[Metrica].&amp;[" &amp; $A57 &amp; "]",
"[Base].[SEGMENTO_DESCRIP]",
"[Base].[SEGMENTO_DESCRIP].&amp;[" &amp; $C$6 &amp; "]",
"[Base].[SITUACION]",
"[Base].[SITUACION].&amp;[" &amp; $C57 &amp; "]"
),0)/1000</f>
        <v>90.084009999999992</v>
      </c>
      <c r="S57" s="8">
        <f>IFERROR(
GETPIVOTDATA(
"[Base].[Importe]",
TDinamica_R!$A$5,
"[Calendario].[AñoMes]",
"[Calendario].[AñoMes].&amp;[" &amp; TEXT(S$6,"yyyymm") &amp; "]",
"[Base].[Metrica]",
"[Base].[Metrica].&amp;[" &amp; $A57 &amp; "]",
"[Base].[SEGMENTO_DESCRIP]",
"[Base].[SEGMENTO_DESCRIP].&amp;[" &amp; $C$6 &amp; "]",
"[Base].[SITUACION]",
"[Base].[SITUACION].&amp;[" &amp; $C57 &amp; "]"
),0)/1000</f>
        <v>66.052580000000006</v>
      </c>
      <c r="T57" s="8">
        <f>IFERROR(
GETPIVOTDATA(
"[Base].[Importe]",
TDinamica_R!$A$5,
"[Calendario].[AñoMes]",
"[Calendario].[AñoMes].&amp;[" &amp; TEXT(T$6,"yyyymm") &amp; "]",
"[Base].[Metrica]",
"[Base].[Metrica].&amp;[" &amp; $A57 &amp; "]",
"[Base].[SEGMENTO_DESCRIP]",
"[Base].[SEGMENTO_DESCRIP].&amp;[" &amp; $C$6 &amp; "]",
"[Base].[SITUACION]",
"[Base].[SITUACION].&amp;[" &amp; $C57 &amp; "]"
),0)/1000</f>
        <v>131.75838000000002</v>
      </c>
      <c r="U57" s="8">
        <f>IFERROR(
GETPIVOTDATA(
"[Base].[Importe]",
TDinamica_R!$A$5,
"[Calendario].[AñoMes]",
"[Calendario].[AñoMes].&amp;[" &amp; TEXT(U$6,"yyyymm") &amp; "]",
"[Base].[Metrica]",
"[Base].[Metrica].&amp;[" &amp; $A57 &amp; "]",
"[Base].[SEGMENTO_DESCRIP]",
"[Base].[SEGMENTO_DESCRIP].&amp;[" &amp; $C$6 &amp; "]",
"[Base].[SITUACION]",
"[Base].[SITUACION].&amp;[" &amp; $C57 &amp; "]"
),0)/1000</f>
        <v>89.446439999999996</v>
      </c>
      <c r="V57" s="8">
        <f>IFERROR(
GETPIVOTDATA(
"[Base].[Importe]",
TDinamica_R!$A$5,
"[Calendario].[AñoMes]",
"[Calendario].[AñoMes].&amp;[" &amp; TEXT(V$6,"yyyymm") &amp; "]",
"[Base].[Metrica]",
"[Base].[Metrica].&amp;[" &amp; $A57 &amp; "]",
"[Base].[SEGMENTO_DESCRIP]",
"[Base].[SEGMENTO_DESCRIP].&amp;[" &amp; $C$6 &amp; "]",
"[Base].[SITUACION]",
"[Base].[SITUACION].&amp;[" &amp; $C57 &amp; "]"
),0)/1000</f>
        <v>126.19422</v>
      </c>
      <c r="W57" s="8">
        <f>IFERROR(
GETPIVOTDATA(
"[Base].[Importe]",
TDinamica_R!$A$5,
"[Calendario].[AñoMes]",
"[Calendario].[AñoMes].&amp;[" &amp; TEXT(W$6,"yyyymm") &amp; "]",
"[Base].[Metrica]",
"[Base].[Metrica].&amp;[" &amp; $A57 &amp; "]",
"[Base].[SEGMENTO_DESCRIP]",
"[Base].[SEGMENTO_DESCRIP].&amp;[" &amp; $C$6 &amp; "]",
"[Base].[SITUACION]",
"[Base].[SITUACION].&amp;[" &amp; $C57 &amp; "]"
),0)/1000</f>
        <v>94.257589999999993</v>
      </c>
      <c r="X57" s="8">
        <f>IFERROR(
GETPIVOTDATA(
"[Base].[Importe]",
TDinamica_R!$A$5,
"[Calendario].[AñoMes]",
"[Calendario].[AñoMes].&amp;[" &amp; TEXT(X$6,"yyyymm") &amp; "]",
"[Base].[Metrica]",
"[Base].[Metrica].&amp;[" &amp; $A57 &amp; "]",
"[Base].[SEGMENTO_DESCRIP]",
"[Base].[SEGMENTO_DESCRIP].&amp;[" &amp; $C$6 &amp; "]",
"[Base].[SITUACION]",
"[Base].[SITUACION].&amp;[" &amp; $C57 &amp; "]"
),0)/1000</f>
        <v>162.09956</v>
      </c>
      <c r="Y57" s="8">
        <f>IFERROR(
GETPIVOTDATA(
"[Base].[Importe]",
TDinamica_R!$A$5,
"[Calendario].[AñoMes]",
"[Calendario].[AñoMes].&amp;[" &amp; TEXT(Y$6,"yyyymm") &amp; "]",
"[Base].[Metrica]",
"[Base].[Metrica].&amp;[" &amp; $A57 &amp; "]",
"[Base].[SEGMENTO_DESCRIP]",
"[Base].[SEGMENTO_DESCRIP].&amp;[" &amp; $C$6 &amp; "]",
"[Base].[SITUACION]",
"[Base].[SITUACION].&amp;[" &amp; $C57 &amp; "]"
),0)/1000</f>
        <v>103.56205</v>
      </c>
      <c r="Z57" s="8">
        <f>IFERROR(
GETPIVOTDATA(
"[Base].[Importe]",
TDinamica_R!$A$5,
"[Calendario].[AñoMes]",
"[Calendario].[AñoMes].&amp;[" &amp; TEXT(Z$6,"yyyymm") &amp; "]",
"[Base].[Metrica]",
"[Base].[Metrica].&amp;[" &amp; $A57 &amp; "]",
"[Base].[SEGMENTO_DESCRIP]",
"[Base].[SEGMENTO_DESCRIP].&amp;[" &amp; $C$6 &amp; "]",
"[Base].[SITUACION]",
"[Base].[SITUACION].&amp;[" &amp; $C57 &amp; "]"
),0)/1000</f>
        <v>110.00506</v>
      </c>
      <c r="AA57" s="8">
        <f>IFERROR(
GETPIVOTDATA(
"[Base].[Importe]",
TDinamica_R!$A$5,
"[Calendario].[AñoMes]",
"[Calendario].[AñoMes].&amp;[" &amp; TEXT(AA$6,"yyyymm") &amp; "]",
"[Base].[Metrica]",
"[Base].[Metrica].&amp;[" &amp; $A57 &amp; "]",
"[Base].[SEGMENTO_DESCRIP]",
"[Base].[SEGMENTO_DESCRIP].&amp;[" &amp; $C$6 &amp; "]",
"[Base].[SITUACION]",
"[Base].[SITUACION].&amp;[" &amp; $C57 &amp; "]"
),0)/1000</f>
        <v>90.200699999999983</v>
      </c>
      <c r="AB57" s="8">
        <f>IFERROR(
GETPIVOTDATA(
"[Base].[Importe]",
TDinamica_R!$A$5,
"[Calendario].[AñoMes]",
"[Calendario].[AñoMes].&amp;[" &amp; TEXT(AB$6,"yyyymm") &amp; "]",
"[Base].[Metrica]",
"[Base].[Metrica].&amp;[" &amp; $A57 &amp; "]",
"[Base].[SEGMENTO_DESCRIP]",
"[Base].[SEGMENTO_DESCRIP].&amp;[" &amp; $C$6 &amp; "]",
"[Base].[SITUACION]",
"[Base].[SITUACION].&amp;[" &amp; $C57 &amp; "]"
),0)/1000</f>
        <v>124.04759</v>
      </c>
      <c r="AC57" s="8">
        <f>IFERROR(
GETPIVOTDATA(
"[Base].[Importe]",
TDinamica_R!$A$5,
"[Calendario].[AñoMes]",
"[Calendario].[AñoMes].&amp;[" &amp; TEXT(AC$6,"yyyymm") &amp; "]",
"[Base].[Metrica]",
"[Base].[Metrica].&amp;[" &amp; $A57 &amp; "]",
"[Base].[SEGMENTO_DESCRIP]",
"[Base].[SEGMENTO_DESCRIP].&amp;[" &amp; $C$6 &amp; "]",
"[Base].[SITUACION]",
"[Base].[SITUACION].&amp;[" &amp; $C57 &amp; "]"
),0)/1000</f>
        <v>67.812839999999994</v>
      </c>
      <c r="AD57" s="8">
        <f>IFERROR(
GETPIVOTDATA(
"[Base].[Importe]",
TDinamica_R!$A$5,
"[Calendario].[AñoMes]",
"[Calendario].[AñoMes].&amp;[" &amp; TEXT(AD$6,"yyyymm") &amp; "]",
"[Base].[Metrica]",
"[Base].[Metrica].&amp;[" &amp; $A57 &amp; "]",
"[Base].[SEGMENTO_DESCRIP]",
"[Base].[SEGMENTO_DESCRIP].&amp;[" &amp; $C$6 &amp; "]",
"[Base].[SITUACION]",
"[Base].[SITUACION].&amp;[" &amp; $C57 &amp; "]"
),0)/1000</f>
        <v>68.284449999999993</v>
      </c>
      <c r="AE57" s="8">
        <f>IFERROR(
GETPIVOTDATA(
"[Base].[Importe]",
TDinamica_R!$A$5,
"[Calendario].[AñoMes]",
"[Calendario].[AñoMes].&amp;[" &amp; TEXT(AE$6,"yyyymm") &amp; "]",
"[Base].[Metrica]",
"[Base].[Metrica].&amp;[" &amp; $A57 &amp; "]",
"[Base].[SEGMENTO_DESCRIP]",
"[Base].[SEGMENTO_DESCRIP].&amp;[" &amp; $C$6 &amp; "]",
"[Base].[SITUACION]",
"[Base].[SITUACION].&amp;[" &amp; $C57 &amp; "]"
),0)/1000</f>
        <v>38.996209999999998</v>
      </c>
      <c r="AF57" s="8">
        <f>IFERROR(
GETPIVOTDATA(
"[Base].[Importe]",
TDinamica_R!$A$5,
"[Calendario].[AñoMes]",
"[Calendario].[AñoMes].&amp;[" &amp; TEXT(AF$6,"yyyymm") &amp; "]",
"[Base].[Metrica]",
"[Base].[Metrica].&amp;[" &amp; $A57 &amp; "]",
"[Base].[SEGMENTO_DESCRIP]",
"[Base].[SEGMENTO_DESCRIP].&amp;[" &amp; $C$6 &amp; "]",
"[Base].[SITUACION]",
"[Base].[SITUACION].&amp;[" &amp; $C57 &amp; "]"
),0)/1000</f>
        <v>45.824489999999997</v>
      </c>
      <c r="AG57" s="8">
        <f>IFERROR(
GETPIVOTDATA(
"[Base].[Importe]",
TDinamica_R!$A$5,
"[Calendario].[AñoMes]",
"[Calendario].[AñoMes].&amp;[" &amp; TEXT(AG$6,"yyyymm") &amp; "]",
"[Base].[Metrica]",
"[Base].[Metrica].&amp;[" &amp; $A57 &amp; "]",
"[Base].[SEGMENTO_DESCRIP]",
"[Base].[SEGMENTO_DESCRIP].&amp;[" &amp; $C$6 &amp; "]",
"[Base].[SITUACION]",
"[Base].[SITUACION].&amp;[" &amp; $C57 &amp; "]"
),0)/1000</f>
        <v>49.314059999999998</v>
      </c>
      <c r="AH57" s="8">
        <f>IFERROR(
GETPIVOTDATA(
"[Base].[Importe]",
TDinamica_R!$A$5,
"[Calendario].[AñoMes]",
"[Calendario].[AñoMes].&amp;[" &amp; TEXT(AH$6,"yyyymm") &amp; "]",
"[Base].[Metrica]",
"[Base].[Metrica].&amp;[" &amp; $A57 &amp; "]",
"[Base].[SEGMENTO_DESCRIP]",
"[Base].[SEGMENTO_DESCRIP].&amp;[" &amp; $C$6 &amp; "]",
"[Base].[SITUACION]",
"[Base].[SITUACION].&amp;[" &amp; $C57 &amp; "]"
),0)/1000</f>
        <v>43.923290000000001</v>
      </c>
      <c r="AI57" s="8">
        <f>IFERROR(
GETPIVOTDATA(
"[Base].[Importe]",
TDinamica_R!$A$5,
"[Calendario].[AñoMes]",
"[Calendario].[AñoMes].&amp;[" &amp; TEXT(AI$6,"yyyymm") &amp; "]",
"[Base].[Metrica]",
"[Base].[Metrica].&amp;[" &amp; $A57 &amp; "]",
"[Base].[SEGMENTO_DESCRIP]",
"[Base].[SEGMENTO_DESCRIP].&amp;[" &amp; $C$6 &amp; "]",
"[Base].[SITUACION]",
"[Base].[SITUACION].&amp;[" &amp; $C57 &amp; "]"
),0)/1000</f>
        <v>37.284370000000003</v>
      </c>
      <c r="AJ57" s="8">
        <f>IFERROR(
GETPIVOTDATA(
"[Base].[Importe]",
TDinamica_R!$A$5,
"[Calendario].[AñoMes]",
"[Calendario].[AñoMes].&amp;[" &amp; TEXT(AJ$6,"yyyymm") &amp; "]",
"[Base].[Metrica]",
"[Base].[Metrica].&amp;[" &amp; $A57 &amp; "]",
"[Base].[SEGMENTO_DESCRIP]",
"[Base].[SEGMENTO_DESCRIP].&amp;[" &amp; $C$6 &amp; "]",
"[Base].[SITUACION]",
"[Base].[SITUACION].&amp;[" &amp; $C57 &amp; "]"
),0)/1000</f>
        <v>67.217989999999986</v>
      </c>
      <c r="AK57" s="8">
        <f>IFERROR(
GETPIVOTDATA(
"[Base].[Importe]",
TDinamica_R!$A$5,
"[Calendario].[AñoMes]",
"[Calendario].[AñoMes].&amp;[" &amp; TEXT(AK$6,"yyyymm") &amp; "]",
"[Base].[Metrica]",
"[Base].[Metrica].&amp;[" &amp; $A57 &amp; "]",
"[Base].[SEGMENTO_DESCRIP]",
"[Base].[SEGMENTO_DESCRIP].&amp;[" &amp; $C$6 &amp; "]",
"[Base].[SITUACION]",
"[Base].[SITUACION].&amp;[" &amp; $C57 &amp; "]"
),0)/1000</f>
        <v>1.2563800000000001</v>
      </c>
      <c r="AL57" s="8">
        <f>IFERROR(
GETPIVOTDATA(
"[Base].[Importe]",
TDinamica_R!$A$5,
"[Calendario].[AñoMes]",
"[Calendario].[AñoMes].&amp;[" &amp; TEXT(AL$6,"yyyymm") &amp; "]",
"[Base].[Metrica]",
"[Base].[Metrica].&amp;[" &amp; $A57 &amp; "]",
"[Base].[SEGMENTO_DESCRIP]",
"[Base].[SEGMENTO_DESCRIP].&amp;[" &amp; $C$6 &amp; "]",
"[Base].[SITUACION]",
"[Base].[SITUACION].&amp;[" &amp; $C57 &amp; "]"
),0)/1000</f>
        <v>17.42859</v>
      </c>
      <c r="AM57" s="8">
        <f>IFERROR(
GETPIVOTDATA(
"[Base].[Importe]",
TDinamica_R!$A$5,
"[Calendario].[AñoMes]",
"[Calendario].[AñoMes].&amp;[" &amp; TEXT(AM$6,"yyyymm") &amp; "]",
"[Base].[Metrica]",
"[Base].[Metrica].&amp;[" &amp; $A57 &amp; "]",
"[Base].[SEGMENTO_DESCRIP]",
"[Base].[SEGMENTO_DESCRIP].&amp;[" &amp; $C$6 &amp; "]",
"[Base].[SITUACION]",
"[Base].[SITUACION].&amp;[" &amp; $C57 &amp; "]"
),0)/1000</f>
        <v>29.889130000000002</v>
      </c>
      <c r="AN57" s="8">
        <f>IFERROR(
GETPIVOTDATA(
"[Base].[Importe]",
TDinamica_R!$A$5,
"[Calendario].[AñoMes]",
"[Calendario].[AñoMes].&amp;[" &amp; TEXT(AN$6,"yyyymm") &amp; "]",
"[Base].[Metrica]",
"[Base].[Metrica].&amp;[" &amp; $A57 &amp; "]",
"[Base].[SEGMENTO_DESCRIP]",
"[Base].[SEGMENTO_DESCRIP].&amp;[" &amp; $C$6 &amp; "]",
"[Base].[SITUACION]",
"[Base].[SITUACION].&amp;[" &amp; $C57 &amp; "]"
),0)/1000</f>
        <v>36.828009999999999</v>
      </c>
      <c r="AO57" s="8">
        <f>IFERROR(
GETPIVOTDATA(
"[Base].[Importe]",
TDinamica_R!$A$5,
"[Calendario].[AñoMes]",
"[Calendario].[AñoMes].&amp;[" &amp; TEXT(AO$6,"yyyymm") &amp; "]",
"[Base].[Metrica]",
"[Base].[Metrica].&amp;[" &amp; $A57 &amp; "]",
"[Base].[SEGMENTO_DESCRIP]",
"[Base].[SEGMENTO_DESCRIP].&amp;[" &amp; $C$6 &amp; "]",
"[Base].[SITUACION]",
"[Base].[SITUACION].&amp;[" &amp; $C57 &amp; "]"
),0)/1000</f>
        <v>52.227429999999998</v>
      </c>
      <c r="AP57" s="8">
        <f>IFERROR(
GETPIVOTDATA(
"[Base].[Importe]",
TDinamica_R!$A$5,
"[Calendario].[AñoMes]",
"[Calendario].[AñoMes].&amp;[" &amp; TEXT(AP$6,"yyyymm") &amp; "]",
"[Base].[Metrica]",
"[Base].[Metrica].&amp;[" &amp; $A57 &amp; "]",
"[Base].[SEGMENTO_DESCRIP]",
"[Base].[SEGMENTO_DESCRIP].&amp;[" &amp; $C$6 &amp; "]",
"[Base].[SITUACION]",
"[Base].[SITUACION].&amp;[" &amp; $C57 &amp; "]"
),0)/1000</f>
        <v>42.63861</v>
      </c>
      <c r="AQ57" s="8">
        <f>IFERROR(
GETPIVOTDATA(
"[Base].[Importe]",
TDinamica_R!$A$5,
"[Calendario].[AñoMes]",
"[Calendario].[AñoMes].&amp;[" &amp; TEXT(AQ$6,"yyyymm") &amp; "]",
"[Base].[Metrica]",
"[Base].[Metrica].&amp;[" &amp; $A57 &amp; "]",
"[Base].[SEGMENTO_DESCRIP]",
"[Base].[SEGMENTO_DESCRIP].&amp;[" &amp; $C$6 &amp; "]",
"[Base].[SITUACION]",
"[Base].[SITUACION].&amp;[" &amp; $C57 &amp; "]"
),0)/1000</f>
        <v>16.605400000000003</v>
      </c>
      <c r="AR57" s="8">
        <f>IFERROR(
GETPIVOTDATA(
"[Base].[Importe]",
TDinamica_R!$A$5,
"[Calendario].[AñoMes]",
"[Calendario].[AñoMes].&amp;[" &amp; TEXT(AR$6,"yyyymm") &amp; "]",
"[Base].[Metrica]",
"[Base].[Metrica].&amp;[" &amp; $A57 &amp; "]",
"[Base].[SEGMENTO_DESCRIP]",
"[Base].[SEGMENTO_DESCRIP].&amp;[" &amp; $C$6 &amp; "]",
"[Base].[SITUACION]",
"[Base].[SITUACION].&amp;[" &amp; $C57 &amp; "]"
),0)/1000</f>
        <v>24.126679999999897</v>
      </c>
      <c r="AS57" s="8">
        <f>IFERROR(
GETPIVOTDATA(
"[Base].[Importe]",
TDinamica_R!$A$5,
"[Calendario].[AñoMes]",
"[Calendario].[AñoMes].&amp;[" &amp; TEXT(AS$6,"yyyymm") &amp; "]",
"[Base].[Metrica]",
"[Base].[Metrica].&amp;[" &amp; $A57 &amp; "]",
"[Base].[SEGMENTO_DESCRIP]",
"[Base].[SEGMENTO_DESCRIP].&amp;[" &amp; $C$6 &amp; "]",
"[Base].[SITUACION]",
"[Base].[SITUACION].&amp;[" &amp; $C57 &amp; "]"
),0)/1000</f>
        <v>22.15682</v>
      </c>
      <c r="AT57" s="8">
        <f>IFERROR(
GETPIVOTDATA(
"[Base].[Importe]",
TDinamica_R!$A$5,
"[Calendario].[AñoMes]",
"[Calendario].[AñoMes].&amp;[" &amp; TEXT(AT$6,"yyyymm")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U57" s="8">
        <f>IFERROR(
GETPIVOTDATA(
"[Base].[Importe]",
TDinamica_R!$A$5,
"[Calendario].[AñoMes]",
"[Calendario].[AñoMes].&amp;[" &amp; TEXT(AU$6,"yyyymm")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V57" s="8">
        <f>IFERROR(
GETPIVOTDATA(
"[Base].[Importe]",
TDinamica_R!$A$5,
"[Calendario].[AñoMes]",
"[Calendario].[AñoMes].&amp;[" &amp; TEXT(AV$6,"yyyymm")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W57" s="8">
        <f>IFERROR(
GETPIVOTDATA(
"[Base].[Importe]",
TDinamica_R!$A$5,
"[Calendario].[AñoMes]",
"[Calendario].[AñoMes].&amp;[" &amp; TEXT(AW$6,"yyyymm")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X57" s="8">
        <f>IFERROR(
GETPIVOTDATA(
"[Base].[Importe]",
TDinamica_R!$A$5,
"[Calendario].[AñoMes]",
"[Calendario].[AñoMes].&amp;[" &amp; TEXT(AX$6,"yyyymm")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Y57" s="8">
        <f>IFERROR(
GETPIVOTDATA(
"[Base].[Importe]",
TDinamica_R!$A$5,
"[Calendario].[AñoMes]",
"[Calendario].[AñoMes].&amp;[" &amp; TEXT(AY$6,"yyyymm")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Z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TEXT(AZ$6,"yyyymm") &amp; "]"
),
0
)</f>
        <v>46.989180030708951</v>
      </c>
      <c r="BA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TEXT(BA$6,"yyyymm") &amp; "]"
),
0
)</f>
        <v>39.254443699810523</v>
      </c>
      <c r="BB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TEXT(BB$6,"yyyymm") &amp; "]"
),
0
)</f>
        <v>48.132213762363747</v>
      </c>
      <c r="BC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TEXT(BC$6,"yyyymm") &amp; "]"
),
0
)</f>
        <v>36.719008222464431</v>
      </c>
      <c r="BD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TEXT(BD$6,"yyyymm") &amp; "]"
),
0
)</f>
        <v>63.92629056442064</v>
      </c>
      <c r="BE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TEXT(BE$6,"yyyymm") &amp; "]"
),
0
)</f>
        <v>44.922966393722071</v>
      </c>
      <c r="BF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TEXT(BF$6,"yyyymm") &amp; "]"
),
0
)</f>
        <v>39.636632915851941</v>
      </c>
      <c r="BG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TEXT(BG$6,"yyyymm") &amp; "]"
),
0
)</f>
        <v>37.463084683304345</v>
      </c>
      <c r="BH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TEXT(BH$6,"yyyymm") &amp; "]"
),
0
)</f>
        <v>68.83318903948782</v>
      </c>
      <c r="BI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TEXT(BI$6,"yyyymm") &amp; "]"
),
0
)</f>
        <v>34.991349742679866</v>
      </c>
      <c r="BJ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TEXT(BJ$6,"yyyymm") &amp; "]"
),
0
)</f>
        <v>35.11681653773779</v>
      </c>
      <c r="BK57" s="8">
        <f>IFERROR(
GETPIVOTDATA(
"[Base_PPE].[Importe]",
TDinamica_P!$A$4,
"[Base_PPE].[Metrica]",
"[Base_PPE].[Metrica].&amp;[" &amp; TRIM($A57) &amp; "]",
"[Base_PPE].[SITUACION]",
"[Base_PPE].[SITUACION].&amp;[" &amp; TRIM($C57) &amp; "]",
"[Base_PPE].[SEGMENTO_DESCRIP]",
"[Base_PPE].[SEGMENTO_DESCRIP].&amp;[" &amp; TRIM($C$6) &amp; "]",
"[Base_PPE].[Periodo]",
"[Base_PPE].[Periodo].&amp;[" &amp; TEXT(BK$6,"yyyymm") &amp; "]"
),
0
)</f>
        <v>33.576673864930143</v>
      </c>
      <c r="BO57" s="24">
        <f t="shared" si="58"/>
        <v>131.69405</v>
      </c>
      <c r="BP57" s="24">
        <f t="shared" si="58"/>
        <v>134.37583749288322</v>
      </c>
      <c r="BQ57" s="24">
        <f t="shared" si="58"/>
        <v>89.055440000000004</v>
      </c>
      <c r="BR57" s="24">
        <f t="shared" si="58"/>
        <v>260.14488</v>
      </c>
      <c r="BS57" s="24">
        <f t="shared" si="58"/>
        <v>200.39080999999999</v>
      </c>
      <c r="BT57" s="24">
        <f t="shared" si="58"/>
        <v>179.30281700241369</v>
      </c>
    </row>
    <row r="58" spans="1:72" collapsed="1" x14ac:dyDescent="0.25">
      <c r="C58" s="3" t="s">
        <v>68</v>
      </c>
      <c r="D58" s="10">
        <f t="shared" ref="D58:AY58" si="59">SUM(D56:D57)</f>
        <v>-1056.9411993416863</v>
      </c>
      <c r="E58" s="10">
        <f t="shared" si="59"/>
        <v>-497.10992145272121</v>
      </c>
      <c r="F58" s="10">
        <f t="shared" si="59"/>
        <v>-912.7023135680688</v>
      </c>
      <c r="G58" s="10">
        <f t="shared" si="59"/>
        <v>-628.79594005598051</v>
      </c>
      <c r="H58" s="10">
        <f t="shared" si="59"/>
        <v>-1354.5141005924049</v>
      </c>
      <c r="I58" s="10">
        <f t="shared" si="59"/>
        <v>-1074.3274825471042</v>
      </c>
      <c r="J58" s="10">
        <f t="shared" si="59"/>
        <v>-1708.9041752331657</v>
      </c>
      <c r="K58" s="10">
        <f t="shared" si="59"/>
        <v>-1898.7357369404854</v>
      </c>
      <c r="L58" s="10">
        <f t="shared" si="59"/>
        <v>-1391.2318553688849</v>
      </c>
      <c r="M58" s="10">
        <f t="shared" si="59"/>
        <v>-1858.6497973418193</v>
      </c>
      <c r="N58" s="10">
        <f t="shared" si="59"/>
        <v>-1282.0155871511574</v>
      </c>
      <c r="O58" s="10">
        <f t="shared" si="59"/>
        <v>-1664.087029549418</v>
      </c>
      <c r="P58" s="10">
        <f t="shared" si="59"/>
        <v>-2227.6572279509373</v>
      </c>
      <c r="Q58" s="10">
        <f t="shared" si="59"/>
        <v>-1003.2752205047429</v>
      </c>
      <c r="R58" s="10">
        <f t="shared" si="59"/>
        <v>-1512.6279813121569</v>
      </c>
      <c r="S58" s="10">
        <f t="shared" si="59"/>
        <v>-1030.9775893760052</v>
      </c>
      <c r="T58" s="10">
        <f t="shared" si="59"/>
        <v>-809.09771024020358</v>
      </c>
      <c r="U58" s="10">
        <f t="shared" si="59"/>
        <v>-692.12766963082026</v>
      </c>
      <c r="V58" s="10">
        <f t="shared" si="59"/>
        <v>-551.67323992168224</v>
      </c>
      <c r="W58" s="10">
        <f t="shared" si="59"/>
        <v>-316.43092634383157</v>
      </c>
      <c r="X58" s="10">
        <f t="shared" si="59"/>
        <v>-264.07983498397704</v>
      </c>
      <c r="Y58" s="10">
        <f t="shared" si="59"/>
        <v>-387.73337449985428</v>
      </c>
      <c r="Z58" s="10">
        <f t="shared" si="59"/>
        <v>-135.78575121019259</v>
      </c>
      <c r="AA58" s="10">
        <f t="shared" si="59"/>
        <v>-163.22897601817201</v>
      </c>
      <c r="AB58" s="10">
        <f t="shared" si="59"/>
        <v>-427.8468359458044</v>
      </c>
      <c r="AC58" s="10">
        <f t="shared" si="59"/>
        <v>-311.01887179631234</v>
      </c>
      <c r="AD58" s="10">
        <f t="shared" si="59"/>
        <v>-429.01002999999997</v>
      </c>
      <c r="AE58" s="10">
        <f t="shared" si="59"/>
        <v>-448.76400000000007</v>
      </c>
      <c r="AF58" s="10">
        <f t="shared" si="59"/>
        <v>-446.11588000000006</v>
      </c>
      <c r="AG58" s="10">
        <f t="shared" si="59"/>
        <v>-381.82467000000003</v>
      </c>
      <c r="AH58" s="10">
        <f t="shared" si="59"/>
        <v>-400.65489999999994</v>
      </c>
      <c r="AI58" s="10">
        <f t="shared" si="59"/>
        <v>-257.29245389360494</v>
      </c>
      <c r="AJ58" s="10">
        <f t="shared" si="59"/>
        <v>-403.80070804526201</v>
      </c>
      <c r="AK58" s="10">
        <f t="shared" si="59"/>
        <v>-463.431576554755</v>
      </c>
      <c r="AL58" s="10">
        <f t="shared" si="59"/>
        <v>-157.52044000000001</v>
      </c>
      <c r="AM58" s="10">
        <f t="shared" si="59"/>
        <v>-238.28483399999996</v>
      </c>
      <c r="AN58" s="10">
        <f t="shared" si="59"/>
        <v>-182.27789999999999</v>
      </c>
      <c r="AO58" s="10">
        <f t="shared" si="59"/>
        <v>-327.85953999999992</v>
      </c>
      <c r="AP58" s="10">
        <f t="shared" si="59"/>
        <v>-161.93467316019999</v>
      </c>
      <c r="AQ58" s="10">
        <f t="shared" si="59"/>
        <v>-353.46763999999996</v>
      </c>
      <c r="AR58" s="10">
        <f t="shared" si="59"/>
        <v>-394.1126000000001</v>
      </c>
      <c r="AS58" s="10">
        <f t="shared" si="59"/>
        <v>-467.22152000000006</v>
      </c>
      <c r="AT58" s="10">
        <f t="shared" si="59"/>
        <v>0</v>
      </c>
      <c r="AU58" s="10">
        <f t="shared" si="59"/>
        <v>0</v>
      </c>
      <c r="AV58" s="10">
        <f t="shared" si="59"/>
        <v>0</v>
      </c>
      <c r="AW58" s="10">
        <f t="shared" si="59"/>
        <v>0</v>
      </c>
      <c r="AX58" s="10">
        <f t="shared" si="59"/>
        <v>0</v>
      </c>
      <c r="AY58" s="10">
        <f t="shared" si="59"/>
        <v>0</v>
      </c>
      <c r="AZ58" s="10">
        <f t="shared" ref="AZ58:BK58" si="60">SUM(AZ56:AZ57)</f>
        <v>-205.77066503117035</v>
      </c>
      <c r="BA58" s="10">
        <f t="shared" si="60"/>
        <v>-213.96395995157064</v>
      </c>
      <c r="BB58" s="10">
        <f t="shared" si="60"/>
        <v>-214.26916979837603</v>
      </c>
      <c r="BC58" s="10">
        <f t="shared" si="60"/>
        <v>-267.54250260827718</v>
      </c>
      <c r="BD58" s="10">
        <f t="shared" si="60"/>
        <v>-184.96595243986647</v>
      </c>
      <c r="BE58" s="10">
        <f t="shared" si="60"/>
        <v>-220.70148566242793</v>
      </c>
      <c r="BF58" s="10">
        <f t="shared" si="60"/>
        <v>-203.45728689540948</v>
      </c>
      <c r="BG58" s="10">
        <f t="shared" si="60"/>
        <v>-329.49872250664066</v>
      </c>
      <c r="BH58" s="10">
        <f t="shared" si="60"/>
        <v>-168.23574933441151</v>
      </c>
      <c r="BI58" s="10">
        <f t="shared" si="60"/>
        <v>-282.79419734389</v>
      </c>
      <c r="BJ58" s="10">
        <f t="shared" si="60"/>
        <v>-258.63373886365179</v>
      </c>
      <c r="BK58" s="10">
        <f t="shared" si="60"/>
        <v>-263.47473344449793</v>
      </c>
      <c r="BO58" s="23">
        <f>SUM(BO56:BO57)</f>
        <v>-672.07211316019993</v>
      </c>
      <c r="BP58" s="23">
        <f t="shared" ref="BP58:BT58" si="61">SUM(BP56:BP57)</f>
        <v>-634.00379478111699</v>
      </c>
      <c r="BQ58" s="23">
        <f t="shared" si="61"/>
        <v>-510.13743999999997</v>
      </c>
      <c r="BR58" s="23">
        <f t="shared" si="61"/>
        <v>-1167.8757377421166</v>
      </c>
      <c r="BS58" s="23">
        <f t="shared" si="61"/>
        <v>-4743.5604297678374</v>
      </c>
      <c r="BT58" s="23">
        <f t="shared" si="61"/>
        <v>-2466.7534343624766</v>
      </c>
    </row>
    <row r="60" spans="1:72" x14ac:dyDescent="0.25">
      <c r="C60" s="3" t="s">
        <v>70</v>
      </c>
      <c r="D60" s="10">
        <f>D53+D58</f>
        <v>-403.11215912168643</v>
      </c>
      <c r="E60" s="10">
        <f t="shared" ref="E60:AY60" si="62">E53+E58</f>
        <v>75.91533218727875</v>
      </c>
      <c r="F60" s="10">
        <f t="shared" si="62"/>
        <v>-284.21923512806882</v>
      </c>
      <c r="G60" s="10">
        <f t="shared" si="62"/>
        <v>-86.87725564598054</v>
      </c>
      <c r="H60" s="10">
        <f t="shared" si="62"/>
        <v>-694.32462782240486</v>
      </c>
      <c r="I60" s="10">
        <f t="shared" si="62"/>
        <v>-468.46526890710425</v>
      </c>
      <c r="J60" s="10">
        <f t="shared" si="62"/>
        <v>-1075.0811371131654</v>
      </c>
      <c r="K60" s="10">
        <f t="shared" si="62"/>
        <v>-1319.1573244004855</v>
      </c>
      <c r="L60" s="10">
        <f t="shared" si="62"/>
        <v>-830.14859949478478</v>
      </c>
      <c r="M60" s="10">
        <f t="shared" si="62"/>
        <v>-1290.4507266718192</v>
      </c>
      <c r="N60" s="10">
        <f t="shared" si="62"/>
        <v>-776.5478128811576</v>
      </c>
      <c r="O60" s="10">
        <f t="shared" si="62"/>
        <v>-1177.679175439418</v>
      </c>
      <c r="P60" s="10">
        <f t="shared" si="62"/>
        <v>-1746.3417198209374</v>
      </c>
      <c r="Q60" s="10">
        <f t="shared" si="62"/>
        <v>-585.5594579247429</v>
      </c>
      <c r="R60" s="10">
        <f t="shared" si="62"/>
        <v>-1066.4460806421566</v>
      </c>
      <c r="S60" s="10">
        <f t="shared" si="62"/>
        <v>-574.9668205160051</v>
      </c>
      <c r="T60" s="10">
        <f t="shared" si="62"/>
        <v>-345.25305517020354</v>
      </c>
      <c r="U60" s="10">
        <f t="shared" si="62"/>
        <v>-240.11979259082023</v>
      </c>
      <c r="V60" s="10">
        <f t="shared" si="62"/>
        <v>-76.714548081682096</v>
      </c>
      <c r="W60" s="10">
        <f t="shared" si="62"/>
        <v>132.7764747361685</v>
      </c>
      <c r="X60" s="10">
        <f t="shared" si="62"/>
        <v>160.21256061602315</v>
      </c>
      <c r="Y60" s="10">
        <f t="shared" si="62"/>
        <v>28.540403290145775</v>
      </c>
      <c r="Z60" s="10">
        <f t="shared" si="62"/>
        <v>243.00025780980758</v>
      </c>
      <c r="AA60" s="10">
        <f t="shared" si="62"/>
        <v>197.10086348182816</v>
      </c>
      <c r="AB60" s="10">
        <f t="shared" si="62"/>
        <v>-98.003158615804523</v>
      </c>
      <c r="AC60" s="10">
        <f t="shared" si="62"/>
        <v>-36.731803896312442</v>
      </c>
      <c r="AD60" s="10">
        <f t="shared" si="62"/>
        <v>-138.65972983999995</v>
      </c>
      <c r="AE60" s="10">
        <f t="shared" si="62"/>
        <v>-167.68647772000008</v>
      </c>
      <c r="AF60" s="10">
        <f t="shared" si="62"/>
        <v>-161.29103261</v>
      </c>
      <c r="AG60" s="10">
        <f t="shared" si="62"/>
        <v>-113.33108874999999</v>
      </c>
      <c r="AH60" s="10">
        <f t="shared" si="62"/>
        <v>-121.36408347999998</v>
      </c>
      <c r="AI60" s="10">
        <f t="shared" si="62"/>
        <v>10.168858286394936</v>
      </c>
      <c r="AJ60" s="10">
        <f t="shared" si="62"/>
        <v>-147.24375064526203</v>
      </c>
      <c r="AK60" s="10">
        <f t="shared" si="62"/>
        <v>-205.61691259475498</v>
      </c>
      <c r="AL60" s="10">
        <f t="shared" si="62"/>
        <v>89.561747790000027</v>
      </c>
      <c r="AM60" s="10">
        <f t="shared" si="62"/>
        <v>69.005924810000096</v>
      </c>
      <c r="AN60" s="10">
        <f t="shared" si="62"/>
        <v>145.39225465999999</v>
      </c>
      <c r="AO60" s="10">
        <f t="shared" si="62"/>
        <v>23.944658740000136</v>
      </c>
      <c r="AP60" s="10">
        <f t="shared" si="62"/>
        <v>313.93496990979997</v>
      </c>
      <c r="AQ60" s="10">
        <f t="shared" si="62"/>
        <v>153.08567895000004</v>
      </c>
      <c r="AR60" s="10">
        <f t="shared" si="62"/>
        <v>206.93111905999996</v>
      </c>
      <c r="AS60" s="10">
        <f t="shared" si="62"/>
        <v>171.3581866400001</v>
      </c>
      <c r="AT60" s="10">
        <f t="shared" si="62"/>
        <v>0</v>
      </c>
      <c r="AU60" s="10">
        <f t="shared" si="62"/>
        <v>0</v>
      </c>
      <c r="AV60" s="10">
        <f t="shared" si="62"/>
        <v>0</v>
      </c>
      <c r="AW60" s="10">
        <f t="shared" si="62"/>
        <v>0</v>
      </c>
      <c r="AX60" s="10">
        <f t="shared" si="62"/>
        <v>0</v>
      </c>
      <c r="AY60" s="10">
        <f t="shared" si="62"/>
        <v>0</v>
      </c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O60" s="23">
        <f>BO53+BO58</f>
        <v>483.27188330979993</v>
      </c>
      <c r="BP60" s="23">
        <f t="shared" ref="BP60:BT60" si="63">BP53+BP58</f>
        <v>-1.6985779105425536</v>
      </c>
      <c r="BQ60" s="23">
        <f t="shared" si="63"/>
        <v>169.33691339999996</v>
      </c>
      <c r="BR60" s="23">
        <f t="shared" si="63"/>
        <v>-273.39469235211686</v>
      </c>
      <c r="BS60" s="23">
        <f t="shared" si="63"/>
        <v>-3398.3472583878374</v>
      </c>
      <c r="BT60" s="23">
        <f t="shared" si="63"/>
        <v>-611.41606206247684</v>
      </c>
    </row>
    <row r="63" spans="1:72" hidden="1" outlineLevel="1" x14ac:dyDescent="0.25">
      <c r="A63" s="11" t="s">
        <v>71</v>
      </c>
      <c r="C63" s="2" t="s">
        <v>75</v>
      </c>
      <c r="D63" s="8">
        <f>IFERROR(
GETPIVOTDATA(
"[Base].[Importe]",
TDinamica_R!$A$5,
"[Calendario].[AñoMes]",
"[Calendario].[AñoMes].&amp;[" &amp; TEXT(D$6,"yyyymm") &amp; "]",
"[Base].[Metrica]",
"[Base].[Metrica].&amp;[" &amp; $A63 &amp; "]",
"[Base].[SEGMENTO_DESCRIP]",
"[Base].[SEGMENTO_DESCRIP].&amp;[" &amp; $C$6 &amp; "]",
"[Base].[SITUACION]",
"[Base].[SITUACION].&amp;[" &amp; $C63 &amp; "]"
),0)/1000</f>
        <v>5.8137650241499994</v>
      </c>
      <c r="E63" s="8">
        <f>IFERROR(
GETPIVOTDATA(
"[Base].[Importe]",
TDinamica_R!$A$5,
"[Calendario].[AñoMes]",
"[Calendario].[AñoMes].&amp;[" &amp; TEXT(E$6,"yyyymm") &amp; "]",
"[Base].[Metrica]",
"[Base].[Metrica].&amp;[" &amp; $A63 &amp; "]",
"[Base].[SEGMENTO_DESCRIP]",
"[Base].[SEGMENTO_DESCRIP].&amp;[" &amp; $C$6 &amp; "]",
"[Base].[SITUACION]",
"[Base].[SITUACION].&amp;[" &amp; $C63 &amp; "]"
),0)/1000</f>
        <v>5.3554319426800001</v>
      </c>
      <c r="F63" s="8">
        <f>IFERROR(
GETPIVOTDATA(
"[Base].[Importe]",
TDinamica_R!$A$5,
"[Calendario].[AñoMes]",
"[Calendario].[AñoMes].&amp;[" &amp; TEXT(F$6,"yyyymm") &amp; "]",
"[Base].[Metrica]",
"[Base].[Metrica].&amp;[" &amp; $A63 &amp; "]",
"[Base].[SEGMENTO_DESCRIP]",
"[Base].[SEGMENTO_DESCRIP].&amp;[" &amp; $C$6 &amp; "]",
"[Base].[SITUACION]",
"[Base].[SITUACION].&amp;[" &amp; $C63 &amp; "]"
),0)/1000</f>
        <v>4.3877582479599999</v>
      </c>
      <c r="G63" s="8">
        <f>IFERROR(
GETPIVOTDATA(
"[Base].[Importe]",
TDinamica_R!$A$5,
"[Calendario].[AñoMes]",
"[Calendario].[AñoMes].&amp;[" &amp; TEXT(G$6,"yyyymm") &amp; "]",
"[Base].[Metrica]",
"[Base].[Metrica].&amp;[" &amp; $A63 &amp; "]",
"[Base].[SEGMENTO_DESCRIP]",
"[Base].[SEGMENTO_DESCRIP].&amp;[" &amp; $C$6 &amp; "]",
"[Base].[SITUACION]",
"[Base].[SITUACION].&amp;[" &amp; $C63 &amp; "]"
),0)/1000</f>
        <v>6.53984690325</v>
      </c>
      <c r="H63" s="8">
        <f>IFERROR(
GETPIVOTDATA(
"[Base].[Importe]",
TDinamica_R!$A$5,
"[Calendario].[AñoMes]",
"[Calendario].[AñoMes].&amp;[" &amp; TEXT(H$6,"yyyymm") &amp; "]",
"[Base].[Metrica]",
"[Base].[Metrica].&amp;[" &amp; $A63 &amp; "]",
"[Base].[SEGMENTO_DESCRIP]",
"[Base].[SEGMENTO_DESCRIP].&amp;[" &amp; $C$6 &amp; "]",
"[Base].[SITUACION]",
"[Base].[SITUACION].&amp;[" &amp; $C63 &amp; "]"
),0)/1000</f>
        <v>5.315947358259999</v>
      </c>
      <c r="I63" s="8">
        <f>IFERROR(
GETPIVOTDATA(
"[Base].[Importe]",
TDinamica_R!$A$5,
"[Calendario].[AñoMes]",
"[Calendario].[AñoMes].&amp;[" &amp; TEXT(I$6,"yyyymm") &amp; "]",
"[Base].[Metrica]",
"[Base].[Metrica].&amp;[" &amp; $A63 &amp; "]",
"[Base].[SEGMENTO_DESCRIP]",
"[Base].[SEGMENTO_DESCRIP].&amp;[" &amp; $C$6 &amp; "]",
"[Base].[SITUACION]",
"[Base].[SITUACION].&amp;[" &amp; $C63 &amp; "]"
),0)/1000</f>
        <v>6.1036098822299998</v>
      </c>
      <c r="J63" s="8">
        <f>IFERROR(
GETPIVOTDATA(
"[Base].[Importe]",
TDinamica_R!$A$5,
"[Calendario].[AñoMes]",
"[Calendario].[AñoMes].&amp;[" &amp; TEXT(J$6,"yyyymm") &amp; "]",
"[Base].[Metrica]",
"[Base].[Metrica].&amp;[" &amp; $A63 &amp; "]",
"[Base].[SEGMENTO_DESCRIP]",
"[Base].[SEGMENTO_DESCRIP].&amp;[" &amp; $C$6 &amp; "]",
"[Base].[SITUACION]",
"[Base].[SITUACION].&amp;[" &amp; $C63 &amp; "]"
),0)/1000</f>
        <v>5.6270994943400003</v>
      </c>
      <c r="K63" s="8">
        <f>IFERROR(
GETPIVOTDATA(
"[Base].[Importe]",
TDinamica_R!$A$5,
"[Calendario].[AñoMes]",
"[Calendario].[AñoMes].&amp;[" &amp; TEXT(K$6,"yyyymm") &amp; "]",
"[Base].[Metrica]",
"[Base].[Metrica].&amp;[" &amp; $A63 &amp; "]",
"[Base].[SEGMENTO_DESCRIP]",
"[Base].[SEGMENTO_DESCRIP].&amp;[" &amp; $C$6 &amp; "]",
"[Base].[SITUACION]",
"[Base].[SITUACION].&amp;[" &amp; $C63 &amp; "]"
),0)/1000</f>
        <v>5.92047521842</v>
      </c>
      <c r="L63" s="8">
        <f>IFERROR(
GETPIVOTDATA(
"[Base].[Importe]",
TDinamica_R!$A$5,
"[Calendario].[AñoMes]",
"[Calendario].[AñoMes].&amp;[" &amp; TEXT(L$6,"yyyymm") &amp; "]",
"[Base].[Metrica]",
"[Base].[Metrica].&amp;[" &amp; $A63 &amp; "]",
"[Base].[SEGMENTO_DESCRIP]",
"[Base].[SEGMENTO_DESCRIP].&amp;[" &amp; $C$6 &amp; "]",
"[Base].[SITUACION]",
"[Base].[SITUACION].&amp;[" &amp; $C63 &amp; "]"
),0)/1000</f>
        <v>5.9099958554100001</v>
      </c>
      <c r="M63" s="8">
        <f>IFERROR(
GETPIVOTDATA(
"[Base].[Importe]",
TDinamica_R!$A$5,
"[Calendario].[AñoMes]",
"[Calendario].[AñoMes].&amp;[" &amp; TEXT(M$6,"yyyymm") &amp; "]",
"[Base].[Metrica]",
"[Base].[Metrica].&amp;[" &amp; $A63 &amp; "]",
"[Base].[SEGMENTO_DESCRIP]",
"[Base].[SEGMENTO_DESCRIP].&amp;[" &amp; $C$6 &amp; "]",
"[Base].[SITUACION]",
"[Base].[SITUACION].&amp;[" &amp; $C63 &amp; "]"
),0)/1000</f>
        <v>5.0308236303499996</v>
      </c>
      <c r="N63" s="8">
        <f>IFERROR(
GETPIVOTDATA(
"[Base].[Importe]",
TDinamica_R!$A$5,
"[Calendario].[AñoMes]",
"[Calendario].[AñoMes].&amp;[" &amp; TEXT(N$6,"yyyymm") &amp; "]",
"[Base].[Metrica]",
"[Base].[Metrica].&amp;[" &amp; $A63 &amp; "]",
"[Base].[SEGMENTO_DESCRIP]",
"[Base].[SEGMENTO_DESCRIP].&amp;[" &amp; $C$6 &amp; "]",
"[Base].[SITUACION]",
"[Base].[SITUACION].&amp;[" &amp; $C63 &amp; "]"
),0)/1000</f>
        <v>4.9402599906199995</v>
      </c>
      <c r="O63" s="8">
        <f>IFERROR(
GETPIVOTDATA(
"[Base].[Importe]",
TDinamica_R!$A$5,
"[Calendario].[AñoMes]",
"[Calendario].[AñoMes].&amp;[" &amp; TEXT(O$6,"yyyymm") &amp; "]",
"[Base].[Metrica]",
"[Base].[Metrica].&amp;[" &amp; $A63 &amp; "]",
"[Base].[SEGMENTO_DESCRIP]",
"[Base].[SEGMENTO_DESCRIP].&amp;[" &amp; $C$6 &amp; "]",
"[Base].[SITUACION]",
"[Base].[SITUACION].&amp;[" &amp; $C63 &amp; "]"
),0)/1000</f>
        <v>4.1758395713399992</v>
      </c>
      <c r="P63" s="8">
        <f>IFERROR(
GETPIVOTDATA(
"[Base].[Importe]",
TDinamica_R!$A$5,
"[Calendario].[AñoMes]",
"[Calendario].[AñoMes].&amp;[" &amp; TEXT(P$6,"yyyymm") &amp; "]",
"[Base].[Metrica]",
"[Base].[Metrica].&amp;[" &amp; $A63 &amp; "]",
"[Base].[SEGMENTO_DESCRIP]",
"[Base].[SEGMENTO_DESCRIP].&amp;[" &amp; $C$6 &amp; "]",
"[Base].[SITUACION]",
"[Base].[SITUACION].&amp;[" &amp; $C63 &amp; "]"
),0)/1000</f>
        <v>4.99964825163</v>
      </c>
      <c r="Q63" s="8">
        <f>IFERROR(
GETPIVOTDATA(
"[Base].[Importe]",
TDinamica_R!$A$5,
"[Calendario].[AñoMes]",
"[Calendario].[AñoMes].&amp;[" &amp; TEXT(Q$6,"yyyymm") &amp; "]",
"[Base].[Metrica]",
"[Base].[Metrica].&amp;[" &amp; $A63 &amp; "]",
"[Base].[SEGMENTO_DESCRIP]",
"[Base].[SEGMENTO_DESCRIP].&amp;[" &amp; $C$6 &amp; "]",
"[Base].[SITUACION]",
"[Base].[SITUACION].&amp;[" &amp; $C63 &amp; "]"
),0)/1000</f>
        <v>4.2955142014900005</v>
      </c>
      <c r="R63" s="8">
        <f>IFERROR(
GETPIVOTDATA(
"[Base].[Importe]",
TDinamica_R!$A$5,
"[Calendario].[AñoMes]",
"[Calendario].[AñoMes].&amp;[" &amp; TEXT(R$6,"yyyymm") &amp; "]",
"[Base].[Metrica]",
"[Base].[Metrica].&amp;[" &amp; $A63 &amp; "]",
"[Base].[SEGMENTO_DESCRIP]",
"[Base].[SEGMENTO_DESCRIP].&amp;[" &amp; $C$6 &amp; "]",
"[Base].[SITUACION]",
"[Base].[SITUACION].&amp;[" &amp; $C63 &amp; "]"
),0)/1000</f>
        <v>4.705359446240001</v>
      </c>
      <c r="S63" s="8">
        <f>IFERROR(
GETPIVOTDATA(
"[Base].[Importe]",
TDinamica_R!$A$5,
"[Calendario].[AñoMes]",
"[Calendario].[AñoMes].&amp;[" &amp; TEXT(S$6,"yyyymm") &amp; "]",
"[Base].[Metrica]",
"[Base].[Metrica].&amp;[" &amp; $A63 &amp; "]",
"[Base].[SEGMENTO_DESCRIP]",
"[Base].[SEGMENTO_DESCRIP].&amp;[" &amp; $C$6 &amp; "]",
"[Base].[SITUACION]",
"[Base].[SITUACION].&amp;[" &amp; $C63 &amp; "]"
),0)/1000</f>
        <v>3.5904616277099999</v>
      </c>
      <c r="T63" s="8">
        <f>IFERROR(
GETPIVOTDATA(
"[Base].[Importe]",
TDinamica_R!$A$5,
"[Calendario].[AñoMes]",
"[Calendario].[AñoMes].&amp;[" &amp; TEXT(T$6,"yyyymm") &amp; "]",
"[Base].[Metrica]",
"[Base].[Metrica].&amp;[" &amp; $A63 &amp; "]",
"[Base].[SEGMENTO_DESCRIP]",
"[Base].[SEGMENTO_DESCRIP].&amp;[" &amp; $C$6 &amp; "]",
"[Base].[SITUACION]",
"[Base].[SITUACION].&amp;[" &amp; $C63 &amp; "]"
),0)/1000</f>
        <v>3.6648629227700003</v>
      </c>
      <c r="U63" s="8">
        <f>IFERROR(
GETPIVOTDATA(
"[Base].[Importe]",
TDinamica_R!$A$5,
"[Calendario].[AñoMes]",
"[Calendario].[AñoMes].&amp;[" &amp; TEXT(U$6,"yyyymm") &amp; "]",
"[Base].[Metrica]",
"[Base].[Metrica].&amp;[" &amp; $A63 &amp; "]",
"[Base].[SEGMENTO_DESCRIP]",
"[Base].[SEGMENTO_DESCRIP].&amp;[" &amp; $C$6 &amp; "]",
"[Base].[SITUACION]",
"[Base].[SITUACION].&amp;[" &amp; $C63 &amp; "]"
),0)/1000</f>
        <v>3.6609777004000001</v>
      </c>
      <c r="V63" s="8">
        <f>IFERROR(
GETPIVOTDATA(
"[Base].[Importe]",
TDinamica_R!$A$5,
"[Calendario].[AñoMes]",
"[Calendario].[AñoMes].&amp;[" &amp; TEXT(V$6,"yyyymm") &amp; "]",
"[Base].[Metrica]",
"[Base].[Metrica].&amp;[" &amp; $A63 &amp; "]",
"[Base].[SEGMENTO_DESCRIP]",
"[Base].[SEGMENTO_DESCRIP].&amp;[" &amp; $C$6 &amp; "]",
"[Base].[SITUACION]",
"[Base].[SITUACION].&amp;[" &amp; $C63 &amp; "]"
),0)/1000</f>
        <v>3.1805953787500001</v>
      </c>
      <c r="W63" s="8">
        <f>IFERROR(
GETPIVOTDATA(
"[Base].[Importe]",
TDinamica_R!$A$5,
"[Calendario].[AñoMes]",
"[Calendario].[AñoMes].&amp;[" &amp; TEXT(W$6,"yyyymm") &amp; "]",
"[Base].[Metrica]",
"[Base].[Metrica].&amp;[" &amp; $A63 &amp; "]",
"[Base].[SEGMENTO_DESCRIP]",
"[Base].[SEGMENTO_DESCRIP].&amp;[" &amp; $C$6 &amp; "]",
"[Base].[SITUACION]",
"[Base].[SITUACION].&amp;[" &amp; $C63 &amp; "]"
),0)/1000</f>
        <v>3.3386960768200002</v>
      </c>
      <c r="X63" s="8">
        <f>IFERROR(
GETPIVOTDATA(
"[Base].[Importe]",
TDinamica_R!$A$5,
"[Calendario].[AñoMes]",
"[Calendario].[AñoMes].&amp;[" &amp; TEXT(X$6,"yyyymm") &amp; "]",
"[Base].[Metrica]",
"[Base].[Metrica].&amp;[" &amp; $A63 &amp; "]",
"[Base].[SEGMENTO_DESCRIP]",
"[Base].[SEGMENTO_DESCRIP].&amp;[" &amp; $C$6 &amp; "]",
"[Base].[SITUACION]",
"[Base].[SITUACION].&amp;[" &amp; $C63 &amp; "]"
),0)/1000</f>
        <v>7.6515110596100007</v>
      </c>
      <c r="Y63" s="8">
        <f>IFERROR(
GETPIVOTDATA(
"[Base].[Importe]",
TDinamica_R!$A$5,
"[Calendario].[AñoMes]",
"[Calendario].[AñoMes].&amp;[" &amp; TEXT(Y$6,"yyyymm") &amp; "]",
"[Base].[Metrica]",
"[Base].[Metrica].&amp;[" &amp; $A63 &amp; "]",
"[Base].[SEGMENTO_DESCRIP]",
"[Base].[SEGMENTO_DESCRIP].&amp;[" &amp; $C$6 &amp; "]",
"[Base].[SITUACION]",
"[Base].[SITUACION].&amp;[" &amp; $C63 &amp; "]"
),0)/1000</f>
        <v>-1.000158547529</v>
      </c>
      <c r="Z63" s="8">
        <f>IFERROR(
GETPIVOTDATA(
"[Base].[Importe]",
TDinamica_R!$A$5,
"[Calendario].[AñoMes]",
"[Calendario].[AñoMes].&amp;[" &amp; TEXT(Z$6,"yyyymm") &amp; "]",
"[Base].[Metrica]",
"[Base].[Metrica].&amp;[" &amp; $A63 &amp; "]",
"[Base].[SEGMENTO_DESCRIP]",
"[Base].[SEGMENTO_DESCRIP].&amp;[" &amp; $C$6 &amp; "]",
"[Base].[SITUACION]",
"[Base].[SITUACION].&amp;[" &amp; $C63 &amp; "]"
),0)/1000</f>
        <v>3.2543637117100004</v>
      </c>
      <c r="AA63" s="8">
        <f>IFERROR(
GETPIVOTDATA(
"[Base].[Importe]",
TDinamica_R!$A$5,
"[Calendario].[AñoMes]",
"[Calendario].[AñoMes].&amp;[" &amp; TEXT(AA$6,"yyyymm") &amp; "]",
"[Base].[Metrica]",
"[Base].[Metrica].&amp;[" &amp; $A63 &amp; "]",
"[Base].[SEGMENTO_DESCRIP]",
"[Base].[SEGMENTO_DESCRIP].&amp;[" &amp; $C$6 &amp; "]",
"[Base].[SITUACION]",
"[Base].[SITUACION].&amp;[" &amp; $C63 &amp; "]"
),0)/1000</f>
        <v>2.58915794319</v>
      </c>
      <c r="AB63" s="8">
        <f>IFERROR(
GETPIVOTDATA(
"[Base].[Importe]",
TDinamica_R!$A$5,
"[Calendario].[AñoMes]",
"[Calendario].[AñoMes].&amp;[" &amp; TEXT(AB$6,"yyyymm") &amp; "]",
"[Base].[Metrica]",
"[Base].[Metrica].&amp;[" &amp; $A63 &amp; "]",
"[Base].[SEGMENTO_DESCRIP]",
"[Base].[SEGMENTO_DESCRIP].&amp;[" &amp; $C$6 &amp; "]",
"[Base].[SITUACION]",
"[Base].[SITUACION].&amp;[" &amp; $C63 &amp; "]"
),0)/1000</f>
        <v>3.4466472424200001</v>
      </c>
      <c r="AC63" s="8">
        <f>IFERROR(
GETPIVOTDATA(
"[Base].[Importe]",
TDinamica_R!$A$5,
"[Calendario].[AñoMes]",
"[Calendario].[AñoMes].&amp;[" &amp; TEXT(AC$6,"yyyymm") &amp; "]",
"[Base].[Metrica]",
"[Base].[Metrica].&amp;[" &amp; $A63 &amp; "]",
"[Base].[SEGMENTO_DESCRIP]",
"[Base].[SEGMENTO_DESCRIP].&amp;[" &amp; $C$6 &amp; "]",
"[Base].[SITUACION]",
"[Base].[SITUACION].&amp;[" &amp; $C63 &amp; "]"
),0)/1000</f>
        <v>2.3095005139499998</v>
      </c>
      <c r="AD63" s="8">
        <f>IFERROR(
GETPIVOTDATA(
"[Base].[Importe]",
TDinamica_R!$A$5,
"[Calendario].[AñoMes]",
"[Calendario].[AñoMes].&amp;[" &amp; TEXT(AD$6,"yyyymm") &amp; "]",
"[Base].[Metrica]",
"[Base].[Metrica].&amp;[" &amp; $A63 &amp; "]",
"[Base].[SEGMENTO_DESCRIP]",
"[Base].[SEGMENTO_DESCRIP].&amp;[" &amp; $C$6 &amp; "]",
"[Base].[SITUACION]",
"[Base].[SITUACION].&amp;[" &amp; $C63 &amp; "]"
),0)/1000</f>
        <v>1.3021843790900001</v>
      </c>
      <c r="AE63" s="8">
        <f>IFERROR(
GETPIVOTDATA(
"[Base].[Importe]",
TDinamica_R!$A$5,
"[Calendario].[AñoMes]",
"[Calendario].[AñoMes].&amp;[" &amp; TEXT(AE$6,"yyyymm") &amp; "]",
"[Base].[Metrica]",
"[Base].[Metrica].&amp;[" &amp; $A63 &amp; "]",
"[Base].[SEGMENTO_DESCRIP]",
"[Base].[SEGMENTO_DESCRIP].&amp;[" &amp; $C$6 &amp; "]",
"[Base].[SITUACION]",
"[Base].[SITUACION].&amp;[" &amp; $C63 &amp; "]"
),0)/1000</f>
        <v>2.5175039992699997</v>
      </c>
      <c r="AF63" s="8">
        <f>IFERROR(
GETPIVOTDATA(
"[Base].[Importe]",
TDinamica_R!$A$5,
"[Calendario].[AñoMes]",
"[Calendario].[AñoMes].&amp;[" &amp; TEXT(AF$6,"yyyymm") &amp; "]",
"[Base].[Metrica]",
"[Base].[Metrica].&amp;[" &amp; $A63 &amp; "]",
"[Base].[SEGMENTO_DESCRIP]",
"[Base].[SEGMENTO_DESCRIP].&amp;[" &amp; $C$6 &amp; "]",
"[Base].[SITUACION]",
"[Base].[SITUACION].&amp;[" &amp; $C63 &amp; "]"
),0)/1000</f>
        <v>2.3810135550699996</v>
      </c>
      <c r="AG63" s="8">
        <f>IFERROR(
GETPIVOTDATA(
"[Base].[Importe]",
TDinamica_R!$A$5,
"[Calendario].[AñoMes]",
"[Calendario].[AñoMes].&amp;[" &amp; TEXT(AG$6,"yyyymm") &amp; "]",
"[Base].[Metrica]",
"[Base].[Metrica].&amp;[" &amp; $A63 &amp; "]",
"[Base].[SEGMENTO_DESCRIP]",
"[Base].[SEGMENTO_DESCRIP].&amp;[" &amp; $C$6 &amp; "]",
"[Base].[SITUACION]",
"[Base].[SITUACION].&amp;[" &amp; $C63 &amp; "]"
),0)/1000</f>
        <v>2.9593166767899999</v>
      </c>
      <c r="AH63" s="8">
        <f>IFERROR(
GETPIVOTDATA(
"[Base].[Importe]",
TDinamica_R!$A$5,
"[Calendario].[AñoMes]",
"[Calendario].[AñoMes].&amp;[" &amp; TEXT(AH$6,"yyyymm") &amp; "]",
"[Base].[Metrica]",
"[Base].[Metrica].&amp;[" &amp; $A63 &amp; "]",
"[Base].[SEGMENTO_DESCRIP]",
"[Base].[SEGMENTO_DESCRIP].&amp;[" &amp; $C$6 &amp; "]",
"[Base].[SITUACION]",
"[Base].[SITUACION].&amp;[" &amp; $C63 &amp; "]"
),0)/1000</f>
        <v>2.4189512562899997</v>
      </c>
      <c r="AI63" s="8">
        <f>IFERROR(
GETPIVOTDATA(
"[Base].[Importe]",
TDinamica_R!$A$5,
"[Calendario].[AñoMes]",
"[Calendario].[AñoMes].&amp;[" &amp; TEXT(AI$6,"yyyymm") &amp; "]",
"[Base].[Metrica]",
"[Base].[Metrica].&amp;[" &amp; $A63 &amp; "]",
"[Base].[SEGMENTO_DESCRIP]",
"[Base].[SEGMENTO_DESCRIP].&amp;[" &amp; $C$6 &amp; "]",
"[Base].[SITUACION]",
"[Base].[SITUACION].&amp;[" &amp; $C63 &amp; "]"
),0)/1000</f>
        <v>2.6552989576799999</v>
      </c>
      <c r="AJ63" s="8">
        <f>IFERROR(
GETPIVOTDATA(
"[Base].[Importe]",
TDinamica_R!$A$5,
"[Calendario].[AñoMes]",
"[Calendario].[AñoMes].&amp;[" &amp; TEXT(AJ$6,"yyyymm") &amp; "]",
"[Base].[Metrica]",
"[Base].[Metrica].&amp;[" &amp; $A63 &amp; "]",
"[Base].[SEGMENTO_DESCRIP]",
"[Base].[SEGMENTO_DESCRIP].&amp;[" &amp; $C$6 &amp; "]",
"[Base].[SITUACION]",
"[Base].[SITUACION].&amp;[" &amp; $C63 &amp; "]"
),0)/1000</f>
        <v>2.5203602110400003</v>
      </c>
      <c r="AK63" s="8">
        <f>IFERROR(
GETPIVOTDATA(
"[Base].[Importe]",
TDinamica_R!$A$5,
"[Calendario].[AñoMes]",
"[Calendario].[AñoMes].&amp;[" &amp; TEXT(AK$6,"yyyymm") &amp; "]",
"[Base].[Metrica]",
"[Base].[Metrica].&amp;[" &amp; $A63 &amp; "]",
"[Base].[SEGMENTO_DESCRIP]",
"[Base].[SEGMENTO_DESCRIP].&amp;[" &amp; $C$6 &amp; "]",
"[Base].[SITUACION]",
"[Base].[SITUACION].&amp;[" &amp; $C63 &amp; "]"
),0)/1000</f>
        <v>2.2195880989100001</v>
      </c>
      <c r="AL63" s="8">
        <f>IFERROR(
GETPIVOTDATA(
"[Base].[Importe]",
TDinamica_R!$A$5,
"[Calendario].[AñoMes]",
"[Calendario].[AñoMes].&amp;[" &amp; TEXT(AL$6,"yyyymm") &amp; "]",
"[Base].[Metrica]",
"[Base].[Metrica].&amp;[" &amp; $A63 &amp; "]",
"[Base].[SEGMENTO_DESCRIP]",
"[Base].[SEGMENTO_DESCRIP].&amp;[" &amp; $C$6 &amp; "]",
"[Base].[SITUACION]",
"[Base].[SITUACION].&amp;[" &amp; $C63 &amp; "]"
),0)/1000</f>
        <v>3.2160375330399997</v>
      </c>
      <c r="AM63" s="8">
        <f>IFERROR(
GETPIVOTDATA(
"[Base].[Importe]",
TDinamica_R!$A$5,
"[Calendario].[AñoMes]",
"[Calendario].[AñoMes].&amp;[" &amp; TEXT(AM$6,"yyyymm") &amp; "]",
"[Base].[Metrica]",
"[Base].[Metrica].&amp;[" &amp; $A63 &amp; "]",
"[Base].[SEGMENTO_DESCRIP]",
"[Base].[SEGMENTO_DESCRIP].&amp;[" &amp; $C$6 &amp; "]",
"[Base].[SITUACION]",
"[Base].[SITUACION].&amp;[" &amp; $C63 &amp; "]"
),0)/1000</f>
        <v>2.2692435249199998</v>
      </c>
      <c r="AN63" s="8">
        <f>IFERROR(
GETPIVOTDATA(
"[Base].[Importe]",
TDinamica_R!$A$5,
"[Calendario].[AñoMes]",
"[Calendario].[AñoMes].&amp;[" &amp; TEXT(AN$6,"yyyymm") &amp; "]",
"[Base].[Metrica]",
"[Base].[Metrica].&amp;[" &amp; $A63 &amp; "]",
"[Base].[SEGMENTO_DESCRIP]",
"[Base].[SEGMENTO_DESCRIP].&amp;[" &amp; $C$6 &amp; "]",
"[Base].[SITUACION]",
"[Base].[SITUACION].&amp;[" &amp; $C63 &amp; "]"
),0)/1000</f>
        <v>2.8942117533916112</v>
      </c>
      <c r="AO63" s="8">
        <f>IFERROR(
GETPIVOTDATA(
"[Base].[Importe]",
TDinamica_R!$A$5,
"[Calendario].[AñoMes]",
"[Calendario].[AñoMes].&amp;[" &amp; TEXT(AO$6,"yyyymm") &amp; "]",
"[Base].[Metrica]",
"[Base].[Metrica].&amp;[" &amp; $A63 &amp; "]",
"[Base].[SEGMENTO_DESCRIP]",
"[Base].[SEGMENTO_DESCRIP].&amp;[" &amp; $C$6 &amp; "]",
"[Base].[SITUACION]",
"[Base].[SITUACION].&amp;[" &amp; $C63 &amp; "]"
),0)/1000</f>
        <v>2.4375634024143022</v>
      </c>
      <c r="AP63" s="8">
        <f>IFERROR(
GETPIVOTDATA(
"[Base].[Importe]",
TDinamica_R!$A$5,
"[Calendario].[AñoMes]",
"[Calendario].[AñoMes].&amp;[" &amp; TEXT(AP$6,"yyyymm") &amp; "]",
"[Base].[Metrica]",
"[Base].[Metrica].&amp;[" &amp; $A63 &amp; "]",
"[Base].[SEGMENTO_DESCRIP]",
"[Base].[SEGMENTO_DESCRIP].&amp;[" &amp; $C$6 &amp; "]",
"[Base].[SITUACION]",
"[Base].[SITUACION].&amp;[" &amp; $C63 &amp; "]"
),0)/1000</f>
        <v>2.7749654587904251</v>
      </c>
      <c r="AQ63" s="8">
        <f>IFERROR(
GETPIVOTDATA(
"[Base].[Importe]",
TDinamica_R!$A$5,
"[Calendario].[AñoMes]",
"[Calendario].[AñoMes].&amp;[" &amp; TEXT(AQ$6,"yyyymm") &amp; "]",
"[Base].[Metrica]",
"[Base].[Metrica].&amp;[" &amp; $A63 &amp; "]",
"[Base].[SEGMENTO_DESCRIP]",
"[Base].[SEGMENTO_DESCRIP].&amp;[" &amp; $C$6 &amp; "]",
"[Base].[SITUACION]",
"[Base].[SITUACION].&amp;[" &amp; $C63 &amp; "]"
),0)/1000</f>
        <v>4.2100892465822364</v>
      </c>
      <c r="AR63" s="8">
        <f>IFERROR(
GETPIVOTDATA(
"[Base].[Importe]",
TDinamica_R!$A$5,
"[Calendario].[AñoMes]",
"[Calendario].[AñoMes].&amp;[" &amp; TEXT(AR$6,"yyyymm") &amp; "]",
"[Base].[Metrica]",
"[Base].[Metrica].&amp;[" &amp; $A63 &amp; "]",
"[Base].[SEGMENTO_DESCRIP]",
"[Base].[SEGMENTO_DESCRIP].&amp;[" &amp; $C$6 &amp; "]",
"[Base].[SITUACION]",
"[Base].[SITUACION].&amp;[" &amp; $C63 &amp; "]"
),0)/1000</f>
        <v>4.0173106058922032</v>
      </c>
      <c r="AS63" s="8">
        <f>IFERROR(
GETPIVOTDATA(
"[Base].[Importe]",
TDinamica_R!$A$5,
"[Calendario].[AñoMes]",
"[Calendario].[AñoMes].&amp;[" &amp; TEXT(AS$6,"yyyymm") &amp; "]",
"[Base].[Metrica]",
"[Base].[Metrica].&amp;[" &amp; $A63 &amp; "]",
"[Base].[SEGMENTO_DESCRIP]",
"[Base].[SEGMENTO_DESCRIP].&amp;[" &amp; $C$6 &amp; "]",
"[Base].[SITUACION]",
"[Base].[SITUACION].&amp;[" &amp; $C63 &amp; "]"
),0)/1000</f>
        <v>4.7576704996780155</v>
      </c>
      <c r="AT63" s="8">
        <f>IFERROR(
GETPIVOTDATA(
"[Base].[Importe]",
TDinamica_R!$A$5,
"[Calendario].[AñoMes]",
"[Calendario].[AñoMes].&amp;[" &amp; TEXT(AT$6,"yyyymm")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U63" s="8">
        <f>IFERROR(
GETPIVOTDATA(
"[Base].[Importe]",
TDinamica_R!$A$5,
"[Calendario].[AñoMes]",
"[Calendario].[AñoMes].&amp;[" &amp; TEXT(AU$6,"yyyymm")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V63" s="8">
        <f>IFERROR(
GETPIVOTDATA(
"[Base].[Importe]",
TDinamica_R!$A$5,
"[Calendario].[AñoMes]",
"[Calendario].[AñoMes].&amp;[" &amp; TEXT(AV$6,"yyyymm")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W63" s="8">
        <f>IFERROR(
GETPIVOTDATA(
"[Base].[Importe]",
TDinamica_R!$A$5,
"[Calendario].[AñoMes]",
"[Calendario].[AñoMes].&amp;[" &amp; TEXT(AW$6,"yyyymm")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X63" s="8">
        <f>IFERROR(
GETPIVOTDATA(
"[Base].[Importe]",
TDinamica_R!$A$5,
"[Calendario].[AñoMes]",
"[Calendario].[AñoMes].&amp;[" &amp; TEXT(AX$6,"yyyymm")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Y63" s="8">
        <f>IFERROR(
GETPIVOTDATA(
"[Base].[Importe]",
TDinamica_R!$A$5,
"[Calendario].[AñoMes]",
"[Calendario].[AñoMes].&amp;[" &amp; TEXT(AY$6,"yyyymm")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Z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TEXT(AZ$6,"yyyymm") &amp; "]"
),
0
)</f>
        <v>1.8840676504014797</v>
      </c>
      <c r="BA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TEXT(BA$6,"yyyymm") &amp; "]"
),
0
)</f>
        <v>1.8359452854477212</v>
      </c>
      <c r="BB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TEXT(BB$6,"yyyymm") &amp; "]"
),
0
)</f>
        <v>1.7892123068973558</v>
      </c>
      <c r="BC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TEXT(BC$6,"yyyymm") &amp; "]"
),
0
)</f>
        <v>1.754270613597732</v>
      </c>
      <c r="BD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TEXT(BD$6,"yyyymm") &amp; "]"
),
0
)</f>
        <v>1.730399872033636</v>
      </c>
      <c r="BE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TEXT(BE$6,"yyyymm") &amp; "]"
),
0
)</f>
        <v>1.702189330768233</v>
      </c>
      <c r="BF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TEXT(BF$6,"yyyymm") &amp; "]"
),
0
)</f>
        <v>1.6739455086549013</v>
      </c>
      <c r="BG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TEXT(BG$6,"yyyymm") &amp; "]"
),
0
)</f>
        <v>1.6578352968504333</v>
      </c>
      <c r="BH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TEXT(BH$6,"yyyymm") &amp; "]"
),
0
)</f>
        <v>1.6411703384960863</v>
      </c>
      <c r="BI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TEXT(BI$6,"yyyymm") &amp; "]"
),
0
)</f>
        <v>1.6346168008254103</v>
      </c>
      <c r="BJ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TEXT(BJ$6,"yyyymm") &amp; "]"
),
0
)</f>
        <v>1.6363331136199857</v>
      </c>
      <c r="BK63" s="8">
        <f>IFERROR(
GETPIVOTDATA(
"[Base_PPE].[Importe]",
TDinamica_P!$A$4,
"[Base_PPE].[Metrica]",
"[Base_PPE].[Metrica].&amp;[" &amp; TRIM($A63) &amp; "]",
"[Base_PPE].[SITUACION]",
"[Base_PPE].[SITUACION].&amp;[" &amp; TRIM($C63) &amp; "]",
"[Base_PPE].[SEGMENTO_DESCRIP]",
"[Base_PPE].[SEGMENTO_DESCRIP].&amp;[" &amp; TRIM($C$6) &amp; "]",
"[Base_PPE].[Periodo]",
"[Base_PPE].[Periodo].&amp;[" &amp; TEXT(BK$6,"yyyymm") &amp; "]"
),
0
)</f>
        <v>1.6339066019764141</v>
      </c>
      <c r="BO63" s="24">
        <f t="shared" ref="BO63:BT72" si="64">SUMIFS($D63:$BM63,$D$6:$BM$6,"&gt;="&amp;BO$2,$D$6:$BM$6,"&lt;="&amp;BO$6,$D$5:$BM$5,BO$5)</f>
        <v>8.1067406145963385</v>
      </c>
      <c r="BP63" s="24">
        <f t="shared" si="64"/>
        <v>5.5092252427465569</v>
      </c>
      <c r="BQ63" s="24">
        <f t="shared" si="64"/>
        <v>5.3317751558059134</v>
      </c>
      <c r="BR63" s="24">
        <f t="shared" si="64"/>
        <v>7.0583321354599997</v>
      </c>
      <c r="BS63" s="24">
        <f t="shared" si="64"/>
        <v>14.000521899360001</v>
      </c>
      <c r="BT63" s="24">
        <f t="shared" si="64"/>
        <v>15.556955214790001</v>
      </c>
    </row>
    <row r="64" spans="1:72" hidden="1" outlineLevel="1" x14ac:dyDescent="0.25">
      <c r="A64" s="11" t="s">
        <v>71</v>
      </c>
      <c r="C64" s="2" t="s">
        <v>113</v>
      </c>
      <c r="D64" s="8">
        <f>IFERROR(
GETPIVOTDATA(
"[Base].[Importe]",
TDinamica_R!$A$5,
"[Calendario].[AñoMes]",
"[Calendario].[AñoMes].&amp;[" &amp; TEXT(D$6,"yyyymm") &amp; "]",
"[Base].[Metrica]",
"[Base].[Metrica].&amp;[" &amp; $A64 &amp; "]",
"[Base].[SEGMENTO_DESCRIP]",
"[Base].[SEGMENTO_DESCRIP].&amp;[" &amp; $C$6 &amp; "]",
"[Base].[SITUACION]",
"[Base].[SITUACION].&amp;[" &amp; $C64 &amp; "]"
),0)/1000</f>
        <v>0.1</v>
      </c>
      <c r="E64" s="8">
        <f>IFERROR(
GETPIVOTDATA(
"[Base].[Importe]",
TDinamica_R!$A$5,
"[Calendario].[AñoMes]",
"[Calendario].[AñoMes].&amp;[" &amp; TEXT(E$6,"yyyymm") &amp; "]",
"[Base].[Metrica]",
"[Base].[Metrica].&amp;[" &amp; $A64 &amp; "]",
"[Base].[SEGMENTO_DESCRIP]",
"[Base].[SEGMENTO_DESCRIP].&amp;[" &amp; $C$6 &amp; "]",
"[Base].[SITUACION]",
"[Base].[SITUACION].&amp;[" &amp; $C64 &amp; "]"
),0)/1000</f>
        <v>0.106</v>
      </c>
      <c r="F64" s="8">
        <f>IFERROR(
GETPIVOTDATA(
"[Base].[Importe]",
TDinamica_R!$A$5,
"[Calendario].[AñoMes]",
"[Calendario].[AñoMes].&amp;[" &amp; TEXT(F$6,"yyyymm") &amp; "]",
"[Base].[Metrica]",
"[Base].[Metrica].&amp;[" &amp; $A64 &amp; "]",
"[Base].[SEGMENTO_DESCRIP]",
"[Base].[SEGMENTO_DESCRIP].&amp;[" &amp; $C$6 &amp; "]",
"[Base].[SITUACION]",
"[Base].[SITUACION].&amp;[" &amp; $C64 &amp; "]"
),0)/1000</f>
        <v>6.9000000000000006E-2</v>
      </c>
      <c r="G64" s="8">
        <f>IFERROR(
GETPIVOTDATA(
"[Base].[Importe]",
TDinamica_R!$A$5,
"[Calendario].[AñoMes]",
"[Calendario].[AñoMes].&amp;[" &amp; TEXT(G$6,"yyyymm") &amp; "]",
"[Base].[Metrica]",
"[Base].[Metrica].&amp;[" &amp; $A64 &amp; "]",
"[Base].[SEGMENTO_DESCRIP]",
"[Base].[SEGMENTO_DESCRIP].&amp;[" &amp; $C$6 &amp; "]",
"[Base].[SITUACION]",
"[Base].[SITUACION].&amp;[" &amp; $C64 &amp; "]"
),0)/1000</f>
        <v>0.06</v>
      </c>
      <c r="H64" s="8">
        <f>IFERROR(
GETPIVOTDATA(
"[Base].[Importe]",
TDinamica_R!$A$5,
"[Calendario].[AñoMes]",
"[Calendario].[AñoMes].&amp;[" &amp; TEXT(H$6,"yyyymm") &amp; "]",
"[Base].[Metrica]",
"[Base].[Metrica].&amp;[" &amp; $A64 &amp; "]",
"[Base].[SEGMENTO_DESCRIP]",
"[Base].[SEGMENTO_DESCRIP].&amp;[" &amp; $C$6 &amp; "]",
"[Base].[SITUACION]",
"[Base].[SITUACION].&amp;[" &amp; $C64 &amp; "]"
),0)/1000</f>
        <v>0.05</v>
      </c>
      <c r="I64" s="8">
        <f>IFERROR(
GETPIVOTDATA(
"[Base].[Importe]",
TDinamica_R!$A$5,
"[Calendario].[AñoMes]",
"[Calendario].[AñoMes].&amp;[" &amp; TEXT(I$6,"yyyymm") &amp; "]",
"[Base].[Metrica]",
"[Base].[Metrica].&amp;[" &amp; $A64 &amp; "]",
"[Base].[SEGMENTO_DESCRIP]",
"[Base].[SEGMENTO_DESCRIP].&amp;[" &amp; $C$6 &amp; "]",
"[Base].[SITUACION]",
"[Base].[SITUACION].&amp;[" &amp; $C64 &amp; "]"
),0)/1000</f>
        <v>0.06</v>
      </c>
      <c r="J64" s="8">
        <f>IFERROR(
GETPIVOTDATA(
"[Base].[Importe]",
TDinamica_R!$A$5,
"[Calendario].[AñoMes]",
"[Calendario].[AñoMes].&amp;[" &amp; TEXT(J$6,"yyyymm")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K64" s="8">
        <f>IFERROR(
GETPIVOTDATA(
"[Base].[Importe]",
TDinamica_R!$A$5,
"[Calendario].[AñoMes]",
"[Calendario].[AñoMes].&amp;[" &amp; TEXT(K$6,"yyyymm")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L64" s="8">
        <f>IFERROR(
GETPIVOTDATA(
"[Base].[Importe]",
TDinamica_R!$A$5,
"[Calendario].[AñoMes]",
"[Calendario].[AñoMes].&amp;[" &amp; TEXT(L$6,"yyyymm") &amp; "]",
"[Base].[Metrica]",
"[Base].[Metrica].&amp;[" &amp; $A64 &amp; "]",
"[Base].[SEGMENTO_DESCRIP]",
"[Base].[SEGMENTO_DESCRIP].&amp;[" &amp; $C$6 &amp; "]",
"[Base].[SITUACION]",
"[Base].[SITUACION].&amp;[" &amp; $C64 &amp; "]"
),0)/1000</f>
        <v>0.02</v>
      </c>
      <c r="M64" s="8">
        <f>IFERROR(
GETPIVOTDATA(
"[Base].[Importe]",
TDinamica_R!$A$5,
"[Calendario].[AñoMes]",
"[Calendario].[AñoMes].&amp;[" &amp; TEXT(M$6,"yyyymm")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N64" s="8">
        <f>IFERROR(
GETPIVOTDATA(
"[Base].[Importe]",
TDinamica_R!$A$5,
"[Calendario].[AñoMes]",
"[Calendario].[AñoMes].&amp;[" &amp; TEXT(N$6,"yyyymm")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O64" s="8">
        <f>IFERROR(
GETPIVOTDATA(
"[Base].[Importe]",
TDinamica_R!$A$5,
"[Calendario].[AñoMes]",
"[Calendario].[AñoMes].&amp;[" &amp; TEXT(O$6,"yyyymm")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P64" s="8">
        <f>IFERROR(
GETPIVOTDATA(
"[Base].[Importe]",
TDinamica_R!$A$5,
"[Calendario].[AñoMes]",
"[Calendario].[AñoMes].&amp;[" &amp; TEXT(P$6,"yyyymm") &amp; "]",
"[Base].[Metrica]",
"[Base].[Metrica].&amp;[" &amp; $A64 &amp; "]",
"[Base].[SEGMENTO_DESCRIP]",
"[Base].[SEGMENTO_DESCRIP].&amp;[" &amp; $C$6 &amp; "]",
"[Base].[SITUACION]",
"[Base].[SITUACION].&amp;[" &amp; $C64 &amp; "]"
),0)/1000</f>
        <v>0.04</v>
      </c>
      <c r="Q64" s="8">
        <f>IFERROR(
GETPIVOTDATA(
"[Base].[Importe]",
TDinamica_R!$A$5,
"[Calendario].[AñoMes]",
"[Calendario].[AñoMes].&amp;[" &amp; TEXT(Q$6,"yyyymm") &amp; "]",
"[Base].[Metrica]",
"[Base].[Metrica].&amp;[" &amp; $A64 &amp; "]",
"[Base].[SEGMENTO_DESCRIP]",
"[Base].[SEGMENTO_DESCRIP].&amp;[" &amp; $C$6 &amp; "]",
"[Base].[SITUACION]",
"[Base].[SITUACION].&amp;[" &amp; $C64 &amp; "]"
),0)/1000</f>
        <v>0.02</v>
      </c>
      <c r="R64" s="8">
        <f>IFERROR(
GETPIVOTDATA(
"[Base].[Importe]",
TDinamica_R!$A$5,
"[Calendario].[AñoMes]",
"[Calendario].[AñoMes].&amp;[" &amp; TEXT(R$6,"yyyymm")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S64" s="8">
        <f>IFERROR(
GETPIVOTDATA(
"[Base].[Importe]",
TDinamica_R!$A$5,
"[Calendario].[AñoMes]",
"[Calendario].[AñoMes].&amp;[" &amp; TEXT(S$6,"yyyymm")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T64" s="8">
        <f>IFERROR(
GETPIVOTDATA(
"[Base].[Importe]",
TDinamica_R!$A$5,
"[Calendario].[AñoMes]",
"[Calendario].[AñoMes].&amp;[" &amp; TEXT(T$6,"yyyymm")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U64" s="8">
        <f>IFERROR(
GETPIVOTDATA(
"[Base].[Importe]",
TDinamica_R!$A$5,
"[Calendario].[AñoMes]",
"[Calendario].[AñoMes].&amp;[" &amp; TEXT(U$6,"yyyymm") &amp; "]",
"[Base].[Metrica]",
"[Base].[Metrica].&amp;[" &amp; $A64 &amp; "]",
"[Base].[SEGMENTO_DESCRIP]",
"[Base].[SEGMENTO_DESCRIP].&amp;[" &amp; $C$6 &amp; "]",
"[Base].[SITUACION]",
"[Base].[SITUACION].&amp;[" &amp; $C64 &amp; "]"
),0)/1000</f>
        <v>0.02</v>
      </c>
      <c r="V64" s="8">
        <f>IFERROR(
GETPIVOTDATA(
"[Base].[Importe]",
TDinamica_R!$A$5,
"[Calendario].[AñoMes]",
"[Calendario].[AñoMes].&amp;[" &amp; TEXT(V$6,"yyyymm") &amp; "]",
"[Base].[Metrica]",
"[Base].[Metrica].&amp;[" &amp; $A64 &amp; "]",
"[Base].[SEGMENTO_DESCRIP]",
"[Base].[SEGMENTO_DESCRIP].&amp;[" &amp; $C$6 &amp; "]",
"[Base].[SITUACION]",
"[Base].[SITUACION].&amp;[" &amp; $C64 &amp; "]"
),0)/1000</f>
        <v>0.02</v>
      </c>
      <c r="W64" s="8">
        <f>IFERROR(
GETPIVOTDATA(
"[Base].[Importe]",
TDinamica_R!$A$5,
"[Calendario].[AñoMes]",
"[Calendario].[AñoMes].&amp;[" &amp; TEXT(W$6,"yyyymm")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X64" s="8">
        <f>IFERROR(
GETPIVOTDATA(
"[Base].[Importe]",
TDinamica_R!$A$5,
"[Calendario].[AñoMes]",
"[Calendario].[AñoMes].&amp;[" &amp; TEXT(X$6,"yyyymm") &amp; "]",
"[Base].[Metrica]",
"[Base].[Metrica].&amp;[" &amp; $A64 &amp; "]",
"[Base].[SEGMENTO_DESCRIP]",
"[Base].[SEGMENTO_DESCRIP].&amp;[" &amp; $C$6 &amp; "]",
"[Base].[SITUACION]",
"[Base].[SITUACION].&amp;[" &amp; $C64 &amp; "]"
),0)/1000</f>
        <v>0.01</v>
      </c>
      <c r="Y64" s="8">
        <f>IFERROR(
GETPIVOTDATA(
"[Base].[Importe]",
TDinamica_R!$A$5,
"[Calendario].[AñoMes]",
"[Calendario].[AñoMes].&amp;[" &amp; TEXT(Y$6,"yyyymm") &amp; "]",
"[Base].[Metrica]",
"[Base].[Metrica].&amp;[" &amp; $A64 &amp; "]",
"[Base].[SEGMENTO_DESCRIP]",
"[Base].[SEGMENTO_DESCRIP].&amp;[" &amp; $C$6 &amp; "]",
"[Base].[SITUACION]",
"[Base].[SITUACION].&amp;[" &amp; $C64 &amp; "]"
),0)/1000</f>
        <v>0.03</v>
      </c>
      <c r="Z64" s="8">
        <f>IFERROR(
GETPIVOTDATA(
"[Base].[Importe]",
TDinamica_R!$A$5,
"[Calendario].[AñoMes]",
"[Calendario].[AñoMes].&amp;[" &amp; TEXT(Z$6,"yyyymm") &amp; "]",
"[Base].[Metrica]",
"[Base].[Metrica].&amp;[" &amp; $A64 &amp; "]",
"[Base].[SEGMENTO_DESCRIP]",
"[Base].[SEGMENTO_DESCRIP].&amp;[" &amp; $C$6 &amp; "]",
"[Base].[SITUACION]",
"[Base].[SITUACION].&amp;[" &amp; $C64 &amp; "]"
),0)/1000</f>
        <v>0.01</v>
      </c>
      <c r="AA64" s="8">
        <f>IFERROR(
GETPIVOTDATA(
"[Base].[Importe]",
TDinamica_R!$A$5,
"[Calendario].[AñoMes]",
"[Calendario].[AñoMes].&amp;[" &amp; TEXT(AA$6,"yyyymm") &amp; "]",
"[Base].[Metrica]",
"[Base].[Metrica].&amp;[" &amp; $A64 &amp; "]",
"[Base].[SEGMENTO_DESCRIP]",
"[Base].[SEGMENTO_DESCRIP].&amp;[" &amp; $C$6 &amp; "]",
"[Base].[SITUACION]",
"[Base].[SITUACION].&amp;[" &amp; $C64 &amp; "]"
),0)/1000</f>
        <v>0.02</v>
      </c>
      <c r="AB64" s="8">
        <f>IFERROR(
GETPIVOTDATA(
"[Base].[Importe]",
TDinamica_R!$A$5,
"[Calendario].[AñoMes]",
"[Calendario].[AñoMes].&amp;[" &amp; TEXT(AB$6,"yyyymm") &amp; "]",
"[Base].[Metrica]",
"[Base].[Metrica].&amp;[" &amp; $A64 &amp; "]",
"[Base].[SEGMENTO_DESCRIP]",
"[Base].[SEGMENTO_DESCRIP].&amp;[" &amp; $C$6 &amp; "]",
"[Base].[SITUACION]",
"[Base].[SITUACION].&amp;[" &amp; $C64 &amp; "]"
),0)/1000</f>
        <v>0.02</v>
      </c>
      <c r="AC64" s="8">
        <f>IFERROR(
GETPIVOTDATA(
"[Base].[Importe]",
TDinamica_R!$A$5,
"[Calendario].[AñoMes]",
"[Calendario].[AñoMes].&amp;[" &amp; TEXT(AC$6,"yyyymm") &amp; "]",
"[Base].[Metrica]",
"[Base].[Metrica].&amp;[" &amp; $A64 &amp; "]",
"[Base].[SEGMENTO_DESCRIP]",
"[Base].[SEGMENTO_DESCRIP].&amp;[" &amp; $C$6 &amp; "]",
"[Base].[SITUACION]",
"[Base].[SITUACION].&amp;[" &amp; $C64 &amp; "]"
),0)/1000</f>
        <v>0.01</v>
      </c>
      <c r="AD64" s="8">
        <f>IFERROR(
GETPIVOTDATA(
"[Base].[Importe]",
TDinamica_R!$A$5,
"[Calendario].[AñoMes]",
"[Calendario].[AñoMes].&amp;[" &amp; TEXT(AD$6,"yyyymm") &amp; "]",
"[Base].[Metrica]",
"[Base].[Metrica].&amp;[" &amp; $A64 &amp; "]",
"[Base].[SEGMENTO_DESCRIP]",
"[Base].[SEGMENTO_DESCRIP].&amp;[" &amp; $C$6 &amp; "]",
"[Base].[SITUACION]",
"[Base].[SITUACION].&amp;[" &amp; $C64 &amp; "]"
),0)/1000</f>
        <v>0.01</v>
      </c>
      <c r="AE64" s="8">
        <f>IFERROR(
GETPIVOTDATA(
"[Base].[Importe]",
TDinamica_R!$A$5,
"[Calendario].[AñoMes]",
"[Calendario].[AñoMes].&amp;[" &amp; TEXT(AE$6,"yyyymm") &amp; "]",
"[Base].[Metrica]",
"[Base].[Metrica].&amp;[" &amp; $A64 &amp; "]",
"[Base].[SEGMENTO_DESCRIP]",
"[Base].[SEGMENTO_DESCRIP].&amp;[" &amp; $C$6 &amp; "]",
"[Base].[SITUACION]",
"[Base].[SITUACION].&amp;[" &amp; $C64 &amp; "]"
),0)/1000</f>
        <v>0.01</v>
      </c>
      <c r="AF64" s="8">
        <f>IFERROR(
GETPIVOTDATA(
"[Base].[Importe]",
TDinamica_R!$A$5,
"[Calendario].[AñoMes]",
"[Calendario].[AñoMes].&amp;[" &amp; TEXT(AF$6,"yyyymm") &amp; "]",
"[Base].[Metrica]",
"[Base].[Metrica].&amp;[" &amp; $A64 &amp; "]",
"[Base].[SEGMENTO_DESCRIP]",
"[Base].[SEGMENTO_DESCRIP].&amp;[" &amp; $C$6 &amp; "]",
"[Base].[SITUACION]",
"[Base].[SITUACION].&amp;[" &amp; $C64 &amp; "]"
),0)/1000</f>
        <v>0.01</v>
      </c>
      <c r="AG64" s="8">
        <f>IFERROR(
GETPIVOTDATA(
"[Base].[Importe]",
TDinamica_R!$A$5,
"[Calendario].[AñoMes]",
"[Calendario].[AñoMes].&amp;[" &amp; TEXT(AG$6,"yyyymm") &amp; "]",
"[Base].[Metrica]",
"[Base].[Metrica].&amp;[" &amp; $A64 &amp; "]",
"[Base].[SEGMENTO_DESCRIP]",
"[Base].[SEGMENTO_DESCRIP].&amp;[" &amp; $C$6 &amp; "]",
"[Base].[SITUACION]",
"[Base].[SITUACION].&amp;[" &amp; $C64 &amp; "]"
),0)/1000</f>
        <v>0.02</v>
      </c>
      <c r="AH64" s="8">
        <f>IFERROR(
GETPIVOTDATA(
"[Base].[Importe]",
TDinamica_R!$A$5,
"[Calendario].[AñoMes]",
"[Calendario].[AñoMes].&amp;[" &amp; TEXT(AH$6,"yyyymm") &amp; "]",
"[Base].[Metrica]",
"[Base].[Metrica].&amp;[" &amp; $A64 &amp; "]",
"[Base].[SEGMENTO_DESCRIP]",
"[Base].[SEGMENTO_DESCRIP].&amp;[" &amp; $C$6 &amp; "]",
"[Base].[SITUACION]",
"[Base].[SITUACION].&amp;[" &amp; $C64 &amp; "]"
),0)/1000</f>
        <v>0.02</v>
      </c>
      <c r="AI64" s="8">
        <f>IFERROR(
GETPIVOTDATA(
"[Base].[Importe]",
TDinamica_R!$A$5,
"[Calendario].[AñoMes]",
"[Calendario].[AñoMes].&amp;[" &amp; TEXT(AI$6,"yyyymm")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J64" s="8">
        <f>IFERROR(
GETPIVOTDATA(
"[Base].[Importe]",
TDinamica_R!$A$5,
"[Calendario].[AñoMes]",
"[Calendario].[AñoMes].&amp;[" &amp; TEXT(AJ$6,"yyyymm")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K64" s="8">
        <f>IFERROR(
GETPIVOTDATA(
"[Base].[Importe]",
TDinamica_R!$A$5,
"[Calendario].[AñoMes]",
"[Calendario].[AñoMes].&amp;[" &amp; TEXT(AK$6,"yyyymm")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L64" s="8">
        <f>IFERROR(
GETPIVOTDATA(
"[Base].[Importe]",
TDinamica_R!$A$5,
"[Calendario].[AñoMes]",
"[Calendario].[AñoMes].&amp;[" &amp; TEXT(AL$6,"yyyymm")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M64" s="8">
        <f>IFERROR(
GETPIVOTDATA(
"[Base].[Importe]",
TDinamica_R!$A$5,
"[Calendario].[AñoMes]",
"[Calendario].[AñoMes].&amp;[" &amp; TEXT(AM$6,"yyyymm")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N64" s="8">
        <f>IFERROR(
GETPIVOTDATA(
"[Base].[Importe]",
TDinamica_R!$A$5,
"[Calendario].[AñoMes]",
"[Calendario].[AñoMes].&amp;[" &amp; TEXT(AN$6,"yyyymm")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O64" s="8">
        <f>IFERROR(
GETPIVOTDATA(
"[Base].[Importe]",
TDinamica_R!$A$5,
"[Calendario].[AñoMes]",
"[Calendario].[AñoMes].&amp;[" &amp; TEXT(AO$6,"yyyymm")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P64" s="8">
        <f>IFERROR(
GETPIVOTDATA(
"[Base].[Importe]",
TDinamica_R!$A$5,
"[Calendario].[AñoMes]",
"[Calendario].[AñoMes].&amp;[" &amp; TEXT(AP$6,"yyyymm")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Q64" s="8">
        <f>IFERROR(
GETPIVOTDATA(
"[Base].[Importe]",
TDinamica_R!$A$5,
"[Calendario].[AñoMes]",
"[Calendario].[AñoMes].&amp;[" &amp; TEXT(AQ$6,"yyyymm")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R64" s="8">
        <f>IFERROR(
GETPIVOTDATA(
"[Base].[Importe]",
TDinamica_R!$A$5,
"[Calendario].[AñoMes]",
"[Calendario].[AñoMes].&amp;[" &amp; TEXT(AR$6,"yyyymm")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S64" s="8">
        <f>IFERROR(
GETPIVOTDATA(
"[Base].[Importe]",
TDinamica_R!$A$5,
"[Calendario].[AñoMes]",
"[Calendario].[AñoMes].&amp;[" &amp; TEXT(AS$6,"yyyymm")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T64" s="8">
        <f>IFERROR(
GETPIVOTDATA(
"[Base].[Importe]",
TDinamica_R!$A$5,
"[Calendario].[AñoMes]",
"[Calendario].[AñoMes].&amp;[" &amp; TEXT(AT$6,"yyyymm")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U64" s="8">
        <f>IFERROR(
GETPIVOTDATA(
"[Base].[Importe]",
TDinamica_R!$A$5,
"[Calendario].[AñoMes]",
"[Calendario].[AñoMes].&amp;[" &amp; TEXT(AU$6,"yyyymm")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V64" s="8">
        <f>IFERROR(
GETPIVOTDATA(
"[Base].[Importe]",
TDinamica_R!$A$5,
"[Calendario].[AñoMes]",
"[Calendario].[AñoMes].&amp;[" &amp; TEXT(AV$6,"yyyymm")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W64" s="8">
        <f>IFERROR(
GETPIVOTDATA(
"[Base].[Importe]",
TDinamica_R!$A$5,
"[Calendario].[AñoMes]",
"[Calendario].[AñoMes].&amp;[" &amp; TEXT(AW$6,"yyyymm")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X64" s="8">
        <f>IFERROR(
GETPIVOTDATA(
"[Base].[Importe]",
TDinamica_R!$A$5,
"[Calendario].[AñoMes]",
"[Calendario].[AñoMes].&amp;[" &amp; TEXT(AX$6,"yyyymm")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Y64" s="8">
        <f>IFERROR(
GETPIVOTDATA(
"[Base].[Importe]",
TDinamica_R!$A$5,
"[Calendario].[AñoMes]",
"[Calendario].[AñoMes].&amp;[" &amp; TEXT(AY$6,"yyyymm")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Z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TEXT(AZ$6,"yyyymm") &amp; "]"
),
0
)</f>
        <v>1.4285714285714287E-2</v>
      </c>
      <c r="BA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TEXT(BA$6,"yyyymm") &amp; "]"
),
0
)</f>
        <v>1.4285714285714287E-2</v>
      </c>
      <c r="BB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TEXT(BB$6,"yyyymm") &amp; "]"
),
0
)</f>
        <v>1.4285714285714287E-2</v>
      </c>
      <c r="BC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TEXT(BC$6,"yyyymm") &amp; "]"
),
0
)</f>
        <v>1.4285714285714287E-2</v>
      </c>
      <c r="BD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TEXT(BD$6,"yyyymm") &amp; "]"
),
0
)</f>
        <v>1.4285714285714287E-2</v>
      </c>
      <c r="BE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TEXT(BE$6,"yyyymm") &amp; "]"
),
0
)</f>
        <v>1.4285714285714287E-2</v>
      </c>
      <c r="BF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TEXT(BF$6,"yyyymm") &amp; "]"
),
0
)</f>
        <v>1.4285714285714287E-2</v>
      </c>
      <c r="BG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TEXT(BG$6,"yyyymm") &amp; "]"
),
0
)</f>
        <v>1.4285714285714287E-2</v>
      </c>
      <c r="BH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TEXT(BH$6,"yyyymm") &amp; "]"
),
0
)</f>
        <v>1.4285714285714287E-2</v>
      </c>
      <c r="BI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TEXT(BI$6,"yyyymm") &amp; "]"
),
0
)</f>
        <v>1.4285714285714287E-2</v>
      </c>
      <c r="BJ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TEXT(BJ$6,"yyyymm") &amp; "]"
),
0
)</f>
        <v>1.4285714285714287E-2</v>
      </c>
      <c r="BK64" s="8">
        <f>IFERROR(
GETPIVOTDATA(
"[Base_PPE].[Importe]",
TDinamica_P!$A$4,
"[Base_PPE].[Metrica]",
"[Base_PPE].[Metrica].&amp;[" &amp; TRIM($A64) &amp; "]",
"[Base_PPE].[SITUACION]",
"[Base_PPE].[SITUACION].&amp;[" &amp; TRIM($C64) &amp; "]",
"[Base_PPE].[SEGMENTO_DESCRIP]",
"[Base_PPE].[SEGMENTO_DESCRIP].&amp;[" &amp; TRIM($C$6) &amp; "]",
"[Base_PPE].[Periodo]",
"[Base_PPE].[Periodo].&amp;[" &amp; TEXT(BK$6,"yyyymm") &amp; "]"
),
0
)</f>
        <v>1.4285714285714287E-2</v>
      </c>
      <c r="BO64" s="24">
        <f t="shared" si="64"/>
        <v>0</v>
      </c>
      <c r="BP64" s="24">
        <f t="shared" si="64"/>
        <v>4.2857142857142858E-2</v>
      </c>
      <c r="BQ64" s="24">
        <f t="shared" si="64"/>
        <v>0</v>
      </c>
      <c r="BR64" s="24">
        <f t="shared" si="64"/>
        <v>0.04</v>
      </c>
      <c r="BS64" s="24">
        <f t="shared" si="64"/>
        <v>0.09</v>
      </c>
      <c r="BT64" s="24">
        <f t="shared" si="64"/>
        <v>0.27500000000000002</v>
      </c>
    </row>
    <row r="65" spans="1:72" hidden="1" outlineLevel="1" x14ac:dyDescent="0.25">
      <c r="A65" s="11" t="s">
        <v>71</v>
      </c>
      <c r="C65" s="2" t="s">
        <v>114</v>
      </c>
      <c r="D65" s="8">
        <f>IFERROR(
GETPIVOTDATA(
"[Base].[Importe]",
TDinamica_R!$A$5,
"[Calendario].[AñoMes]",
"[Calendario].[AñoMes].&amp;[" &amp; TEXT(D$6,"yyyymm") &amp; "]",
"[Base].[Metrica]",
"[Base].[Metrica].&amp;[" &amp; $A65 &amp; "]",
"[Base].[SEGMENTO_DESCRIP]",
"[Base].[SEGMENTO_DESCRIP].&amp;[" &amp; $C$6 &amp; "]",
"[Base].[SITUACION]",
"[Base].[SITUACION].&amp;[" &amp; $C65 &amp; "]"
),0)/1000</f>
        <v>2.7412563849999998E-3</v>
      </c>
      <c r="E65" s="8">
        <f>IFERROR(
GETPIVOTDATA(
"[Base].[Importe]",
TDinamica_R!$A$5,
"[Calendario].[AñoMes]",
"[Calendario].[AñoMes].&amp;[" &amp; TEXT(E$6,"yyyymm")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F65" s="8">
        <f>IFERROR(
GETPIVOTDATA(
"[Base].[Importe]",
TDinamica_R!$A$5,
"[Calendario].[AñoMes]",
"[Calendario].[AñoMes].&amp;[" &amp; TEXT(F$6,"yyyymm")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G65" s="8">
        <f>IFERROR(
GETPIVOTDATA(
"[Base].[Importe]",
TDinamica_R!$A$5,
"[Calendario].[AñoMes]",
"[Calendario].[AñoMes].&amp;[" &amp; TEXT(G$6,"yyyymm")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H65" s="8">
        <f>IFERROR(
GETPIVOTDATA(
"[Base].[Importe]",
TDinamica_R!$A$5,
"[Calendario].[AñoMes]",
"[Calendario].[AñoMes].&amp;[" &amp; TEXT(H$6,"yyyymm")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I65" s="8">
        <f>IFERROR(
GETPIVOTDATA(
"[Base].[Importe]",
TDinamica_R!$A$5,
"[Calendario].[AñoMes]",
"[Calendario].[AñoMes].&amp;[" &amp; TEXT(I$6,"yyyymm") &amp; "]",
"[Base].[Metrica]",
"[Base].[Metrica].&amp;[" &amp; $A65 &amp; "]",
"[Base].[SEGMENTO_DESCRIP]",
"[Base].[SEGMENTO_DESCRIP].&amp;[" &amp; $C$6 &amp; "]",
"[Base].[SITUACION]",
"[Base].[SITUACION].&amp;[" &amp; $C65 &amp; "]"
),0)/1000</f>
        <v>2.8425046379999997E-3</v>
      </c>
      <c r="J65" s="8">
        <f>IFERROR(
GETPIVOTDATA(
"[Base].[Importe]",
TDinamica_R!$A$5,
"[Calendario].[AñoMes]",
"[Calendario].[AñoMes].&amp;[" &amp; TEXT(J$6,"yyyymm")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K65" s="8">
        <f>IFERROR(
GETPIVOTDATA(
"[Base].[Importe]",
TDinamica_R!$A$5,
"[Calendario].[AñoMes]",
"[Calendario].[AñoMes].&amp;[" &amp; TEXT(K$6,"yyyymm")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L65" s="8">
        <f>IFERROR(
GETPIVOTDATA(
"[Base].[Importe]",
TDinamica_R!$A$5,
"[Calendario].[AñoMes]",
"[Calendario].[AñoMes].&amp;[" &amp; TEXT(L$6,"yyyymm")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M65" s="8">
        <f>IFERROR(
GETPIVOTDATA(
"[Base].[Importe]",
TDinamica_R!$A$5,
"[Calendario].[AñoMes]",
"[Calendario].[AñoMes].&amp;[" &amp; TEXT(M$6,"yyyymm")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N65" s="8">
        <f>IFERROR(
GETPIVOTDATA(
"[Base].[Importe]",
TDinamica_R!$A$5,
"[Calendario].[AñoMes]",
"[Calendario].[AñoMes].&amp;[" &amp; TEXT(N$6,"yyyymm") &amp; "]",
"[Base].[Metrica]",
"[Base].[Metrica].&amp;[" &amp; $A65 &amp; "]",
"[Base].[SEGMENTO_DESCRIP]",
"[Base].[SEGMENTO_DESCRIP].&amp;[" &amp; $C$6 &amp; "]",
"[Base].[SITUACION]",
"[Base].[SITUACION].&amp;[" &amp; $C65 &amp; "]"
),0)/1000</f>
        <v>7.3720706000000004E-5</v>
      </c>
      <c r="O65" s="8">
        <f>IFERROR(
GETPIVOTDATA(
"[Base].[Importe]",
TDinamica_R!$A$5,
"[Calendario].[AñoMes]",
"[Calendario].[AñoMes].&amp;[" &amp; TEXT(O$6,"yyyymm") &amp; "]",
"[Base].[Metrica]",
"[Base].[Metrica].&amp;[" &amp; $A65 &amp; "]",
"[Base].[SEGMENTO_DESCRIP]",
"[Base].[SEGMENTO_DESCRIP].&amp;[" &amp; $C$6 &amp; "]",
"[Base].[SITUACION]",
"[Base].[SITUACION].&amp;[" &amp; $C65 &amp; "]"
),0)/1000</f>
        <v>3.9364671289999998E-3</v>
      </c>
      <c r="P65" s="8">
        <f>IFERROR(
GETPIVOTDATA(
"[Base].[Importe]",
TDinamica_R!$A$5,
"[Calendario].[AñoMes]",
"[Calendario].[AñoMes].&amp;[" &amp; TEXT(P$6,"yyyymm") &amp; "]",
"[Base].[Metrica]",
"[Base].[Metrica].&amp;[" &amp; $A65 &amp; "]",
"[Base].[SEGMENTO_DESCRIP]",
"[Base].[SEGMENTO_DESCRIP].&amp;[" &amp; $C$6 &amp; "]",
"[Base].[SITUACION]",
"[Base].[SITUACION].&amp;[" &amp; $C65 &amp; "]"
),0)/1000</f>
        <v>-1.7369785559999999E-3</v>
      </c>
      <c r="Q65" s="8">
        <f>IFERROR(
GETPIVOTDATA(
"[Base].[Importe]",
TDinamica_R!$A$5,
"[Calendario].[AñoMes]",
"[Calendario].[AñoMes].&amp;[" &amp; TEXT(Q$6,"yyyymm")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R65" s="8">
        <f>IFERROR(
GETPIVOTDATA(
"[Base].[Importe]",
TDinamica_R!$A$5,
"[Calendario].[AñoMes]",
"[Calendario].[AñoMes].&amp;[" &amp; TEXT(R$6,"yyyymm")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S65" s="8">
        <f>IFERROR(
GETPIVOTDATA(
"[Base].[Importe]",
TDinamica_R!$A$5,
"[Calendario].[AñoMes]",
"[Calendario].[AñoMes].&amp;[" &amp; TEXT(S$6,"yyyymm")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T65" s="8">
        <f>IFERROR(
GETPIVOTDATA(
"[Base].[Importe]",
TDinamica_R!$A$5,
"[Calendario].[AñoMes]",
"[Calendario].[AñoMes].&amp;[" &amp; TEXT(T$6,"yyyymm") &amp; "]",
"[Base].[Metrica]",
"[Base].[Metrica].&amp;[" &amp; $A65 &amp; "]",
"[Base].[SEGMENTO_DESCRIP]",
"[Base].[SEGMENTO_DESCRIP].&amp;[" &amp; $C$6 &amp; "]",
"[Base].[SITUACION]",
"[Base].[SITUACION].&amp;[" &amp; $C65 &amp; "]"
),0)/1000</f>
        <v>1.921085578E-3</v>
      </c>
      <c r="U65" s="8">
        <f>IFERROR(
GETPIVOTDATA(
"[Base].[Importe]",
TDinamica_R!$A$5,
"[Calendario].[AñoMes]",
"[Calendario].[AñoMes].&amp;[" &amp; TEXT(U$6,"yyyymm") &amp; "]",
"[Base].[Metrica]",
"[Base].[Metrica].&amp;[" &amp; $A65 &amp; "]",
"[Base].[SEGMENTO_DESCRIP]",
"[Base].[SEGMENTO_DESCRIP].&amp;[" &amp; $C$6 &amp; "]",
"[Base].[SITUACION]",
"[Base].[SITUACION].&amp;[" &amp; $C65 &amp; "]"
),0)/1000</f>
        <v>1.9033772900000001E-3</v>
      </c>
      <c r="V65" s="8">
        <f>IFERROR(
GETPIVOTDATA(
"[Base].[Importe]",
TDinamica_R!$A$5,
"[Calendario].[AñoMes]",
"[Calendario].[AñoMes].&amp;[" &amp; TEXT(V$6,"yyyymm") &amp; "]",
"[Base].[Metrica]",
"[Base].[Metrica].&amp;[" &amp; $A65 &amp; "]",
"[Base].[SEGMENTO_DESCRIP]",
"[Base].[SEGMENTO_DESCRIP].&amp;[" &amp; $C$6 &amp; "]",
"[Base].[SITUACION]",
"[Base].[SITUACION].&amp;[" &amp; $C65 &amp; "]"
),0)/1000</f>
        <v>1.8731982970000001E-3</v>
      </c>
      <c r="W65" s="8">
        <f>IFERROR(
GETPIVOTDATA(
"[Base].[Importe]",
TDinamica_R!$A$5,
"[Calendario].[AñoMes]",
"[Calendario].[AñoMes].&amp;[" &amp; TEXT(W$6,"yyyymm")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X65" s="8">
        <f>IFERROR(
GETPIVOTDATA(
"[Base].[Importe]",
TDinamica_R!$A$5,
"[Calendario].[AñoMes]",
"[Calendario].[AñoMes].&amp;[" &amp; TEXT(X$6,"yyyymm") &amp; "]",
"[Base].[Metrica]",
"[Base].[Metrica].&amp;[" &amp; $A65 &amp; "]",
"[Base].[SEGMENTO_DESCRIP]",
"[Base].[SEGMENTO_DESCRIP].&amp;[" &amp; $C$6 &amp; "]",
"[Base].[SITUACION]",
"[Base].[SITUACION].&amp;[" &amp; $C65 &amp; "]"
),0)/1000</f>
        <v>6.0482907200000002E-4</v>
      </c>
      <c r="Y65" s="8">
        <f>IFERROR(
GETPIVOTDATA(
"[Base].[Importe]",
TDinamica_R!$A$5,
"[Calendario].[AñoMes]",
"[Calendario].[AñoMes].&amp;[" &amp; TEXT(Y$6,"yyyymm") &amp; "]",
"[Base].[Metrica]",
"[Base].[Metrica].&amp;[" &amp; $A65 &amp; "]",
"[Base].[SEGMENTO_DESCRIP]",
"[Base].[SEGMENTO_DESCRIP].&amp;[" &amp; $C$6 &amp; "]",
"[Base].[SITUACION]",
"[Base].[SITUACION].&amp;[" &amp; $C65 &amp; "]"
),0)/1000</f>
        <v>1.812578334E-3</v>
      </c>
      <c r="Z65" s="8">
        <f>IFERROR(
GETPIVOTDATA(
"[Base].[Importe]",
TDinamica_R!$A$5,
"[Calendario].[AñoMes]",
"[Calendario].[AñoMes].&amp;[" &amp; TEXT(Z$6,"yyyymm")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A65" s="8">
        <f>IFERROR(
GETPIVOTDATA(
"[Base].[Importe]",
TDinamica_R!$A$5,
"[Calendario].[AñoMes]",
"[Calendario].[AñoMes].&amp;[" &amp; TEXT(AA$6,"yyyymm")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B65" s="8">
        <f>IFERROR(
GETPIVOTDATA(
"[Base].[Importe]",
TDinamica_R!$A$5,
"[Calendario].[AñoMes]",
"[Calendario].[AñoMes].&amp;[" &amp; TEXT(AB$6,"yyyymm")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C65" s="8">
        <f>IFERROR(
GETPIVOTDATA(
"[Base].[Importe]",
TDinamica_R!$A$5,
"[Calendario].[AñoMes]",
"[Calendario].[AñoMes].&amp;[" &amp; TEXT(AC$6,"yyyymm") &amp; "]",
"[Base].[Metrica]",
"[Base].[Metrica].&amp;[" &amp; $A65 &amp; "]",
"[Base].[SEGMENTO_DESCRIP]",
"[Base].[SEGMENTO_DESCRIP].&amp;[" &amp; $C$6 &amp; "]",
"[Base].[SITUACION]",
"[Base].[SITUACION].&amp;[" &amp; $C65 &amp; "]"
),0)/1000</f>
        <v>1.6211037379999999E-3</v>
      </c>
      <c r="AD65" s="8">
        <f>IFERROR(
GETPIVOTDATA(
"[Base].[Importe]",
TDinamica_R!$A$5,
"[Calendario].[AñoMes]",
"[Calendario].[AñoMes].&amp;[" &amp; TEXT(AD$6,"yyyymm")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E65" s="8">
        <f>IFERROR(
GETPIVOTDATA(
"[Base].[Importe]",
TDinamica_R!$A$5,
"[Calendario].[AñoMes]",
"[Calendario].[AñoMes].&amp;[" &amp; TEXT(AE$6,"yyyymm")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F65" s="8">
        <f>IFERROR(
GETPIVOTDATA(
"[Base].[Importe]",
TDinamica_R!$A$5,
"[Calendario].[AñoMes]",
"[Calendario].[AñoMes].&amp;[" &amp; TEXT(AF$6,"yyyymm") &amp; "]",
"[Base].[Metrica]",
"[Base].[Metrica].&amp;[" &amp; $A65 &amp; "]",
"[Base].[SEGMENTO_DESCRIP]",
"[Base].[SEGMENTO_DESCRIP].&amp;[" &amp; $C$6 &amp; "]",
"[Base].[SITUACION]",
"[Base].[SITUACION].&amp;[" &amp; $C65 &amp; "]"
),0)/1000</f>
        <v>1.5208748E-3</v>
      </c>
      <c r="AG65" s="8">
        <f>IFERROR(
GETPIVOTDATA(
"[Base].[Importe]",
TDinamica_R!$A$5,
"[Calendario].[AñoMes]",
"[Calendario].[AñoMes].&amp;[" &amp; TEXT(AG$6,"yyyymm")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H65" s="8">
        <f>IFERROR(
GETPIVOTDATA(
"[Base].[Importe]",
TDinamica_R!$A$5,
"[Calendario].[AñoMes]",
"[Calendario].[AñoMes].&amp;[" &amp; TEXT(AH$6,"yyyymm") &amp; "]",
"[Base].[Metrica]",
"[Base].[Metrica].&amp;[" &amp; $A65 &amp; "]",
"[Base].[SEGMENTO_DESCRIP]",
"[Base].[SEGMENTO_DESCRIP].&amp;[" &amp; $C$6 &amp; "]",
"[Base].[SITUACION]",
"[Base].[SITUACION].&amp;[" &amp; $C65 &amp; "]"
),0)/1000</f>
        <v>2.92293705E-4</v>
      </c>
      <c r="AI65" s="8">
        <f>IFERROR(
GETPIVOTDATA(
"[Base].[Importe]",
TDinamica_R!$A$5,
"[Calendario].[AñoMes]",
"[Calendario].[AñoMes].&amp;[" &amp; TEXT(AI$6,"yyyymm")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J65" s="8">
        <f>IFERROR(
GETPIVOTDATA(
"[Base].[Importe]",
TDinamica_R!$A$5,
"[Calendario].[AñoMes]",
"[Calendario].[AñoMes].&amp;[" &amp; TEXT(AJ$6,"yyyymm")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K65" s="8">
        <f>IFERROR(
GETPIVOTDATA(
"[Base].[Importe]",
TDinamica_R!$A$5,
"[Calendario].[AñoMes]",
"[Calendario].[AñoMes].&amp;[" &amp; TEXT(AK$6,"yyyymm")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L65" s="8">
        <f>IFERROR(
GETPIVOTDATA(
"[Base].[Importe]",
TDinamica_R!$A$5,
"[Calendario].[AñoMes]",
"[Calendario].[AñoMes].&amp;[" &amp; TEXT(AL$6,"yyyymm")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M65" s="8">
        <f>IFERROR(
GETPIVOTDATA(
"[Base].[Importe]",
TDinamica_R!$A$5,
"[Calendario].[AñoMes]",
"[Calendario].[AñoMes].&amp;[" &amp; TEXT(AM$6,"yyyymm") &amp; "]",
"[Base].[Metrica]",
"[Base].[Metrica].&amp;[" &amp; $A65 &amp; "]",
"[Base].[SEGMENTO_DESCRIP]",
"[Base].[SEGMENTO_DESCRIP].&amp;[" &amp; $C$6 &amp; "]",
"[Base].[SITUACION]",
"[Base].[SITUACION].&amp;[" &amp; $C65 &amp; "]"
),0)/1000</f>
        <v>1.367568537E-3</v>
      </c>
      <c r="AN65" s="8">
        <f>IFERROR(
GETPIVOTDATA(
"[Base].[Importe]",
TDinamica_R!$A$5,
"[Calendario].[AñoMes]",
"[Calendario].[AñoMes].&amp;[" &amp; TEXT(AN$6,"yyyymm") &amp; "]",
"[Base].[Metrica]",
"[Base].[Metrica].&amp;[" &amp; $A65 &amp; "]",
"[Base].[SEGMENTO_DESCRIP]",
"[Base].[SEGMENTO_DESCRIP].&amp;[" &amp; $C$6 &amp; "]",
"[Base].[SITUACION]",
"[Base].[SITUACION].&amp;[" &amp; $C65 &amp; "]"
),0)/1000</f>
        <v>2.1145512826416589E-3</v>
      </c>
      <c r="AO65" s="8">
        <f>IFERROR(
GETPIVOTDATA(
"[Base].[Importe]",
TDinamica_R!$A$5,
"[Calendario].[AñoMes]",
"[Calendario].[AñoMes].&amp;[" &amp; TEXT(AO$6,"yyyymm")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P65" s="8">
        <f>IFERROR(
GETPIVOTDATA(
"[Base].[Importe]",
TDinamica_R!$A$5,
"[Calendario].[AñoMes]",
"[Calendario].[AñoMes].&amp;[" &amp; TEXT(AP$6,"yyyymm") &amp; "]",
"[Base].[Metrica]",
"[Base].[Metrica].&amp;[" &amp; $A65 &amp; "]",
"[Base].[SEGMENTO_DESCRIP]",
"[Base].[SEGMENTO_DESCRIP].&amp;[" &amp; $C$6 &amp; "]",
"[Base].[SITUACION]",
"[Base].[SITUACION].&amp;[" &amp; $C65 &amp; "]"
),0)/1000</f>
        <v>2.814493983484663E-3</v>
      </c>
      <c r="AQ65" s="8">
        <f>IFERROR(
GETPIVOTDATA(
"[Base].[Importe]",
TDinamica_R!$A$5,
"[Calendario].[AñoMes]",
"[Calendario].[AñoMes].&amp;[" &amp; TEXT(AQ$6,"yyyymm")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R65" s="8">
        <f>IFERROR(
GETPIVOTDATA(
"[Base].[Importe]",
TDinamica_R!$A$5,
"[Calendario].[AñoMes]",
"[Calendario].[AñoMes].&amp;[" &amp; TEXT(AR$6,"yyyymm")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S65" s="8">
        <f>IFERROR(
GETPIVOTDATA(
"[Base].[Importe]",
TDinamica_R!$A$5,
"[Calendario].[AñoMes]",
"[Calendario].[AñoMes].&amp;[" &amp; TEXT(AS$6,"yyyymm")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T65" s="8">
        <f>IFERROR(
GETPIVOTDATA(
"[Base].[Importe]",
TDinamica_R!$A$5,
"[Calendario].[AñoMes]",
"[Calendario].[AñoMes].&amp;[" &amp; TEXT(AT$6,"yyyymm")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U65" s="8">
        <f>IFERROR(
GETPIVOTDATA(
"[Base].[Importe]",
TDinamica_R!$A$5,
"[Calendario].[AñoMes]",
"[Calendario].[AñoMes].&amp;[" &amp; TEXT(AU$6,"yyyymm")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V65" s="8">
        <f>IFERROR(
GETPIVOTDATA(
"[Base].[Importe]",
TDinamica_R!$A$5,
"[Calendario].[AñoMes]",
"[Calendario].[AñoMes].&amp;[" &amp; TEXT(AV$6,"yyyymm")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W65" s="8">
        <f>IFERROR(
GETPIVOTDATA(
"[Base].[Importe]",
TDinamica_R!$A$5,
"[Calendario].[AñoMes]",
"[Calendario].[AñoMes].&amp;[" &amp; TEXT(AW$6,"yyyymm")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X65" s="8">
        <f>IFERROR(
GETPIVOTDATA(
"[Base].[Importe]",
TDinamica_R!$A$5,
"[Calendario].[AñoMes]",
"[Calendario].[AñoMes].&amp;[" &amp; TEXT(AX$6,"yyyymm")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Y65" s="8">
        <f>IFERROR(
GETPIVOTDATA(
"[Base].[Importe]",
TDinamica_R!$A$5,
"[Calendario].[AñoMes]",
"[Calendario].[AñoMes].&amp;[" &amp; TEXT(AY$6,"yyyymm")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Z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TEXT(AZ$6,"yyyymm") &amp; "]"
),
0
)</f>
        <v>0</v>
      </c>
      <c r="BA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TEXT(BA$6,"yyyymm") &amp; "]"
),
0
)</f>
        <v>0</v>
      </c>
      <c r="BB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TEXT(BB$6,"yyyymm") &amp; "]"
),
0
)</f>
        <v>0</v>
      </c>
      <c r="BC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TEXT(BC$6,"yyyymm") &amp; "]"
),
0
)</f>
        <v>0</v>
      </c>
      <c r="BD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TEXT(BD$6,"yyyymm") &amp; "]"
),
0
)</f>
        <v>0</v>
      </c>
      <c r="BE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TEXT(BE$6,"yyyymm") &amp; "]"
),
0
)</f>
        <v>0</v>
      </c>
      <c r="BF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TEXT(BF$6,"yyyymm") &amp; "]"
),
0
)</f>
        <v>0</v>
      </c>
      <c r="BG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TEXT(BG$6,"yyyymm") &amp; "]"
),
0
)</f>
        <v>0</v>
      </c>
      <c r="BH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TEXT(BH$6,"yyyymm") &amp; "]"
),
0
)</f>
        <v>0</v>
      </c>
      <c r="BI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TEXT(BI$6,"yyyymm") &amp; "]"
),
0
)</f>
        <v>0</v>
      </c>
      <c r="BJ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TEXT(BJ$6,"yyyymm") &amp; "]"
),
0
)</f>
        <v>0</v>
      </c>
      <c r="BK65" s="8">
        <f>IFERROR(
GETPIVOTDATA(
"[Base_PPE].[Importe]",
TDinamica_P!$A$4,
"[Base_PPE].[Metrica]",
"[Base_PPE].[Metrica].&amp;[" &amp; TRIM($A65) &amp; "]",
"[Base_PPE].[SITUACION]",
"[Base_PPE].[SITUACION].&amp;[" &amp; TRIM($C65) &amp; "]",
"[Base_PPE].[SEGMENTO_DESCRIP]",
"[Base_PPE].[SEGMENTO_DESCRIP].&amp;[" &amp; TRIM($C$6) &amp; "]",
"[Base_PPE].[Periodo]",
"[Base_PPE].[Periodo].&amp;[" &amp; TEXT(BK$6,"yyyymm") &amp; "]"
),
0
)</f>
        <v>0</v>
      </c>
      <c r="BO65" s="24">
        <f t="shared" si="64"/>
        <v>4.9290452661263223E-3</v>
      </c>
      <c r="BP65" s="24">
        <f t="shared" si="64"/>
        <v>0</v>
      </c>
      <c r="BQ65" s="24">
        <f t="shared" si="64"/>
        <v>2.1145512826416589E-3</v>
      </c>
      <c r="BR65" s="24">
        <f t="shared" si="64"/>
        <v>1.6211037379999999E-3</v>
      </c>
      <c r="BS65" s="24">
        <f t="shared" si="64"/>
        <v>-1.7369785559999999E-3</v>
      </c>
      <c r="BT65" s="24">
        <f t="shared" si="64"/>
        <v>2.7412563849999998E-3</v>
      </c>
    </row>
    <row r="66" spans="1:72" hidden="1" outlineLevel="1" x14ac:dyDescent="0.25">
      <c r="A66" s="11" t="s">
        <v>71</v>
      </c>
      <c r="C66" s="2"/>
      <c r="D66" s="8">
        <f>IFERROR(
GETPIVOTDATA(
"[Base].[Importe]",
TDinamica_R!$A$5,
"[Calendario].[AñoMes]",
"[Calendario].[AñoMes].&amp;[" &amp; TEXT(D$6,"yyyymm")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E66" s="8">
        <f>IFERROR(
GETPIVOTDATA(
"[Base].[Importe]",
TDinamica_R!$A$5,
"[Calendario].[AñoMes]",
"[Calendario].[AñoMes].&amp;[" &amp; TEXT(E$6,"yyyymm")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F66" s="8">
        <f>IFERROR(
GETPIVOTDATA(
"[Base].[Importe]",
TDinamica_R!$A$5,
"[Calendario].[AñoMes]",
"[Calendario].[AñoMes].&amp;[" &amp; TEXT(F$6,"yyyymm")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G66" s="8">
        <f>IFERROR(
GETPIVOTDATA(
"[Base].[Importe]",
TDinamica_R!$A$5,
"[Calendario].[AñoMes]",
"[Calendario].[AñoMes].&amp;[" &amp; TEXT(G$6,"yyyymm")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H66" s="8">
        <f>IFERROR(
GETPIVOTDATA(
"[Base].[Importe]",
TDinamica_R!$A$5,
"[Calendario].[AñoMes]",
"[Calendario].[AñoMes].&amp;[" &amp; TEXT(H$6,"yyyymm")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I66" s="8">
        <f>IFERROR(
GETPIVOTDATA(
"[Base].[Importe]",
TDinamica_R!$A$5,
"[Calendario].[AñoMes]",
"[Calendario].[AñoMes].&amp;[" &amp; TEXT(I$6,"yyyymm")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J66" s="8">
        <f>IFERROR(
GETPIVOTDATA(
"[Base].[Importe]",
TDinamica_R!$A$5,
"[Calendario].[AñoMes]",
"[Calendario].[AñoMes].&amp;[" &amp; TEXT(J$6,"yyyymm")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K66" s="8">
        <f>IFERROR(
GETPIVOTDATA(
"[Base].[Importe]",
TDinamica_R!$A$5,
"[Calendario].[AñoMes]",
"[Calendario].[AñoMes].&amp;[" &amp; TEXT(K$6,"yyyymm")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L66" s="8">
        <f>IFERROR(
GETPIVOTDATA(
"[Base].[Importe]",
TDinamica_R!$A$5,
"[Calendario].[AñoMes]",
"[Calendario].[AñoMes].&amp;[" &amp; TEXT(L$6,"yyyymm")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M66" s="8">
        <f>IFERROR(
GETPIVOTDATA(
"[Base].[Importe]",
TDinamica_R!$A$5,
"[Calendario].[AñoMes]",
"[Calendario].[AñoMes].&amp;[" &amp; TEXT(M$6,"yyyymm")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N66" s="8">
        <f>IFERROR(
GETPIVOTDATA(
"[Base].[Importe]",
TDinamica_R!$A$5,
"[Calendario].[AñoMes]",
"[Calendario].[AñoMes].&amp;[" &amp; TEXT(N$6,"yyyymm")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O66" s="8">
        <f>IFERROR(
GETPIVOTDATA(
"[Base].[Importe]",
TDinamica_R!$A$5,
"[Calendario].[AñoMes]",
"[Calendario].[AñoMes].&amp;[" &amp; TEXT(O$6,"yyyymm")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P66" s="8">
        <f>IFERROR(
GETPIVOTDATA(
"[Base].[Importe]",
TDinamica_R!$A$5,
"[Calendario].[AñoMes]",
"[Calendario].[AñoMes].&amp;[" &amp; TEXT(P$6,"yyyymm")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Q66" s="8">
        <f>IFERROR(
GETPIVOTDATA(
"[Base].[Importe]",
TDinamica_R!$A$5,
"[Calendario].[AñoMes]",
"[Calendario].[AñoMes].&amp;[" &amp; TEXT(Q$6,"yyyymm")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R66" s="8">
        <f>IFERROR(
GETPIVOTDATA(
"[Base].[Importe]",
TDinamica_R!$A$5,
"[Calendario].[AñoMes]",
"[Calendario].[AñoMes].&amp;[" &amp; TEXT(R$6,"yyyymm")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S66" s="8">
        <f>IFERROR(
GETPIVOTDATA(
"[Base].[Importe]",
TDinamica_R!$A$5,
"[Calendario].[AñoMes]",
"[Calendario].[AñoMes].&amp;[" &amp; TEXT(S$6,"yyyymm")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T66" s="8">
        <f>IFERROR(
GETPIVOTDATA(
"[Base].[Importe]",
TDinamica_R!$A$5,
"[Calendario].[AñoMes]",
"[Calendario].[AñoMes].&amp;[" &amp; TEXT(T$6,"yyyymm")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U66" s="8">
        <f>IFERROR(
GETPIVOTDATA(
"[Base].[Importe]",
TDinamica_R!$A$5,
"[Calendario].[AñoMes]",
"[Calendario].[AñoMes].&amp;[" &amp; TEXT(U$6,"yyyymm")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V66" s="8">
        <f>IFERROR(
GETPIVOTDATA(
"[Base].[Importe]",
TDinamica_R!$A$5,
"[Calendario].[AñoMes]",
"[Calendario].[AñoMes].&amp;[" &amp; TEXT(V$6,"yyyymm")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W66" s="8">
        <f>IFERROR(
GETPIVOTDATA(
"[Base].[Importe]",
TDinamica_R!$A$5,
"[Calendario].[AñoMes]",
"[Calendario].[AñoMes].&amp;[" &amp; TEXT(W$6,"yyyymm")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X66" s="8">
        <f>IFERROR(
GETPIVOTDATA(
"[Base].[Importe]",
TDinamica_R!$A$5,
"[Calendario].[AñoMes]",
"[Calendario].[AñoMes].&amp;[" &amp; TEXT(X$6,"yyyymm")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Y66" s="8">
        <f>IFERROR(
GETPIVOTDATA(
"[Base].[Importe]",
TDinamica_R!$A$5,
"[Calendario].[AñoMes]",
"[Calendario].[AñoMes].&amp;[" &amp; TEXT(Y$6,"yyyymm")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Z66" s="8">
        <f>IFERROR(
GETPIVOTDATA(
"[Base].[Importe]",
TDinamica_R!$A$5,
"[Calendario].[AñoMes]",
"[Calendario].[AñoMes].&amp;[" &amp; TEXT(Z$6,"yyyymm")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A66" s="8">
        <f>IFERROR(
GETPIVOTDATA(
"[Base].[Importe]",
TDinamica_R!$A$5,
"[Calendario].[AñoMes]",
"[Calendario].[AñoMes].&amp;[" &amp; TEXT(AA$6,"yyyymm")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B66" s="8">
        <f>IFERROR(
GETPIVOTDATA(
"[Base].[Importe]",
TDinamica_R!$A$5,
"[Calendario].[AñoMes]",
"[Calendario].[AñoMes].&amp;[" &amp; TEXT(AB$6,"yyyymm")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C66" s="8">
        <f>IFERROR(
GETPIVOTDATA(
"[Base].[Importe]",
TDinamica_R!$A$5,
"[Calendario].[AñoMes]",
"[Calendario].[AñoMes].&amp;[" &amp; TEXT(AC$6,"yyyymm")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D66" s="8">
        <f>IFERROR(
GETPIVOTDATA(
"[Base].[Importe]",
TDinamica_R!$A$5,
"[Calendario].[AñoMes]",
"[Calendario].[AñoMes].&amp;[" &amp; TEXT(AD$6,"yyyymm")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E66" s="8">
        <f>IFERROR(
GETPIVOTDATA(
"[Base].[Importe]",
TDinamica_R!$A$5,
"[Calendario].[AñoMes]",
"[Calendario].[AñoMes].&amp;[" &amp; TEXT(AE$6,"yyyymm")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F66" s="8">
        <f>IFERROR(
GETPIVOTDATA(
"[Base].[Importe]",
TDinamica_R!$A$5,
"[Calendario].[AñoMes]",
"[Calendario].[AñoMes].&amp;[" &amp; TEXT(AF$6,"yyyymm")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G66" s="8">
        <f>IFERROR(
GETPIVOTDATA(
"[Base].[Importe]",
TDinamica_R!$A$5,
"[Calendario].[AñoMes]",
"[Calendario].[AñoMes].&amp;[" &amp; TEXT(AG$6,"yyyymm")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H66" s="8">
        <f>IFERROR(
GETPIVOTDATA(
"[Base].[Importe]",
TDinamica_R!$A$5,
"[Calendario].[AñoMes]",
"[Calendario].[AñoMes].&amp;[" &amp; TEXT(AH$6,"yyyymm")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I66" s="8">
        <f>IFERROR(
GETPIVOTDATA(
"[Base].[Importe]",
TDinamica_R!$A$5,
"[Calendario].[AñoMes]",
"[Calendario].[AñoMes].&amp;[" &amp; TEXT(AI$6,"yyyymm")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J66" s="8">
        <f>IFERROR(
GETPIVOTDATA(
"[Base].[Importe]",
TDinamica_R!$A$5,
"[Calendario].[AñoMes]",
"[Calendario].[AñoMes].&amp;[" &amp; TEXT(AJ$6,"yyyymm")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K66" s="8">
        <f>IFERROR(
GETPIVOTDATA(
"[Base].[Importe]",
TDinamica_R!$A$5,
"[Calendario].[AñoMes]",
"[Calendario].[AñoMes].&amp;[" &amp; TEXT(AK$6,"yyyymm")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L66" s="8">
        <f>IFERROR(
GETPIVOTDATA(
"[Base].[Importe]",
TDinamica_R!$A$5,
"[Calendario].[AñoMes]",
"[Calendario].[AñoMes].&amp;[" &amp; TEXT(AL$6,"yyyymm")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M66" s="8">
        <f>IFERROR(
GETPIVOTDATA(
"[Base].[Importe]",
TDinamica_R!$A$5,
"[Calendario].[AñoMes]",
"[Calendario].[AñoMes].&amp;[" &amp; TEXT(AM$6,"yyyymm")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N66" s="8">
        <f>IFERROR(
GETPIVOTDATA(
"[Base].[Importe]",
TDinamica_R!$A$5,
"[Calendario].[AñoMes]",
"[Calendario].[AñoMes].&amp;[" &amp; TEXT(AN$6,"yyyymm")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O66" s="8">
        <f>IFERROR(
GETPIVOTDATA(
"[Base].[Importe]",
TDinamica_R!$A$5,
"[Calendario].[AñoMes]",
"[Calendario].[AñoMes].&amp;[" &amp; TEXT(AO$6,"yyyymm")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P66" s="8">
        <f>IFERROR(
GETPIVOTDATA(
"[Base].[Importe]",
TDinamica_R!$A$5,
"[Calendario].[AñoMes]",
"[Calendario].[AñoMes].&amp;[" &amp; TEXT(AP$6,"yyyymm")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Q66" s="8">
        <f>IFERROR(
GETPIVOTDATA(
"[Base].[Importe]",
TDinamica_R!$A$5,
"[Calendario].[AñoMes]",
"[Calendario].[AñoMes].&amp;[" &amp; TEXT(AQ$6,"yyyymm")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R66" s="8">
        <f>IFERROR(
GETPIVOTDATA(
"[Base].[Importe]",
TDinamica_R!$A$5,
"[Calendario].[AñoMes]",
"[Calendario].[AñoMes].&amp;[" &amp; TEXT(AR$6,"yyyymm")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S66" s="8">
        <f>IFERROR(
GETPIVOTDATA(
"[Base].[Importe]",
TDinamica_R!$A$5,
"[Calendario].[AñoMes]",
"[Calendario].[AñoMes].&amp;[" &amp; TEXT(AS$6,"yyyymm")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T66" s="8">
        <f>IFERROR(
GETPIVOTDATA(
"[Base].[Importe]",
TDinamica_R!$A$5,
"[Calendario].[AñoMes]",
"[Calendario].[AñoMes].&amp;[" &amp; TEXT(AT$6,"yyyymm")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U66" s="8">
        <f>IFERROR(
GETPIVOTDATA(
"[Base].[Importe]",
TDinamica_R!$A$5,
"[Calendario].[AñoMes]",
"[Calendario].[AñoMes].&amp;[" &amp; TEXT(AU$6,"yyyymm")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V66" s="8">
        <f>IFERROR(
GETPIVOTDATA(
"[Base].[Importe]",
TDinamica_R!$A$5,
"[Calendario].[AñoMes]",
"[Calendario].[AñoMes].&amp;[" &amp; TEXT(AV$6,"yyyymm")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W66" s="8">
        <f>IFERROR(
GETPIVOTDATA(
"[Base].[Importe]",
TDinamica_R!$A$5,
"[Calendario].[AñoMes]",
"[Calendario].[AñoMes].&amp;[" &amp; TEXT(AW$6,"yyyymm")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X66" s="8">
        <f>IFERROR(
GETPIVOTDATA(
"[Base].[Importe]",
TDinamica_R!$A$5,
"[Calendario].[AñoMes]",
"[Calendario].[AñoMes].&amp;[" &amp; TEXT(AX$6,"yyyymm")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Y66" s="8">
        <f>IFERROR(
GETPIVOTDATA(
"[Base].[Importe]",
TDinamica_R!$A$5,
"[Calendario].[AñoMes]",
"[Calendario].[AñoMes].&amp;[" &amp; TEXT(AY$6,"yyyymm")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Z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TEXT(AZ$6,"yyyymm") &amp; "]"
),
0
)</f>
        <v>0</v>
      </c>
      <c r="BA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TEXT(BA$6,"yyyymm") &amp; "]"
),
0
)</f>
        <v>0</v>
      </c>
      <c r="BB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TEXT(BB$6,"yyyymm") &amp; "]"
),
0
)</f>
        <v>0</v>
      </c>
      <c r="BC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TEXT(BC$6,"yyyymm") &amp; "]"
),
0
)</f>
        <v>0</v>
      </c>
      <c r="BD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TEXT(BD$6,"yyyymm") &amp; "]"
),
0
)</f>
        <v>0</v>
      </c>
      <c r="BE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TEXT(BE$6,"yyyymm") &amp; "]"
),
0
)</f>
        <v>0</v>
      </c>
      <c r="BF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TEXT(BF$6,"yyyymm") &amp; "]"
),
0
)</f>
        <v>0</v>
      </c>
      <c r="BG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TEXT(BG$6,"yyyymm") &amp; "]"
),
0
)</f>
        <v>0</v>
      </c>
      <c r="BH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TEXT(BH$6,"yyyymm") &amp; "]"
),
0
)</f>
        <v>0</v>
      </c>
      <c r="BI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TEXT(BI$6,"yyyymm") &amp; "]"
),
0
)</f>
        <v>0</v>
      </c>
      <c r="BJ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TEXT(BJ$6,"yyyymm") &amp; "]"
),
0
)</f>
        <v>0</v>
      </c>
      <c r="BK66" s="8">
        <f>IFERROR(
GETPIVOTDATA(
"[Base_PPE].[Importe]",
TDinamica_P!$A$4,
"[Base_PPE].[Metrica]",
"[Base_PPE].[Metrica].&amp;[" &amp; TRIM($A66) &amp; "]",
"[Base_PPE].[SITUACION]",
"[Base_PPE].[SITUACION].&amp;[" &amp; TRIM($C66) &amp; "]",
"[Base_PPE].[SEGMENTO_DESCRIP]",
"[Base_PPE].[SEGMENTO_DESCRIP].&amp;[" &amp; TRIM($C$6) &amp; "]",
"[Base_PPE].[Periodo]",
"[Base_PPE].[Periodo].&amp;[" &amp; TEXT(BK$6,"yyyymm") &amp; "]"
),
0
)</f>
        <v>0</v>
      </c>
      <c r="BO66" s="24">
        <f t="shared" si="64"/>
        <v>0</v>
      </c>
      <c r="BP66" s="24">
        <f t="shared" si="64"/>
        <v>0</v>
      </c>
      <c r="BQ66" s="24">
        <f t="shared" si="64"/>
        <v>0</v>
      </c>
      <c r="BR66" s="24">
        <f t="shared" si="64"/>
        <v>0</v>
      </c>
      <c r="BS66" s="24">
        <f t="shared" si="64"/>
        <v>0</v>
      </c>
      <c r="BT66" s="24">
        <f t="shared" si="64"/>
        <v>0</v>
      </c>
    </row>
    <row r="67" spans="1:72" hidden="1" outlineLevel="1" x14ac:dyDescent="0.25">
      <c r="A67" s="11" t="s">
        <v>71</v>
      </c>
      <c r="C67" s="2"/>
      <c r="D67" s="8">
        <f>IFERROR(
GETPIVOTDATA(
"[Base].[Importe]",
TDinamica_R!$A$5,
"[Calendario].[AñoMes]",
"[Calendario].[AñoMes].&amp;[" &amp; TEXT(D$6,"yyyymm")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E67" s="8">
        <f>IFERROR(
GETPIVOTDATA(
"[Base].[Importe]",
TDinamica_R!$A$5,
"[Calendario].[AñoMes]",
"[Calendario].[AñoMes].&amp;[" &amp; TEXT(E$6,"yyyymm")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F67" s="8">
        <f>IFERROR(
GETPIVOTDATA(
"[Base].[Importe]",
TDinamica_R!$A$5,
"[Calendario].[AñoMes]",
"[Calendario].[AñoMes].&amp;[" &amp; TEXT(F$6,"yyyymm")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G67" s="8">
        <f>IFERROR(
GETPIVOTDATA(
"[Base].[Importe]",
TDinamica_R!$A$5,
"[Calendario].[AñoMes]",
"[Calendario].[AñoMes].&amp;[" &amp; TEXT(G$6,"yyyymm")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H67" s="8">
        <f>IFERROR(
GETPIVOTDATA(
"[Base].[Importe]",
TDinamica_R!$A$5,
"[Calendario].[AñoMes]",
"[Calendario].[AñoMes].&amp;[" &amp; TEXT(H$6,"yyyymm")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I67" s="8">
        <f>IFERROR(
GETPIVOTDATA(
"[Base].[Importe]",
TDinamica_R!$A$5,
"[Calendario].[AñoMes]",
"[Calendario].[AñoMes].&amp;[" &amp; TEXT(I$6,"yyyymm")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J67" s="8">
        <f>IFERROR(
GETPIVOTDATA(
"[Base].[Importe]",
TDinamica_R!$A$5,
"[Calendario].[AñoMes]",
"[Calendario].[AñoMes].&amp;[" &amp; TEXT(J$6,"yyyymm")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K67" s="8">
        <f>IFERROR(
GETPIVOTDATA(
"[Base].[Importe]",
TDinamica_R!$A$5,
"[Calendario].[AñoMes]",
"[Calendario].[AñoMes].&amp;[" &amp; TEXT(K$6,"yyyymm")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L67" s="8">
        <f>IFERROR(
GETPIVOTDATA(
"[Base].[Importe]",
TDinamica_R!$A$5,
"[Calendario].[AñoMes]",
"[Calendario].[AñoMes].&amp;[" &amp; TEXT(L$6,"yyyymm")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M67" s="8">
        <f>IFERROR(
GETPIVOTDATA(
"[Base].[Importe]",
TDinamica_R!$A$5,
"[Calendario].[AñoMes]",
"[Calendario].[AñoMes].&amp;[" &amp; TEXT(M$6,"yyyymm")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N67" s="8">
        <f>IFERROR(
GETPIVOTDATA(
"[Base].[Importe]",
TDinamica_R!$A$5,
"[Calendario].[AñoMes]",
"[Calendario].[AñoMes].&amp;[" &amp; TEXT(N$6,"yyyymm")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O67" s="8">
        <f>IFERROR(
GETPIVOTDATA(
"[Base].[Importe]",
TDinamica_R!$A$5,
"[Calendario].[AñoMes]",
"[Calendario].[AñoMes].&amp;[" &amp; TEXT(O$6,"yyyymm")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P67" s="8">
        <f>IFERROR(
GETPIVOTDATA(
"[Base].[Importe]",
TDinamica_R!$A$5,
"[Calendario].[AñoMes]",
"[Calendario].[AñoMes].&amp;[" &amp; TEXT(P$6,"yyyymm")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Q67" s="8">
        <f>IFERROR(
GETPIVOTDATA(
"[Base].[Importe]",
TDinamica_R!$A$5,
"[Calendario].[AñoMes]",
"[Calendario].[AñoMes].&amp;[" &amp; TEXT(Q$6,"yyyymm")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R67" s="8">
        <f>IFERROR(
GETPIVOTDATA(
"[Base].[Importe]",
TDinamica_R!$A$5,
"[Calendario].[AñoMes]",
"[Calendario].[AñoMes].&amp;[" &amp; TEXT(R$6,"yyyymm")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S67" s="8">
        <f>IFERROR(
GETPIVOTDATA(
"[Base].[Importe]",
TDinamica_R!$A$5,
"[Calendario].[AñoMes]",
"[Calendario].[AñoMes].&amp;[" &amp; TEXT(S$6,"yyyymm")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T67" s="8">
        <f>IFERROR(
GETPIVOTDATA(
"[Base].[Importe]",
TDinamica_R!$A$5,
"[Calendario].[AñoMes]",
"[Calendario].[AñoMes].&amp;[" &amp; TEXT(T$6,"yyyymm")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U67" s="8">
        <f>IFERROR(
GETPIVOTDATA(
"[Base].[Importe]",
TDinamica_R!$A$5,
"[Calendario].[AñoMes]",
"[Calendario].[AñoMes].&amp;[" &amp; TEXT(U$6,"yyyymm")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V67" s="8">
        <f>IFERROR(
GETPIVOTDATA(
"[Base].[Importe]",
TDinamica_R!$A$5,
"[Calendario].[AñoMes]",
"[Calendario].[AñoMes].&amp;[" &amp; TEXT(V$6,"yyyymm")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W67" s="8">
        <f>IFERROR(
GETPIVOTDATA(
"[Base].[Importe]",
TDinamica_R!$A$5,
"[Calendario].[AñoMes]",
"[Calendario].[AñoMes].&amp;[" &amp; TEXT(W$6,"yyyymm")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X67" s="8">
        <f>IFERROR(
GETPIVOTDATA(
"[Base].[Importe]",
TDinamica_R!$A$5,
"[Calendario].[AñoMes]",
"[Calendario].[AñoMes].&amp;[" &amp; TEXT(X$6,"yyyymm")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Y67" s="8">
        <f>IFERROR(
GETPIVOTDATA(
"[Base].[Importe]",
TDinamica_R!$A$5,
"[Calendario].[AñoMes]",
"[Calendario].[AñoMes].&amp;[" &amp; TEXT(Y$6,"yyyymm")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Z67" s="8">
        <f>IFERROR(
GETPIVOTDATA(
"[Base].[Importe]",
TDinamica_R!$A$5,
"[Calendario].[AñoMes]",
"[Calendario].[AñoMes].&amp;[" &amp; TEXT(Z$6,"yyyymm")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A67" s="8">
        <f>IFERROR(
GETPIVOTDATA(
"[Base].[Importe]",
TDinamica_R!$A$5,
"[Calendario].[AñoMes]",
"[Calendario].[AñoMes].&amp;[" &amp; TEXT(AA$6,"yyyymm")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B67" s="8">
        <f>IFERROR(
GETPIVOTDATA(
"[Base].[Importe]",
TDinamica_R!$A$5,
"[Calendario].[AñoMes]",
"[Calendario].[AñoMes].&amp;[" &amp; TEXT(AB$6,"yyyymm")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C67" s="8">
        <f>IFERROR(
GETPIVOTDATA(
"[Base].[Importe]",
TDinamica_R!$A$5,
"[Calendario].[AñoMes]",
"[Calendario].[AñoMes].&amp;[" &amp; TEXT(AC$6,"yyyymm")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D67" s="8">
        <f>IFERROR(
GETPIVOTDATA(
"[Base].[Importe]",
TDinamica_R!$A$5,
"[Calendario].[AñoMes]",
"[Calendario].[AñoMes].&amp;[" &amp; TEXT(AD$6,"yyyymm")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E67" s="8">
        <f>IFERROR(
GETPIVOTDATA(
"[Base].[Importe]",
TDinamica_R!$A$5,
"[Calendario].[AñoMes]",
"[Calendario].[AñoMes].&amp;[" &amp; TEXT(AE$6,"yyyymm")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F67" s="8">
        <f>IFERROR(
GETPIVOTDATA(
"[Base].[Importe]",
TDinamica_R!$A$5,
"[Calendario].[AñoMes]",
"[Calendario].[AñoMes].&amp;[" &amp; TEXT(AF$6,"yyyymm")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G67" s="8">
        <f>IFERROR(
GETPIVOTDATA(
"[Base].[Importe]",
TDinamica_R!$A$5,
"[Calendario].[AñoMes]",
"[Calendario].[AñoMes].&amp;[" &amp; TEXT(AG$6,"yyyymm")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H67" s="8">
        <f>IFERROR(
GETPIVOTDATA(
"[Base].[Importe]",
TDinamica_R!$A$5,
"[Calendario].[AñoMes]",
"[Calendario].[AñoMes].&amp;[" &amp; TEXT(AH$6,"yyyymm")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I67" s="8">
        <f>IFERROR(
GETPIVOTDATA(
"[Base].[Importe]",
TDinamica_R!$A$5,
"[Calendario].[AñoMes]",
"[Calendario].[AñoMes].&amp;[" &amp; TEXT(AI$6,"yyyymm")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J67" s="8">
        <f>IFERROR(
GETPIVOTDATA(
"[Base].[Importe]",
TDinamica_R!$A$5,
"[Calendario].[AñoMes]",
"[Calendario].[AñoMes].&amp;[" &amp; TEXT(AJ$6,"yyyymm")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K67" s="8">
        <f>IFERROR(
GETPIVOTDATA(
"[Base].[Importe]",
TDinamica_R!$A$5,
"[Calendario].[AñoMes]",
"[Calendario].[AñoMes].&amp;[" &amp; TEXT(AK$6,"yyyymm")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L67" s="8">
        <f>IFERROR(
GETPIVOTDATA(
"[Base].[Importe]",
TDinamica_R!$A$5,
"[Calendario].[AñoMes]",
"[Calendario].[AñoMes].&amp;[" &amp; TEXT(AL$6,"yyyymm")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M67" s="8">
        <f>IFERROR(
GETPIVOTDATA(
"[Base].[Importe]",
TDinamica_R!$A$5,
"[Calendario].[AñoMes]",
"[Calendario].[AñoMes].&amp;[" &amp; TEXT(AM$6,"yyyymm")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N67" s="8">
        <f>IFERROR(
GETPIVOTDATA(
"[Base].[Importe]",
TDinamica_R!$A$5,
"[Calendario].[AñoMes]",
"[Calendario].[AñoMes].&amp;[" &amp; TEXT(AN$6,"yyyymm")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O67" s="8">
        <f>IFERROR(
GETPIVOTDATA(
"[Base].[Importe]",
TDinamica_R!$A$5,
"[Calendario].[AñoMes]",
"[Calendario].[AñoMes].&amp;[" &amp; TEXT(AO$6,"yyyymm")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P67" s="8">
        <f>IFERROR(
GETPIVOTDATA(
"[Base].[Importe]",
TDinamica_R!$A$5,
"[Calendario].[AñoMes]",
"[Calendario].[AñoMes].&amp;[" &amp; TEXT(AP$6,"yyyymm")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Q67" s="8">
        <f>IFERROR(
GETPIVOTDATA(
"[Base].[Importe]",
TDinamica_R!$A$5,
"[Calendario].[AñoMes]",
"[Calendario].[AñoMes].&amp;[" &amp; TEXT(AQ$6,"yyyymm")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R67" s="8">
        <f>IFERROR(
GETPIVOTDATA(
"[Base].[Importe]",
TDinamica_R!$A$5,
"[Calendario].[AñoMes]",
"[Calendario].[AñoMes].&amp;[" &amp; TEXT(AR$6,"yyyymm")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S67" s="8">
        <f>IFERROR(
GETPIVOTDATA(
"[Base].[Importe]",
TDinamica_R!$A$5,
"[Calendario].[AñoMes]",
"[Calendario].[AñoMes].&amp;[" &amp; TEXT(AS$6,"yyyymm")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T67" s="8">
        <f>IFERROR(
GETPIVOTDATA(
"[Base].[Importe]",
TDinamica_R!$A$5,
"[Calendario].[AñoMes]",
"[Calendario].[AñoMes].&amp;[" &amp; TEXT(AT$6,"yyyymm")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U67" s="8">
        <f>IFERROR(
GETPIVOTDATA(
"[Base].[Importe]",
TDinamica_R!$A$5,
"[Calendario].[AñoMes]",
"[Calendario].[AñoMes].&amp;[" &amp; TEXT(AU$6,"yyyymm")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V67" s="8">
        <f>IFERROR(
GETPIVOTDATA(
"[Base].[Importe]",
TDinamica_R!$A$5,
"[Calendario].[AñoMes]",
"[Calendario].[AñoMes].&amp;[" &amp; TEXT(AV$6,"yyyymm")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W67" s="8">
        <f>IFERROR(
GETPIVOTDATA(
"[Base].[Importe]",
TDinamica_R!$A$5,
"[Calendario].[AñoMes]",
"[Calendario].[AñoMes].&amp;[" &amp; TEXT(AW$6,"yyyymm")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X67" s="8">
        <f>IFERROR(
GETPIVOTDATA(
"[Base].[Importe]",
TDinamica_R!$A$5,
"[Calendario].[AñoMes]",
"[Calendario].[AñoMes].&amp;[" &amp; TEXT(AX$6,"yyyymm")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Y67" s="8">
        <f>IFERROR(
GETPIVOTDATA(
"[Base].[Importe]",
TDinamica_R!$A$5,
"[Calendario].[AñoMes]",
"[Calendario].[AñoMes].&amp;[" &amp; TEXT(AY$6,"yyyymm")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Z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TEXT(AZ$6,"yyyymm") &amp; "]"
),
0
)</f>
        <v>0</v>
      </c>
      <c r="BA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TEXT(BA$6,"yyyymm") &amp; "]"
),
0
)</f>
        <v>0</v>
      </c>
      <c r="BB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TEXT(BB$6,"yyyymm") &amp; "]"
),
0
)</f>
        <v>0</v>
      </c>
      <c r="BC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TEXT(BC$6,"yyyymm") &amp; "]"
),
0
)</f>
        <v>0</v>
      </c>
      <c r="BD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TEXT(BD$6,"yyyymm") &amp; "]"
),
0
)</f>
        <v>0</v>
      </c>
      <c r="BE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TEXT(BE$6,"yyyymm") &amp; "]"
),
0
)</f>
        <v>0</v>
      </c>
      <c r="BF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TEXT(BF$6,"yyyymm") &amp; "]"
),
0
)</f>
        <v>0</v>
      </c>
      <c r="BG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TEXT(BG$6,"yyyymm") &amp; "]"
),
0
)</f>
        <v>0</v>
      </c>
      <c r="BH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TEXT(BH$6,"yyyymm") &amp; "]"
),
0
)</f>
        <v>0</v>
      </c>
      <c r="BI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TEXT(BI$6,"yyyymm") &amp; "]"
),
0
)</f>
        <v>0</v>
      </c>
      <c r="BJ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TEXT(BJ$6,"yyyymm") &amp; "]"
),
0
)</f>
        <v>0</v>
      </c>
      <c r="BK67" s="8">
        <f>IFERROR(
GETPIVOTDATA(
"[Base_PPE].[Importe]",
TDinamica_P!$A$4,
"[Base_PPE].[Metrica]",
"[Base_PPE].[Metrica].&amp;[" &amp; TRIM($A67) &amp; "]",
"[Base_PPE].[SITUACION]",
"[Base_PPE].[SITUACION].&amp;[" &amp; TRIM($C67) &amp; "]",
"[Base_PPE].[SEGMENTO_DESCRIP]",
"[Base_PPE].[SEGMENTO_DESCRIP].&amp;[" &amp; TRIM($C$6) &amp; "]",
"[Base_PPE].[Periodo]",
"[Base_PPE].[Periodo].&amp;[" &amp; TEXT(BK$6,"yyyymm") &amp; "]"
),
0
)</f>
        <v>0</v>
      </c>
      <c r="BO67" s="24">
        <f t="shared" si="64"/>
        <v>0</v>
      </c>
      <c r="BP67" s="24">
        <f t="shared" si="64"/>
        <v>0</v>
      </c>
      <c r="BQ67" s="24">
        <f t="shared" si="64"/>
        <v>0</v>
      </c>
      <c r="BR67" s="24">
        <f t="shared" si="64"/>
        <v>0</v>
      </c>
      <c r="BS67" s="24">
        <f t="shared" si="64"/>
        <v>0</v>
      </c>
      <c r="BT67" s="24">
        <f t="shared" si="64"/>
        <v>0</v>
      </c>
    </row>
    <row r="68" spans="1:72" hidden="1" outlineLevel="1" x14ac:dyDescent="0.25">
      <c r="A68" s="11" t="s">
        <v>71</v>
      </c>
      <c r="C68" s="2"/>
      <c r="D68" s="8">
        <f>IFERROR(
GETPIVOTDATA(
"[Base].[Importe]",
TDinamica_R!$A$5,
"[Calendario].[AñoMes]",
"[Calendario].[AñoMes].&amp;[" &amp; TEXT(D$6,"yyyymm")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E68" s="8">
        <f>IFERROR(
GETPIVOTDATA(
"[Base].[Importe]",
TDinamica_R!$A$5,
"[Calendario].[AñoMes]",
"[Calendario].[AñoMes].&amp;[" &amp; TEXT(E$6,"yyyymm")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F68" s="8">
        <f>IFERROR(
GETPIVOTDATA(
"[Base].[Importe]",
TDinamica_R!$A$5,
"[Calendario].[AñoMes]",
"[Calendario].[AñoMes].&amp;[" &amp; TEXT(F$6,"yyyymm")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G68" s="8">
        <f>IFERROR(
GETPIVOTDATA(
"[Base].[Importe]",
TDinamica_R!$A$5,
"[Calendario].[AñoMes]",
"[Calendario].[AñoMes].&amp;[" &amp; TEXT(G$6,"yyyymm")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H68" s="8">
        <f>IFERROR(
GETPIVOTDATA(
"[Base].[Importe]",
TDinamica_R!$A$5,
"[Calendario].[AñoMes]",
"[Calendario].[AñoMes].&amp;[" &amp; TEXT(H$6,"yyyymm")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I68" s="8">
        <f>IFERROR(
GETPIVOTDATA(
"[Base].[Importe]",
TDinamica_R!$A$5,
"[Calendario].[AñoMes]",
"[Calendario].[AñoMes].&amp;[" &amp; TEXT(I$6,"yyyymm")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J68" s="8">
        <f>IFERROR(
GETPIVOTDATA(
"[Base].[Importe]",
TDinamica_R!$A$5,
"[Calendario].[AñoMes]",
"[Calendario].[AñoMes].&amp;[" &amp; TEXT(J$6,"yyyymm")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K68" s="8">
        <f>IFERROR(
GETPIVOTDATA(
"[Base].[Importe]",
TDinamica_R!$A$5,
"[Calendario].[AñoMes]",
"[Calendario].[AñoMes].&amp;[" &amp; TEXT(K$6,"yyyymm")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L68" s="8">
        <f>IFERROR(
GETPIVOTDATA(
"[Base].[Importe]",
TDinamica_R!$A$5,
"[Calendario].[AñoMes]",
"[Calendario].[AñoMes].&amp;[" &amp; TEXT(L$6,"yyyymm")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M68" s="8">
        <f>IFERROR(
GETPIVOTDATA(
"[Base].[Importe]",
TDinamica_R!$A$5,
"[Calendario].[AñoMes]",
"[Calendario].[AñoMes].&amp;[" &amp; TEXT(M$6,"yyyymm")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N68" s="8">
        <f>IFERROR(
GETPIVOTDATA(
"[Base].[Importe]",
TDinamica_R!$A$5,
"[Calendario].[AñoMes]",
"[Calendario].[AñoMes].&amp;[" &amp; TEXT(N$6,"yyyymm")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O68" s="8">
        <f>IFERROR(
GETPIVOTDATA(
"[Base].[Importe]",
TDinamica_R!$A$5,
"[Calendario].[AñoMes]",
"[Calendario].[AñoMes].&amp;[" &amp; TEXT(O$6,"yyyymm")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P68" s="8">
        <f>IFERROR(
GETPIVOTDATA(
"[Base].[Importe]",
TDinamica_R!$A$5,
"[Calendario].[AñoMes]",
"[Calendario].[AñoMes].&amp;[" &amp; TEXT(P$6,"yyyymm")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Q68" s="8">
        <f>IFERROR(
GETPIVOTDATA(
"[Base].[Importe]",
TDinamica_R!$A$5,
"[Calendario].[AñoMes]",
"[Calendario].[AñoMes].&amp;[" &amp; TEXT(Q$6,"yyyymm")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R68" s="8">
        <f>IFERROR(
GETPIVOTDATA(
"[Base].[Importe]",
TDinamica_R!$A$5,
"[Calendario].[AñoMes]",
"[Calendario].[AñoMes].&amp;[" &amp; TEXT(R$6,"yyyymm")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S68" s="8">
        <f>IFERROR(
GETPIVOTDATA(
"[Base].[Importe]",
TDinamica_R!$A$5,
"[Calendario].[AñoMes]",
"[Calendario].[AñoMes].&amp;[" &amp; TEXT(S$6,"yyyymm")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T68" s="8">
        <f>IFERROR(
GETPIVOTDATA(
"[Base].[Importe]",
TDinamica_R!$A$5,
"[Calendario].[AñoMes]",
"[Calendario].[AñoMes].&amp;[" &amp; TEXT(T$6,"yyyymm")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U68" s="8">
        <f>IFERROR(
GETPIVOTDATA(
"[Base].[Importe]",
TDinamica_R!$A$5,
"[Calendario].[AñoMes]",
"[Calendario].[AñoMes].&amp;[" &amp; TEXT(U$6,"yyyymm")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V68" s="8">
        <f>IFERROR(
GETPIVOTDATA(
"[Base].[Importe]",
TDinamica_R!$A$5,
"[Calendario].[AñoMes]",
"[Calendario].[AñoMes].&amp;[" &amp; TEXT(V$6,"yyyymm")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W68" s="8">
        <f>IFERROR(
GETPIVOTDATA(
"[Base].[Importe]",
TDinamica_R!$A$5,
"[Calendario].[AñoMes]",
"[Calendario].[AñoMes].&amp;[" &amp; TEXT(W$6,"yyyymm")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X68" s="8">
        <f>IFERROR(
GETPIVOTDATA(
"[Base].[Importe]",
TDinamica_R!$A$5,
"[Calendario].[AñoMes]",
"[Calendario].[AñoMes].&amp;[" &amp; TEXT(X$6,"yyyymm")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Y68" s="8">
        <f>IFERROR(
GETPIVOTDATA(
"[Base].[Importe]",
TDinamica_R!$A$5,
"[Calendario].[AñoMes]",
"[Calendario].[AñoMes].&amp;[" &amp; TEXT(Y$6,"yyyymm")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Z68" s="8">
        <f>IFERROR(
GETPIVOTDATA(
"[Base].[Importe]",
TDinamica_R!$A$5,
"[Calendario].[AñoMes]",
"[Calendario].[AñoMes].&amp;[" &amp; TEXT(Z$6,"yyyymm")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A68" s="8">
        <f>IFERROR(
GETPIVOTDATA(
"[Base].[Importe]",
TDinamica_R!$A$5,
"[Calendario].[AñoMes]",
"[Calendario].[AñoMes].&amp;[" &amp; TEXT(AA$6,"yyyymm")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B68" s="8">
        <f>IFERROR(
GETPIVOTDATA(
"[Base].[Importe]",
TDinamica_R!$A$5,
"[Calendario].[AñoMes]",
"[Calendario].[AñoMes].&amp;[" &amp; TEXT(AB$6,"yyyymm")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C68" s="8">
        <f>IFERROR(
GETPIVOTDATA(
"[Base].[Importe]",
TDinamica_R!$A$5,
"[Calendario].[AñoMes]",
"[Calendario].[AñoMes].&amp;[" &amp; TEXT(AC$6,"yyyymm")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D68" s="8">
        <f>IFERROR(
GETPIVOTDATA(
"[Base].[Importe]",
TDinamica_R!$A$5,
"[Calendario].[AñoMes]",
"[Calendario].[AñoMes].&amp;[" &amp; TEXT(AD$6,"yyyymm")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E68" s="8">
        <f>IFERROR(
GETPIVOTDATA(
"[Base].[Importe]",
TDinamica_R!$A$5,
"[Calendario].[AñoMes]",
"[Calendario].[AñoMes].&amp;[" &amp; TEXT(AE$6,"yyyymm")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F68" s="8">
        <f>IFERROR(
GETPIVOTDATA(
"[Base].[Importe]",
TDinamica_R!$A$5,
"[Calendario].[AñoMes]",
"[Calendario].[AñoMes].&amp;[" &amp; TEXT(AF$6,"yyyymm")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G68" s="8">
        <f>IFERROR(
GETPIVOTDATA(
"[Base].[Importe]",
TDinamica_R!$A$5,
"[Calendario].[AñoMes]",
"[Calendario].[AñoMes].&amp;[" &amp; TEXT(AG$6,"yyyymm")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H68" s="8">
        <f>IFERROR(
GETPIVOTDATA(
"[Base].[Importe]",
TDinamica_R!$A$5,
"[Calendario].[AñoMes]",
"[Calendario].[AñoMes].&amp;[" &amp; TEXT(AH$6,"yyyymm")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I68" s="8">
        <f>IFERROR(
GETPIVOTDATA(
"[Base].[Importe]",
TDinamica_R!$A$5,
"[Calendario].[AñoMes]",
"[Calendario].[AñoMes].&amp;[" &amp; TEXT(AI$6,"yyyymm")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J68" s="8">
        <f>IFERROR(
GETPIVOTDATA(
"[Base].[Importe]",
TDinamica_R!$A$5,
"[Calendario].[AñoMes]",
"[Calendario].[AñoMes].&amp;[" &amp; TEXT(AJ$6,"yyyymm")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K68" s="8">
        <f>IFERROR(
GETPIVOTDATA(
"[Base].[Importe]",
TDinamica_R!$A$5,
"[Calendario].[AñoMes]",
"[Calendario].[AñoMes].&amp;[" &amp; TEXT(AK$6,"yyyymm")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L68" s="8">
        <f>IFERROR(
GETPIVOTDATA(
"[Base].[Importe]",
TDinamica_R!$A$5,
"[Calendario].[AñoMes]",
"[Calendario].[AñoMes].&amp;[" &amp; TEXT(AL$6,"yyyymm")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M68" s="8">
        <f>IFERROR(
GETPIVOTDATA(
"[Base].[Importe]",
TDinamica_R!$A$5,
"[Calendario].[AñoMes]",
"[Calendario].[AñoMes].&amp;[" &amp; TEXT(AM$6,"yyyymm")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N68" s="8">
        <f>IFERROR(
GETPIVOTDATA(
"[Base].[Importe]",
TDinamica_R!$A$5,
"[Calendario].[AñoMes]",
"[Calendario].[AñoMes].&amp;[" &amp; TEXT(AN$6,"yyyymm")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O68" s="8">
        <f>IFERROR(
GETPIVOTDATA(
"[Base].[Importe]",
TDinamica_R!$A$5,
"[Calendario].[AñoMes]",
"[Calendario].[AñoMes].&amp;[" &amp; TEXT(AO$6,"yyyymm")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P68" s="8">
        <f>IFERROR(
GETPIVOTDATA(
"[Base].[Importe]",
TDinamica_R!$A$5,
"[Calendario].[AñoMes]",
"[Calendario].[AñoMes].&amp;[" &amp; TEXT(AP$6,"yyyymm")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Q68" s="8">
        <f>IFERROR(
GETPIVOTDATA(
"[Base].[Importe]",
TDinamica_R!$A$5,
"[Calendario].[AñoMes]",
"[Calendario].[AñoMes].&amp;[" &amp; TEXT(AQ$6,"yyyymm")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R68" s="8">
        <f>IFERROR(
GETPIVOTDATA(
"[Base].[Importe]",
TDinamica_R!$A$5,
"[Calendario].[AñoMes]",
"[Calendario].[AñoMes].&amp;[" &amp; TEXT(AR$6,"yyyymm")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S68" s="8">
        <f>IFERROR(
GETPIVOTDATA(
"[Base].[Importe]",
TDinamica_R!$A$5,
"[Calendario].[AñoMes]",
"[Calendario].[AñoMes].&amp;[" &amp; TEXT(AS$6,"yyyymm")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T68" s="8">
        <f>IFERROR(
GETPIVOTDATA(
"[Base].[Importe]",
TDinamica_R!$A$5,
"[Calendario].[AñoMes]",
"[Calendario].[AñoMes].&amp;[" &amp; TEXT(AT$6,"yyyymm")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U68" s="8">
        <f>IFERROR(
GETPIVOTDATA(
"[Base].[Importe]",
TDinamica_R!$A$5,
"[Calendario].[AñoMes]",
"[Calendario].[AñoMes].&amp;[" &amp; TEXT(AU$6,"yyyymm")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V68" s="8">
        <f>IFERROR(
GETPIVOTDATA(
"[Base].[Importe]",
TDinamica_R!$A$5,
"[Calendario].[AñoMes]",
"[Calendario].[AñoMes].&amp;[" &amp; TEXT(AV$6,"yyyymm")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W68" s="8">
        <f>IFERROR(
GETPIVOTDATA(
"[Base].[Importe]",
TDinamica_R!$A$5,
"[Calendario].[AñoMes]",
"[Calendario].[AñoMes].&amp;[" &amp; TEXT(AW$6,"yyyymm")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X68" s="8">
        <f>IFERROR(
GETPIVOTDATA(
"[Base].[Importe]",
TDinamica_R!$A$5,
"[Calendario].[AñoMes]",
"[Calendario].[AñoMes].&amp;[" &amp; TEXT(AX$6,"yyyymm")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Y68" s="8">
        <f>IFERROR(
GETPIVOTDATA(
"[Base].[Importe]",
TDinamica_R!$A$5,
"[Calendario].[AñoMes]",
"[Calendario].[AñoMes].&amp;[" &amp; TEXT(AY$6,"yyyymm")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Z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TEXT(AZ$6,"yyyymm") &amp; "]"
),
0
)</f>
        <v>0</v>
      </c>
      <c r="BA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TEXT(BA$6,"yyyymm") &amp; "]"
),
0
)</f>
        <v>0</v>
      </c>
      <c r="BB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TEXT(BB$6,"yyyymm") &amp; "]"
),
0
)</f>
        <v>0</v>
      </c>
      <c r="BC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TEXT(BC$6,"yyyymm") &amp; "]"
),
0
)</f>
        <v>0</v>
      </c>
      <c r="BD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TEXT(BD$6,"yyyymm") &amp; "]"
),
0
)</f>
        <v>0</v>
      </c>
      <c r="BE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TEXT(BE$6,"yyyymm") &amp; "]"
),
0
)</f>
        <v>0</v>
      </c>
      <c r="BF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TEXT(BF$6,"yyyymm") &amp; "]"
),
0
)</f>
        <v>0</v>
      </c>
      <c r="BG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TEXT(BG$6,"yyyymm") &amp; "]"
),
0
)</f>
        <v>0</v>
      </c>
      <c r="BH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TEXT(BH$6,"yyyymm") &amp; "]"
),
0
)</f>
        <v>0</v>
      </c>
      <c r="BI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TEXT(BI$6,"yyyymm") &amp; "]"
),
0
)</f>
        <v>0</v>
      </c>
      <c r="BJ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TEXT(BJ$6,"yyyymm") &amp; "]"
),
0
)</f>
        <v>0</v>
      </c>
      <c r="BK68" s="8">
        <f>IFERROR(
GETPIVOTDATA(
"[Base_PPE].[Importe]",
TDinamica_P!$A$4,
"[Base_PPE].[Metrica]",
"[Base_PPE].[Metrica].&amp;[" &amp; TRIM($A68) &amp; "]",
"[Base_PPE].[SITUACION]",
"[Base_PPE].[SITUACION].&amp;[" &amp; TRIM($C68) &amp; "]",
"[Base_PPE].[SEGMENTO_DESCRIP]",
"[Base_PPE].[SEGMENTO_DESCRIP].&amp;[" &amp; TRIM($C$6) &amp; "]",
"[Base_PPE].[Periodo]",
"[Base_PPE].[Periodo].&amp;[" &amp; TEXT(BK$6,"yyyymm") &amp; "]"
),
0
)</f>
        <v>0</v>
      </c>
      <c r="BO68" s="24">
        <f t="shared" si="64"/>
        <v>0</v>
      </c>
      <c r="BP68" s="24">
        <f t="shared" si="64"/>
        <v>0</v>
      </c>
      <c r="BQ68" s="24">
        <f t="shared" si="64"/>
        <v>0</v>
      </c>
      <c r="BR68" s="24">
        <f t="shared" si="64"/>
        <v>0</v>
      </c>
      <c r="BS68" s="24">
        <f t="shared" si="64"/>
        <v>0</v>
      </c>
      <c r="BT68" s="24">
        <f t="shared" si="64"/>
        <v>0</v>
      </c>
    </row>
    <row r="69" spans="1:72" hidden="1" outlineLevel="1" x14ac:dyDescent="0.25">
      <c r="A69" s="11" t="s">
        <v>71</v>
      </c>
      <c r="C69" s="2"/>
      <c r="D69" s="8">
        <f>IFERROR(
GETPIVOTDATA(
"[Base].[Importe]",
TDinamica_R!$A$5,
"[Calendario].[AñoMes]",
"[Calendario].[AñoMes].&amp;[" &amp; TEXT(D$6,"yyyymm")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E69" s="8">
        <f>IFERROR(
GETPIVOTDATA(
"[Base].[Importe]",
TDinamica_R!$A$5,
"[Calendario].[AñoMes]",
"[Calendario].[AñoMes].&amp;[" &amp; TEXT(E$6,"yyyymm")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F69" s="8">
        <f>IFERROR(
GETPIVOTDATA(
"[Base].[Importe]",
TDinamica_R!$A$5,
"[Calendario].[AñoMes]",
"[Calendario].[AñoMes].&amp;[" &amp; TEXT(F$6,"yyyymm")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G69" s="8">
        <f>IFERROR(
GETPIVOTDATA(
"[Base].[Importe]",
TDinamica_R!$A$5,
"[Calendario].[AñoMes]",
"[Calendario].[AñoMes].&amp;[" &amp; TEXT(G$6,"yyyymm")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H69" s="8">
        <f>IFERROR(
GETPIVOTDATA(
"[Base].[Importe]",
TDinamica_R!$A$5,
"[Calendario].[AñoMes]",
"[Calendario].[AñoMes].&amp;[" &amp; TEXT(H$6,"yyyymm")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I69" s="8">
        <f>IFERROR(
GETPIVOTDATA(
"[Base].[Importe]",
TDinamica_R!$A$5,
"[Calendario].[AñoMes]",
"[Calendario].[AñoMes].&amp;[" &amp; TEXT(I$6,"yyyymm")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J69" s="8">
        <f>IFERROR(
GETPIVOTDATA(
"[Base].[Importe]",
TDinamica_R!$A$5,
"[Calendario].[AñoMes]",
"[Calendario].[AñoMes].&amp;[" &amp; TEXT(J$6,"yyyymm")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K69" s="8">
        <f>IFERROR(
GETPIVOTDATA(
"[Base].[Importe]",
TDinamica_R!$A$5,
"[Calendario].[AñoMes]",
"[Calendario].[AñoMes].&amp;[" &amp; TEXT(K$6,"yyyymm")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L69" s="8">
        <f>IFERROR(
GETPIVOTDATA(
"[Base].[Importe]",
TDinamica_R!$A$5,
"[Calendario].[AñoMes]",
"[Calendario].[AñoMes].&amp;[" &amp; TEXT(L$6,"yyyymm")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M69" s="8">
        <f>IFERROR(
GETPIVOTDATA(
"[Base].[Importe]",
TDinamica_R!$A$5,
"[Calendario].[AñoMes]",
"[Calendario].[AñoMes].&amp;[" &amp; TEXT(M$6,"yyyymm")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N69" s="8">
        <f>IFERROR(
GETPIVOTDATA(
"[Base].[Importe]",
TDinamica_R!$A$5,
"[Calendario].[AñoMes]",
"[Calendario].[AñoMes].&amp;[" &amp; TEXT(N$6,"yyyymm")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O69" s="8">
        <f>IFERROR(
GETPIVOTDATA(
"[Base].[Importe]",
TDinamica_R!$A$5,
"[Calendario].[AñoMes]",
"[Calendario].[AñoMes].&amp;[" &amp; TEXT(O$6,"yyyymm")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P69" s="8">
        <f>IFERROR(
GETPIVOTDATA(
"[Base].[Importe]",
TDinamica_R!$A$5,
"[Calendario].[AñoMes]",
"[Calendario].[AñoMes].&amp;[" &amp; TEXT(P$6,"yyyymm")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Q69" s="8">
        <f>IFERROR(
GETPIVOTDATA(
"[Base].[Importe]",
TDinamica_R!$A$5,
"[Calendario].[AñoMes]",
"[Calendario].[AñoMes].&amp;[" &amp; TEXT(Q$6,"yyyymm")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R69" s="8">
        <f>IFERROR(
GETPIVOTDATA(
"[Base].[Importe]",
TDinamica_R!$A$5,
"[Calendario].[AñoMes]",
"[Calendario].[AñoMes].&amp;[" &amp; TEXT(R$6,"yyyymm")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S69" s="8">
        <f>IFERROR(
GETPIVOTDATA(
"[Base].[Importe]",
TDinamica_R!$A$5,
"[Calendario].[AñoMes]",
"[Calendario].[AñoMes].&amp;[" &amp; TEXT(S$6,"yyyymm")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T69" s="8">
        <f>IFERROR(
GETPIVOTDATA(
"[Base].[Importe]",
TDinamica_R!$A$5,
"[Calendario].[AñoMes]",
"[Calendario].[AñoMes].&amp;[" &amp; TEXT(T$6,"yyyymm")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U69" s="8">
        <f>IFERROR(
GETPIVOTDATA(
"[Base].[Importe]",
TDinamica_R!$A$5,
"[Calendario].[AñoMes]",
"[Calendario].[AñoMes].&amp;[" &amp; TEXT(U$6,"yyyymm")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V69" s="8">
        <f>IFERROR(
GETPIVOTDATA(
"[Base].[Importe]",
TDinamica_R!$A$5,
"[Calendario].[AñoMes]",
"[Calendario].[AñoMes].&amp;[" &amp; TEXT(V$6,"yyyymm")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W69" s="8">
        <f>IFERROR(
GETPIVOTDATA(
"[Base].[Importe]",
TDinamica_R!$A$5,
"[Calendario].[AñoMes]",
"[Calendario].[AñoMes].&amp;[" &amp; TEXT(W$6,"yyyymm")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X69" s="8">
        <f>IFERROR(
GETPIVOTDATA(
"[Base].[Importe]",
TDinamica_R!$A$5,
"[Calendario].[AñoMes]",
"[Calendario].[AñoMes].&amp;[" &amp; TEXT(X$6,"yyyymm")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Y69" s="8">
        <f>IFERROR(
GETPIVOTDATA(
"[Base].[Importe]",
TDinamica_R!$A$5,
"[Calendario].[AñoMes]",
"[Calendario].[AñoMes].&amp;[" &amp; TEXT(Y$6,"yyyymm")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Z69" s="8">
        <f>IFERROR(
GETPIVOTDATA(
"[Base].[Importe]",
TDinamica_R!$A$5,
"[Calendario].[AñoMes]",
"[Calendario].[AñoMes].&amp;[" &amp; TEXT(Z$6,"yyyymm")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A69" s="8">
        <f>IFERROR(
GETPIVOTDATA(
"[Base].[Importe]",
TDinamica_R!$A$5,
"[Calendario].[AñoMes]",
"[Calendario].[AñoMes].&amp;[" &amp; TEXT(AA$6,"yyyymm")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B69" s="8">
        <f>IFERROR(
GETPIVOTDATA(
"[Base].[Importe]",
TDinamica_R!$A$5,
"[Calendario].[AñoMes]",
"[Calendario].[AñoMes].&amp;[" &amp; TEXT(AB$6,"yyyymm")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C69" s="8">
        <f>IFERROR(
GETPIVOTDATA(
"[Base].[Importe]",
TDinamica_R!$A$5,
"[Calendario].[AñoMes]",
"[Calendario].[AñoMes].&amp;[" &amp; TEXT(AC$6,"yyyymm")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D69" s="8">
        <f>IFERROR(
GETPIVOTDATA(
"[Base].[Importe]",
TDinamica_R!$A$5,
"[Calendario].[AñoMes]",
"[Calendario].[AñoMes].&amp;[" &amp; TEXT(AD$6,"yyyymm")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E69" s="8">
        <f>IFERROR(
GETPIVOTDATA(
"[Base].[Importe]",
TDinamica_R!$A$5,
"[Calendario].[AñoMes]",
"[Calendario].[AñoMes].&amp;[" &amp; TEXT(AE$6,"yyyymm")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F69" s="8">
        <f>IFERROR(
GETPIVOTDATA(
"[Base].[Importe]",
TDinamica_R!$A$5,
"[Calendario].[AñoMes]",
"[Calendario].[AñoMes].&amp;[" &amp; TEXT(AF$6,"yyyymm")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G69" s="8">
        <f>IFERROR(
GETPIVOTDATA(
"[Base].[Importe]",
TDinamica_R!$A$5,
"[Calendario].[AñoMes]",
"[Calendario].[AñoMes].&amp;[" &amp; TEXT(AG$6,"yyyymm")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H69" s="8">
        <f>IFERROR(
GETPIVOTDATA(
"[Base].[Importe]",
TDinamica_R!$A$5,
"[Calendario].[AñoMes]",
"[Calendario].[AñoMes].&amp;[" &amp; TEXT(AH$6,"yyyymm")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I69" s="8">
        <f>IFERROR(
GETPIVOTDATA(
"[Base].[Importe]",
TDinamica_R!$A$5,
"[Calendario].[AñoMes]",
"[Calendario].[AñoMes].&amp;[" &amp; TEXT(AI$6,"yyyymm")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J69" s="8">
        <f>IFERROR(
GETPIVOTDATA(
"[Base].[Importe]",
TDinamica_R!$A$5,
"[Calendario].[AñoMes]",
"[Calendario].[AñoMes].&amp;[" &amp; TEXT(AJ$6,"yyyymm")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K69" s="8">
        <f>IFERROR(
GETPIVOTDATA(
"[Base].[Importe]",
TDinamica_R!$A$5,
"[Calendario].[AñoMes]",
"[Calendario].[AñoMes].&amp;[" &amp; TEXT(AK$6,"yyyymm")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L69" s="8">
        <f>IFERROR(
GETPIVOTDATA(
"[Base].[Importe]",
TDinamica_R!$A$5,
"[Calendario].[AñoMes]",
"[Calendario].[AñoMes].&amp;[" &amp; TEXT(AL$6,"yyyymm")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M69" s="8">
        <f>IFERROR(
GETPIVOTDATA(
"[Base].[Importe]",
TDinamica_R!$A$5,
"[Calendario].[AñoMes]",
"[Calendario].[AñoMes].&amp;[" &amp; TEXT(AM$6,"yyyymm")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N69" s="8">
        <f>IFERROR(
GETPIVOTDATA(
"[Base].[Importe]",
TDinamica_R!$A$5,
"[Calendario].[AñoMes]",
"[Calendario].[AñoMes].&amp;[" &amp; TEXT(AN$6,"yyyymm")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O69" s="8">
        <f>IFERROR(
GETPIVOTDATA(
"[Base].[Importe]",
TDinamica_R!$A$5,
"[Calendario].[AñoMes]",
"[Calendario].[AñoMes].&amp;[" &amp; TEXT(AO$6,"yyyymm")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P69" s="8">
        <f>IFERROR(
GETPIVOTDATA(
"[Base].[Importe]",
TDinamica_R!$A$5,
"[Calendario].[AñoMes]",
"[Calendario].[AñoMes].&amp;[" &amp; TEXT(AP$6,"yyyymm")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Q69" s="8">
        <f>IFERROR(
GETPIVOTDATA(
"[Base].[Importe]",
TDinamica_R!$A$5,
"[Calendario].[AñoMes]",
"[Calendario].[AñoMes].&amp;[" &amp; TEXT(AQ$6,"yyyymm")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R69" s="8">
        <f>IFERROR(
GETPIVOTDATA(
"[Base].[Importe]",
TDinamica_R!$A$5,
"[Calendario].[AñoMes]",
"[Calendario].[AñoMes].&amp;[" &amp; TEXT(AR$6,"yyyymm")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S69" s="8">
        <f>IFERROR(
GETPIVOTDATA(
"[Base].[Importe]",
TDinamica_R!$A$5,
"[Calendario].[AñoMes]",
"[Calendario].[AñoMes].&amp;[" &amp; TEXT(AS$6,"yyyymm")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T69" s="8">
        <f>IFERROR(
GETPIVOTDATA(
"[Base].[Importe]",
TDinamica_R!$A$5,
"[Calendario].[AñoMes]",
"[Calendario].[AñoMes].&amp;[" &amp; TEXT(AT$6,"yyyymm")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U69" s="8">
        <f>IFERROR(
GETPIVOTDATA(
"[Base].[Importe]",
TDinamica_R!$A$5,
"[Calendario].[AñoMes]",
"[Calendario].[AñoMes].&amp;[" &amp; TEXT(AU$6,"yyyymm")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V69" s="8">
        <f>IFERROR(
GETPIVOTDATA(
"[Base].[Importe]",
TDinamica_R!$A$5,
"[Calendario].[AñoMes]",
"[Calendario].[AñoMes].&amp;[" &amp; TEXT(AV$6,"yyyymm")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W69" s="8">
        <f>IFERROR(
GETPIVOTDATA(
"[Base].[Importe]",
TDinamica_R!$A$5,
"[Calendario].[AñoMes]",
"[Calendario].[AñoMes].&amp;[" &amp; TEXT(AW$6,"yyyymm")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X69" s="8">
        <f>IFERROR(
GETPIVOTDATA(
"[Base].[Importe]",
TDinamica_R!$A$5,
"[Calendario].[AñoMes]",
"[Calendario].[AñoMes].&amp;[" &amp; TEXT(AX$6,"yyyymm")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Y69" s="8">
        <f>IFERROR(
GETPIVOTDATA(
"[Base].[Importe]",
TDinamica_R!$A$5,
"[Calendario].[AñoMes]",
"[Calendario].[AñoMes].&amp;[" &amp; TEXT(AY$6,"yyyymm")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Z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TEXT(AZ$6,"yyyymm") &amp; "]"
),
0
)</f>
        <v>0</v>
      </c>
      <c r="BA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TEXT(BA$6,"yyyymm") &amp; "]"
),
0
)</f>
        <v>0</v>
      </c>
      <c r="BB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TEXT(BB$6,"yyyymm") &amp; "]"
),
0
)</f>
        <v>0</v>
      </c>
      <c r="BC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TEXT(BC$6,"yyyymm") &amp; "]"
),
0
)</f>
        <v>0</v>
      </c>
      <c r="BD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TEXT(BD$6,"yyyymm") &amp; "]"
),
0
)</f>
        <v>0</v>
      </c>
      <c r="BE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TEXT(BE$6,"yyyymm") &amp; "]"
),
0
)</f>
        <v>0</v>
      </c>
      <c r="BF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TEXT(BF$6,"yyyymm") &amp; "]"
),
0
)</f>
        <v>0</v>
      </c>
      <c r="BG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TEXT(BG$6,"yyyymm") &amp; "]"
),
0
)</f>
        <v>0</v>
      </c>
      <c r="BH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TEXT(BH$6,"yyyymm") &amp; "]"
),
0
)</f>
        <v>0</v>
      </c>
      <c r="BI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TEXT(BI$6,"yyyymm") &amp; "]"
),
0
)</f>
        <v>0</v>
      </c>
      <c r="BJ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TEXT(BJ$6,"yyyymm") &amp; "]"
),
0
)</f>
        <v>0</v>
      </c>
      <c r="BK69" s="8">
        <f>IFERROR(
GETPIVOTDATA(
"[Base_PPE].[Importe]",
TDinamica_P!$A$4,
"[Base_PPE].[Metrica]",
"[Base_PPE].[Metrica].&amp;[" &amp; TRIM($A69) &amp; "]",
"[Base_PPE].[SITUACION]",
"[Base_PPE].[SITUACION].&amp;[" &amp; TRIM($C69) &amp; "]",
"[Base_PPE].[SEGMENTO_DESCRIP]",
"[Base_PPE].[SEGMENTO_DESCRIP].&amp;[" &amp; TRIM($C$6) &amp; "]",
"[Base_PPE].[Periodo]",
"[Base_PPE].[Periodo].&amp;[" &amp; TEXT(BK$6,"yyyymm") &amp; "]"
),
0
)</f>
        <v>0</v>
      </c>
      <c r="BO69" s="24">
        <f t="shared" si="64"/>
        <v>0</v>
      </c>
      <c r="BP69" s="24">
        <f t="shared" si="64"/>
        <v>0</v>
      </c>
      <c r="BQ69" s="24">
        <f t="shared" si="64"/>
        <v>0</v>
      </c>
      <c r="BR69" s="24">
        <f t="shared" si="64"/>
        <v>0</v>
      </c>
      <c r="BS69" s="24">
        <f t="shared" si="64"/>
        <v>0</v>
      </c>
      <c r="BT69" s="24">
        <f t="shared" si="64"/>
        <v>0</v>
      </c>
    </row>
    <row r="70" spans="1:72" hidden="1" outlineLevel="1" x14ac:dyDescent="0.25">
      <c r="A70" s="11" t="s">
        <v>71</v>
      </c>
      <c r="C70" s="2"/>
      <c r="D70" s="8">
        <f>IFERROR(
GETPIVOTDATA(
"[Base].[Importe]",
TDinamica_R!$A$5,
"[Calendario].[AñoMes]",
"[Calendario].[AñoMes].&amp;[" &amp; TEXT(D$6,"yyyymm")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E70" s="8">
        <f>IFERROR(
GETPIVOTDATA(
"[Base].[Importe]",
TDinamica_R!$A$5,
"[Calendario].[AñoMes]",
"[Calendario].[AñoMes].&amp;[" &amp; TEXT(E$6,"yyyymm")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F70" s="8">
        <f>IFERROR(
GETPIVOTDATA(
"[Base].[Importe]",
TDinamica_R!$A$5,
"[Calendario].[AñoMes]",
"[Calendario].[AñoMes].&amp;[" &amp; TEXT(F$6,"yyyymm")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G70" s="8">
        <f>IFERROR(
GETPIVOTDATA(
"[Base].[Importe]",
TDinamica_R!$A$5,
"[Calendario].[AñoMes]",
"[Calendario].[AñoMes].&amp;[" &amp; TEXT(G$6,"yyyymm")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H70" s="8">
        <f>IFERROR(
GETPIVOTDATA(
"[Base].[Importe]",
TDinamica_R!$A$5,
"[Calendario].[AñoMes]",
"[Calendario].[AñoMes].&amp;[" &amp; TEXT(H$6,"yyyymm")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I70" s="8">
        <f>IFERROR(
GETPIVOTDATA(
"[Base].[Importe]",
TDinamica_R!$A$5,
"[Calendario].[AñoMes]",
"[Calendario].[AñoMes].&amp;[" &amp; TEXT(I$6,"yyyymm")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J70" s="8">
        <f>IFERROR(
GETPIVOTDATA(
"[Base].[Importe]",
TDinamica_R!$A$5,
"[Calendario].[AñoMes]",
"[Calendario].[AñoMes].&amp;[" &amp; TEXT(J$6,"yyyymm")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K70" s="8">
        <f>IFERROR(
GETPIVOTDATA(
"[Base].[Importe]",
TDinamica_R!$A$5,
"[Calendario].[AñoMes]",
"[Calendario].[AñoMes].&amp;[" &amp; TEXT(K$6,"yyyymm")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L70" s="8">
        <f>IFERROR(
GETPIVOTDATA(
"[Base].[Importe]",
TDinamica_R!$A$5,
"[Calendario].[AñoMes]",
"[Calendario].[AñoMes].&amp;[" &amp; TEXT(L$6,"yyyymm")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M70" s="8">
        <f>IFERROR(
GETPIVOTDATA(
"[Base].[Importe]",
TDinamica_R!$A$5,
"[Calendario].[AñoMes]",
"[Calendario].[AñoMes].&amp;[" &amp; TEXT(M$6,"yyyymm")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N70" s="8">
        <f>IFERROR(
GETPIVOTDATA(
"[Base].[Importe]",
TDinamica_R!$A$5,
"[Calendario].[AñoMes]",
"[Calendario].[AñoMes].&amp;[" &amp; TEXT(N$6,"yyyymm")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O70" s="8">
        <f>IFERROR(
GETPIVOTDATA(
"[Base].[Importe]",
TDinamica_R!$A$5,
"[Calendario].[AñoMes]",
"[Calendario].[AñoMes].&amp;[" &amp; TEXT(O$6,"yyyymm")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P70" s="8">
        <f>IFERROR(
GETPIVOTDATA(
"[Base].[Importe]",
TDinamica_R!$A$5,
"[Calendario].[AñoMes]",
"[Calendario].[AñoMes].&amp;[" &amp; TEXT(P$6,"yyyymm")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Q70" s="8">
        <f>IFERROR(
GETPIVOTDATA(
"[Base].[Importe]",
TDinamica_R!$A$5,
"[Calendario].[AñoMes]",
"[Calendario].[AñoMes].&amp;[" &amp; TEXT(Q$6,"yyyymm")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R70" s="8">
        <f>IFERROR(
GETPIVOTDATA(
"[Base].[Importe]",
TDinamica_R!$A$5,
"[Calendario].[AñoMes]",
"[Calendario].[AñoMes].&amp;[" &amp; TEXT(R$6,"yyyymm")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S70" s="8">
        <f>IFERROR(
GETPIVOTDATA(
"[Base].[Importe]",
TDinamica_R!$A$5,
"[Calendario].[AñoMes]",
"[Calendario].[AñoMes].&amp;[" &amp; TEXT(S$6,"yyyymm")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T70" s="8">
        <f>IFERROR(
GETPIVOTDATA(
"[Base].[Importe]",
TDinamica_R!$A$5,
"[Calendario].[AñoMes]",
"[Calendario].[AñoMes].&amp;[" &amp; TEXT(T$6,"yyyymm")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U70" s="8">
        <f>IFERROR(
GETPIVOTDATA(
"[Base].[Importe]",
TDinamica_R!$A$5,
"[Calendario].[AñoMes]",
"[Calendario].[AñoMes].&amp;[" &amp; TEXT(U$6,"yyyymm")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V70" s="8">
        <f>IFERROR(
GETPIVOTDATA(
"[Base].[Importe]",
TDinamica_R!$A$5,
"[Calendario].[AñoMes]",
"[Calendario].[AñoMes].&amp;[" &amp; TEXT(V$6,"yyyymm")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W70" s="8">
        <f>IFERROR(
GETPIVOTDATA(
"[Base].[Importe]",
TDinamica_R!$A$5,
"[Calendario].[AñoMes]",
"[Calendario].[AñoMes].&amp;[" &amp; TEXT(W$6,"yyyymm")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X70" s="8">
        <f>IFERROR(
GETPIVOTDATA(
"[Base].[Importe]",
TDinamica_R!$A$5,
"[Calendario].[AñoMes]",
"[Calendario].[AñoMes].&amp;[" &amp; TEXT(X$6,"yyyymm")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Y70" s="8">
        <f>IFERROR(
GETPIVOTDATA(
"[Base].[Importe]",
TDinamica_R!$A$5,
"[Calendario].[AñoMes]",
"[Calendario].[AñoMes].&amp;[" &amp; TEXT(Y$6,"yyyymm")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Z70" s="8">
        <f>IFERROR(
GETPIVOTDATA(
"[Base].[Importe]",
TDinamica_R!$A$5,
"[Calendario].[AñoMes]",
"[Calendario].[AñoMes].&amp;[" &amp; TEXT(Z$6,"yyyymm")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A70" s="8">
        <f>IFERROR(
GETPIVOTDATA(
"[Base].[Importe]",
TDinamica_R!$A$5,
"[Calendario].[AñoMes]",
"[Calendario].[AñoMes].&amp;[" &amp; TEXT(AA$6,"yyyymm")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B70" s="8">
        <f>IFERROR(
GETPIVOTDATA(
"[Base].[Importe]",
TDinamica_R!$A$5,
"[Calendario].[AñoMes]",
"[Calendario].[AñoMes].&amp;[" &amp; TEXT(AB$6,"yyyymm")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C70" s="8">
        <f>IFERROR(
GETPIVOTDATA(
"[Base].[Importe]",
TDinamica_R!$A$5,
"[Calendario].[AñoMes]",
"[Calendario].[AñoMes].&amp;[" &amp; TEXT(AC$6,"yyyymm")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D70" s="8">
        <f>IFERROR(
GETPIVOTDATA(
"[Base].[Importe]",
TDinamica_R!$A$5,
"[Calendario].[AñoMes]",
"[Calendario].[AñoMes].&amp;[" &amp; TEXT(AD$6,"yyyymm")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E70" s="8">
        <f>IFERROR(
GETPIVOTDATA(
"[Base].[Importe]",
TDinamica_R!$A$5,
"[Calendario].[AñoMes]",
"[Calendario].[AñoMes].&amp;[" &amp; TEXT(AE$6,"yyyymm")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F70" s="8">
        <f>IFERROR(
GETPIVOTDATA(
"[Base].[Importe]",
TDinamica_R!$A$5,
"[Calendario].[AñoMes]",
"[Calendario].[AñoMes].&amp;[" &amp; TEXT(AF$6,"yyyymm")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G70" s="8">
        <f>IFERROR(
GETPIVOTDATA(
"[Base].[Importe]",
TDinamica_R!$A$5,
"[Calendario].[AñoMes]",
"[Calendario].[AñoMes].&amp;[" &amp; TEXT(AG$6,"yyyymm")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H70" s="8">
        <f>IFERROR(
GETPIVOTDATA(
"[Base].[Importe]",
TDinamica_R!$A$5,
"[Calendario].[AñoMes]",
"[Calendario].[AñoMes].&amp;[" &amp; TEXT(AH$6,"yyyymm")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I70" s="8">
        <f>IFERROR(
GETPIVOTDATA(
"[Base].[Importe]",
TDinamica_R!$A$5,
"[Calendario].[AñoMes]",
"[Calendario].[AñoMes].&amp;[" &amp; TEXT(AI$6,"yyyymm")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J70" s="8">
        <f>IFERROR(
GETPIVOTDATA(
"[Base].[Importe]",
TDinamica_R!$A$5,
"[Calendario].[AñoMes]",
"[Calendario].[AñoMes].&amp;[" &amp; TEXT(AJ$6,"yyyymm")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K70" s="8">
        <f>IFERROR(
GETPIVOTDATA(
"[Base].[Importe]",
TDinamica_R!$A$5,
"[Calendario].[AñoMes]",
"[Calendario].[AñoMes].&amp;[" &amp; TEXT(AK$6,"yyyymm")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L70" s="8">
        <f>IFERROR(
GETPIVOTDATA(
"[Base].[Importe]",
TDinamica_R!$A$5,
"[Calendario].[AñoMes]",
"[Calendario].[AñoMes].&amp;[" &amp; TEXT(AL$6,"yyyymm")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M70" s="8">
        <f>IFERROR(
GETPIVOTDATA(
"[Base].[Importe]",
TDinamica_R!$A$5,
"[Calendario].[AñoMes]",
"[Calendario].[AñoMes].&amp;[" &amp; TEXT(AM$6,"yyyymm")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N70" s="8">
        <f>IFERROR(
GETPIVOTDATA(
"[Base].[Importe]",
TDinamica_R!$A$5,
"[Calendario].[AñoMes]",
"[Calendario].[AñoMes].&amp;[" &amp; TEXT(AN$6,"yyyymm")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O70" s="8">
        <f>IFERROR(
GETPIVOTDATA(
"[Base].[Importe]",
TDinamica_R!$A$5,
"[Calendario].[AñoMes]",
"[Calendario].[AñoMes].&amp;[" &amp; TEXT(AO$6,"yyyymm")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P70" s="8">
        <f>IFERROR(
GETPIVOTDATA(
"[Base].[Importe]",
TDinamica_R!$A$5,
"[Calendario].[AñoMes]",
"[Calendario].[AñoMes].&amp;[" &amp; TEXT(AP$6,"yyyymm")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Q70" s="8">
        <f>IFERROR(
GETPIVOTDATA(
"[Base].[Importe]",
TDinamica_R!$A$5,
"[Calendario].[AñoMes]",
"[Calendario].[AñoMes].&amp;[" &amp; TEXT(AQ$6,"yyyymm")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R70" s="8">
        <f>IFERROR(
GETPIVOTDATA(
"[Base].[Importe]",
TDinamica_R!$A$5,
"[Calendario].[AñoMes]",
"[Calendario].[AñoMes].&amp;[" &amp; TEXT(AR$6,"yyyymm")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S70" s="8">
        <f>IFERROR(
GETPIVOTDATA(
"[Base].[Importe]",
TDinamica_R!$A$5,
"[Calendario].[AñoMes]",
"[Calendario].[AñoMes].&amp;[" &amp; TEXT(AS$6,"yyyymm")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T70" s="8">
        <f>IFERROR(
GETPIVOTDATA(
"[Base].[Importe]",
TDinamica_R!$A$5,
"[Calendario].[AñoMes]",
"[Calendario].[AñoMes].&amp;[" &amp; TEXT(AT$6,"yyyymm")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U70" s="8">
        <f>IFERROR(
GETPIVOTDATA(
"[Base].[Importe]",
TDinamica_R!$A$5,
"[Calendario].[AñoMes]",
"[Calendario].[AñoMes].&amp;[" &amp; TEXT(AU$6,"yyyymm")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V70" s="8">
        <f>IFERROR(
GETPIVOTDATA(
"[Base].[Importe]",
TDinamica_R!$A$5,
"[Calendario].[AñoMes]",
"[Calendario].[AñoMes].&amp;[" &amp; TEXT(AV$6,"yyyymm")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W70" s="8">
        <f>IFERROR(
GETPIVOTDATA(
"[Base].[Importe]",
TDinamica_R!$A$5,
"[Calendario].[AñoMes]",
"[Calendario].[AñoMes].&amp;[" &amp; TEXT(AW$6,"yyyymm")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X70" s="8">
        <f>IFERROR(
GETPIVOTDATA(
"[Base].[Importe]",
TDinamica_R!$A$5,
"[Calendario].[AñoMes]",
"[Calendario].[AñoMes].&amp;[" &amp; TEXT(AX$6,"yyyymm")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Y70" s="8">
        <f>IFERROR(
GETPIVOTDATA(
"[Base].[Importe]",
TDinamica_R!$A$5,
"[Calendario].[AñoMes]",
"[Calendario].[AñoMes].&amp;[" &amp; TEXT(AY$6,"yyyymm")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Z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TEXT(AZ$6,"yyyymm") &amp; "]"
),
0
)</f>
        <v>0</v>
      </c>
      <c r="BA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TEXT(BA$6,"yyyymm") &amp; "]"
),
0
)</f>
        <v>0</v>
      </c>
      <c r="BB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TEXT(BB$6,"yyyymm") &amp; "]"
),
0
)</f>
        <v>0</v>
      </c>
      <c r="BC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TEXT(BC$6,"yyyymm") &amp; "]"
),
0
)</f>
        <v>0</v>
      </c>
      <c r="BD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TEXT(BD$6,"yyyymm") &amp; "]"
),
0
)</f>
        <v>0</v>
      </c>
      <c r="BE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TEXT(BE$6,"yyyymm") &amp; "]"
),
0
)</f>
        <v>0</v>
      </c>
      <c r="BF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TEXT(BF$6,"yyyymm") &amp; "]"
),
0
)</f>
        <v>0</v>
      </c>
      <c r="BG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TEXT(BG$6,"yyyymm") &amp; "]"
),
0
)</f>
        <v>0</v>
      </c>
      <c r="BH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TEXT(BH$6,"yyyymm") &amp; "]"
),
0
)</f>
        <v>0</v>
      </c>
      <c r="BI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TEXT(BI$6,"yyyymm") &amp; "]"
),
0
)</f>
        <v>0</v>
      </c>
      <c r="BJ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TEXT(BJ$6,"yyyymm") &amp; "]"
),
0
)</f>
        <v>0</v>
      </c>
      <c r="BK70" s="8">
        <f>IFERROR(
GETPIVOTDATA(
"[Base_PPE].[Importe]",
TDinamica_P!$A$4,
"[Base_PPE].[Metrica]",
"[Base_PPE].[Metrica].&amp;[" &amp; TRIM($A70) &amp; "]",
"[Base_PPE].[SITUACION]",
"[Base_PPE].[SITUACION].&amp;[" &amp; TRIM($C70) &amp; "]",
"[Base_PPE].[SEGMENTO_DESCRIP]",
"[Base_PPE].[SEGMENTO_DESCRIP].&amp;[" &amp; TRIM($C$6) &amp; "]",
"[Base_PPE].[Periodo]",
"[Base_PPE].[Periodo].&amp;[" &amp; TEXT(BK$6,"yyyymm") &amp; "]"
),
0
)</f>
        <v>0</v>
      </c>
      <c r="BO70" s="24">
        <f t="shared" si="64"/>
        <v>0</v>
      </c>
      <c r="BP70" s="24">
        <f t="shared" si="64"/>
        <v>0</v>
      </c>
      <c r="BQ70" s="24">
        <f t="shared" si="64"/>
        <v>0</v>
      </c>
      <c r="BR70" s="24">
        <f t="shared" si="64"/>
        <v>0</v>
      </c>
      <c r="BS70" s="24">
        <f t="shared" si="64"/>
        <v>0</v>
      </c>
      <c r="BT70" s="24">
        <f t="shared" si="64"/>
        <v>0</v>
      </c>
    </row>
    <row r="71" spans="1:72" hidden="1" outlineLevel="1" x14ac:dyDescent="0.25">
      <c r="A71" s="11" t="s">
        <v>71</v>
      </c>
      <c r="C71" s="2"/>
      <c r="D71" s="8">
        <f>IFERROR(
GETPIVOTDATA(
"[Base].[Importe]",
TDinamica_R!$A$5,
"[Calendario].[AñoMes]",
"[Calendario].[AñoMes].&amp;[" &amp; TEXT(D$6,"yyyymm")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E71" s="8">
        <f>IFERROR(
GETPIVOTDATA(
"[Base].[Importe]",
TDinamica_R!$A$5,
"[Calendario].[AñoMes]",
"[Calendario].[AñoMes].&amp;[" &amp; TEXT(E$6,"yyyymm")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F71" s="8">
        <f>IFERROR(
GETPIVOTDATA(
"[Base].[Importe]",
TDinamica_R!$A$5,
"[Calendario].[AñoMes]",
"[Calendario].[AñoMes].&amp;[" &amp; TEXT(F$6,"yyyymm")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G71" s="8">
        <f>IFERROR(
GETPIVOTDATA(
"[Base].[Importe]",
TDinamica_R!$A$5,
"[Calendario].[AñoMes]",
"[Calendario].[AñoMes].&amp;[" &amp; TEXT(G$6,"yyyymm")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H71" s="8">
        <f>IFERROR(
GETPIVOTDATA(
"[Base].[Importe]",
TDinamica_R!$A$5,
"[Calendario].[AñoMes]",
"[Calendario].[AñoMes].&amp;[" &amp; TEXT(H$6,"yyyymm")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I71" s="8">
        <f>IFERROR(
GETPIVOTDATA(
"[Base].[Importe]",
TDinamica_R!$A$5,
"[Calendario].[AñoMes]",
"[Calendario].[AñoMes].&amp;[" &amp; TEXT(I$6,"yyyymm")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J71" s="8">
        <f>IFERROR(
GETPIVOTDATA(
"[Base].[Importe]",
TDinamica_R!$A$5,
"[Calendario].[AñoMes]",
"[Calendario].[AñoMes].&amp;[" &amp; TEXT(J$6,"yyyymm")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K71" s="8">
        <f>IFERROR(
GETPIVOTDATA(
"[Base].[Importe]",
TDinamica_R!$A$5,
"[Calendario].[AñoMes]",
"[Calendario].[AñoMes].&amp;[" &amp; TEXT(K$6,"yyyymm")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L71" s="8">
        <f>IFERROR(
GETPIVOTDATA(
"[Base].[Importe]",
TDinamica_R!$A$5,
"[Calendario].[AñoMes]",
"[Calendario].[AñoMes].&amp;[" &amp; TEXT(L$6,"yyyymm")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M71" s="8">
        <f>IFERROR(
GETPIVOTDATA(
"[Base].[Importe]",
TDinamica_R!$A$5,
"[Calendario].[AñoMes]",
"[Calendario].[AñoMes].&amp;[" &amp; TEXT(M$6,"yyyymm")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N71" s="8">
        <f>IFERROR(
GETPIVOTDATA(
"[Base].[Importe]",
TDinamica_R!$A$5,
"[Calendario].[AñoMes]",
"[Calendario].[AñoMes].&amp;[" &amp; TEXT(N$6,"yyyymm")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O71" s="8">
        <f>IFERROR(
GETPIVOTDATA(
"[Base].[Importe]",
TDinamica_R!$A$5,
"[Calendario].[AñoMes]",
"[Calendario].[AñoMes].&amp;[" &amp; TEXT(O$6,"yyyymm")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P71" s="8">
        <f>IFERROR(
GETPIVOTDATA(
"[Base].[Importe]",
TDinamica_R!$A$5,
"[Calendario].[AñoMes]",
"[Calendario].[AñoMes].&amp;[" &amp; TEXT(P$6,"yyyymm")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Q71" s="8">
        <f>IFERROR(
GETPIVOTDATA(
"[Base].[Importe]",
TDinamica_R!$A$5,
"[Calendario].[AñoMes]",
"[Calendario].[AñoMes].&amp;[" &amp; TEXT(Q$6,"yyyymm")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R71" s="8">
        <f>IFERROR(
GETPIVOTDATA(
"[Base].[Importe]",
TDinamica_R!$A$5,
"[Calendario].[AñoMes]",
"[Calendario].[AñoMes].&amp;[" &amp; TEXT(R$6,"yyyymm")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S71" s="8">
        <f>IFERROR(
GETPIVOTDATA(
"[Base].[Importe]",
TDinamica_R!$A$5,
"[Calendario].[AñoMes]",
"[Calendario].[AñoMes].&amp;[" &amp; TEXT(S$6,"yyyymm")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T71" s="8">
        <f>IFERROR(
GETPIVOTDATA(
"[Base].[Importe]",
TDinamica_R!$A$5,
"[Calendario].[AñoMes]",
"[Calendario].[AñoMes].&amp;[" &amp; TEXT(T$6,"yyyymm")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U71" s="8">
        <f>IFERROR(
GETPIVOTDATA(
"[Base].[Importe]",
TDinamica_R!$A$5,
"[Calendario].[AñoMes]",
"[Calendario].[AñoMes].&amp;[" &amp; TEXT(U$6,"yyyymm")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V71" s="8">
        <f>IFERROR(
GETPIVOTDATA(
"[Base].[Importe]",
TDinamica_R!$A$5,
"[Calendario].[AñoMes]",
"[Calendario].[AñoMes].&amp;[" &amp; TEXT(V$6,"yyyymm")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W71" s="8">
        <f>IFERROR(
GETPIVOTDATA(
"[Base].[Importe]",
TDinamica_R!$A$5,
"[Calendario].[AñoMes]",
"[Calendario].[AñoMes].&amp;[" &amp; TEXT(W$6,"yyyymm")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X71" s="8">
        <f>IFERROR(
GETPIVOTDATA(
"[Base].[Importe]",
TDinamica_R!$A$5,
"[Calendario].[AñoMes]",
"[Calendario].[AñoMes].&amp;[" &amp; TEXT(X$6,"yyyymm")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Y71" s="8">
        <f>IFERROR(
GETPIVOTDATA(
"[Base].[Importe]",
TDinamica_R!$A$5,
"[Calendario].[AñoMes]",
"[Calendario].[AñoMes].&amp;[" &amp; TEXT(Y$6,"yyyymm")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Z71" s="8">
        <f>IFERROR(
GETPIVOTDATA(
"[Base].[Importe]",
TDinamica_R!$A$5,
"[Calendario].[AñoMes]",
"[Calendario].[AñoMes].&amp;[" &amp; TEXT(Z$6,"yyyymm")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A71" s="8">
        <f>IFERROR(
GETPIVOTDATA(
"[Base].[Importe]",
TDinamica_R!$A$5,
"[Calendario].[AñoMes]",
"[Calendario].[AñoMes].&amp;[" &amp; TEXT(AA$6,"yyyymm")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B71" s="8">
        <f>IFERROR(
GETPIVOTDATA(
"[Base].[Importe]",
TDinamica_R!$A$5,
"[Calendario].[AñoMes]",
"[Calendario].[AñoMes].&amp;[" &amp; TEXT(AB$6,"yyyymm")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C71" s="8">
        <f>IFERROR(
GETPIVOTDATA(
"[Base].[Importe]",
TDinamica_R!$A$5,
"[Calendario].[AñoMes]",
"[Calendario].[AñoMes].&amp;[" &amp; TEXT(AC$6,"yyyymm")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D71" s="8">
        <f>IFERROR(
GETPIVOTDATA(
"[Base].[Importe]",
TDinamica_R!$A$5,
"[Calendario].[AñoMes]",
"[Calendario].[AñoMes].&amp;[" &amp; TEXT(AD$6,"yyyymm")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E71" s="8">
        <f>IFERROR(
GETPIVOTDATA(
"[Base].[Importe]",
TDinamica_R!$A$5,
"[Calendario].[AñoMes]",
"[Calendario].[AñoMes].&amp;[" &amp; TEXT(AE$6,"yyyymm")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F71" s="8">
        <f>IFERROR(
GETPIVOTDATA(
"[Base].[Importe]",
TDinamica_R!$A$5,
"[Calendario].[AñoMes]",
"[Calendario].[AñoMes].&amp;[" &amp; TEXT(AF$6,"yyyymm")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G71" s="8">
        <f>IFERROR(
GETPIVOTDATA(
"[Base].[Importe]",
TDinamica_R!$A$5,
"[Calendario].[AñoMes]",
"[Calendario].[AñoMes].&amp;[" &amp; TEXT(AG$6,"yyyymm")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H71" s="8">
        <f>IFERROR(
GETPIVOTDATA(
"[Base].[Importe]",
TDinamica_R!$A$5,
"[Calendario].[AñoMes]",
"[Calendario].[AñoMes].&amp;[" &amp; TEXT(AH$6,"yyyymm")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I71" s="8">
        <f>IFERROR(
GETPIVOTDATA(
"[Base].[Importe]",
TDinamica_R!$A$5,
"[Calendario].[AñoMes]",
"[Calendario].[AñoMes].&amp;[" &amp; TEXT(AI$6,"yyyymm")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J71" s="8">
        <f>IFERROR(
GETPIVOTDATA(
"[Base].[Importe]",
TDinamica_R!$A$5,
"[Calendario].[AñoMes]",
"[Calendario].[AñoMes].&amp;[" &amp; TEXT(AJ$6,"yyyymm")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K71" s="8">
        <f>IFERROR(
GETPIVOTDATA(
"[Base].[Importe]",
TDinamica_R!$A$5,
"[Calendario].[AñoMes]",
"[Calendario].[AñoMes].&amp;[" &amp; TEXT(AK$6,"yyyymm")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L71" s="8">
        <f>IFERROR(
GETPIVOTDATA(
"[Base].[Importe]",
TDinamica_R!$A$5,
"[Calendario].[AñoMes]",
"[Calendario].[AñoMes].&amp;[" &amp; TEXT(AL$6,"yyyymm")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M71" s="8">
        <f>IFERROR(
GETPIVOTDATA(
"[Base].[Importe]",
TDinamica_R!$A$5,
"[Calendario].[AñoMes]",
"[Calendario].[AñoMes].&amp;[" &amp; TEXT(AM$6,"yyyymm")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N71" s="8">
        <f>IFERROR(
GETPIVOTDATA(
"[Base].[Importe]",
TDinamica_R!$A$5,
"[Calendario].[AñoMes]",
"[Calendario].[AñoMes].&amp;[" &amp; TEXT(AN$6,"yyyymm")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O71" s="8">
        <f>IFERROR(
GETPIVOTDATA(
"[Base].[Importe]",
TDinamica_R!$A$5,
"[Calendario].[AñoMes]",
"[Calendario].[AñoMes].&amp;[" &amp; TEXT(AO$6,"yyyymm")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P71" s="8">
        <f>IFERROR(
GETPIVOTDATA(
"[Base].[Importe]",
TDinamica_R!$A$5,
"[Calendario].[AñoMes]",
"[Calendario].[AñoMes].&amp;[" &amp; TEXT(AP$6,"yyyymm")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Q71" s="8">
        <f>IFERROR(
GETPIVOTDATA(
"[Base].[Importe]",
TDinamica_R!$A$5,
"[Calendario].[AñoMes]",
"[Calendario].[AñoMes].&amp;[" &amp; TEXT(AQ$6,"yyyymm")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R71" s="8">
        <f>IFERROR(
GETPIVOTDATA(
"[Base].[Importe]",
TDinamica_R!$A$5,
"[Calendario].[AñoMes]",
"[Calendario].[AñoMes].&amp;[" &amp; TEXT(AR$6,"yyyymm")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S71" s="8">
        <f>IFERROR(
GETPIVOTDATA(
"[Base].[Importe]",
TDinamica_R!$A$5,
"[Calendario].[AñoMes]",
"[Calendario].[AñoMes].&amp;[" &amp; TEXT(AS$6,"yyyymm")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T71" s="8">
        <f>IFERROR(
GETPIVOTDATA(
"[Base].[Importe]",
TDinamica_R!$A$5,
"[Calendario].[AñoMes]",
"[Calendario].[AñoMes].&amp;[" &amp; TEXT(AT$6,"yyyymm")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U71" s="8">
        <f>IFERROR(
GETPIVOTDATA(
"[Base].[Importe]",
TDinamica_R!$A$5,
"[Calendario].[AñoMes]",
"[Calendario].[AñoMes].&amp;[" &amp; TEXT(AU$6,"yyyymm")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V71" s="8">
        <f>IFERROR(
GETPIVOTDATA(
"[Base].[Importe]",
TDinamica_R!$A$5,
"[Calendario].[AñoMes]",
"[Calendario].[AñoMes].&amp;[" &amp; TEXT(AV$6,"yyyymm")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W71" s="8">
        <f>IFERROR(
GETPIVOTDATA(
"[Base].[Importe]",
TDinamica_R!$A$5,
"[Calendario].[AñoMes]",
"[Calendario].[AñoMes].&amp;[" &amp; TEXT(AW$6,"yyyymm")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X71" s="8">
        <f>IFERROR(
GETPIVOTDATA(
"[Base].[Importe]",
TDinamica_R!$A$5,
"[Calendario].[AñoMes]",
"[Calendario].[AñoMes].&amp;[" &amp; TEXT(AX$6,"yyyymm")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Y71" s="8">
        <f>IFERROR(
GETPIVOTDATA(
"[Base].[Importe]",
TDinamica_R!$A$5,
"[Calendario].[AñoMes]",
"[Calendario].[AñoMes].&amp;[" &amp; TEXT(AY$6,"yyyymm")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Z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TEXT(AZ$6,"yyyymm") &amp; "]"
),
0
)</f>
        <v>0</v>
      </c>
      <c r="BA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TEXT(BA$6,"yyyymm") &amp; "]"
),
0
)</f>
        <v>0</v>
      </c>
      <c r="BB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TEXT(BB$6,"yyyymm") &amp; "]"
),
0
)</f>
        <v>0</v>
      </c>
      <c r="BC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TEXT(BC$6,"yyyymm") &amp; "]"
),
0
)</f>
        <v>0</v>
      </c>
      <c r="BD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TEXT(BD$6,"yyyymm") &amp; "]"
),
0
)</f>
        <v>0</v>
      </c>
      <c r="BE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TEXT(BE$6,"yyyymm") &amp; "]"
),
0
)</f>
        <v>0</v>
      </c>
      <c r="BF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TEXT(BF$6,"yyyymm") &amp; "]"
),
0
)</f>
        <v>0</v>
      </c>
      <c r="BG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TEXT(BG$6,"yyyymm") &amp; "]"
),
0
)</f>
        <v>0</v>
      </c>
      <c r="BH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TEXT(BH$6,"yyyymm") &amp; "]"
),
0
)</f>
        <v>0</v>
      </c>
      <c r="BI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TEXT(BI$6,"yyyymm") &amp; "]"
),
0
)</f>
        <v>0</v>
      </c>
      <c r="BJ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TEXT(BJ$6,"yyyymm") &amp; "]"
),
0
)</f>
        <v>0</v>
      </c>
      <c r="BK71" s="8">
        <f>IFERROR(
GETPIVOTDATA(
"[Base_PPE].[Importe]",
TDinamica_P!$A$4,
"[Base_PPE].[Metrica]",
"[Base_PPE].[Metrica].&amp;[" &amp; TRIM($A71) &amp; "]",
"[Base_PPE].[SITUACION]",
"[Base_PPE].[SITUACION].&amp;[" &amp; TRIM($C71) &amp; "]",
"[Base_PPE].[SEGMENTO_DESCRIP]",
"[Base_PPE].[SEGMENTO_DESCRIP].&amp;[" &amp; TRIM($C$6) &amp; "]",
"[Base_PPE].[Periodo]",
"[Base_PPE].[Periodo].&amp;[" &amp; TEXT(BK$6,"yyyymm") &amp; "]"
),
0
)</f>
        <v>0</v>
      </c>
      <c r="BO71" s="24">
        <f t="shared" si="64"/>
        <v>0</v>
      </c>
      <c r="BP71" s="24">
        <f t="shared" si="64"/>
        <v>0</v>
      </c>
      <c r="BQ71" s="24">
        <f t="shared" si="64"/>
        <v>0</v>
      </c>
      <c r="BR71" s="24">
        <f t="shared" si="64"/>
        <v>0</v>
      </c>
      <c r="BS71" s="24">
        <f t="shared" si="64"/>
        <v>0</v>
      </c>
      <c r="BT71" s="24">
        <f t="shared" si="64"/>
        <v>0</v>
      </c>
    </row>
    <row r="72" spans="1:72" hidden="1" outlineLevel="1" x14ac:dyDescent="0.25">
      <c r="A72" s="11" t="s">
        <v>71</v>
      </c>
      <c r="C72" s="2"/>
      <c r="D72" s="8">
        <f>IFERROR(
GETPIVOTDATA(
"[Base].[Importe]",
TDinamica_R!$A$5,
"[Calendario].[AñoMes]",
"[Calendario].[AñoMes].&amp;[" &amp; TEXT(D$6,"yyyymm")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E72" s="8">
        <f>IFERROR(
GETPIVOTDATA(
"[Base].[Importe]",
TDinamica_R!$A$5,
"[Calendario].[AñoMes]",
"[Calendario].[AñoMes].&amp;[" &amp; TEXT(E$6,"yyyymm")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F72" s="8">
        <f>IFERROR(
GETPIVOTDATA(
"[Base].[Importe]",
TDinamica_R!$A$5,
"[Calendario].[AñoMes]",
"[Calendario].[AñoMes].&amp;[" &amp; TEXT(F$6,"yyyymm")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G72" s="8">
        <f>IFERROR(
GETPIVOTDATA(
"[Base].[Importe]",
TDinamica_R!$A$5,
"[Calendario].[AñoMes]",
"[Calendario].[AñoMes].&amp;[" &amp; TEXT(G$6,"yyyymm")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H72" s="8">
        <f>IFERROR(
GETPIVOTDATA(
"[Base].[Importe]",
TDinamica_R!$A$5,
"[Calendario].[AñoMes]",
"[Calendario].[AñoMes].&amp;[" &amp; TEXT(H$6,"yyyymm")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I72" s="8">
        <f>IFERROR(
GETPIVOTDATA(
"[Base].[Importe]",
TDinamica_R!$A$5,
"[Calendario].[AñoMes]",
"[Calendario].[AñoMes].&amp;[" &amp; TEXT(I$6,"yyyymm")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J72" s="8">
        <f>IFERROR(
GETPIVOTDATA(
"[Base].[Importe]",
TDinamica_R!$A$5,
"[Calendario].[AñoMes]",
"[Calendario].[AñoMes].&amp;[" &amp; TEXT(J$6,"yyyymm")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K72" s="8">
        <f>IFERROR(
GETPIVOTDATA(
"[Base].[Importe]",
TDinamica_R!$A$5,
"[Calendario].[AñoMes]",
"[Calendario].[AñoMes].&amp;[" &amp; TEXT(K$6,"yyyymm")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L72" s="8">
        <f>IFERROR(
GETPIVOTDATA(
"[Base].[Importe]",
TDinamica_R!$A$5,
"[Calendario].[AñoMes]",
"[Calendario].[AñoMes].&amp;[" &amp; TEXT(L$6,"yyyymm")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M72" s="8">
        <f>IFERROR(
GETPIVOTDATA(
"[Base].[Importe]",
TDinamica_R!$A$5,
"[Calendario].[AñoMes]",
"[Calendario].[AñoMes].&amp;[" &amp; TEXT(M$6,"yyyymm")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N72" s="8">
        <f>IFERROR(
GETPIVOTDATA(
"[Base].[Importe]",
TDinamica_R!$A$5,
"[Calendario].[AñoMes]",
"[Calendario].[AñoMes].&amp;[" &amp; TEXT(N$6,"yyyymm")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O72" s="8">
        <f>IFERROR(
GETPIVOTDATA(
"[Base].[Importe]",
TDinamica_R!$A$5,
"[Calendario].[AñoMes]",
"[Calendario].[AñoMes].&amp;[" &amp; TEXT(O$6,"yyyymm")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P72" s="8">
        <f>IFERROR(
GETPIVOTDATA(
"[Base].[Importe]",
TDinamica_R!$A$5,
"[Calendario].[AñoMes]",
"[Calendario].[AñoMes].&amp;[" &amp; TEXT(P$6,"yyyymm")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Q72" s="8">
        <f>IFERROR(
GETPIVOTDATA(
"[Base].[Importe]",
TDinamica_R!$A$5,
"[Calendario].[AñoMes]",
"[Calendario].[AñoMes].&amp;[" &amp; TEXT(Q$6,"yyyymm")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R72" s="8">
        <f>IFERROR(
GETPIVOTDATA(
"[Base].[Importe]",
TDinamica_R!$A$5,
"[Calendario].[AñoMes]",
"[Calendario].[AñoMes].&amp;[" &amp; TEXT(R$6,"yyyymm")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S72" s="8">
        <f>IFERROR(
GETPIVOTDATA(
"[Base].[Importe]",
TDinamica_R!$A$5,
"[Calendario].[AñoMes]",
"[Calendario].[AñoMes].&amp;[" &amp; TEXT(S$6,"yyyymm")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T72" s="8">
        <f>IFERROR(
GETPIVOTDATA(
"[Base].[Importe]",
TDinamica_R!$A$5,
"[Calendario].[AñoMes]",
"[Calendario].[AñoMes].&amp;[" &amp; TEXT(T$6,"yyyymm")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U72" s="8">
        <f>IFERROR(
GETPIVOTDATA(
"[Base].[Importe]",
TDinamica_R!$A$5,
"[Calendario].[AñoMes]",
"[Calendario].[AñoMes].&amp;[" &amp; TEXT(U$6,"yyyymm")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V72" s="8">
        <f>IFERROR(
GETPIVOTDATA(
"[Base].[Importe]",
TDinamica_R!$A$5,
"[Calendario].[AñoMes]",
"[Calendario].[AñoMes].&amp;[" &amp; TEXT(V$6,"yyyymm")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W72" s="8">
        <f>IFERROR(
GETPIVOTDATA(
"[Base].[Importe]",
TDinamica_R!$A$5,
"[Calendario].[AñoMes]",
"[Calendario].[AñoMes].&amp;[" &amp; TEXT(W$6,"yyyymm")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X72" s="8">
        <f>IFERROR(
GETPIVOTDATA(
"[Base].[Importe]",
TDinamica_R!$A$5,
"[Calendario].[AñoMes]",
"[Calendario].[AñoMes].&amp;[" &amp; TEXT(X$6,"yyyymm")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Y72" s="8">
        <f>IFERROR(
GETPIVOTDATA(
"[Base].[Importe]",
TDinamica_R!$A$5,
"[Calendario].[AñoMes]",
"[Calendario].[AñoMes].&amp;[" &amp; TEXT(Y$6,"yyyymm")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Z72" s="8">
        <f>IFERROR(
GETPIVOTDATA(
"[Base].[Importe]",
TDinamica_R!$A$5,
"[Calendario].[AñoMes]",
"[Calendario].[AñoMes].&amp;[" &amp; TEXT(Z$6,"yyyymm")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A72" s="8">
        <f>IFERROR(
GETPIVOTDATA(
"[Base].[Importe]",
TDinamica_R!$A$5,
"[Calendario].[AñoMes]",
"[Calendario].[AñoMes].&amp;[" &amp; TEXT(AA$6,"yyyymm")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B72" s="8">
        <f>IFERROR(
GETPIVOTDATA(
"[Base].[Importe]",
TDinamica_R!$A$5,
"[Calendario].[AñoMes]",
"[Calendario].[AñoMes].&amp;[" &amp; TEXT(AB$6,"yyyymm")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C72" s="8">
        <f>IFERROR(
GETPIVOTDATA(
"[Base].[Importe]",
TDinamica_R!$A$5,
"[Calendario].[AñoMes]",
"[Calendario].[AñoMes].&amp;[" &amp; TEXT(AC$6,"yyyymm")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D72" s="8">
        <f>IFERROR(
GETPIVOTDATA(
"[Base].[Importe]",
TDinamica_R!$A$5,
"[Calendario].[AñoMes]",
"[Calendario].[AñoMes].&amp;[" &amp; TEXT(AD$6,"yyyymm")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E72" s="8">
        <f>IFERROR(
GETPIVOTDATA(
"[Base].[Importe]",
TDinamica_R!$A$5,
"[Calendario].[AñoMes]",
"[Calendario].[AñoMes].&amp;[" &amp; TEXT(AE$6,"yyyymm")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F72" s="8">
        <f>IFERROR(
GETPIVOTDATA(
"[Base].[Importe]",
TDinamica_R!$A$5,
"[Calendario].[AñoMes]",
"[Calendario].[AñoMes].&amp;[" &amp; TEXT(AF$6,"yyyymm")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G72" s="8">
        <f>IFERROR(
GETPIVOTDATA(
"[Base].[Importe]",
TDinamica_R!$A$5,
"[Calendario].[AñoMes]",
"[Calendario].[AñoMes].&amp;[" &amp; TEXT(AG$6,"yyyymm")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H72" s="8">
        <f>IFERROR(
GETPIVOTDATA(
"[Base].[Importe]",
TDinamica_R!$A$5,
"[Calendario].[AñoMes]",
"[Calendario].[AñoMes].&amp;[" &amp; TEXT(AH$6,"yyyymm")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I72" s="8">
        <f>IFERROR(
GETPIVOTDATA(
"[Base].[Importe]",
TDinamica_R!$A$5,
"[Calendario].[AñoMes]",
"[Calendario].[AñoMes].&amp;[" &amp; TEXT(AI$6,"yyyymm")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J72" s="8">
        <f>IFERROR(
GETPIVOTDATA(
"[Base].[Importe]",
TDinamica_R!$A$5,
"[Calendario].[AñoMes]",
"[Calendario].[AñoMes].&amp;[" &amp; TEXT(AJ$6,"yyyymm")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K72" s="8">
        <f>IFERROR(
GETPIVOTDATA(
"[Base].[Importe]",
TDinamica_R!$A$5,
"[Calendario].[AñoMes]",
"[Calendario].[AñoMes].&amp;[" &amp; TEXT(AK$6,"yyyymm")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L72" s="8">
        <f>IFERROR(
GETPIVOTDATA(
"[Base].[Importe]",
TDinamica_R!$A$5,
"[Calendario].[AñoMes]",
"[Calendario].[AñoMes].&amp;[" &amp; TEXT(AL$6,"yyyymm")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M72" s="8">
        <f>IFERROR(
GETPIVOTDATA(
"[Base].[Importe]",
TDinamica_R!$A$5,
"[Calendario].[AñoMes]",
"[Calendario].[AñoMes].&amp;[" &amp; TEXT(AM$6,"yyyymm")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N72" s="8">
        <f>IFERROR(
GETPIVOTDATA(
"[Base].[Importe]",
TDinamica_R!$A$5,
"[Calendario].[AñoMes]",
"[Calendario].[AñoMes].&amp;[" &amp; TEXT(AN$6,"yyyymm")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O72" s="8">
        <f>IFERROR(
GETPIVOTDATA(
"[Base].[Importe]",
TDinamica_R!$A$5,
"[Calendario].[AñoMes]",
"[Calendario].[AñoMes].&amp;[" &amp; TEXT(AO$6,"yyyymm")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P72" s="8">
        <f>IFERROR(
GETPIVOTDATA(
"[Base].[Importe]",
TDinamica_R!$A$5,
"[Calendario].[AñoMes]",
"[Calendario].[AñoMes].&amp;[" &amp; TEXT(AP$6,"yyyymm")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Q72" s="8">
        <f>IFERROR(
GETPIVOTDATA(
"[Base].[Importe]",
TDinamica_R!$A$5,
"[Calendario].[AñoMes]",
"[Calendario].[AñoMes].&amp;[" &amp; TEXT(AQ$6,"yyyymm")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R72" s="8">
        <f>IFERROR(
GETPIVOTDATA(
"[Base].[Importe]",
TDinamica_R!$A$5,
"[Calendario].[AñoMes]",
"[Calendario].[AñoMes].&amp;[" &amp; TEXT(AR$6,"yyyymm")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S72" s="8">
        <f>IFERROR(
GETPIVOTDATA(
"[Base].[Importe]",
TDinamica_R!$A$5,
"[Calendario].[AñoMes]",
"[Calendario].[AñoMes].&amp;[" &amp; TEXT(AS$6,"yyyymm")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T72" s="8">
        <f>IFERROR(
GETPIVOTDATA(
"[Base].[Importe]",
TDinamica_R!$A$5,
"[Calendario].[AñoMes]",
"[Calendario].[AñoMes].&amp;[" &amp; TEXT(AT$6,"yyyymm")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U72" s="8">
        <f>IFERROR(
GETPIVOTDATA(
"[Base].[Importe]",
TDinamica_R!$A$5,
"[Calendario].[AñoMes]",
"[Calendario].[AñoMes].&amp;[" &amp; TEXT(AU$6,"yyyymm")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V72" s="8">
        <f>IFERROR(
GETPIVOTDATA(
"[Base].[Importe]",
TDinamica_R!$A$5,
"[Calendario].[AñoMes]",
"[Calendario].[AñoMes].&amp;[" &amp; TEXT(AV$6,"yyyymm")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W72" s="8">
        <f>IFERROR(
GETPIVOTDATA(
"[Base].[Importe]",
TDinamica_R!$A$5,
"[Calendario].[AñoMes]",
"[Calendario].[AñoMes].&amp;[" &amp; TEXT(AW$6,"yyyymm")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X72" s="8">
        <f>IFERROR(
GETPIVOTDATA(
"[Base].[Importe]",
TDinamica_R!$A$5,
"[Calendario].[AñoMes]",
"[Calendario].[AñoMes].&amp;[" &amp; TEXT(AX$6,"yyyymm")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Y72" s="8">
        <f>IFERROR(
GETPIVOTDATA(
"[Base].[Importe]",
TDinamica_R!$A$5,
"[Calendario].[AñoMes]",
"[Calendario].[AñoMes].&amp;[" &amp; TEXT(AY$6,"yyyymm")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Z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TEXT(AZ$6,"yyyymm") &amp; "]"
),
0
)</f>
        <v>0</v>
      </c>
      <c r="BA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TEXT(BA$6,"yyyymm") &amp; "]"
),
0
)</f>
        <v>0</v>
      </c>
      <c r="BB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TEXT(BB$6,"yyyymm") &amp; "]"
),
0
)</f>
        <v>0</v>
      </c>
      <c r="BC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TEXT(BC$6,"yyyymm") &amp; "]"
),
0
)</f>
        <v>0</v>
      </c>
      <c r="BD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TEXT(BD$6,"yyyymm") &amp; "]"
),
0
)</f>
        <v>0</v>
      </c>
      <c r="BE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TEXT(BE$6,"yyyymm") &amp; "]"
),
0
)</f>
        <v>0</v>
      </c>
      <c r="BF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TEXT(BF$6,"yyyymm") &amp; "]"
),
0
)</f>
        <v>0</v>
      </c>
      <c r="BG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TEXT(BG$6,"yyyymm") &amp; "]"
),
0
)</f>
        <v>0</v>
      </c>
      <c r="BH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TEXT(BH$6,"yyyymm") &amp; "]"
),
0
)</f>
        <v>0</v>
      </c>
      <c r="BI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TEXT(BI$6,"yyyymm") &amp; "]"
),
0
)</f>
        <v>0</v>
      </c>
      <c r="BJ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TEXT(BJ$6,"yyyymm") &amp; "]"
),
0
)</f>
        <v>0</v>
      </c>
      <c r="BK72" s="8">
        <f>IFERROR(
GETPIVOTDATA(
"[Base_PPE].[Importe]",
TDinamica_P!$A$4,
"[Base_PPE].[Metrica]",
"[Base_PPE].[Metrica].&amp;[" &amp; TRIM($A72) &amp; "]",
"[Base_PPE].[SITUACION]",
"[Base_PPE].[SITUACION].&amp;[" &amp; TRIM($C72) &amp; "]",
"[Base_PPE].[SEGMENTO_DESCRIP]",
"[Base_PPE].[SEGMENTO_DESCRIP].&amp;[" &amp; TRIM($C$6) &amp; "]",
"[Base_PPE].[Periodo]",
"[Base_PPE].[Periodo].&amp;[" &amp; TEXT(BK$6,"yyyymm") &amp; "]"
),
0
)</f>
        <v>0</v>
      </c>
      <c r="BO72" s="24">
        <f t="shared" si="64"/>
        <v>0</v>
      </c>
      <c r="BP72" s="24">
        <f t="shared" si="64"/>
        <v>0</v>
      </c>
      <c r="BQ72" s="24">
        <f t="shared" si="64"/>
        <v>0</v>
      </c>
      <c r="BR72" s="24">
        <f t="shared" si="64"/>
        <v>0</v>
      </c>
      <c r="BS72" s="24">
        <f t="shared" si="64"/>
        <v>0</v>
      </c>
      <c r="BT72" s="24">
        <f t="shared" si="64"/>
        <v>0</v>
      </c>
    </row>
    <row r="73" spans="1:72" hidden="1" outlineLevel="1" x14ac:dyDescent="0.25">
      <c r="A73" s="11" t="s">
        <v>71</v>
      </c>
      <c r="C73" s="2"/>
      <c r="D73" s="8">
        <f>IFERROR(
GETPIVOTDATA(
"[Base].[Importe]",
TDinamica_R!$A$5,
"[Calendario].[AñoMes]",
"[Calendario].[AñoMes].&amp;[" &amp; TEXT(D$6,"yyyymm")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E73" s="8">
        <f>IFERROR(
GETPIVOTDATA(
"[Base].[Importe]",
TDinamica_R!$A$5,
"[Calendario].[AñoMes]",
"[Calendario].[AñoMes].&amp;[" &amp; TEXT(E$6,"yyyymm")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F73" s="8">
        <f>IFERROR(
GETPIVOTDATA(
"[Base].[Importe]",
TDinamica_R!$A$5,
"[Calendario].[AñoMes]",
"[Calendario].[AñoMes].&amp;[" &amp; TEXT(F$6,"yyyymm")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G73" s="8">
        <f>IFERROR(
GETPIVOTDATA(
"[Base].[Importe]",
TDinamica_R!$A$5,
"[Calendario].[AñoMes]",
"[Calendario].[AñoMes].&amp;[" &amp; TEXT(G$6,"yyyymm")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H73" s="8">
        <f>IFERROR(
GETPIVOTDATA(
"[Base].[Importe]",
TDinamica_R!$A$5,
"[Calendario].[AñoMes]",
"[Calendario].[AñoMes].&amp;[" &amp; TEXT(H$6,"yyyymm")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I73" s="8">
        <f>IFERROR(
GETPIVOTDATA(
"[Base].[Importe]",
TDinamica_R!$A$5,
"[Calendario].[AñoMes]",
"[Calendario].[AñoMes].&amp;[" &amp; TEXT(I$6,"yyyymm")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J73" s="8">
        <f>IFERROR(
GETPIVOTDATA(
"[Base].[Importe]",
TDinamica_R!$A$5,
"[Calendario].[AñoMes]",
"[Calendario].[AñoMes].&amp;[" &amp; TEXT(J$6,"yyyymm")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K73" s="8">
        <f>IFERROR(
GETPIVOTDATA(
"[Base].[Importe]",
TDinamica_R!$A$5,
"[Calendario].[AñoMes]",
"[Calendario].[AñoMes].&amp;[" &amp; TEXT(K$6,"yyyymm")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L73" s="8">
        <f>IFERROR(
GETPIVOTDATA(
"[Base].[Importe]",
TDinamica_R!$A$5,
"[Calendario].[AñoMes]",
"[Calendario].[AñoMes].&amp;[" &amp; TEXT(L$6,"yyyymm")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M73" s="8">
        <f>IFERROR(
GETPIVOTDATA(
"[Base].[Importe]",
TDinamica_R!$A$5,
"[Calendario].[AñoMes]",
"[Calendario].[AñoMes].&amp;[" &amp; TEXT(M$6,"yyyymm")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N73" s="8">
        <f>IFERROR(
GETPIVOTDATA(
"[Base].[Importe]",
TDinamica_R!$A$5,
"[Calendario].[AñoMes]",
"[Calendario].[AñoMes].&amp;[" &amp; TEXT(N$6,"yyyymm")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O73" s="8">
        <f>IFERROR(
GETPIVOTDATA(
"[Base].[Importe]",
TDinamica_R!$A$5,
"[Calendario].[AñoMes]",
"[Calendario].[AñoMes].&amp;[" &amp; TEXT(O$6,"yyyymm")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P73" s="8">
        <f>IFERROR(
GETPIVOTDATA(
"[Base].[Importe]",
TDinamica_R!$A$5,
"[Calendario].[AñoMes]",
"[Calendario].[AñoMes].&amp;[" &amp; TEXT(P$6,"yyyymm")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Q73" s="8">
        <f>IFERROR(
GETPIVOTDATA(
"[Base].[Importe]",
TDinamica_R!$A$5,
"[Calendario].[AñoMes]",
"[Calendario].[AñoMes].&amp;[" &amp; TEXT(Q$6,"yyyymm")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R73" s="8">
        <f>IFERROR(
GETPIVOTDATA(
"[Base].[Importe]",
TDinamica_R!$A$5,
"[Calendario].[AñoMes]",
"[Calendario].[AñoMes].&amp;[" &amp; TEXT(R$6,"yyyymm")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S73" s="8">
        <f>IFERROR(
GETPIVOTDATA(
"[Base].[Importe]",
TDinamica_R!$A$5,
"[Calendario].[AñoMes]",
"[Calendario].[AñoMes].&amp;[" &amp; TEXT(S$6,"yyyymm")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T73" s="8">
        <f>IFERROR(
GETPIVOTDATA(
"[Base].[Importe]",
TDinamica_R!$A$5,
"[Calendario].[AñoMes]",
"[Calendario].[AñoMes].&amp;[" &amp; TEXT(T$6,"yyyymm")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U73" s="8">
        <f>IFERROR(
GETPIVOTDATA(
"[Base].[Importe]",
TDinamica_R!$A$5,
"[Calendario].[AñoMes]",
"[Calendario].[AñoMes].&amp;[" &amp; TEXT(U$6,"yyyymm")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V73" s="8">
        <f>IFERROR(
GETPIVOTDATA(
"[Base].[Importe]",
TDinamica_R!$A$5,
"[Calendario].[AñoMes]",
"[Calendario].[AñoMes].&amp;[" &amp; TEXT(V$6,"yyyymm")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W73" s="8">
        <f>IFERROR(
GETPIVOTDATA(
"[Base].[Importe]",
TDinamica_R!$A$5,
"[Calendario].[AñoMes]",
"[Calendario].[AñoMes].&amp;[" &amp; TEXT(W$6,"yyyymm")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X73" s="8">
        <f>IFERROR(
GETPIVOTDATA(
"[Base].[Importe]",
TDinamica_R!$A$5,
"[Calendario].[AñoMes]",
"[Calendario].[AñoMes].&amp;[" &amp; TEXT(X$6,"yyyymm")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Y73" s="8">
        <f>IFERROR(
GETPIVOTDATA(
"[Base].[Importe]",
TDinamica_R!$A$5,
"[Calendario].[AñoMes]",
"[Calendario].[AñoMes].&amp;[" &amp; TEXT(Y$6,"yyyymm")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Z73" s="8">
        <f>IFERROR(
GETPIVOTDATA(
"[Base].[Importe]",
TDinamica_R!$A$5,
"[Calendario].[AñoMes]",
"[Calendario].[AñoMes].&amp;[" &amp; TEXT(Z$6,"yyyymm")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A73" s="8">
        <f>IFERROR(
GETPIVOTDATA(
"[Base].[Importe]",
TDinamica_R!$A$5,
"[Calendario].[AñoMes]",
"[Calendario].[AñoMes].&amp;[" &amp; TEXT(AA$6,"yyyymm")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B73" s="8">
        <f>IFERROR(
GETPIVOTDATA(
"[Base].[Importe]",
TDinamica_R!$A$5,
"[Calendario].[AñoMes]",
"[Calendario].[AñoMes].&amp;[" &amp; TEXT(AB$6,"yyyymm")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C73" s="8">
        <f>IFERROR(
GETPIVOTDATA(
"[Base].[Importe]",
TDinamica_R!$A$5,
"[Calendario].[AñoMes]",
"[Calendario].[AñoMes].&amp;[" &amp; TEXT(AC$6,"yyyymm")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D73" s="8">
        <f>IFERROR(
GETPIVOTDATA(
"[Base].[Importe]",
TDinamica_R!$A$5,
"[Calendario].[AñoMes]",
"[Calendario].[AñoMes].&amp;[" &amp; TEXT(AD$6,"yyyymm")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E73" s="8">
        <f>IFERROR(
GETPIVOTDATA(
"[Base].[Importe]",
TDinamica_R!$A$5,
"[Calendario].[AñoMes]",
"[Calendario].[AñoMes].&amp;[" &amp; TEXT(AE$6,"yyyymm")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F73" s="8">
        <f>IFERROR(
GETPIVOTDATA(
"[Base].[Importe]",
TDinamica_R!$A$5,
"[Calendario].[AñoMes]",
"[Calendario].[AñoMes].&amp;[" &amp; TEXT(AF$6,"yyyymm")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G73" s="8">
        <f>IFERROR(
GETPIVOTDATA(
"[Base].[Importe]",
TDinamica_R!$A$5,
"[Calendario].[AñoMes]",
"[Calendario].[AñoMes].&amp;[" &amp; TEXT(AG$6,"yyyymm")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H73" s="8">
        <f>IFERROR(
GETPIVOTDATA(
"[Base].[Importe]",
TDinamica_R!$A$5,
"[Calendario].[AñoMes]",
"[Calendario].[AñoMes].&amp;[" &amp; TEXT(AH$6,"yyyymm")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I73" s="8">
        <f>IFERROR(
GETPIVOTDATA(
"[Base].[Importe]",
TDinamica_R!$A$5,
"[Calendario].[AñoMes]",
"[Calendario].[AñoMes].&amp;[" &amp; TEXT(AI$6,"yyyymm")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J73" s="8">
        <f>IFERROR(
GETPIVOTDATA(
"[Base].[Importe]",
TDinamica_R!$A$5,
"[Calendario].[AñoMes]",
"[Calendario].[AñoMes].&amp;[" &amp; TEXT(AJ$6,"yyyymm")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K73" s="8">
        <f>IFERROR(
GETPIVOTDATA(
"[Base].[Importe]",
TDinamica_R!$A$5,
"[Calendario].[AñoMes]",
"[Calendario].[AñoMes].&amp;[" &amp; TEXT(AK$6,"yyyymm")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L73" s="8">
        <f>IFERROR(
GETPIVOTDATA(
"[Base].[Importe]",
TDinamica_R!$A$5,
"[Calendario].[AñoMes]",
"[Calendario].[AñoMes].&amp;[" &amp; TEXT(AL$6,"yyyymm")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M73" s="8">
        <f>IFERROR(
GETPIVOTDATA(
"[Base].[Importe]",
TDinamica_R!$A$5,
"[Calendario].[AñoMes]",
"[Calendario].[AñoMes].&amp;[" &amp; TEXT(AM$6,"yyyymm")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N73" s="8">
        <f>IFERROR(
GETPIVOTDATA(
"[Base].[Importe]",
TDinamica_R!$A$5,
"[Calendario].[AñoMes]",
"[Calendario].[AñoMes].&amp;[" &amp; TEXT(AN$6,"yyyymm")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O73" s="8">
        <f>IFERROR(
GETPIVOTDATA(
"[Base].[Importe]",
TDinamica_R!$A$5,
"[Calendario].[AñoMes]",
"[Calendario].[AñoMes].&amp;[" &amp; TEXT(AO$6,"yyyymm")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P73" s="8">
        <f>IFERROR(
GETPIVOTDATA(
"[Base].[Importe]",
TDinamica_R!$A$5,
"[Calendario].[AñoMes]",
"[Calendario].[AñoMes].&amp;[" &amp; TEXT(AP$6,"yyyymm")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Q73" s="8">
        <f>IFERROR(
GETPIVOTDATA(
"[Base].[Importe]",
TDinamica_R!$A$5,
"[Calendario].[AñoMes]",
"[Calendario].[AñoMes].&amp;[" &amp; TEXT(AQ$6,"yyyymm")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R73" s="8">
        <f>IFERROR(
GETPIVOTDATA(
"[Base].[Importe]",
TDinamica_R!$A$5,
"[Calendario].[AñoMes]",
"[Calendario].[AñoMes].&amp;[" &amp; TEXT(AR$6,"yyyymm")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S73" s="8">
        <f>IFERROR(
GETPIVOTDATA(
"[Base].[Importe]",
TDinamica_R!$A$5,
"[Calendario].[AñoMes]",
"[Calendario].[AñoMes].&amp;[" &amp; TEXT(AS$6,"yyyymm")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T73" s="8">
        <f>IFERROR(
GETPIVOTDATA(
"[Base].[Importe]",
TDinamica_R!$A$5,
"[Calendario].[AñoMes]",
"[Calendario].[AñoMes].&amp;[" &amp; TEXT(AT$6,"yyyymm")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U73" s="8">
        <f>IFERROR(
GETPIVOTDATA(
"[Base].[Importe]",
TDinamica_R!$A$5,
"[Calendario].[AñoMes]",
"[Calendario].[AñoMes].&amp;[" &amp; TEXT(AU$6,"yyyymm")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V73" s="8">
        <f>IFERROR(
GETPIVOTDATA(
"[Base].[Importe]",
TDinamica_R!$A$5,
"[Calendario].[AñoMes]",
"[Calendario].[AñoMes].&amp;[" &amp; TEXT(AV$6,"yyyymm")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W73" s="8">
        <f>IFERROR(
GETPIVOTDATA(
"[Base].[Importe]",
TDinamica_R!$A$5,
"[Calendario].[AñoMes]",
"[Calendario].[AñoMes].&amp;[" &amp; TEXT(AW$6,"yyyymm")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X73" s="8">
        <f>IFERROR(
GETPIVOTDATA(
"[Base].[Importe]",
TDinamica_R!$A$5,
"[Calendario].[AñoMes]",
"[Calendario].[AñoMes].&amp;[" &amp; TEXT(AX$6,"yyyymm")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Y73" s="8">
        <f>IFERROR(
GETPIVOTDATA(
"[Base].[Importe]",
TDinamica_R!$A$5,
"[Calendario].[AñoMes]",
"[Calendario].[AñoMes].&amp;[" &amp; TEXT(AY$6,"yyyymm")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Z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TEXT(AZ$6,"yyyymm") &amp; "]"
),
0
)</f>
        <v>0</v>
      </c>
      <c r="BA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TEXT(BA$6,"yyyymm") &amp; "]"
),
0
)</f>
        <v>0</v>
      </c>
      <c r="BB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TEXT(BB$6,"yyyymm") &amp; "]"
),
0
)</f>
        <v>0</v>
      </c>
      <c r="BC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TEXT(BC$6,"yyyymm") &amp; "]"
),
0
)</f>
        <v>0</v>
      </c>
      <c r="BD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TEXT(BD$6,"yyyymm") &amp; "]"
),
0
)</f>
        <v>0</v>
      </c>
      <c r="BE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TEXT(BE$6,"yyyymm") &amp; "]"
),
0
)</f>
        <v>0</v>
      </c>
      <c r="BF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TEXT(BF$6,"yyyymm") &amp; "]"
),
0
)</f>
        <v>0</v>
      </c>
      <c r="BG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TEXT(BG$6,"yyyymm") &amp; "]"
),
0
)</f>
        <v>0</v>
      </c>
      <c r="BH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TEXT(BH$6,"yyyymm") &amp; "]"
),
0
)</f>
        <v>0</v>
      </c>
      <c r="BI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TEXT(BI$6,"yyyymm") &amp; "]"
),
0
)</f>
        <v>0</v>
      </c>
      <c r="BJ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TEXT(BJ$6,"yyyymm") &amp; "]"
),
0
)</f>
        <v>0</v>
      </c>
      <c r="BK73" s="8">
        <f>IFERROR(
GETPIVOTDATA(
"[Base_PPE].[Importe]",
TDinamica_P!$A$4,
"[Base_PPE].[Metrica]",
"[Base_PPE].[Metrica].&amp;[" &amp; TRIM($A73) &amp; "]",
"[Base_PPE].[SITUACION]",
"[Base_PPE].[SITUACION].&amp;[" &amp; TRIM($C73) &amp; "]",
"[Base_PPE].[SEGMENTO_DESCRIP]",
"[Base_PPE].[SEGMENTO_DESCRIP].&amp;[" &amp; TRIM($C$6) &amp; "]",
"[Base_PPE].[Periodo]",
"[Base_PPE].[Periodo].&amp;[" &amp; TEXT(BK$6,"yyyymm") &amp; "]"
),
0
)</f>
        <v>0</v>
      </c>
      <c r="BO73" s="24">
        <f t="shared" ref="BO73:BT82" si="65">SUMIFS($D73:$BM73,$D$6:$BM$6,"&gt;="&amp;BO$2,$D$6:$BM$6,"&lt;="&amp;BO$6,$D$5:$BM$5,BO$5)</f>
        <v>0</v>
      </c>
      <c r="BP73" s="24">
        <f t="shared" si="65"/>
        <v>0</v>
      </c>
      <c r="BQ73" s="24">
        <f t="shared" si="65"/>
        <v>0</v>
      </c>
      <c r="BR73" s="24">
        <f t="shared" si="65"/>
        <v>0</v>
      </c>
      <c r="BS73" s="24">
        <f t="shared" si="65"/>
        <v>0</v>
      </c>
      <c r="BT73" s="24">
        <f t="shared" si="65"/>
        <v>0</v>
      </c>
    </row>
    <row r="74" spans="1:72" hidden="1" outlineLevel="1" x14ac:dyDescent="0.25">
      <c r="A74" s="11" t="s">
        <v>71</v>
      </c>
      <c r="C74" s="2"/>
      <c r="D74" s="8">
        <f>IFERROR(
GETPIVOTDATA(
"[Base].[Importe]",
TDinamica_R!$A$5,
"[Calendario].[AñoMes]",
"[Calendario].[AñoMes].&amp;[" &amp; TEXT(D$6,"yyyymm")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E74" s="8">
        <f>IFERROR(
GETPIVOTDATA(
"[Base].[Importe]",
TDinamica_R!$A$5,
"[Calendario].[AñoMes]",
"[Calendario].[AñoMes].&amp;[" &amp; TEXT(E$6,"yyyymm")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F74" s="8">
        <f>IFERROR(
GETPIVOTDATA(
"[Base].[Importe]",
TDinamica_R!$A$5,
"[Calendario].[AñoMes]",
"[Calendario].[AñoMes].&amp;[" &amp; TEXT(F$6,"yyyymm")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G74" s="8">
        <f>IFERROR(
GETPIVOTDATA(
"[Base].[Importe]",
TDinamica_R!$A$5,
"[Calendario].[AñoMes]",
"[Calendario].[AñoMes].&amp;[" &amp; TEXT(G$6,"yyyymm")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H74" s="8">
        <f>IFERROR(
GETPIVOTDATA(
"[Base].[Importe]",
TDinamica_R!$A$5,
"[Calendario].[AñoMes]",
"[Calendario].[AñoMes].&amp;[" &amp; TEXT(H$6,"yyyymm")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I74" s="8">
        <f>IFERROR(
GETPIVOTDATA(
"[Base].[Importe]",
TDinamica_R!$A$5,
"[Calendario].[AñoMes]",
"[Calendario].[AñoMes].&amp;[" &amp; TEXT(I$6,"yyyymm")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J74" s="8">
        <f>IFERROR(
GETPIVOTDATA(
"[Base].[Importe]",
TDinamica_R!$A$5,
"[Calendario].[AñoMes]",
"[Calendario].[AñoMes].&amp;[" &amp; TEXT(J$6,"yyyymm")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K74" s="8">
        <f>IFERROR(
GETPIVOTDATA(
"[Base].[Importe]",
TDinamica_R!$A$5,
"[Calendario].[AñoMes]",
"[Calendario].[AñoMes].&amp;[" &amp; TEXT(K$6,"yyyymm")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L74" s="8">
        <f>IFERROR(
GETPIVOTDATA(
"[Base].[Importe]",
TDinamica_R!$A$5,
"[Calendario].[AñoMes]",
"[Calendario].[AñoMes].&amp;[" &amp; TEXT(L$6,"yyyymm")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M74" s="8">
        <f>IFERROR(
GETPIVOTDATA(
"[Base].[Importe]",
TDinamica_R!$A$5,
"[Calendario].[AñoMes]",
"[Calendario].[AñoMes].&amp;[" &amp; TEXT(M$6,"yyyymm")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N74" s="8">
        <f>IFERROR(
GETPIVOTDATA(
"[Base].[Importe]",
TDinamica_R!$A$5,
"[Calendario].[AñoMes]",
"[Calendario].[AñoMes].&amp;[" &amp; TEXT(N$6,"yyyymm")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O74" s="8">
        <f>IFERROR(
GETPIVOTDATA(
"[Base].[Importe]",
TDinamica_R!$A$5,
"[Calendario].[AñoMes]",
"[Calendario].[AñoMes].&amp;[" &amp; TEXT(O$6,"yyyymm")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P74" s="8">
        <f>IFERROR(
GETPIVOTDATA(
"[Base].[Importe]",
TDinamica_R!$A$5,
"[Calendario].[AñoMes]",
"[Calendario].[AñoMes].&amp;[" &amp; TEXT(P$6,"yyyymm")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Q74" s="8">
        <f>IFERROR(
GETPIVOTDATA(
"[Base].[Importe]",
TDinamica_R!$A$5,
"[Calendario].[AñoMes]",
"[Calendario].[AñoMes].&amp;[" &amp; TEXT(Q$6,"yyyymm")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R74" s="8">
        <f>IFERROR(
GETPIVOTDATA(
"[Base].[Importe]",
TDinamica_R!$A$5,
"[Calendario].[AñoMes]",
"[Calendario].[AñoMes].&amp;[" &amp; TEXT(R$6,"yyyymm")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S74" s="8">
        <f>IFERROR(
GETPIVOTDATA(
"[Base].[Importe]",
TDinamica_R!$A$5,
"[Calendario].[AñoMes]",
"[Calendario].[AñoMes].&amp;[" &amp; TEXT(S$6,"yyyymm")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T74" s="8">
        <f>IFERROR(
GETPIVOTDATA(
"[Base].[Importe]",
TDinamica_R!$A$5,
"[Calendario].[AñoMes]",
"[Calendario].[AñoMes].&amp;[" &amp; TEXT(T$6,"yyyymm")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U74" s="8">
        <f>IFERROR(
GETPIVOTDATA(
"[Base].[Importe]",
TDinamica_R!$A$5,
"[Calendario].[AñoMes]",
"[Calendario].[AñoMes].&amp;[" &amp; TEXT(U$6,"yyyymm")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V74" s="8">
        <f>IFERROR(
GETPIVOTDATA(
"[Base].[Importe]",
TDinamica_R!$A$5,
"[Calendario].[AñoMes]",
"[Calendario].[AñoMes].&amp;[" &amp; TEXT(V$6,"yyyymm")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W74" s="8">
        <f>IFERROR(
GETPIVOTDATA(
"[Base].[Importe]",
TDinamica_R!$A$5,
"[Calendario].[AñoMes]",
"[Calendario].[AñoMes].&amp;[" &amp; TEXT(W$6,"yyyymm")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X74" s="8">
        <f>IFERROR(
GETPIVOTDATA(
"[Base].[Importe]",
TDinamica_R!$A$5,
"[Calendario].[AñoMes]",
"[Calendario].[AñoMes].&amp;[" &amp; TEXT(X$6,"yyyymm")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Y74" s="8">
        <f>IFERROR(
GETPIVOTDATA(
"[Base].[Importe]",
TDinamica_R!$A$5,
"[Calendario].[AñoMes]",
"[Calendario].[AñoMes].&amp;[" &amp; TEXT(Y$6,"yyyymm")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Z74" s="8">
        <f>IFERROR(
GETPIVOTDATA(
"[Base].[Importe]",
TDinamica_R!$A$5,
"[Calendario].[AñoMes]",
"[Calendario].[AñoMes].&amp;[" &amp; TEXT(Z$6,"yyyymm")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A74" s="8">
        <f>IFERROR(
GETPIVOTDATA(
"[Base].[Importe]",
TDinamica_R!$A$5,
"[Calendario].[AñoMes]",
"[Calendario].[AñoMes].&amp;[" &amp; TEXT(AA$6,"yyyymm")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B74" s="8">
        <f>IFERROR(
GETPIVOTDATA(
"[Base].[Importe]",
TDinamica_R!$A$5,
"[Calendario].[AñoMes]",
"[Calendario].[AñoMes].&amp;[" &amp; TEXT(AB$6,"yyyymm")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C74" s="8">
        <f>IFERROR(
GETPIVOTDATA(
"[Base].[Importe]",
TDinamica_R!$A$5,
"[Calendario].[AñoMes]",
"[Calendario].[AñoMes].&amp;[" &amp; TEXT(AC$6,"yyyymm")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D74" s="8">
        <f>IFERROR(
GETPIVOTDATA(
"[Base].[Importe]",
TDinamica_R!$A$5,
"[Calendario].[AñoMes]",
"[Calendario].[AñoMes].&amp;[" &amp; TEXT(AD$6,"yyyymm")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E74" s="8">
        <f>IFERROR(
GETPIVOTDATA(
"[Base].[Importe]",
TDinamica_R!$A$5,
"[Calendario].[AñoMes]",
"[Calendario].[AñoMes].&amp;[" &amp; TEXT(AE$6,"yyyymm")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F74" s="8">
        <f>IFERROR(
GETPIVOTDATA(
"[Base].[Importe]",
TDinamica_R!$A$5,
"[Calendario].[AñoMes]",
"[Calendario].[AñoMes].&amp;[" &amp; TEXT(AF$6,"yyyymm")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G74" s="8">
        <f>IFERROR(
GETPIVOTDATA(
"[Base].[Importe]",
TDinamica_R!$A$5,
"[Calendario].[AñoMes]",
"[Calendario].[AñoMes].&amp;[" &amp; TEXT(AG$6,"yyyymm")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H74" s="8">
        <f>IFERROR(
GETPIVOTDATA(
"[Base].[Importe]",
TDinamica_R!$A$5,
"[Calendario].[AñoMes]",
"[Calendario].[AñoMes].&amp;[" &amp; TEXT(AH$6,"yyyymm")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I74" s="8">
        <f>IFERROR(
GETPIVOTDATA(
"[Base].[Importe]",
TDinamica_R!$A$5,
"[Calendario].[AñoMes]",
"[Calendario].[AñoMes].&amp;[" &amp; TEXT(AI$6,"yyyymm")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J74" s="8">
        <f>IFERROR(
GETPIVOTDATA(
"[Base].[Importe]",
TDinamica_R!$A$5,
"[Calendario].[AñoMes]",
"[Calendario].[AñoMes].&amp;[" &amp; TEXT(AJ$6,"yyyymm")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K74" s="8">
        <f>IFERROR(
GETPIVOTDATA(
"[Base].[Importe]",
TDinamica_R!$A$5,
"[Calendario].[AñoMes]",
"[Calendario].[AñoMes].&amp;[" &amp; TEXT(AK$6,"yyyymm")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L74" s="8">
        <f>IFERROR(
GETPIVOTDATA(
"[Base].[Importe]",
TDinamica_R!$A$5,
"[Calendario].[AñoMes]",
"[Calendario].[AñoMes].&amp;[" &amp; TEXT(AL$6,"yyyymm")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M74" s="8">
        <f>IFERROR(
GETPIVOTDATA(
"[Base].[Importe]",
TDinamica_R!$A$5,
"[Calendario].[AñoMes]",
"[Calendario].[AñoMes].&amp;[" &amp; TEXT(AM$6,"yyyymm")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N74" s="8">
        <f>IFERROR(
GETPIVOTDATA(
"[Base].[Importe]",
TDinamica_R!$A$5,
"[Calendario].[AñoMes]",
"[Calendario].[AñoMes].&amp;[" &amp; TEXT(AN$6,"yyyymm")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O74" s="8">
        <f>IFERROR(
GETPIVOTDATA(
"[Base].[Importe]",
TDinamica_R!$A$5,
"[Calendario].[AñoMes]",
"[Calendario].[AñoMes].&amp;[" &amp; TEXT(AO$6,"yyyymm")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P74" s="8">
        <f>IFERROR(
GETPIVOTDATA(
"[Base].[Importe]",
TDinamica_R!$A$5,
"[Calendario].[AñoMes]",
"[Calendario].[AñoMes].&amp;[" &amp; TEXT(AP$6,"yyyymm")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Q74" s="8">
        <f>IFERROR(
GETPIVOTDATA(
"[Base].[Importe]",
TDinamica_R!$A$5,
"[Calendario].[AñoMes]",
"[Calendario].[AñoMes].&amp;[" &amp; TEXT(AQ$6,"yyyymm")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R74" s="8">
        <f>IFERROR(
GETPIVOTDATA(
"[Base].[Importe]",
TDinamica_R!$A$5,
"[Calendario].[AñoMes]",
"[Calendario].[AñoMes].&amp;[" &amp; TEXT(AR$6,"yyyymm")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S74" s="8">
        <f>IFERROR(
GETPIVOTDATA(
"[Base].[Importe]",
TDinamica_R!$A$5,
"[Calendario].[AñoMes]",
"[Calendario].[AñoMes].&amp;[" &amp; TEXT(AS$6,"yyyymm")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T74" s="8">
        <f>IFERROR(
GETPIVOTDATA(
"[Base].[Importe]",
TDinamica_R!$A$5,
"[Calendario].[AñoMes]",
"[Calendario].[AñoMes].&amp;[" &amp; TEXT(AT$6,"yyyymm")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U74" s="8">
        <f>IFERROR(
GETPIVOTDATA(
"[Base].[Importe]",
TDinamica_R!$A$5,
"[Calendario].[AñoMes]",
"[Calendario].[AñoMes].&amp;[" &amp; TEXT(AU$6,"yyyymm")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V74" s="8">
        <f>IFERROR(
GETPIVOTDATA(
"[Base].[Importe]",
TDinamica_R!$A$5,
"[Calendario].[AñoMes]",
"[Calendario].[AñoMes].&amp;[" &amp; TEXT(AV$6,"yyyymm")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W74" s="8">
        <f>IFERROR(
GETPIVOTDATA(
"[Base].[Importe]",
TDinamica_R!$A$5,
"[Calendario].[AñoMes]",
"[Calendario].[AñoMes].&amp;[" &amp; TEXT(AW$6,"yyyymm")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X74" s="8">
        <f>IFERROR(
GETPIVOTDATA(
"[Base].[Importe]",
TDinamica_R!$A$5,
"[Calendario].[AñoMes]",
"[Calendario].[AñoMes].&amp;[" &amp; TEXT(AX$6,"yyyymm")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Y74" s="8">
        <f>IFERROR(
GETPIVOTDATA(
"[Base].[Importe]",
TDinamica_R!$A$5,
"[Calendario].[AñoMes]",
"[Calendario].[AñoMes].&amp;[" &amp; TEXT(AY$6,"yyyymm")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Z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TEXT(AZ$6,"yyyymm") &amp; "]"
),
0
)</f>
        <v>0</v>
      </c>
      <c r="BA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TEXT(BA$6,"yyyymm") &amp; "]"
),
0
)</f>
        <v>0</v>
      </c>
      <c r="BB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TEXT(BB$6,"yyyymm") &amp; "]"
),
0
)</f>
        <v>0</v>
      </c>
      <c r="BC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TEXT(BC$6,"yyyymm") &amp; "]"
),
0
)</f>
        <v>0</v>
      </c>
      <c r="BD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TEXT(BD$6,"yyyymm") &amp; "]"
),
0
)</f>
        <v>0</v>
      </c>
      <c r="BE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TEXT(BE$6,"yyyymm") &amp; "]"
),
0
)</f>
        <v>0</v>
      </c>
      <c r="BF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TEXT(BF$6,"yyyymm") &amp; "]"
),
0
)</f>
        <v>0</v>
      </c>
      <c r="BG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TEXT(BG$6,"yyyymm") &amp; "]"
),
0
)</f>
        <v>0</v>
      </c>
      <c r="BH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TEXT(BH$6,"yyyymm") &amp; "]"
),
0
)</f>
        <v>0</v>
      </c>
      <c r="BI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TEXT(BI$6,"yyyymm") &amp; "]"
),
0
)</f>
        <v>0</v>
      </c>
      <c r="BJ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TEXT(BJ$6,"yyyymm") &amp; "]"
),
0
)</f>
        <v>0</v>
      </c>
      <c r="BK74" s="8">
        <f>IFERROR(
GETPIVOTDATA(
"[Base_PPE].[Importe]",
TDinamica_P!$A$4,
"[Base_PPE].[Metrica]",
"[Base_PPE].[Metrica].&amp;[" &amp; TRIM($A74) &amp; "]",
"[Base_PPE].[SITUACION]",
"[Base_PPE].[SITUACION].&amp;[" &amp; TRIM($C74) &amp; "]",
"[Base_PPE].[SEGMENTO_DESCRIP]",
"[Base_PPE].[SEGMENTO_DESCRIP].&amp;[" &amp; TRIM($C$6) &amp; "]",
"[Base_PPE].[Periodo]",
"[Base_PPE].[Periodo].&amp;[" &amp; TEXT(BK$6,"yyyymm") &amp; "]"
),
0
)</f>
        <v>0</v>
      </c>
      <c r="BO74" s="24">
        <f t="shared" si="65"/>
        <v>0</v>
      </c>
      <c r="BP74" s="24">
        <f t="shared" si="65"/>
        <v>0</v>
      </c>
      <c r="BQ74" s="24">
        <f t="shared" si="65"/>
        <v>0</v>
      </c>
      <c r="BR74" s="24">
        <f t="shared" si="65"/>
        <v>0</v>
      </c>
      <c r="BS74" s="24">
        <f t="shared" si="65"/>
        <v>0</v>
      </c>
      <c r="BT74" s="24">
        <f t="shared" si="65"/>
        <v>0</v>
      </c>
    </row>
    <row r="75" spans="1:72" hidden="1" outlineLevel="1" x14ac:dyDescent="0.25">
      <c r="A75" s="11" t="s">
        <v>71</v>
      </c>
      <c r="C75" s="2"/>
      <c r="D75" s="8">
        <f>IFERROR(
GETPIVOTDATA(
"[Base].[Importe]",
TDinamica_R!$A$5,
"[Calendario].[AñoMes]",
"[Calendario].[AñoMes].&amp;[" &amp; TEXT(D$6,"yyyymm")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E75" s="8">
        <f>IFERROR(
GETPIVOTDATA(
"[Base].[Importe]",
TDinamica_R!$A$5,
"[Calendario].[AñoMes]",
"[Calendario].[AñoMes].&amp;[" &amp; TEXT(E$6,"yyyymm")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F75" s="8">
        <f>IFERROR(
GETPIVOTDATA(
"[Base].[Importe]",
TDinamica_R!$A$5,
"[Calendario].[AñoMes]",
"[Calendario].[AñoMes].&amp;[" &amp; TEXT(F$6,"yyyymm")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G75" s="8">
        <f>IFERROR(
GETPIVOTDATA(
"[Base].[Importe]",
TDinamica_R!$A$5,
"[Calendario].[AñoMes]",
"[Calendario].[AñoMes].&amp;[" &amp; TEXT(G$6,"yyyymm")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H75" s="8">
        <f>IFERROR(
GETPIVOTDATA(
"[Base].[Importe]",
TDinamica_R!$A$5,
"[Calendario].[AñoMes]",
"[Calendario].[AñoMes].&amp;[" &amp; TEXT(H$6,"yyyymm")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I75" s="8">
        <f>IFERROR(
GETPIVOTDATA(
"[Base].[Importe]",
TDinamica_R!$A$5,
"[Calendario].[AñoMes]",
"[Calendario].[AñoMes].&amp;[" &amp; TEXT(I$6,"yyyymm")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J75" s="8">
        <f>IFERROR(
GETPIVOTDATA(
"[Base].[Importe]",
TDinamica_R!$A$5,
"[Calendario].[AñoMes]",
"[Calendario].[AñoMes].&amp;[" &amp; TEXT(J$6,"yyyymm")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K75" s="8">
        <f>IFERROR(
GETPIVOTDATA(
"[Base].[Importe]",
TDinamica_R!$A$5,
"[Calendario].[AñoMes]",
"[Calendario].[AñoMes].&amp;[" &amp; TEXT(K$6,"yyyymm")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L75" s="8">
        <f>IFERROR(
GETPIVOTDATA(
"[Base].[Importe]",
TDinamica_R!$A$5,
"[Calendario].[AñoMes]",
"[Calendario].[AñoMes].&amp;[" &amp; TEXT(L$6,"yyyymm")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M75" s="8">
        <f>IFERROR(
GETPIVOTDATA(
"[Base].[Importe]",
TDinamica_R!$A$5,
"[Calendario].[AñoMes]",
"[Calendario].[AñoMes].&amp;[" &amp; TEXT(M$6,"yyyymm")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N75" s="8">
        <f>IFERROR(
GETPIVOTDATA(
"[Base].[Importe]",
TDinamica_R!$A$5,
"[Calendario].[AñoMes]",
"[Calendario].[AñoMes].&amp;[" &amp; TEXT(N$6,"yyyymm")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O75" s="8">
        <f>IFERROR(
GETPIVOTDATA(
"[Base].[Importe]",
TDinamica_R!$A$5,
"[Calendario].[AñoMes]",
"[Calendario].[AñoMes].&amp;[" &amp; TEXT(O$6,"yyyymm")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P75" s="8">
        <f>IFERROR(
GETPIVOTDATA(
"[Base].[Importe]",
TDinamica_R!$A$5,
"[Calendario].[AñoMes]",
"[Calendario].[AñoMes].&amp;[" &amp; TEXT(P$6,"yyyymm")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Q75" s="8">
        <f>IFERROR(
GETPIVOTDATA(
"[Base].[Importe]",
TDinamica_R!$A$5,
"[Calendario].[AñoMes]",
"[Calendario].[AñoMes].&amp;[" &amp; TEXT(Q$6,"yyyymm")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R75" s="8">
        <f>IFERROR(
GETPIVOTDATA(
"[Base].[Importe]",
TDinamica_R!$A$5,
"[Calendario].[AñoMes]",
"[Calendario].[AñoMes].&amp;[" &amp; TEXT(R$6,"yyyymm")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S75" s="8">
        <f>IFERROR(
GETPIVOTDATA(
"[Base].[Importe]",
TDinamica_R!$A$5,
"[Calendario].[AñoMes]",
"[Calendario].[AñoMes].&amp;[" &amp; TEXT(S$6,"yyyymm")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T75" s="8">
        <f>IFERROR(
GETPIVOTDATA(
"[Base].[Importe]",
TDinamica_R!$A$5,
"[Calendario].[AñoMes]",
"[Calendario].[AñoMes].&amp;[" &amp; TEXT(T$6,"yyyymm")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U75" s="8">
        <f>IFERROR(
GETPIVOTDATA(
"[Base].[Importe]",
TDinamica_R!$A$5,
"[Calendario].[AñoMes]",
"[Calendario].[AñoMes].&amp;[" &amp; TEXT(U$6,"yyyymm")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V75" s="8">
        <f>IFERROR(
GETPIVOTDATA(
"[Base].[Importe]",
TDinamica_R!$A$5,
"[Calendario].[AñoMes]",
"[Calendario].[AñoMes].&amp;[" &amp; TEXT(V$6,"yyyymm")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W75" s="8">
        <f>IFERROR(
GETPIVOTDATA(
"[Base].[Importe]",
TDinamica_R!$A$5,
"[Calendario].[AñoMes]",
"[Calendario].[AñoMes].&amp;[" &amp; TEXT(W$6,"yyyymm")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X75" s="8">
        <f>IFERROR(
GETPIVOTDATA(
"[Base].[Importe]",
TDinamica_R!$A$5,
"[Calendario].[AñoMes]",
"[Calendario].[AñoMes].&amp;[" &amp; TEXT(X$6,"yyyymm")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Y75" s="8">
        <f>IFERROR(
GETPIVOTDATA(
"[Base].[Importe]",
TDinamica_R!$A$5,
"[Calendario].[AñoMes]",
"[Calendario].[AñoMes].&amp;[" &amp; TEXT(Y$6,"yyyymm")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Z75" s="8">
        <f>IFERROR(
GETPIVOTDATA(
"[Base].[Importe]",
TDinamica_R!$A$5,
"[Calendario].[AñoMes]",
"[Calendario].[AñoMes].&amp;[" &amp; TEXT(Z$6,"yyyymm")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A75" s="8">
        <f>IFERROR(
GETPIVOTDATA(
"[Base].[Importe]",
TDinamica_R!$A$5,
"[Calendario].[AñoMes]",
"[Calendario].[AñoMes].&amp;[" &amp; TEXT(AA$6,"yyyymm")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B75" s="8">
        <f>IFERROR(
GETPIVOTDATA(
"[Base].[Importe]",
TDinamica_R!$A$5,
"[Calendario].[AñoMes]",
"[Calendario].[AñoMes].&amp;[" &amp; TEXT(AB$6,"yyyymm")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C75" s="8">
        <f>IFERROR(
GETPIVOTDATA(
"[Base].[Importe]",
TDinamica_R!$A$5,
"[Calendario].[AñoMes]",
"[Calendario].[AñoMes].&amp;[" &amp; TEXT(AC$6,"yyyymm")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D75" s="8">
        <f>IFERROR(
GETPIVOTDATA(
"[Base].[Importe]",
TDinamica_R!$A$5,
"[Calendario].[AñoMes]",
"[Calendario].[AñoMes].&amp;[" &amp; TEXT(AD$6,"yyyymm")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E75" s="8">
        <f>IFERROR(
GETPIVOTDATA(
"[Base].[Importe]",
TDinamica_R!$A$5,
"[Calendario].[AñoMes]",
"[Calendario].[AñoMes].&amp;[" &amp; TEXT(AE$6,"yyyymm")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F75" s="8">
        <f>IFERROR(
GETPIVOTDATA(
"[Base].[Importe]",
TDinamica_R!$A$5,
"[Calendario].[AñoMes]",
"[Calendario].[AñoMes].&amp;[" &amp; TEXT(AF$6,"yyyymm")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G75" s="8">
        <f>IFERROR(
GETPIVOTDATA(
"[Base].[Importe]",
TDinamica_R!$A$5,
"[Calendario].[AñoMes]",
"[Calendario].[AñoMes].&amp;[" &amp; TEXT(AG$6,"yyyymm")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H75" s="8">
        <f>IFERROR(
GETPIVOTDATA(
"[Base].[Importe]",
TDinamica_R!$A$5,
"[Calendario].[AñoMes]",
"[Calendario].[AñoMes].&amp;[" &amp; TEXT(AH$6,"yyyymm")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I75" s="8">
        <f>IFERROR(
GETPIVOTDATA(
"[Base].[Importe]",
TDinamica_R!$A$5,
"[Calendario].[AñoMes]",
"[Calendario].[AñoMes].&amp;[" &amp; TEXT(AI$6,"yyyymm")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J75" s="8">
        <f>IFERROR(
GETPIVOTDATA(
"[Base].[Importe]",
TDinamica_R!$A$5,
"[Calendario].[AñoMes]",
"[Calendario].[AñoMes].&amp;[" &amp; TEXT(AJ$6,"yyyymm")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K75" s="8">
        <f>IFERROR(
GETPIVOTDATA(
"[Base].[Importe]",
TDinamica_R!$A$5,
"[Calendario].[AñoMes]",
"[Calendario].[AñoMes].&amp;[" &amp; TEXT(AK$6,"yyyymm")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L75" s="8">
        <f>IFERROR(
GETPIVOTDATA(
"[Base].[Importe]",
TDinamica_R!$A$5,
"[Calendario].[AñoMes]",
"[Calendario].[AñoMes].&amp;[" &amp; TEXT(AL$6,"yyyymm")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M75" s="8">
        <f>IFERROR(
GETPIVOTDATA(
"[Base].[Importe]",
TDinamica_R!$A$5,
"[Calendario].[AñoMes]",
"[Calendario].[AñoMes].&amp;[" &amp; TEXT(AM$6,"yyyymm")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N75" s="8">
        <f>IFERROR(
GETPIVOTDATA(
"[Base].[Importe]",
TDinamica_R!$A$5,
"[Calendario].[AñoMes]",
"[Calendario].[AñoMes].&amp;[" &amp; TEXT(AN$6,"yyyymm")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O75" s="8">
        <f>IFERROR(
GETPIVOTDATA(
"[Base].[Importe]",
TDinamica_R!$A$5,
"[Calendario].[AñoMes]",
"[Calendario].[AñoMes].&amp;[" &amp; TEXT(AO$6,"yyyymm")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P75" s="8">
        <f>IFERROR(
GETPIVOTDATA(
"[Base].[Importe]",
TDinamica_R!$A$5,
"[Calendario].[AñoMes]",
"[Calendario].[AñoMes].&amp;[" &amp; TEXT(AP$6,"yyyymm")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Q75" s="8">
        <f>IFERROR(
GETPIVOTDATA(
"[Base].[Importe]",
TDinamica_R!$A$5,
"[Calendario].[AñoMes]",
"[Calendario].[AñoMes].&amp;[" &amp; TEXT(AQ$6,"yyyymm")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R75" s="8">
        <f>IFERROR(
GETPIVOTDATA(
"[Base].[Importe]",
TDinamica_R!$A$5,
"[Calendario].[AñoMes]",
"[Calendario].[AñoMes].&amp;[" &amp; TEXT(AR$6,"yyyymm")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S75" s="8">
        <f>IFERROR(
GETPIVOTDATA(
"[Base].[Importe]",
TDinamica_R!$A$5,
"[Calendario].[AñoMes]",
"[Calendario].[AñoMes].&amp;[" &amp; TEXT(AS$6,"yyyymm")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T75" s="8">
        <f>IFERROR(
GETPIVOTDATA(
"[Base].[Importe]",
TDinamica_R!$A$5,
"[Calendario].[AñoMes]",
"[Calendario].[AñoMes].&amp;[" &amp; TEXT(AT$6,"yyyymm")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U75" s="8">
        <f>IFERROR(
GETPIVOTDATA(
"[Base].[Importe]",
TDinamica_R!$A$5,
"[Calendario].[AñoMes]",
"[Calendario].[AñoMes].&amp;[" &amp; TEXT(AU$6,"yyyymm")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V75" s="8">
        <f>IFERROR(
GETPIVOTDATA(
"[Base].[Importe]",
TDinamica_R!$A$5,
"[Calendario].[AñoMes]",
"[Calendario].[AñoMes].&amp;[" &amp; TEXT(AV$6,"yyyymm")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W75" s="8">
        <f>IFERROR(
GETPIVOTDATA(
"[Base].[Importe]",
TDinamica_R!$A$5,
"[Calendario].[AñoMes]",
"[Calendario].[AñoMes].&amp;[" &amp; TEXT(AW$6,"yyyymm")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X75" s="8">
        <f>IFERROR(
GETPIVOTDATA(
"[Base].[Importe]",
TDinamica_R!$A$5,
"[Calendario].[AñoMes]",
"[Calendario].[AñoMes].&amp;[" &amp; TEXT(AX$6,"yyyymm")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Y75" s="8">
        <f>IFERROR(
GETPIVOTDATA(
"[Base].[Importe]",
TDinamica_R!$A$5,
"[Calendario].[AñoMes]",
"[Calendario].[AñoMes].&amp;[" &amp; TEXT(AY$6,"yyyymm")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Z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TEXT(AZ$6,"yyyymm") &amp; "]"
),
0
)</f>
        <v>0</v>
      </c>
      <c r="BA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TEXT(BA$6,"yyyymm") &amp; "]"
),
0
)</f>
        <v>0</v>
      </c>
      <c r="BB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TEXT(BB$6,"yyyymm") &amp; "]"
),
0
)</f>
        <v>0</v>
      </c>
      <c r="BC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TEXT(BC$6,"yyyymm") &amp; "]"
),
0
)</f>
        <v>0</v>
      </c>
      <c r="BD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TEXT(BD$6,"yyyymm") &amp; "]"
),
0
)</f>
        <v>0</v>
      </c>
      <c r="BE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TEXT(BE$6,"yyyymm") &amp; "]"
),
0
)</f>
        <v>0</v>
      </c>
      <c r="BF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TEXT(BF$6,"yyyymm") &amp; "]"
),
0
)</f>
        <v>0</v>
      </c>
      <c r="BG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TEXT(BG$6,"yyyymm") &amp; "]"
),
0
)</f>
        <v>0</v>
      </c>
      <c r="BH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TEXT(BH$6,"yyyymm") &amp; "]"
),
0
)</f>
        <v>0</v>
      </c>
      <c r="BI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TEXT(BI$6,"yyyymm") &amp; "]"
),
0
)</f>
        <v>0</v>
      </c>
      <c r="BJ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TEXT(BJ$6,"yyyymm") &amp; "]"
),
0
)</f>
        <v>0</v>
      </c>
      <c r="BK75" s="8">
        <f>IFERROR(
GETPIVOTDATA(
"[Base_PPE].[Importe]",
TDinamica_P!$A$4,
"[Base_PPE].[Metrica]",
"[Base_PPE].[Metrica].&amp;[" &amp; TRIM($A75) &amp; "]",
"[Base_PPE].[SITUACION]",
"[Base_PPE].[SITUACION].&amp;[" &amp; TRIM($C75) &amp; "]",
"[Base_PPE].[SEGMENTO_DESCRIP]",
"[Base_PPE].[SEGMENTO_DESCRIP].&amp;[" &amp; TRIM($C$6) &amp; "]",
"[Base_PPE].[Periodo]",
"[Base_PPE].[Periodo].&amp;[" &amp; TEXT(BK$6,"yyyymm") &amp; "]"
),
0
)</f>
        <v>0</v>
      </c>
      <c r="BO75" s="24">
        <f t="shared" si="65"/>
        <v>0</v>
      </c>
      <c r="BP75" s="24">
        <f t="shared" si="65"/>
        <v>0</v>
      </c>
      <c r="BQ75" s="24">
        <f t="shared" si="65"/>
        <v>0</v>
      </c>
      <c r="BR75" s="24">
        <f t="shared" si="65"/>
        <v>0</v>
      </c>
      <c r="BS75" s="24">
        <f t="shared" si="65"/>
        <v>0</v>
      </c>
      <c r="BT75" s="24">
        <f t="shared" si="65"/>
        <v>0</v>
      </c>
    </row>
    <row r="76" spans="1:72" hidden="1" outlineLevel="1" x14ac:dyDescent="0.25">
      <c r="A76" s="11" t="s">
        <v>71</v>
      </c>
      <c r="C76" s="2"/>
      <c r="D76" s="8">
        <f>IFERROR(
GETPIVOTDATA(
"[Base].[Importe]",
TDinamica_R!$A$5,
"[Calendario].[AñoMes]",
"[Calendario].[AñoMes].&amp;[" &amp; TEXT(D$6,"yyyymm")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E76" s="8">
        <f>IFERROR(
GETPIVOTDATA(
"[Base].[Importe]",
TDinamica_R!$A$5,
"[Calendario].[AñoMes]",
"[Calendario].[AñoMes].&amp;[" &amp; TEXT(E$6,"yyyymm")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F76" s="8">
        <f>IFERROR(
GETPIVOTDATA(
"[Base].[Importe]",
TDinamica_R!$A$5,
"[Calendario].[AñoMes]",
"[Calendario].[AñoMes].&amp;[" &amp; TEXT(F$6,"yyyymm")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G76" s="8">
        <f>IFERROR(
GETPIVOTDATA(
"[Base].[Importe]",
TDinamica_R!$A$5,
"[Calendario].[AñoMes]",
"[Calendario].[AñoMes].&amp;[" &amp; TEXT(G$6,"yyyymm")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H76" s="8">
        <f>IFERROR(
GETPIVOTDATA(
"[Base].[Importe]",
TDinamica_R!$A$5,
"[Calendario].[AñoMes]",
"[Calendario].[AñoMes].&amp;[" &amp; TEXT(H$6,"yyyymm")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I76" s="8">
        <f>IFERROR(
GETPIVOTDATA(
"[Base].[Importe]",
TDinamica_R!$A$5,
"[Calendario].[AñoMes]",
"[Calendario].[AñoMes].&amp;[" &amp; TEXT(I$6,"yyyymm")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J76" s="8">
        <f>IFERROR(
GETPIVOTDATA(
"[Base].[Importe]",
TDinamica_R!$A$5,
"[Calendario].[AñoMes]",
"[Calendario].[AñoMes].&amp;[" &amp; TEXT(J$6,"yyyymm")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K76" s="8">
        <f>IFERROR(
GETPIVOTDATA(
"[Base].[Importe]",
TDinamica_R!$A$5,
"[Calendario].[AñoMes]",
"[Calendario].[AñoMes].&amp;[" &amp; TEXT(K$6,"yyyymm")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L76" s="8">
        <f>IFERROR(
GETPIVOTDATA(
"[Base].[Importe]",
TDinamica_R!$A$5,
"[Calendario].[AñoMes]",
"[Calendario].[AñoMes].&amp;[" &amp; TEXT(L$6,"yyyymm")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M76" s="8">
        <f>IFERROR(
GETPIVOTDATA(
"[Base].[Importe]",
TDinamica_R!$A$5,
"[Calendario].[AñoMes]",
"[Calendario].[AñoMes].&amp;[" &amp; TEXT(M$6,"yyyymm")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N76" s="8">
        <f>IFERROR(
GETPIVOTDATA(
"[Base].[Importe]",
TDinamica_R!$A$5,
"[Calendario].[AñoMes]",
"[Calendario].[AñoMes].&amp;[" &amp; TEXT(N$6,"yyyymm")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O76" s="8">
        <f>IFERROR(
GETPIVOTDATA(
"[Base].[Importe]",
TDinamica_R!$A$5,
"[Calendario].[AñoMes]",
"[Calendario].[AñoMes].&amp;[" &amp; TEXT(O$6,"yyyymm")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P76" s="8">
        <f>IFERROR(
GETPIVOTDATA(
"[Base].[Importe]",
TDinamica_R!$A$5,
"[Calendario].[AñoMes]",
"[Calendario].[AñoMes].&amp;[" &amp; TEXT(P$6,"yyyymm")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Q76" s="8">
        <f>IFERROR(
GETPIVOTDATA(
"[Base].[Importe]",
TDinamica_R!$A$5,
"[Calendario].[AñoMes]",
"[Calendario].[AñoMes].&amp;[" &amp; TEXT(Q$6,"yyyymm")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R76" s="8">
        <f>IFERROR(
GETPIVOTDATA(
"[Base].[Importe]",
TDinamica_R!$A$5,
"[Calendario].[AñoMes]",
"[Calendario].[AñoMes].&amp;[" &amp; TEXT(R$6,"yyyymm")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S76" s="8">
        <f>IFERROR(
GETPIVOTDATA(
"[Base].[Importe]",
TDinamica_R!$A$5,
"[Calendario].[AñoMes]",
"[Calendario].[AñoMes].&amp;[" &amp; TEXT(S$6,"yyyymm")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T76" s="8">
        <f>IFERROR(
GETPIVOTDATA(
"[Base].[Importe]",
TDinamica_R!$A$5,
"[Calendario].[AñoMes]",
"[Calendario].[AñoMes].&amp;[" &amp; TEXT(T$6,"yyyymm")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U76" s="8">
        <f>IFERROR(
GETPIVOTDATA(
"[Base].[Importe]",
TDinamica_R!$A$5,
"[Calendario].[AñoMes]",
"[Calendario].[AñoMes].&amp;[" &amp; TEXT(U$6,"yyyymm")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V76" s="8">
        <f>IFERROR(
GETPIVOTDATA(
"[Base].[Importe]",
TDinamica_R!$A$5,
"[Calendario].[AñoMes]",
"[Calendario].[AñoMes].&amp;[" &amp; TEXT(V$6,"yyyymm")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W76" s="8">
        <f>IFERROR(
GETPIVOTDATA(
"[Base].[Importe]",
TDinamica_R!$A$5,
"[Calendario].[AñoMes]",
"[Calendario].[AñoMes].&amp;[" &amp; TEXT(W$6,"yyyymm")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X76" s="8">
        <f>IFERROR(
GETPIVOTDATA(
"[Base].[Importe]",
TDinamica_R!$A$5,
"[Calendario].[AñoMes]",
"[Calendario].[AñoMes].&amp;[" &amp; TEXT(X$6,"yyyymm")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Y76" s="8">
        <f>IFERROR(
GETPIVOTDATA(
"[Base].[Importe]",
TDinamica_R!$A$5,
"[Calendario].[AñoMes]",
"[Calendario].[AñoMes].&amp;[" &amp; TEXT(Y$6,"yyyymm")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Z76" s="8">
        <f>IFERROR(
GETPIVOTDATA(
"[Base].[Importe]",
TDinamica_R!$A$5,
"[Calendario].[AñoMes]",
"[Calendario].[AñoMes].&amp;[" &amp; TEXT(Z$6,"yyyymm")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A76" s="8">
        <f>IFERROR(
GETPIVOTDATA(
"[Base].[Importe]",
TDinamica_R!$A$5,
"[Calendario].[AñoMes]",
"[Calendario].[AñoMes].&amp;[" &amp; TEXT(AA$6,"yyyymm")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B76" s="8">
        <f>IFERROR(
GETPIVOTDATA(
"[Base].[Importe]",
TDinamica_R!$A$5,
"[Calendario].[AñoMes]",
"[Calendario].[AñoMes].&amp;[" &amp; TEXT(AB$6,"yyyymm")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C76" s="8">
        <f>IFERROR(
GETPIVOTDATA(
"[Base].[Importe]",
TDinamica_R!$A$5,
"[Calendario].[AñoMes]",
"[Calendario].[AñoMes].&amp;[" &amp; TEXT(AC$6,"yyyymm")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D76" s="8">
        <f>IFERROR(
GETPIVOTDATA(
"[Base].[Importe]",
TDinamica_R!$A$5,
"[Calendario].[AñoMes]",
"[Calendario].[AñoMes].&amp;[" &amp; TEXT(AD$6,"yyyymm")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E76" s="8">
        <f>IFERROR(
GETPIVOTDATA(
"[Base].[Importe]",
TDinamica_R!$A$5,
"[Calendario].[AñoMes]",
"[Calendario].[AñoMes].&amp;[" &amp; TEXT(AE$6,"yyyymm")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F76" s="8">
        <f>IFERROR(
GETPIVOTDATA(
"[Base].[Importe]",
TDinamica_R!$A$5,
"[Calendario].[AñoMes]",
"[Calendario].[AñoMes].&amp;[" &amp; TEXT(AF$6,"yyyymm")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G76" s="8">
        <f>IFERROR(
GETPIVOTDATA(
"[Base].[Importe]",
TDinamica_R!$A$5,
"[Calendario].[AñoMes]",
"[Calendario].[AñoMes].&amp;[" &amp; TEXT(AG$6,"yyyymm")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H76" s="8">
        <f>IFERROR(
GETPIVOTDATA(
"[Base].[Importe]",
TDinamica_R!$A$5,
"[Calendario].[AñoMes]",
"[Calendario].[AñoMes].&amp;[" &amp; TEXT(AH$6,"yyyymm")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I76" s="8">
        <f>IFERROR(
GETPIVOTDATA(
"[Base].[Importe]",
TDinamica_R!$A$5,
"[Calendario].[AñoMes]",
"[Calendario].[AñoMes].&amp;[" &amp; TEXT(AI$6,"yyyymm")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J76" s="8">
        <f>IFERROR(
GETPIVOTDATA(
"[Base].[Importe]",
TDinamica_R!$A$5,
"[Calendario].[AñoMes]",
"[Calendario].[AñoMes].&amp;[" &amp; TEXT(AJ$6,"yyyymm")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K76" s="8">
        <f>IFERROR(
GETPIVOTDATA(
"[Base].[Importe]",
TDinamica_R!$A$5,
"[Calendario].[AñoMes]",
"[Calendario].[AñoMes].&amp;[" &amp; TEXT(AK$6,"yyyymm")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L76" s="8">
        <f>IFERROR(
GETPIVOTDATA(
"[Base].[Importe]",
TDinamica_R!$A$5,
"[Calendario].[AñoMes]",
"[Calendario].[AñoMes].&amp;[" &amp; TEXT(AL$6,"yyyymm")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M76" s="8">
        <f>IFERROR(
GETPIVOTDATA(
"[Base].[Importe]",
TDinamica_R!$A$5,
"[Calendario].[AñoMes]",
"[Calendario].[AñoMes].&amp;[" &amp; TEXT(AM$6,"yyyymm")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N76" s="8">
        <f>IFERROR(
GETPIVOTDATA(
"[Base].[Importe]",
TDinamica_R!$A$5,
"[Calendario].[AñoMes]",
"[Calendario].[AñoMes].&amp;[" &amp; TEXT(AN$6,"yyyymm")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O76" s="8">
        <f>IFERROR(
GETPIVOTDATA(
"[Base].[Importe]",
TDinamica_R!$A$5,
"[Calendario].[AñoMes]",
"[Calendario].[AñoMes].&amp;[" &amp; TEXT(AO$6,"yyyymm")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P76" s="8">
        <f>IFERROR(
GETPIVOTDATA(
"[Base].[Importe]",
TDinamica_R!$A$5,
"[Calendario].[AñoMes]",
"[Calendario].[AñoMes].&amp;[" &amp; TEXT(AP$6,"yyyymm")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Q76" s="8">
        <f>IFERROR(
GETPIVOTDATA(
"[Base].[Importe]",
TDinamica_R!$A$5,
"[Calendario].[AñoMes]",
"[Calendario].[AñoMes].&amp;[" &amp; TEXT(AQ$6,"yyyymm")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R76" s="8">
        <f>IFERROR(
GETPIVOTDATA(
"[Base].[Importe]",
TDinamica_R!$A$5,
"[Calendario].[AñoMes]",
"[Calendario].[AñoMes].&amp;[" &amp; TEXT(AR$6,"yyyymm")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S76" s="8">
        <f>IFERROR(
GETPIVOTDATA(
"[Base].[Importe]",
TDinamica_R!$A$5,
"[Calendario].[AñoMes]",
"[Calendario].[AñoMes].&amp;[" &amp; TEXT(AS$6,"yyyymm")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T76" s="8">
        <f>IFERROR(
GETPIVOTDATA(
"[Base].[Importe]",
TDinamica_R!$A$5,
"[Calendario].[AñoMes]",
"[Calendario].[AñoMes].&amp;[" &amp; TEXT(AT$6,"yyyymm")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U76" s="8">
        <f>IFERROR(
GETPIVOTDATA(
"[Base].[Importe]",
TDinamica_R!$A$5,
"[Calendario].[AñoMes]",
"[Calendario].[AñoMes].&amp;[" &amp; TEXT(AU$6,"yyyymm")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V76" s="8">
        <f>IFERROR(
GETPIVOTDATA(
"[Base].[Importe]",
TDinamica_R!$A$5,
"[Calendario].[AñoMes]",
"[Calendario].[AñoMes].&amp;[" &amp; TEXT(AV$6,"yyyymm")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W76" s="8">
        <f>IFERROR(
GETPIVOTDATA(
"[Base].[Importe]",
TDinamica_R!$A$5,
"[Calendario].[AñoMes]",
"[Calendario].[AñoMes].&amp;[" &amp; TEXT(AW$6,"yyyymm")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X76" s="8">
        <f>IFERROR(
GETPIVOTDATA(
"[Base].[Importe]",
TDinamica_R!$A$5,
"[Calendario].[AñoMes]",
"[Calendario].[AñoMes].&amp;[" &amp; TEXT(AX$6,"yyyymm")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Y76" s="8">
        <f>IFERROR(
GETPIVOTDATA(
"[Base].[Importe]",
TDinamica_R!$A$5,
"[Calendario].[AñoMes]",
"[Calendario].[AñoMes].&amp;[" &amp; TEXT(AY$6,"yyyymm")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Z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TEXT(AZ$6,"yyyymm") &amp; "]"
),
0
)</f>
        <v>0</v>
      </c>
      <c r="BA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TEXT(BA$6,"yyyymm") &amp; "]"
),
0
)</f>
        <v>0</v>
      </c>
      <c r="BB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TEXT(BB$6,"yyyymm") &amp; "]"
),
0
)</f>
        <v>0</v>
      </c>
      <c r="BC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TEXT(BC$6,"yyyymm") &amp; "]"
),
0
)</f>
        <v>0</v>
      </c>
      <c r="BD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TEXT(BD$6,"yyyymm") &amp; "]"
),
0
)</f>
        <v>0</v>
      </c>
      <c r="BE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TEXT(BE$6,"yyyymm") &amp; "]"
),
0
)</f>
        <v>0</v>
      </c>
      <c r="BF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TEXT(BF$6,"yyyymm") &amp; "]"
),
0
)</f>
        <v>0</v>
      </c>
      <c r="BG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TEXT(BG$6,"yyyymm") &amp; "]"
),
0
)</f>
        <v>0</v>
      </c>
      <c r="BH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TEXT(BH$6,"yyyymm") &amp; "]"
),
0
)</f>
        <v>0</v>
      </c>
      <c r="BI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TEXT(BI$6,"yyyymm") &amp; "]"
),
0
)</f>
        <v>0</v>
      </c>
      <c r="BJ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TEXT(BJ$6,"yyyymm") &amp; "]"
),
0
)</f>
        <v>0</v>
      </c>
      <c r="BK76" s="8">
        <f>IFERROR(
GETPIVOTDATA(
"[Base_PPE].[Importe]",
TDinamica_P!$A$4,
"[Base_PPE].[Metrica]",
"[Base_PPE].[Metrica].&amp;[" &amp; TRIM($A76) &amp; "]",
"[Base_PPE].[SITUACION]",
"[Base_PPE].[SITUACION].&amp;[" &amp; TRIM($C76) &amp; "]",
"[Base_PPE].[SEGMENTO_DESCRIP]",
"[Base_PPE].[SEGMENTO_DESCRIP].&amp;[" &amp; TRIM($C$6) &amp; "]",
"[Base_PPE].[Periodo]",
"[Base_PPE].[Periodo].&amp;[" &amp; TEXT(BK$6,"yyyymm") &amp; "]"
),
0
)</f>
        <v>0</v>
      </c>
      <c r="BO76" s="24">
        <f t="shared" si="65"/>
        <v>0</v>
      </c>
      <c r="BP76" s="24">
        <f t="shared" si="65"/>
        <v>0</v>
      </c>
      <c r="BQ76" s="24">
        <f t="shared" si="65"/>
        <v>0</v>
      </c>
      <c r="BR76" s="24">
        <f t="shared" si="65"/>
        <v>0</v>
      </c>
      <c r="BS76" s="24">
        <f t="shared" si="65"/>
        <v>0</v>
      </c>
      <c r="BT76" s="24">
        <f t="shared" si="65"/>
        <v>0</v>
      </c>
    </row>
    <row r="77" spans="1:72" hidden="1" outlineLevel="1" x14ac:dyDescent="0.25">
      <c r="A77" s="11" t="s">
        <v>71</v>
      </c>
      <c r="C77" s="2"/>
      <c r="D77" s="8">
        <f>IFERROR(
GETPIVOTDATA(
"[Base].[Importe]",
TDinamica_R!$A$5,
"[Calendario].[AñoMes]",
"[Calendario].[AñoMes].&amp;[" &amp; TEXT(D$6,"yyyymm")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E77" s="8">
        <f>IFERROR(
GETPIVOTDATA(
"[Base].[Importe]",
TDinamica_R!$A$5,
"[Calendario].[AñoMes]",
"[Calendario].[AñoMes].&amp;[" &amp; TEXT(E$6,"yyyymm")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F77" s="8">
        <f>IFERROR(
GETPIVOTDATA(
"[Base].[Importe]",
TDinamica_R!$A$5,
"[Calendario].[AñoMes]",
"[Calendario].[AñoMes].&amp;[" &amp; TEXT(F$6,"yyyymm")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G77" s="8">
        <f>IFERROR(
GETPIVOTDATA(
"[Base].[Importe]",
TDinamica_R!$A$5,
"[Calendario].[AñoMes]",
"[Calendario].[AñoMes].&amp;[" &amp; TEXT(G$6,"yyyymm")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H77" s="8">
        <f>IFERROR(
GETPIVOTDATA(
"[Base].[Importe]",
TDinamica_R!$A$5,
"[Calendario].[AñoMes]",
"[Calendario].[AñoMes].&amp;[" &amp; TEXT(H$6,"yyyymm")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I77" s="8">
        <f>IFERROR(
GETPIVOTDATA(
"[Base].[Importe]",
TDinamica_R!$A$5,
"[Calendario].[AñoMes]",
"[Calendario].[AñoMes].&amp;[" &amp; TEXT(I$6,"yyyymm")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J77" s="8">
        <f>IFERROR(
GETPIVOTDATA(
"[Base].[Importe]",
TDinamica_R!$A$5,
"[Calendario].[AñoMes]",
"[Calendario].[AñoMes].&amp;[" &amp; TEXT(J$6,"yyyymm")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K77" s="8">
        <f>IFERROR(
GETPIVOTDATA(
"[Base].[Importe]",
TDinamica_R!$A$5,
"[Calendario].[AñoMes]",
"[Calendario].[AñoMes].&amp;[" &amp; TEXT(K$6,"yyyymm")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L77" s="8">
        <f>IFERROR(
GETPIVOTDATA(
"[Base].[Importe]",
TDinamica_R!$A$5,
"[Calendario].[AñoMes]",
"[Calendario].[AñoMes].&amp;[" &amp; TEXT(L$6,"yyyymm")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M77" s="8">
        <f>IFERROR(
GETPIVOTDATA(
"[Base].[Importe]",
TDinamica_R!$A$5,
"[Calendario].[AñoMes]",
"[Calendario].[AñoMes].&amp;[" &amp; TEXT(M$6,"yyyymm")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N77" s="8">
        <f>IFERROR(
GETPIVOTDATA(
"[Base].[Importe]",
TDinamica_R!$A$5,
"[Calendario].[AñoMes]",
"[Calendario].[AñoMes].&amp;[" &amp; TEXT(N$6,"yyyymm")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O77" s="8">
        <f>IFERROR(
GETPIVOTDATA(
"[Base].[Importe]",
TDinamica_R!$A$5,
"[Calendario].[AñoMes]",
"[Calendario].[AñoMes].&amp;[" &amp; TEXT(O$6,"yyyymm")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P77" s="8">
        <f>IFERROR(
GETPIVOTDATA(
"[Base].[Importe]",
TDinamica_R!$A$5,
"[Calendario].[AñoMes]",
"[Calendario].[AñoMes].&amp;[" &amp; TEXT(P$6,"yyyymm")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Q77" s="8">
        <f>IFERROR(
GETPIVOTDATA(
"[Base].[Importe]",
TDinamica_R!$A$5,
"[Calendario].[AñoMes]",
"[Calendario].[AñoMes].&amp;[" &amp; TEXT(Q$6,"yyyymm")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R77" s="8">
        <f>IFERROR(
GETPIVOTDATA(
"[Base].[Importe]",
TDinamica_R!$A$5,
"[Calendario].[AñoMes]",
"[Calendario].[AñoMes].&amp;[" &amp; TEXT(R$6,"yyyymm")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S77" s="8">
        <f>IFERROR(
GETPIVOTDATA(
"[Base].[Importe]",
TDinamica_R!$A$5,
"[Calendario].[AñoMes]",
"[Calendario].[AñoMes].&amp;[" &amp; TEXT(S$6,"yyyymm")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T77" s="8">
        <f>IFERROR(
GETPIVOTDATA(
"[Base].[Importe]",
TDinamica_R!$A$5,
"[Calendario].[AñoMes]",
"[Calendario].[AñoMes].&amp;[" &amp; TEXT(T$6,"yyyymm")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U77" s="8">
        <f>IFERROR(
GETPIVOTDATA(
"[Base].[Importe]",
TDinamica_R!$A$5,
"[Calendario].[AñoMes]",
"[Calendario].[AñoMes].&amp;[" &amp; TEXT(U$6,"yyyymm")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V77" s="8">
        <f>IFERROR(
GETPIVOTDATA(
"[Base].[Importe]",
TDinamica_R!$A$5,
"[Calendario].[AñoMes]",
"[Calendario].[AñoMes].&amp;[" &amp; TEXT(V$6,"yyyymm")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W77" s="8">
        <f>IFERROR(
GETPIVOTDATA(
"[Base].[Importe]",
TDinamica_R!$A$5,
"[Calendario].[AñoMes]",
"[Calendario].[AñoMes].&amp;[" &amp; TEXT(W$6,"yyyymm")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X77" s="8">
        <f>IFERROR(
GETPIVOTDATA(
"[Base].[Importe]",
TDinamica_R!$A$5,
"[Calendario].[AñoMes]",
"[Calendario].[AñoMes].&amp;[" &amp; TEXT(X$6,"yyyymm")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Y77" s="8">
        <f>IFERROR(
GETPIVOTDATA(
"[Base].[Importe]",
TDinamica_R!$A$5,
"[Calendario].[AñoMes]",
"[Calendario].[AñoMes].&amp;[" &amp; TEXT(Y$6,"yyyymm")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Z77" s="8">
        <f>IFERROR(
GETPIVOTDATA(
"[Base].[Importe]",
TDinamica_R!$A$5,
"[Calendario].[AñoMes]",
"[Calendario].[AñoMes].&amp;[" &amp; TEXT(Z$6,"yyyymm")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A77" s="8">
        <f>IFERROR(
GETPIVOTDATA(
"[Base].[Importe]",
TDinamica_R!$A$5,
"[Calendario].[AñoMes]",
"[Calendario].[AñoMes].&amp;[" &amp; TEXT(AA$6,"yyyymm")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B77" s="8">
        <f>IFERROR(
GETPIVOTDATA(
"[Base].[Importe]",
TDinamica_R!$A$5,
"[Calendario].[AñoMes]",
"[Calendario].[AñoMes].&amp;[" &amp; TEXT(AB$6,"yyyymm")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C77" s="8">
        <f>IFERROR(
GETPIVOTDATA(
"[Base].[Importe]",
TDinamica_R!$A$5,
"[Calendario].[AñoMes]",
"[Calendario].[AñoMes].&amp;[" &amp; TEXT(AC$6,"yyyymm")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D77" s="8">
        <f>IFERROR(
GETPIVOTDATA(
"[Base].[Importe]",
TDinamica_R!$A$5,
"[Calendario].[AñoMes]",
"[Calendario].[AñoMes].&amp;[" &amp; TEXT(AD$6,"yyyymm")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E77" s="8">
        <f>IFERROR(
GETPIVOTDATA(
"[Base].[Importe]",
TDinamica_R!$A$5,
"[Calendario].[AñoMes]",
"[Calendario].[AñoMes].&amp;[" &amp; TEXT(AE$6,"yyyymm")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F77" s="8">
        <f>IFERROR(
GETPIVOTDATA(
"[Base].[Importe]",
TDinamica_R!$A$5,
"[Calendario].[AñoMes]",
"[Calendario].[AñoMes].&amp;[" &amp; TEXT(AF$6,"yyyymm")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G77" s="8">
        <f>IFERROR(
GETPIVOTDATA(
"[Base].[Importe]",
TDinamica_R!$A$5,
"[Calendario].[AñoMes]",
"[Calendario].[AñoMes].&amp;[" &amp; TEXT(AG$6,"yyyymm")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H77" s="8">
        <f>IFERROR(
GETPIVOTDATA(
"[Base].[Importe]",
TDinamica_R!$A$5,
"[Calendario].[AñoMes]",
"[Calendario].[AñoMes].&amp;[" &amp; TEXT(AH$6,"yyyymm")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I77" s="8">
        <f>IFERROR(
GETPIVOTDATA(
"[Base].[Importe]",
TDinamica_R!$A$5,
"[Calendario].[AñoMes]",
"[Calendario].[AñoMes].&amp;[" &amp; TEXT(AI$6,"yyyymm")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J77" s="8">
        <f>IFERROR(
GETPIVOTDATA(
"[Base].[Importe]",
TDinamica_R!$A$5,
"[Calendario].[AñoMes]",
"[Calendario].[AñoMes].&amp;[" &amp; TEXT(AJ$6,"yyyymm")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K77" s="8">
        <f>IFERROR(
GETPIVOTDATA(
"[Base].[Importe]",
TDinamica_R!$A$5,
"[Calendario].[AñoMes]",
"[Calendario].[AñoMes].&amp;[" &amp; TEXT(AK$6,"yyyymm")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L77" s="8">
        <f>IFERROR(
GETPIVOTDATA(
"[Base].[Importe]",
TDinamica_R!$A$5,
"[Calendario].[AñoMes]",
"[Calendario].[AñoMes].&amp;[" &amp; TEXT(AL$6,"yyyymm")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M77" s="8">
        <f>IFERROR(
GETPIVOTDATA(
"[Base].[Importe]",
TDinamica_R!$A$5,
"[Calendario].[AñoMes]",
"[Calendario].[AñoMes].&amp;[" &amp; TEXT(AM$6,"yyyymm")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N77" s="8">
        <f>IFERROR(
GETPIVOTDATA(
"[Base].[Importe]",
TDinamica_R!$A$5,
"[Calendario].[AñoMes]",
"[Calendario].[AñoMes].&amp;[" &amp; TEXT(AN$6,"yyyymm")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O77" s="8">
        <f>IFERROR(
GETPIVOTDATA(
"[Base].[Importe]",
TDinamica_R!$A$5,
"[Calendario].[AñoMes]",
"[Calendario].[AñoMes].&amp;[" &amp; TEXT(AO$6,"yyyymm")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P77" s="8">
        <f>IFERROR(
GETPIVOTDATA(
"[Base].[Importe]",
TDinamica_R!$A$5,
"[Calendario].[AñoMes]",
"[Calendario].[AñoMes].&amp;[" &amp; TEXT(AP$6,"yyyymm")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Q77" s="8">
        <f>IFERROR(
GETPIVOTDATA(
"[Base].[Importe]",
TDinamica_R!$A$5,
"[Calendario].[AñoMes]",
"[Calendario].[AñoMes].&amp;[" &amp; TEXT(AQ$6,"yyyymm")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R77" s="8">
        <f>IFERROR(
GETPIVOTDATA(
"[Base].[Importe]",
TDinamica_R!$A$5,
"[Calendario].[AñoMes]",
"[Calendario].[AñoMes].&amp;[" &amp; TEXT(AR$6,"yyyymm")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S77" s="8">
        <f>IFERROR(
GETPIVOTDATA(
"[Base].[Importe]",
TDinamica_R!$A$5,
"[Calendario].[AñoMes]",
"[Calendario].[AñoMes].&amp;[" &amp; TEXT(AS$6,"yyyymm")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T77" s="8">
        <f>IFERROR(
GETPIVOTDATA(
"[Base].[Importe]",
TDinamica_R!$A$5,
"[Calendario].[AñoMes]",
"[Calendario].[AñoMes].&amp;[" &amp; TEXT(AT$6,"yyyymm")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U77" s="8">
        <f>IFERROR(
GETPIVOTDATA(
"[Base].[Importe]",
TDinamica_R!$A$5,
"[Calendario].[AñoMes]",
"[Calendario].[AñoMes].&amp;[" &amp; TEXT(AU$6,"yyyymm")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V77" s="8">
        <f>IFERROR(
GETPIVOTDATA(
"[Base].[Importe]",
TDinamica_R!$A$5,
"[Calendario].[AñoMes]",
"[Calendario].[AñoMes].&amp;[" &amp; TEXT(AV$6,"yyyymm")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W77" s="8">
        <f>IFERROR(
GETPIVOTDATA(
"[Base].[Importe]",
TDinamica_R!$A$5,
"[Calendario].[AñoMes]",
"[Calendario].[AñoMes].&amp;[" &amp; TEXT(AW$6,"yyyymm")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X77" s="8">
        <f>IFERROR(
GETPIVOTDATA(
"[Base].[Importe]",
TDinamica_R!$A$5,
"[Calendario].[AñoMes]",
"[Calendario].[AñoMes].&amp;[" &amp; TEXT(AX$6,"yyyymm")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Y77" s="8">
        <f>IFERROR(
GETPIVOTDATA(
"[Base].[Importe]",
TDinamica_R!$A$5,
"[Calendario].[AñoMes]",
"[Calendario].[AñoMes].&amp;[" &amp; TEXT(AY$6,"yyyymm")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Z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TEXT(AZ$6,"yyyymm") &amp; "]"
),
0
)</f>
        <v>0</v>
      </c>
      <c r="BA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TEXT(BA$6,"yyyymm") &amp; "]"
),
0
)</f>
        <v>0</v>
      </c>
      <c r="BB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TEXT(BB$6,"yyyymm") &amp; "]"
),
0
)</f>
        <v>0</v>
      </c>
      <c r="BC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TEXT(BC$6,"yyyymm") &amp; "]"
),
0
)</f>
        <v>0</v>
      </c>
      <c r="BD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TEXT(BD$6,"yyyymm") &amp; "]"
),
0
)</f>
        <v>0</v>
      </c>
      <c r="BE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TEXT(BE$6,"yyyymm") &amp; "]"
),
0
)</f>
        <v>0</v>
      </c>
      <c r="BF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TEXT(BF$6,"yyyymm") &amp; "]"
),
0
)</f>
        <v>0</v>
      </c>
      <c r="BG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TEXT(BG$6,"yyyymm") &amp; "]"
),
0
)</f>
        <v>0</v>
      </c>
      <c r="BH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TEXT(BH$6,"yyyymm") &amp; "]"
),
0
)</f>
        <v>0</v>
      </c>
      <c r="BI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TEXT(BI$6,"yyyymm") &amp; "]"
),
0
)</f>
        <v>0</v>
      </c>
      <c r="BJ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TEXT(BJ$6,"yyyymm") &amp; "]"
),
0
)</f>
        <v>0</v>
      </c>
      <c r="BK77" s="8">
        <f>IFERROR(
GETPIVOTDATA(
"[Base_PPE].[Importe]",
TDinamica_P!$A$4,
"[Base_PPE].[Metrica]",
"[Base_PPE].[Metrica].&amp;[" &amp; TRIM($A77) &amp; "]",
"[Base_PPE].[SITUACION]",
"[Base_PPE].[SITUACION].&amp;[" &amp; TRIM($C77) &amp; "]",
"[Base_PPE].[SEGMENTO_DESCRIP]",
"[Base_PPE].[SEGMENTO_DESCRIP].&amp;[" &amp; TRIM($C$6) &amp; "]",
"[Base_PPE].[Periodo]",
"[Base_PPE].[Periodo].&amp;[" &amp; TEXT(BK$6,"yyyymm") &amp; "]"
),
0
)</f>
        <v>0</v>
      </c>
      <c r="BO77" s="24">
        <f t="shared" si="65"/>
        <v>0</v>
      </c>
      <c r="BP77" s="24">
        <f t="shared" si="65"/>
        <v>0</v>
      </c>
      <c r="BQ77" s="24">
        <f t="shared" si="65"/>
        <v>0</v>
      </c>
      <c r="BR77" s="24">
        <f t="shared" si="65"/>
        <v>0</v>
      </c>
      <c r="BS77" s="24">
        <f t="shared" si="65"/>
        <v>0</v>
      </c>
      <c r="BT77" s="24">
        <f t="shared" si="65"/>
        <v>0</v>
      </c>
    </row>
    <row r="78" spans="1:72" hidden="1" outlineLevel="1" x14ac:dyDescent="0.25">
      <c r="A78" s="11" t="s">
        <v>71</v>
      </c>
      <c r="C78" s="2"/>
      <c r="D78" s="8">
        <f>IFERROR(
GETPIVOTDATA(
"[Base].[Importe]",
TDinamica_R!$A$5,
"[Calendario].[AñoMes]",
"[Calendario].[AñoMes].&amp;[" &amp; TEXT(D$6,"yyyymm")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E78" s="8">
        <f>IFERROR(
GETPIVOTDATA(
"[Base].[Importe]",
TDinamica_R!$A$5,
"[Calendario].[AñoMes]",
"[Calendario].[AñoMes].&amp;[" &amp; TEXT(E$6,"yyyymm")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F78" s="8">
        <f>IFERROR(
GETPIVOTDATA(
"[Base].[Importe]",
TDinamica_R!$A$5,
"[Calendario].[AñoMes]",
"[Calendario].[AñoMes].&amp;[" &amp; TEXT(F$6,"yyyymm")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G78" s="8">
        <f>IFERROR(
GETPIVOTDATA(
"[Base].[Importe]",
TDinamica_R!$A$5,
"[Calendario].[AñoMes]",
"[Calendario].[AñoMes].&amp;[" &amp; TEXT(G$6,"yyyymm")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H78" s="8">
        <f>IFERROR(
GETPIVOTDATA(
"[Base].[Importe]",
TDinamica_R!$A$5,
"[Calendario].[AñoMes]",
"[Calendario].[AñoMes].&amp;[" &amp; TEXT(H$6,"yyyymm")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I78" s="8">
        <f>IFERROR(
GETPIVOTDATA(
"[Base].[Importe]",
TDinamica_R!$A$5,
"[Calendario].[AñoMes]",
"[Calendario].[AñoMes].&amp;[" &amp; TEXT(I$6,"yyyymm")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J78" s="8">
        <f>IFERROR(
GETPIVOTDATA(
"[Base].[Importe]",
TDinamica_R!$A$5,
"[Calendario].[AñoMes]",
"[Calendario].[AñoMes].&amp;[" &amp; TEXT(J$6,"yyyymm")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K78" s="8">
        <f>IFERROR(
GETPIVOTDATA(
"[Base].[Importe]",
TDinamica_R!$A$5,
"[Calendario].[AñoMes]",
"[Calendario].[AñoMes].&amp;[" &amp; TEXT(K$6,"yyyymm")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L78" s="8">
        <f>IFERROR(
GETPIVOTDATA(
"[Base].[Importe]",
TDinamica_R!$A$5,
"[Calendario].[AñoMes]",
"[Calendario].[AñoMes].&amp;[" &amp; TEXT(L$6,"yyyymm")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M78" s="8">
        <f>IFERROR(
GETPIVOTDATA(
"[Base].[Importe]",
TDinamica_R!$A$5,
"[Calendario].[AñoMes]",
"[Calendario].[AñoMes].&amp;[" &amp; TEXT(M$6,"yyyymm")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N78" s="8">
        <f>IFERROR(
GETPIVOTDATA(
"[Base].[Importe]",
TDinamica_R!$A$5,
"[Calendario].[AñoMes]",
"[Calendario].[AñoMes].&amp;[" &amp; TEXT(N$6,"yyyymm")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O78" s="8">
        <f>IFERROR(
GETPIVOTDATA(
"[Base].[Importe]",
TDinamica_R!$A$5,
"[Calendario].[AñoMes]",
"[Calendario].[AñoMes].&amp;[" &amp; TEXT(O$6,"yyyymm")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P78" s="8">
        <f>IFERROR(
GETPIVOTDATA(
"[Base].[Importe]",
TDinamica_R!$A$5,
"[Calendario].[AñoMes]",
"[Calendario].[AñoMes].&amp;[" &amp; TEXT(P$6,"yyyymm")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Q78" s="8">
        <f>IFERROR(
GETPIVOTDATA(
"[Base].[Importe]",
TDinamica_R!$A$5,
"[Calendario].[AñoMes]",
"[Calendario].[AñoMes].&amp;[" &amp; TEXT(Q$6,"yyyymm")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R78" s="8">
        <f>IFERROR(
GETPIVOTDATA(
"[Base].[Importe]",
TDinamica_R!$A$5,
"[Calendario].[AñoMes]",
"[Calendario].[AñoMes].&amp;[" &amp; TEXT(R$6,"yyyymm")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S78" s="8">
        <f>IFERROR(
GETPIVOTDATA(
"[Base].[Importe]",
TDinamica_R!$A$5,
"[Calendario].[AñoMes]",
"[Calendario].[AñoMes].&amp;[" &amp; TEXT(S$6,"yyyymm")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T78" s="8">
        <f>IFERROR(
GETPIVOTDATA(
"[Base].[Importe]",
TDinamica_R!$A$5,
"[Calendario].[AñoMes]",
"[Calendario].[AñoMes].&amp;[" &amp; TEXT(T$6,"yyyymm")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U78" s="8">
        <f>IFERROR(
GETPIVOTDATA(
"[Base].[Importe]",
TDinamica_R!$A$5,
"[Calendario].[AñoMes]",
"[Calendario].[AñoMes].&amp;[" &amp; TEXT(U$6,"yyyymm")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V78" s="8">
        <f>IFERROR(
GETPIVOTDATA(
"[Base].[Importe]",
TDinamica_R!$A$5,
"[Calendario].[AñoMes]",
"[Calendario].[AñoMes].&amp;[" &amp; TEXT(V$6,"yyyymm")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W78" s="8">
        <f>IFERROR(
GETPIVOTDATA(
"[Base].[Importe]",
TDinamica_R!$A$5,
"[Calendario].[AñoMes]",
"[Calendario].[AñoMes].&amp;[" &amp; TEXT(W$6,"yyyymm")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X78" s="8">
        <f>IFERROR(
GETPIVOTDATA(
"[Base].[Importe]",
TDinamica_R!$A$5,
"[Calendario].[AñoMes]",
"[Calendario].[AñoMes].&amp;[" &amp; TEXT(X$6,"yyyymm")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Y78" s="8">
        <f>IFERROR(
GETPIVOTDATA(
"[Base].[Importe]",
TDinamica_R!$A$5,
"[Calendario].[AñoMes]",
"[Calendario].[AñoMes].&amp;[" &amp; TEXT(Y$6,"yyyymm")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Z78" s="8">
        <f>IFERROR(
GETPIVOTDATA(
"[Base].[Importe]",
TDinamica_R!$A$5,
"[Calendario].[AñoMes]",
"[Calendario].[AñoMes].&amp;[" &amp; TEXT(Z$6,"yyyymm")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A78" s="8">
        <f>IFERROR(
GETPIVOTDATA(
"[Base].[Importe]",
TDinamica_R!$A$5,
"[Calendario].[AñoMes]",
"[Calendario].[AñoMes].&amp;[" &amp; TEXT(AA$6,"yyyymm")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B78" s="8">
        <f>IFERROR(
GETPIVOTDATA(
"[Base].[Importe]",
TDinamica_R!$A$5,
"[Calendario].[AñoMes]",
"[Calendario].[AñoMes].&amp;[" &amp; TEXT(AB$6,"yyyymm")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C78" s="8">
        <f>IFERROR(
GETPIVOTDATA(
"[Base].[Importe]",
TDinamica_R!$A$5,
"[Calendario].[AñoMes]",
"[Calendario].[AñoMes].&amp;[" &amp; TEXT(AC$6,"yyyymm")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D78" s="8">
        <f>IFERROR(
GETPIVOTDATA(
"[Base].[Importe]",
TDinamica_R!$A$5,
"[Calendario].[AñoMes]",
"[Calendario].[AñoMes].&amp;[" &amp; TEXT(AD$6,"yyyymm")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E78" s="8">
        <f>IFERROR(
GETPIVOTDATA(
"[Base].[Importe]",
TDinamica_R!$A$5,
"[Calendario].[AñoMes]",
"[Calendario].[AñoMes].&amp;[" &amp; TEXT(AE$6,"yyyymm")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F78" s="8">
        <f>IFERROR(
GETPIVOTDATA(
"[Base].[Importe]",
TDinamica_R!$A$5,
"[Calendario].[AñoMes]",
"[Calendario].[AñoMes].&amp;[" &amp; TEXT(AF$6,"yyyymm")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G78" s="8">
        <f>IFERROR(
GETPIVOTDATA(
"[Base].[Importe]",
TDinamica_R!$A$5,
"[Calendario].[AñoMes]",
"[Calendario].[AñoMes].&amp;[" &amp; TEXT(AG$6,"yyyymm")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H78" s="8">
        <f>IFERROR(
GETPIVOTDATA(
"[Base].[Importe]",
TDinamica_R!$A$5,
"[Calendario].[AñoMes]",
"[Calendario].[AñoMes].&amp;[" &amp; TEXT(AH$6,"yyyymm")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I78" s="8">
        <f>IFERROR(
GETPIVOTDATA(
"[Base].[Importe]",
TDinamica_R!$A$5,
"[Calendario].[AñoMes]",
"[Calendario].[AñoMes].&amp;[" &amp; TEXT(AI$6,"yyyymm")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J78" s="8">
        <f>IFERROR(
GETPIVOTDATA(
"[Base].[Importe]",
TDinamica_R!$A$5,
"[Calendario].[AñoMes]",
"[Calendario].[AñoMes].&amp;[" &amp; TEXT(AJ$6,"yyyymm")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K78" s="8">
        <f>IFERROR(
GETPIVOTDATA(
"[Base].[Importe]",
TDinamica_R!$A$5,
"[Calendario].[AñoMes]",
"[Calendario].[AñoMes].&amp;[" &amp; TEXT(AK$6,"yyyymm")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L78" s="8">
        <f>IFERROR(
GETPIVOTDATA(
"[Base].[Importe]",
TDinamica_R!$A$5,
"[Calendario].[AñoMes]",
"[Calendario].[AñoMes].&amp;[" &amp; TEXT(AL$6,"yyyymm")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M78" s="8">
        <f>IFERROR(
GETPIVOTDATA(
"[Base].[Importe]",
TDinamica_R!$A$5,
"[Calendario].[AñoMes]",
"[Calendario].[AñoMes].&amp;[" &amp; TEXT(AM$6,"yyyymm")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N78" s="8">
        <f>IFERROR(
GETPIVOTDATA(
"[Base].[Importe]",
TDinamica_R!$A$5,
"[Calendario].[AñoMes]",
"[Calendario].[AñoMes].&amp;[" &amp; TEXT(AN$6,"yyyymm")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O78" s="8">
        <f>IFERROR(
GETPIVOTDATA(
"[Base].[Importe]",
TDinamica_R!$A$5,
"[Calendario].[AñoMes]",
"[Calendario].[AñoMes].&amp;[" &amp; TEXT(AO$6,"yyyymm")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P78" s="8">
        <f>IFERROR(
GETPIVOTDATA(
"[Base].[Importe]",
TDinamica_R!$A$5,
"[Calendario].[AñoMes]",
"[Calendario].[AñoMes].&amp;[" &amp; TEXT(AP$6,"yyyymm")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Q78" s="8">
        <f>IFERROR(
GETPIVOTDATA(
"[Base].[Importe]",
TDinamica_R!$A$5,
"[Calendario].[AñoMes]",
"[Calendario].[AñoMes].&amp;[" &amp; TEXT(AQ$6,"yyyymm")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R78" s="8">
        <f>IFERROR(
GETPIVOTDATA(
"[Base].[Importe]",
TDinamica_R!$A$5,
"[Calendario].[AñoMes]",
"[Calendario].[AñoMes].&amp;[" &amp; TEXT(AR$6,"yyyymm")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S78" s="8">
        <f>IFERROR(
GETPIVOTDATA(
"[Base].[Importe]",
TDinamica_R!$A$5,
"[Calendario].[AñoMes]",
"[Calendario].[AñoMes].&amp;[" &amp; TEXT(AS$6,"yyyymm")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T78" s="8">
        <f>IFERROR(
GETPIVOTDATA(
"[Base].[Importe]",
TDinamica_R!$A$5,
"[Calendario].[AñoMes]",
"[Calendario].[AñoMes].&amp;[" &amp; TEXT(AT$6,"yyyymm")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U78" s="8">
        <f>IFERROR(
GETPIVOTDATA(
"[Base].[Importe]",
TDinamica_R!$A$5,
"[Calendario].[AñoMes]",
"[Calendario].[AñoMes].&amp;[" &amp; TEXT(AU$6,"yyyymm")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V78" s="8">
        <f>IFERROR(
GETPIVOTDATA(
"[Base].[Importe]",
TDinamica_R!$A$5,
"[Calendario].[AñoMes]",
"[Calendario].[AñoMes].&amp;[" &amp; TEXT(AV$6,"yyyymm")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W78" s="8">
        <f>IFERROR(
GETPIVOTDATA(
"[Base].[Importe]",
TDinamica_R!$A$5,
"[Calendario].[AñoMes]",
"[Calendario].[AñoMes].&amp;[" &amp; TEXT(AW$6,"yyyymm")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X78" s="8">
        <f>IFERROR(
GETPIVOTDATA(
"[Base].[Importe]",
TDinamica_R!$A$5,
"[Calendario].[AñoMes]",
"[Calendario].[AñoMes].&amp;[" &amp; TEXT(AX$6,"yyyymm")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Y78" s="8">
        <f>IFERROR(
GETPIVOTDATA(
"[Base].[Importe]",
TDinamica_R!$A$5,
"[Calendario].[AñoMes]",
"[Calendario].[AñoMes].&amp;[" &amp; TEXT(AY$6,"yyyymm")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Z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TEXT(AZ$6,"yyyymm") &amp; "]"
),
0
)</f>
        <v>0</v>
      </c>
      <c r="BA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TEXT(BA$6,"yyyymm") &amp; "]"
),
0
)</f>
        <v>0</v>
      </c>
      <c r="BB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TEXT(BB$6,"yyyymm") &amp; "]"
),
0
)</f>
        <v>0</v>
      </c>
      <c r="BC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TEXT(BC$6,"yyyymm") &amp; "]"
),
0
)</f>
        <v>0</v>
      </c>
      <c r="BD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TEXT(BD$6,"yyyymm") &amp; "]"
),
0
)</f>
        <v>0</v>
      </c>
      <c r="BE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TEXT(BE$6,"yyyymm") &amp; "]"
),
0
)</f>
        <v>0</v>
      </c>
      <c r="BF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TEXT(BF$6,"yyyymm") &amp; "]"
),
0
)</f>
        <v>0</v>
      </c>
      <c r="BG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TEXT(BG$6,"yyyymm") &amp; "]"
),
0
)</f>
        <v>0</v>
      </c>
      <c r="BH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TEXT(BH$6,"yyyymm") &amp; "]"
),
0
)</f>
        <v>0</v>
      </c>
      <c r="BI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TEXT(BI$6,"yyyymm") &amp; "]"
),
0
)</f>
        <v>0</v>
      </c>
      <c r="BJ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TEXT(BJ$6,"yyyymm") &amp; "]"
),
0
)</f>
        <v>0</v>
      </c>
      <c r="BK78" s="8">
        <f>IFERROR(
GETPIVOTDATA(
"[Base_PPE].[Importe]",
TDinamica_P!$A$4,
"[Base_PPE].[Metrica]",
"[Base_PPE].[Metrica].&amp;[" &amp; TRIM($A78) &amp; "]",
"[Base_PPE].[SITUACION]",
"[Base_PPE].[SITUACION].&amp;[" &amp; TRIM($C78) &amp; "]",
"[Base_PPE].[SEGMENTO_DESCRIP]",
"[Base_PPE].[SEGMENTO_DESCRIP].&amp;[" &amp; TRIM($C$6) &amp; "]",
"[Base_PPE].[Periodo]",
"[Base_PPE].[Periodo].&amp;[" &amp; TEXT(BK$6,"yyyymm") &amp; "]"
),
0
)</f>
        <v>0</v>
      </c>
      <c r="BO78" s="24">
        <f t="shared" si="65"/>
        <v>0</v>
      </c>
      <c r="BP78" s="24">
        <f t="shared" si="65"/>
        <v>0</v>
      </c>
      <c r="BQ78" s="24">
        <f t="shared" si="65"/>
        <v>0</v>
      </c>
      <c r="BR78" s="24">
        <f t="shared" si="65"/>
        <v>0</v>
      </c>
      <c r="BS78" s="24">
        <f t="shared" si="65"/>
        <v>0</v>
      </c>
      <c r="BT78" s="24">
        <f t="shared" si="65"/>
        <v>0</v>
      </c>
    </row>
    <row r="79" spans="1:72" hidden="1" outlineLevel="1" x14ac:dyDescent="0.25">
      <c r="A79" s="11" t="s">
        <v>71</v>
      </c>
      <c r="C79" s="2"/>
      <c r="D79" s="8">
        <f>IFERROR(
GETPIVOTDATA(
"[Base].[Importe]",
TDinamica_R!$A$5,
"[Calendario].[AñoMes]",
"[Calendario].[AñoMes].&amp;[" &amp; TEXT(D$6,"yyyymm")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E79" s="8">
        <f>IFERROR(
GETPIVOTDATA(
"[Base].[Importe]",
TDinamica_R!$A$5,
"[Calendario].[AñoMes]",
"[Calendario].[AñoMes].&amp;[" &amp; TEXT(E$6,"yyyymm")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F79" s="8">
        <f>IFERROR(
GETPIVOTDATA(
"[Base].[Importe]",
TDinamica_R!$A$5,
"[Calendario].[AñoMes]",
"[Calendario].[AñoMes].&amp;[" &amp; TEXT(F$6,"yyyymm")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G79" s="8">
        <f>IFERROR(
GETPIVOTDATA(
"[Base].[Importe]",
TDinamica_R!$A$5,
"[Calendario].[AñoMes]",
"[Calendario].[AñoMes].&amp;[" &amp; TEXT(G$6,"yyyymm")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H79" s="8">
        <f>IFERROR(
GETPIVOTDATA(
"[Base].[Importe]",
TDinamica_R!$A$5,
"[Calendario].[AñoMes]",
"[Calendario].[AñoMes].&amp;[" &amp; TEXT(H$6,"yyyymm")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I79" s="8">
        <f>IFERROR(
GETPIVOTDATA(
"[Base].[Importe]",
TDinamica_R!$A$5,
"[Calendario].[AñoMes]",
"[Calendario].[AñoMes].&amp;[" &amp; TEXT(I$6,"yyyymm")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J79" s="8">
        <f>IFERROR(
GETPIVOTDATA(
"[Base].[Importe]",
TDinamica_R!$A$5,
"[Calendario].[AñoMes]",
"[Calendario].[AñoMes].&amp;[" &amp; TEXT(J$6,"yyyymm")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K79" s="8">
        <f>IFERROR(
GETPIVOTDATA(
"[Base].[Importe]",
TDinamica_R!$A$5,
"[Calendario].[AñoMes]",
"[Calendario].[AñoMes].&amp;[" &amp; TEXT(K$6,"yyyymm")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L79" s="8">
        <f>IFERROR(
GETPIVOTDATA(
"[Base].[Importe]",
TDinamica_R!$A$5,
"[Calendario].[AñoMes]",
"[Calendario].[AñoMes].&amp;[" &amp; TEXT(L$6,"yyyymm")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M79" s="8">
        <f>IFERROR(
GETPIVOTDATA(
"[Base].[Importe]",
TDinamica_R!$A$5,
"[Calendario].[AñoMes]",
"[Calendario].[AñoMes].&amp;[" &amp; TEXT(M$6,"yyyymm")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N79" s="8">
        <f>IFERROR(
GETPIVOTDATA(
"[Base].[Importe]",
TDinamica_R!$A$5,
"[Calendario].[AñoMes]",
"[Calendario].[AñoMes].&amp;[" &amp; TEXT(N$6,"yyyymm")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O79" s="8">
        <f>IFERROR(
GETPIVOTDATA(
"[Base].[Importe]",
TDinamica_R!$A$5,
"[Calendario].[AñoMes]",
"[Calendario].[AñoMes].&amp;[" &amp; TEXT(O$6,"yyyymm")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P79" s="8">
        <f>IFERROR(
GETPIVOTDATA(
"[Base].[Importe]",
TDinamica_R!$A$5,
"[Calendario].[AñoMes]",
"[Calendario].[AñoMes].&amp;[" &amp; TEXT(P$6,"yyyymm")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Q79" s="8">
        <f>IFERROR(
GETPIVOTDATA(
"[Base].[Importe]",
TDinamica_R!$A$5,
"[Calendario].[AñoMes]",
"[Calendario].[AñoMes].&amp;[" &amp; TEXT(Q$6,"yyyymm")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R79" s="8">
        <f>IFERROR(
GETPIVOTDATA(
"[Base].[Importe]",
TDinamica_R!$A$5,
"[Calendario].[AñoMes]",
"[Calendario].[AñoMes].&amp;[" &amp; TEXT(R$6,"yyyymm")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S79" s="8">
        <f>IFERROR(
GETPIVOTDATA(
"[Base].[Importe]",
TDinamica_R!$A$5,
"[Calendario].[AñoMes]",
"[Calendario].[AñoMes].&amp;[" &amp; TEXT(S$6,"yyyymm")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T79" s="8">
        <f>IFERROR(
GETPIVOTDATA(
"[Base].[Importe]",
TDinamica_R!$A$5,
"[Calendario].[AñoMes]",
"[Calendario].[AñoMes].&amp;[" &amp; TEXT(T$6,"yyyymm")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U79" s="8">
        <f>IFERROR(
GETPIVOTDATA(
"[Base].[Importe]",
TDinamica_R!$A$5,
"[Calendario].[AñoMes]",
"[Calendario].[AñoMes].&amp;[" &amp; TEXT(U$6,"yyyymm")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V79" s="8">
        <f>IFERROR(
GETPIVOTDATA(
"[Base].[Importe]",
TDinamica_R!$A$5,
"[Calendario].[AñoMes]",
"[Calendario].[AñoMes].&amp;[" &amp; TEXT(V$6,"yyyymm")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W79" s="8">
        <f>IFERROR(
GETPIVOTDATA(
"[Base].[Importe]",
TDinamica_R!$A$5,
"[Calendario].[AñoMes]",
"[Calendario].[AñoMes].&amp;[" &amp; TEXT(W$6,"yyyymm")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X79" s="8">
        <f>IFERROR(
GETPIVOTDATA(
"[Base].[Importe]",
TDinamica_R!$A$5,
"[Calendario].[AñoMes]",
"[Calendario].[AñoMes].&amp;[" &amp; TEXT(X$6,"yyyymm")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Y79" s="8">
        <f>IFERROR(
GETPIVOTDATA(
"[Base].[Importe]",
TDinamica_R!$A$5,
"[Calendario].[AñoMes]",
"[Calendario].[AñoMes].&amp;[" &amp; TEXT(Y$6,"yyyymm")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Z79" s="8">
        <f>IFERROR(
GETPIVOTDATA(
"[Base].[Importe]",
TDinamica_R!$A$5,
"[Calendario].[AñoMes]",
"[Calendario].[AñoMes].&amp;[" &amp; TEXT(Z$6,"yyyymm")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A79" s="8">
        <f>IFERROR(
GETPIVOTDATA(
"[Base].[Importe]",
TDinamica_R!$A$5,
"[Calendario].[AñoMes]",
"[Calendario].[AñoMes].&amp;[" &amp; TEXT(AA$6,"yyyymm")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B79" s="8">
        <f>IFERROR(
GETPIVOTDATA(
"[Base].[Importe]",
TDinamica_R!$A$5,
"[Calendario].[AñoMes]",
"[Calendario].[AñoMes].&amp;[" &amp; TEXT(AB$6,"yyyymm")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C79" s="8">
        <f>IFERROR(
GETPIVOTDATA(
"[Base].[Importe]",
TDinamica_R!$A$5,
"[Calendario].[AñoMes]",
"[Calendario].[AñoMes].&amp;[" &amp; TEXT(AC$6,"yyyymm")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D79" s="8">
        <f>IFERROR(
GETPIVOTDATA(
"[Base].[Importe]",
TDinamica_R!$A$5,
"[Calendario].[AñoMes]",
"[Calendario].[AñoMes].&amp;[" &amp; TEXT(AD$6,"yyyymm")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E79" s="8">
        <f>IFERROR(
GETPIVOTDATA(
"[Base].[Importe]",
TDinamica_R!$A$5,
"[Calendario].[AñoMes]",
"[Calendario].[AñoMes].&amp;[" &amp; TEXT(AE$6,"yyyymm")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F79" s="8">
        <f>IFERROR(
GETPIVOTDATA(
"[Base].[Importe]",
TDinamica_R!$A$5,
"[Calendario].[AñoMes]",
"[Calendario].[AñoMes].&amp;[" &amp; TEXT(AF$6,"yyyymm")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G79" s="8">
        <f>IFERROR(
GETPIVOTDATA(
"[Base].[Importe]",
TDinamica_R!$A$5,
"[Calendario].[AñoMes]",
"[Calendario].[AñoMes].&amp;[" &amp; TEXT(AG$6,"yyyymm")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H79" s="8">
        <f>IFERROR(
GETPIVOTDATA(
"[Base].[Importe]",
TDinamica_R!$A$5,
"[Calendario].[AñoMes]",
"[Calendario].[AñoMes].&amp;[" &amp; TEXT(AH$6,"yyyymm")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I79" s="8">
        <f>IFERROR(
GETPIVOTDATA(
"[Base].[Importe]",
TDinamica_R!$A$5,
"[Calendario].[AñoMes]",
"[Calendario].[AñoMes].&amp;[" &amp; TEXT(AI$6,"yyyymm")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J79" s="8">
        <f>IFERROR(
GETPIVOTDATA(
"[Base].[Importe]",
TDinamica_R!$A$5,
"[Calendario].[AñoMes]",
"[Calendario].[AñoMes].&amp;[" &amp; TEXT(AJ$6,"yyyymm")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K79" s="8">
        <f>IFERROR(
GETPIVOTDATA(
"[Base].[Importe]",
TDinamica_R!$A$5,
"[Calendario].[AñoMes]",
"[Calendario].[AñoMes].&amp;[" &amp; TEXT(AK$6,"yyyymm")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L79" s="8">
        <f>IFERROR(
GETPIVOTDATA(
"[Base].[Importe]",
TDinamica_R!$A$5,
"[Calendario].[AñoMes]",
"[Calendario].[AñoMes].&amp;[" &amp; TEXT(AL$6,"yyyymm")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M79" s="8">
        <f>IFERROR(
GETPIVOTDATA(
"[Base].[Importe]",
TDinamica_R!$A$5,
"[Calendario].[AñoMes]",
"[Calendario].[AñoMes].&amp;[" &amp; TEXT(AM$6,"yyyymm")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N79" s="8">
        <f>IFERROR(
GETPIVOTDATA(
"[Base].[Importe]",
TDinamica_R!$A$5,
"[Calendario].[AñoMes]",
"[Calendario].[AñoMes].&amp;[" &amp; TEXT(AN$6,"yyyymm")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O79" s="8">
        <f>IFERROR(
GETPIVOTDATA(
"[Base].[Importe]",
TDinamica_R!$A$5,
"[Calendario].[AñoMes]",
"[Calendario].[AñoMes].&amp;[" &amp; TEXT(AO$6,"yyyymm")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P79" s="8">
        <f>IFERROR(
GETPIVOTDATA(
"[Base].[Importe]",
TDinamica_R!$A$5,
"[Calendario].[AñoMes]",
"[Calendario].[AñoMes].&amp;[" &amp; TEXT(AP$6,"yyyymm")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Q79" s="8">
        <f>IFERROR(
GETPIVOTDATA(
"[Base].[Importe]",
TDinamica_R!$A$5,
"[Calendario].[AñoMes]",
"[Calendario].[AñoMes].&amp;[" &amp; TEXT(AQ$6,"yyyymm")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R79" s="8">
        <f>IFERROR(
GETPIVOTDATA(
"[Base].[Importe]",
TDinamica_R!$A$5,
"[Calendario].[AñoMes]",
"[Calendario].[AñoMes].&amp;[" &amp; TEXT(AR$6,"yyyymm")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S79" s="8">
        <f>IFERROR(
GETPIVOTDATA(
"[Base].[Importe]",
TDinamica_R!$A$5,
"[Calendario].[AñoMes]",
"[Calendario].[AñoMes].&amp;[" &amp; TEXT(AS$6,"yyyymm")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T79" s="8">
        <f>IFERROR(
GETPIVOTDATA(
"[Base].[Importe]",
TDinamica_R!$A$5,
"[Calendario].[AñoMes]",
"[Calendario].[AñoMes].&amp;[" &amp; TEXT(AT$6,"yyyymm")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U79" s="8">
        <f>IFERROR(
GETPIVOTDATA(
"[Base].[Importe]",
TDinamica_R!$A$5,
"[Calendario].[AñoMes]",
"[Calendario].[AñoMes].&amp;[" &amp; TEXT(AU$6,"yyyymm")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V79" s="8">
        <f>IFERROR(
GETPIVOTDATA(
"[Base].[Importe]",
TDinamica_R!$A$5,
"[Calendario].[AñoMes]",
"[Calendario].[AñoMes].&amp;[" &amp; TEXT(AV$6,"yyyymm")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W79" s="8">
        <f>IFERROR(
GETPIVOTDATA(
"[Base].[Importe]",
TDinamica_R!$A$5,
"[Calendario].[AñoMes]",
"[Calendario].[AñoMes].&amp;[" &amp; TEXT(AW$6,"yyyymm")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X79" s="8">
        <f>IFERROR(
GETPIVOTDATA(
"[Base].[Importe]",
TDinamica_R!$A$5,
"[Calendario].[AñoMes]",
"[Calendario].[AñoMes].&amp;[" &amp; TEXT(AX$6,"yyyymm")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Y79" s="8">
        <f>IFERROR(
GETPIVOTDATA(
"[Base].[Importe]",
TDinamica_R!$A$5,
"[Calendario].[AñoMes]",
"[Calendario].[AñoMes].&amp;[" &amp; TEXT(AY$6,"yyyymm")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Z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TEXT(AZ$6,"yyyymm") &amp; "]"
),
0
)</f>
        <v>0</v>
      </c>
      <c r="BA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TEXT(BA$6,"yyyymm") &amp; "]"
),
0
)</f>
        <v>0</v>
      </c>
      <c r="BB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TEXT(BB$6,"yyyymm") &amp; "]"
),
0
)</f>
        <v>0</v>
      </c>
      <c r="BC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TEXT(BC$6,"yyyymm") &amp; "]"
),
0
)</f>
        <v>0</v>
      </c>
      <c r="BD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TEXT(BD$6,"yyyymm") &amp; "]"
),
0
)</f>
        <v>0</v>
      </c>
      <c r="BE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TEXT(BE$6,"yyyymm") &amp; "]"
),
0
)</f>
        <v>0</v>
      </c>
      <c r="BF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TEXT(BF$6,"yyyymm") &amp; "]"
),
0
)</f>
        <v>0</v>
      </c>
      <c r="BG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TEXT(BG$6,"yyyymm") &amp; "]"
),
0
)</f>
        <v>0</v>
      </c>
      <c r="BH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TEXT(BH$6,"yyyymm") &amp; "]"
),
0
)</f>
        <v>0</v>
      </c>
      <c r="BI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TEXT(BI$6,"yyyymm") &amp; "]"
),
0
)</f>
        <v>0</v>
      </c>
      <c r="BJ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TEXT(BJ$6,"yyyymm") &amp; "]"
),
0
)</f>
        <v>0</v>
      </c>
      <c r="BK79" s="8">
        <f>IFERROR(
GETPIVOTDATA(
"[Base_PPE].[Importe]",
TDinamica_P!$A$4,
"[Base_PPE].[Metrica]",
"[Base_PPE].[Metrica].&amp;[" &amp; TRIM($A79) &amp; "]",
"[Base_PPE].[SITUACION]",
"[Base_PPE].[SITUACION].&amp;[" &amp; TRIM($C79) &amp; "]",
"[Base_PPE].[SEGMENTO_DESCRIP]",
"[Base_PPE].[SEGMENTO_DESCRIP].&amp;[" &amp; TRIM($C$6) &amp; "]",
"[Base_PPE].[Periodo]",
"[Base_PPE].[Periodo].&amp;[" &amp; TEXT(BK$6,"yyyymm") &amp; "]"
),
0
)</f>
        <v>0</v>
      </c>
      <c r="BO79" s="24">
        <f t="shared" si="65"/>
        <v>0</v>
      </c>
      <c r="BP79" s="24">
        <f t="shared" si="65"/>
        <v>0</v>
      </c>
      <c r="BQ79" s="24">
        <f t="shared" si="65"/>
        <v>0</v>
      </c>
      <c r="BR79" s="24">
        <f t="shared" si="65"/>
        <v>0</v>
      </c>
      <c r="BS79" s="24">
        <f t="shared" si="65"/>
        <v>0</v>
      </c>
      <c r="BT79" s="24">
        <f t="shared" si="65"/>
        <v>0</v>
      </c>
    </row>
    <row r="80" spans="1:72" hidden="1" outlineLevel="1" x14ac:dyDescent="0.25">
      <c r="A80" s="11" t="s">
        <v>71</v>
      </c>
      <c r="C80" s="2"/>
      <c r="D80" s="8">
        <f>IFERROR(
GETPIVOTDATA(
"[Base].[Importe]",
TDinamica_R!$A$5,
"[Calendario].[AñoMes]",
"[Calendario].[AñoMes].&amp;[" &amp; TEXT(D$6,"yyyymm")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E80" s="8">
        <f>IFERROR(
GETPIVOTDATA(
"[Base].[Importe]",
TDinamica_R!$A$5,
"[Calendario].[AñoMes]",
"[Calendario].[AñoMes].&amp;[" &amp; TEXT(E$6,"yyyymm")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F80" s="8">
        <f>IFERROR(
GETPIVOTDATA(
"[Base].[Importe]",
TDinamica_R!$A$5,
"[Calendario].[AñoMes]",
"[Calendario].[AñoMes].&amp;[" &amp; TEXT(F$6,"yyyymm")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G80" s="8">
        <f>IFERROR(
GETPIVOTDATA(
"[Base].[Importe]",
TDinamica_R!$A$5,
"[Calendario].[AñoMes]",
"[Calendario].[AñoMes].&amp;[" &amp; TEXT(G$6,"yyyymm")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H80" s="8">
        <f>IFERROR(
GETPIVOTDATA(
"[Base].[Importe]",
TDinamica_R!$A$5,
"[Calendario].[AñoMes]",
"[Calendario].[AñoMes].&amp;[" &amp; TEXT(H$6,"yyyymm")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I80" s="8">
        <f>IFERROR(
GETPIVOTDATA(
"[Base].[Importe]",
TDinamica_R!$A$5,
"[Calendario].[AñoMes]",
"[Calendario].[AñoMes].&amp;[" &amp; TEXT(I$6,"yyyymm")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J80" s="8">
        <f>IFERROR(
GETPIVOTDATA(
"[Base].[Importe]",
TDinamica_R!$A$5,
"[Calendario].[AñoMes]",
"[Calendario].[AñoMes].&amp;[" &amp; TEXT(J$6,"yyyymm")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K80" s="8">
        <f>IFERROR(
GETPIVOTDATA(
"[Base].[Importe]",
TDinamica_R!$A$5,
"[Calendario].[AñoMes]",
"[Calendario].[AñoMes].&amp;[" &amp; TEXT(K$6,"yyyymm")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L80" s="8">
        <f>IFERROR(
GETPIVOTDATA(
"[Base].[Importe]",
TDinamica_R!$A$5,
"[Calendario].[AñoMes]",
"[Calendario].[AñoMes].&amp;[" &amp; TEXT(L$6,"yyyymm")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M80" s="8">
        <f>IFERROR(
GETPIVOTDATA(
"[Base].[Importe]",
TDinamica_R!$A$5,
"[Calendario].[AñoMes]",
"[Calendario].[AñoMes].&amp;[" &amp; TEXT(M$6,"yyyymm")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N80" s="8">
        <f>IFERROR(
GETPIVOTDATA(
"[Base].[Importe]",
TDinamica_R!$A$5,
"[Calendario].[AñoMes]",
"[Calendario].[AñoMes].&amp;[" &amp; TEXT(N$6,"yyyymm")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O80" s="8">
        <f>IFERROR(
GETPIVOTDATA(
"[Base].[Importe]",
TDinamica_R!$A$5,
"[Calendario].[AñoMes]",
"[Calendario].[AñoMes].&amp;[" &amp; TEXT(O$6,"yyyymm")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P80" s="8">
        <f>IFERROR(
GETPIVOTDATA(
"[Base].[Importe]",
TDinamica_R!$A$5,
"[Calendario].[AñoMes]",
"[Calendario].[AñoMes].&amp;[" &amp; TEXT(P$6,"yyyymm")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Q80" s="8">
        <f>IFERROR(
GETPIVOTDATA(
"[Base].[Importe]",
TDinamica_R!$A$5,
"[Calendario].[AñoMes]",
"[Calendario].[AñoMes].&amp;[" &amp; TEXT(Q$6,"yyyymm")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R80" s="8">
        <f>IFERROR(
GETPIVOTDATA(
"[Base].[Importe]",
TDinamica_R!$A$5,
"[Calendario].[AñoMes]",
"[Calendario].[AñoMes].&amp;[" &amp; TEXT(R$6,"yyyymm")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S80" s="8">
        <f>IFERROR(
GETPIVOTDATA(
"[Base].[Importe]",
TDinamica_R!$A$5,
"[Calendario].[AñoMes]",
"[Calendario].[AñoMes].&amp;[" &amp; TEXT(S$6,"yyyymm")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T80" s="8">
        <f>IFERROR(
GETPIVOTDATA(
"[Base].[Importe]",
TDinamica_R!$A$5,
"[Calendario].[AñoMes]",
"[Calendario].[AñoMes].&amp;[" &amp; TEXT(T$6,"yyyymm")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U80" s="8">
        <f>IFERROR(
GETPIVOTDATA(
"[Base].[Importe]",
TDinamica_R!$A$5,
"[Calendario].[AñoMes]",
"[Calendario].[AñoMes].&amp;[" &amp; TEXT(U$6,"yyyymm")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V80" s="8">
        <f>IFERROR(
GETPIVOTDATA(
"[Base].[Importe]",
TDinamica_R!$A$5,
"[Calendario].[AñoMes]",
"[Calendario].[AñoMes].&amp;[" &amp; TEXT(V$6,"yyyymm")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W80" s="8">
        <f>IFERROR(
GETPIVOTDATA(
"[Base].[Importe]",
TDinamica_R!$A$5,
"[Calendario].[AñoMes]",
"[Calendario].[AñoMes].&amp;[" &amp; TEXT(W$6,"yyyymm")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X80" s="8">
        <f>IFERROR(
GETPIVOTDATA(
"[Base].[Importe]",
TDinamica_R!$A$5,
"[Calendario].[AñoMes]",
"[Calendario].[AñoMes].&amp;[" &amp; TEXT(X$6,"yyyymm")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Y80" s="8">
        <f>IFERROR(
GETPIVOTDATA(
"[Base].[Importe]",
TDinamica_R!$A$5,
"[Calendario].[AñoMes]",
"[Calendario].[AñoMes].&amp;[" &amp; TEXT(Y$6,"yyyymm")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Z80" s="8">
        <f>IFERROR(
GETPIVOTDATA(
"[Base].[Importe]",
TDinamica_R!$A$5,
"[Calendario].[AñoMes]",
"[Calendario].[AñoMes].&amp;[" &amp; TEXT(Z$6,"yyyymm")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A80" s="8">
        <f>IFERROR(
GETPIVOTDATA(
"[Base].[Importe]",
TDinamica_R!$A$5,
"[Calendario].[AñoMes]",
"[Calendario].[AñoMes].&amp;[" &amp; TEXT(AA$6,"yyyymm")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B80" s="8">
        <f>IFERROR(
GETPIVOTDATA(
"[Base].[Importe]",
TDinamica_R!$A$5,
"[Calendario].[AñoMes]",
"[Calendario].[AñoMes].&amp;[" &amp; TEXT(AB$6,"yyyymm")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C80" s="8">
        <f>IFERROR(
GETPIVOTDATA(
"[Base].[Importe]",
TDinamica_R!$A$5,
"[Calendario].[AñoMes]",
"[Calendario].[AñoMes].&amp;[" &amp; TEXT(AC$6,"yyyymm")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D80" s="8">
        <f>IFERROR(
GETPIVOTDATA(
"[Base].[Importe]",
TDinamica_R!$A$5,
"[Calendario].[AñoMes]",
"[Calendario].[AñoMes].&amp;[" &amp; TEXT(AD$6,"yyyymm")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E80" s="8">
        <f>IFERROR(
GETPIVOTDATA(
"[Base].[Importe]",
TDinamica_R!$A$5,
"[Calendario].[AñoMes]",
"[Calendario].[AñoMes].&amp;[" &amp; TEXT(AE$6,"yyyymm")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F80" s="8">
        <f>IFERROR(
GETPIVOTDATA(
"[Base].[Importe]",
TDinamica_R!$A$5,
"[Calendario].[AñoMes]",
"[Calendario].[AñoMes].&amp;[" &amp; TEXT(AF$6,"yyyymm")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G80" s="8">
        <f>IFERROR(
GETPIVOTDATA(
"[Base].[Importe]",
TDinamica_R!$A$5,
"[Calendario].[AñoMes]",
"[Calendario].[AñoMes].&amp;[" &amp; TEXT(AG$6,"yyyymm")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H80" s="8">
        <f>IFERROR(
GETPIVOTDATA(
"[Base].[Importe]",
TDinamica_R!$A$5,
"[Calendario].[AñoMes]",
"[Calendario].[AñoMes].&amp;[" &amp; TEXT(AH$6,"yyyymm")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I80" s="8">
        <f>IFERROR(
GETPIVOTDATA(
"[Base].[Importe]",
TDinamica_R!$A$5,
"[Calendario].[AñoMes]",
"[Calendario].[AñoMes].&amp;[" &amp; TEXT(AI$6,"yyyymm")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J80" s="8">
        <f>IFERROR(
GETPIVOTDATA(
"[Base].[Importe]",
TDinamica_R!$A$5,
"[Calendario].[AñoMes]",
"[Calendario].[AñoMes].&amp;[" &amp; TEXT(AJ$6,"yyyymm")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K80" s="8">
        <f>IFERROR(
GETPIVOTDATA(
"[Base].[Importe]",
TDinamica_R!$A$5,
"[Calendario].[AñoMes]",
"[Calendario].[AñoMes].&amp;[" &amp; TEXT(AK$6,"yyyymm")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L80" s="8">
        <f>IFERROR(
GETPIVOTDATA(
"[Base].[Importe]",
TDinamica_R!$A$5,
"[Calendario].[AñoMes]",
"[Calendario].[AñoMes].&amp;[" &amp; TEXT(AL$6,"yyyymm")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M80" s="8">
        <f>IFERROR(
GETPIVOTDATA(
"[Base].[Importe]",
TDinamica_R!$A$5,
"[Calendario].[AñoMes]",
"[Calendario].[AñoMes].&amp;[" &amp; TEXT(AM$6,"yyyymm")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N80" s="8">
        <f>IFERROR(
GETPIVOTDATA(
"[Base].[Importe]",
TDinamica_R!$A$5,
"[Calendario].[AñoMes]",
"[Calendario].[AñoMes].&amp;[" &amp; TEXT(AN$6,"yyyymm")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O80" s="8">
        <f>IFERROR(
GETPIVOTDATA(
"[Base].[Importe]",
TDinamica_R!$A$5,
"[Calendario].[AñoMes]",
"[Calendario].[AñoMes].&amp;[" &amp; TEXT(AO$6,"yyyymm")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P80" s="8">
        <f>IFERROR(
GETPIVOTDATA(
"[Base].[Importe]",
TDinamica_R!$A$5,
"[Calendario].[AñoMes]",
"[Calendario].[AñoMes].&amp;[" &amp; TEXT(AP$6,"yyyymm")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Q80" s="8">
        <f>IFERROR(
GETPIVOTDATA(
"[Base].[Importe]",
TDinamica_R!$A$5,
"[Calendario].[AñoMes]",
"[Calendario].[AñoMes].&amp;[" &amp; TEXT(AQ$6,"yyyymm")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R80" s="8">
        <f>IFERROR(
GETPIVOTDATA(
"[Base].[Importe]",
TDinamica_R!$A$5,
"[Calendario].[AñoMes]",
"[Calendario].[AñoMes].&amp;[" &amp; TEXT(AR$6,"yyyymm")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S80" s="8">
        <f>IFERROR(
GETPIVOTDATA(
"[Base].[Importe]",
TDinamica_R!$A$5,
"[Calendario].[AñoMes]",
"[Calendario].[AñoMes].&amp;[" &amp; TEXT(AS$6,"yyyymm")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T80" s="8">
        <f>IFERROR(
GETPIVOTDATA(
"[Base].[Importe]",
TDinamica_R!$A$5,
"[Calendario].[AñoMes]",
"[Calendario].[AñoMes].&amp;[" &amp; TEXT(AT$6,"yyyymm")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U80" s="8">
        <f>IFERROR(
GETPIVOTDATA(
"[Base].[Importe]",
TDinamica_R!$A$5,
"[Calendario].[AñoMes]",
"[Calendario].[AñoMes].&amp;[" &amp; TEXT(AU$6,"yyyymm")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V80" s="8">
        <f>IFERROR(
GETPIVOTDATA(
"[Base].[Importe]",
TDinamica_R!$A$5,
"[Calendario].[AñoMes]",
"[Calendario].[AñoMes].&amp;[" &amp; TEXT(AV$6,"yyyymm")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W80" s="8">
        <f>IFERROR(
GETPIVOTDATA(
"[Base].[Importe]",
TDinamica_R!$A$5,
"[Calendario].[AñoMes]",
"[Calendario].[AñoMes].&amp;[" &amp; TEXT(AW$6,"yyyymm")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X80" s="8">
        <f>IFERROR(
GETPIVOTDATA(
"[Base].[Importe]",
TDinamica_R!$A$5,
"[Calendario].[AñoMes]",
"[Calendario].[AñoMes].&amp;[" &amp; TEXT(AX$6,"yyyymm")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Y80" s="8">
        <f>IFERROR(
GETPIVOTDATA(
"[Base].[Importe]",
TDinamica_R!$A$5,
"[Calendario].[AñoMes]",
"[Calendario].[AñoMes].&amp;[" &amp; TEXT(AY$6,"yyyymm")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Z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TEXT(AZ$6,"yyyymm") &amp; "]"
),
0
)</f>
        <v>0</v>
      </c>
      <c r="BA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TEXT(BA$6,"yyyymm") &amp; "]"
),
0
)</f>
        <v>0</v>
      </c>
      <c r="BB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TEXT(BB$6,"yyyymm") &amp; "]"
),
0
)</f>
        <v>0</v>
      </c>
      <c r="BC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TEXT(BC$6,"yyyymm") &amp; "]"
),
0
)</f>
        <v>0</v>
      </c>
      <c r="BD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TEXT(BD$6,"yyyymm") &amp; "]"
),
0
)</f>
        <v>0</v>
      </c>
      <c r="BE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TEXT(BE$6,"yyyymm") &amp; "]"
),
0
)</f>
        <v>0</v>
      </c>
      <c r="BF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TEXT(BF$6,"yyyymm") &amp; "]"
),
0
)</f>
        <v>0</v>
      </c>
      <c r="BG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TEXT(BG$6,"yyyymm") &amp; "]"
),
0
)</f>
        <v>0</v>
      </c>
      <c r="BH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TEXT(BH$6,"yyyymm") &amp; "]"
),
0
)</f>
        <v>0</v>
      </c>
      <c r="BI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TEXT(BI$6,"yyyymm") &amp; "]"
),
0
)</f>
        <v>0</v>
      </c>
      <c r="BJ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TEXT(BJ$6,"yyyymm") &amp; "]"
),
0
)</f>
        <v>0</v>
      </c>
      <c r="BK80" s="8">
        <f>IFERROR(
GETPIVOTDATA(
"[Base_PPE].[Importe]",
TDinamica_P!$A$4,
"[Base_PPE].[Metrica]",
"[Base_PPE].[Metrica].&amp;[" &amp; TRIM($A80) &amp; "]",
"[Base_PPE].[SITUACION]",
"[Base_PPE].[SITUACION].&amp;[" &amp; TRIM($C80) &amp; "]",
"[Base_PPE].[SEGMENTO_DESCRIP]",
"[Base_PPE].[SEGMENTO_DESCRIP].&amp;[" &amp; TRIM($C$6) &amp; "]",
"[Base_PPE].[Periodo]",
"[Base_PPE].[Periodo].&amp;[" &amp; TEXT(BK$6,"yyyymm") &amp; "]"
),
0
)</f>
        <v>0</v>
      </c>
      <c r="BO80" s="24">
        <f t="shared" si="65"/>
        <v>0</v>
      </c>
      <c r="BP80" s="24">
        <f t="shared" si="65"/>
        <v>0</v>
      </c>
      <c r="BQ80" s="24">
        <f t="shared" si="65"/>
        <v>0</v>
      </c>
      <c r="BR80" s="24">
        <f t="shared" si="65"/>
        <v>0</v>
      </c>
      <c r="BS80" s="24">
        <f t="shared" si="65"/>
        <v>0</v>
      </c>
      <c r="BT80" s="24">
        <f t="shared" si="65"/>
        <v>0</v>
      </c>
    </row>
    <row r="81" spans="1:72" hidden="1" outlineLevel="1" x14ac:dyDescent="0.25">
      <c r="A81" s="11" t="s">
        <v>71</v>
      </c>
      <c r="C81" s="2"/>
      <c r="D81" s="8">
        <f>IFERROR(
GETPIVOTDATA(
"[Base].[Importe]",
TDinamica_R!$A$5,
"[Calendario].[AñoMes]",
"[Calendario].[AñoMes].&amp;[" &amp; TEXT(D$6,"yyyymm")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E81" s="8">
        <f>IFERROR(
GETPIVOTDATA(
"[Base].[Importe]",
TDinamica_R!$A$5,
"[Calendario].[AñoMes]",
"[Calendario].[AñoMes].&amp;[" &amp; TEXT(E$6,"yyyymm")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F81" s="8">
        <f>IFERROR(
GETPIVOTDATA(
"[Base].[Importe]",
TDinamica_R!$A$5,
"[Calendario].[AñoMes]",
"[Calendario].[AñoMes].&amp;[" &amp; TEXT(F$6,"yyyymm")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G81" s="8">
        <f>IFERROR(
GETPIVOTDATA(
"[Base].[Importe]",
TDinamica_R!$A$5,
"[Calendario].[AñoMes]",
"[Calendario].[AñoMes].&amp;[" &amp; TEXT(G$6,"yyyymm")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H81" s="8">
        <f>IFERROR(
GETPIVOTDATA(
"[Base].[Importe]",
TDinamica_R!$A$5,
"[Calendario].[AñoMes]",
"[Calendario].[AñoMes].&amp;[" &amp; TEXT(H$6,"yyyymm")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I81" s="8">
        <f>IFERROR(
GETPIVOTDATA(
"[Base].[Importe]",
TDinamica_R!$A$5,
"[Calendario].[AñoMes]",
"[Calendario].[AñoMes].&amp;[" &amp; TEXT(I$6,"yyyymm")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J81" s="8">
        <f>IFERROR(
GETPIVOTDATA(
"[Base].[Importe]",
TDinamica_R!$A$5,
"[Calendario].[AñoMes]",
"[Calendario].[AñoMes].&amp;[" &amp; TEXT(J$6,"yyyymm")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K81" s="8">
        <f>IFERROR(
GETPIVOTDATA(
"[Base].[Importe]",
TDinamica_R!$A$5,
"[Calendario].[AñoMes]",
"[Calendario].[AñoMes].&amp;[" &amp; TEXT(K$6,"yyyymm")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L81" s="8">
        <f>IFERROR(
GETPIVOTDATA(
"[Base].[Importe]",
TDinamica_R!$A$5,
"[Calendario].[AñoMes]",
"[Calendario].[AñoMes].&amp;[" &amp; TEXT(L$6,"yyyymm")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M81" s="8">
        <f>IFERROR(
GETPIVOTDATA(
"[Base].[Importe]",
TDinamica_R!$A$5,
"[Calendario].[AñoMes]",
"[Calendario].[AñoMes].&amp;[" &amp; TEXT(M$6,"yyyymm")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N81" s="8">
        <f>IFERROR(
GETPIVOTDATA(
"[Base].[Importe]",
TDinamica_R!$A$5,
"[Calendario].[AñoMes]",
"[Calendario].[AñoMes].&amp;[" &amp; TEXT(N$6,"yyyymm")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O81" s="8">
        <f>IFERROR(
GETPIVOTDATA(
"[Base].[Importe]",
TDinamica_R!$A$5,
"[Calendario].[AñoMes]",
"[Calendario].[AñoMes].&amp;[" &amp; TEXT(O$6,"yyyymm")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P81" s="8">
        <f>IFERROR(
GETPIVOTDATA(
"[Base].[Importe]",
TDinamica_R!$A$5,
"[Calendario].[AñoMes]",
"[Calendario].[AñoMes].&amp;[" &amp; TEXT(P$6,"yyyymm")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Q81" s="8">
        <f>IFERROR(
GETPIVOTDATA(
"[Base].[Importe]",
TDinamica_R!$A$5,
"[Calendario].[AñoMes]",
"[Calendario].[AñoMes].&amp;[" &amp; TEXT(Q$6,"yyyymm")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R81" s="8">
        <f>IFERROR(
GETPIVOTDATA(
"[Base].[Importe]",
TDinamica_R!$A$5,
"[Calendario].[AñoMes]",
"[Calendario].[AñoMes].&amp;[" &amp; TEXT(R$6,"yyyymm")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S81" s="8">
        <f>IFERROR(
GETPIVOTDATA(
"[Base].[Importe]",
TDinamica_R!$A$5,
"[Calendario].[AñoMes]",
"[Calendario].[AñoMes].&amp;[" &amp; TEXT(S$6,"yyyymm")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T81" s="8">
        <f>IFERROR(
GETPIVOTDATA(
"[Base].[Importe]",
TDinamica_R!$A$5,
"[Calendario].[AñoMes]",
"[Calendario].[AñoMes].&amp;[" &amp; TEXT(T$6,"yyyymm")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U81" s="8">
        <f>IFERROR(
GETPIVOTDATA(
"[Base].[Importe]",
TDinamica_R!$A$5,
"[Calendario].[AñoMes]",
"[Calendario].[AñoMes].&amp;[" &amp; TEXT(U$6,"yyyymm")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V81" s="8">
        <f>IFERROR(
GETPIVOTDATA(
"[Base].[Importe]",
TDinamica_R!$A$5,
"[Calendario].[AñoMes]",
"[Calendario].[AñoMes].&amp;[" &amp; TEXT(V$6,"yyyymm")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W81" s="8">
        <f>IFERROR(
GETPIVOTDATA(
"[Base].[Importe]",
TDinamica_R!$A$5,
"[Calendario].[AñoMes]",
"[Calendario].[AñoMes].&amp;[" &amp; TEXT(W$6,"yyyymm")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X81" s="8">
        <f>IFERROR(
GETPIVOTDATA(
"[Base].[Importe]",
TDinamica_R!$A$5,
"[Calendario].[AñoMes]",
"[Calendario].[AñoMes].&amp;[" &amp; TEXT(X$6,"yyyymm")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Y81" s="8">
        <f>IFERROR(
GETPIVOTDATA(
"[Base].[Importe]",
TDinamica_R!$A$5,
"[Calendario].[AñoMes]",
"[Calendario].[AñoMes].&amp;[" &amp; TEXT(Y$6,"yyyymm")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Z81" s="8">
        <f>IFERROR(
GETPIVOTDATA(
"[Base].[Importe]",
TDinamica_R!$A$5,
"[Calendario].[AñoMes]",
"[Calendario].[AñoMes].&amp;[" &amp; TEXT(Z$6,"yyyymm")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A81" s="8">
        <f>IFERROR(
GETPIVOTDATA(
"[Base].[Importe]",
TDinamica_R!$A$5,
"[Calendario].[AñoMes]",
"[Calendario].[AñoMes].&amp;[" &amp; TEXT(AA$6,"yyyymm")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B81" s="8">
        <f>IFERROR(
GETPIVOTDATA(
"[Base].[Importe]",
TDinamica_R!$A$5,
"[Calendario].[AñoMes]",
"[Calendario].[AñoMes].&amp;[" &amp; TEXT(AB$6,"yyyymm")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C81" s="8">
        <f>IFERROR(
GETPIVOTDATA(
"[Base].[Importe]",
TDinamica_R!$A$5,
"[Calendario].[AñoMes]",
"[Calendario].[AñoMes].&amp;[" &amp; TEXT(AC$6,"yyyymm")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D81" s="8">
        <f>IFERROR(
GETPIVOTDATA(
"[Base].[Importe]",
TDinamica_R!$A$5,
"[Calendario].[AñoMes]",
"[Calendario].[AñoMes].&amp;[" &amp; TEXT(AD$6,"yyyymm")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E81" s="8">
        <f>IFERROR(
GETPIVOTDATA(
"[Base].[Importe]",
TDinamica_R!$A$5,
"[Calendario].[AñoMes]",
"[Calendario].[AñoMes].&amp;[" &amp; TEXT(AE$6,"yyyymm")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F81" s="8">
        <f>IFERROR(
GETPIVOTDATA(
"[Base].[Importe]",
TDinamica_R!$A$5,
"[Calendario].[AñoMes]",
"[Calendario].[AñoMes].&amp;[" &amp; TEXT(AF$6,"yyyymm")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G81" s="8">
        <f>IFERROR(
GETPIVOTDATA(
"[Base].[Importe]",
TDinamica_R!$A$5,
"[Calendario].[AñoMes]",
"[Calendario].[AñoMes].&amp;[" &amp; TEXT(AG$6,"yyyymm")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H81" s="8">
        <f>IFERROR(
GETPIVOTDATA(
"[Base].[Importe]",
TDinamica_R!$A$5,
"[Calendario].[AñoMes]",
"[Calendario].[AñoMes].&amp;[" &amp; TEXT(AH$6,"yyyymm")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I81" s="8">
        <f>IFERROR(
GETPIVOTDATA(
"[Base].[Importe]",
TDinamica_R!$A$5,
"[Calendario].[AñoMes]",
"[Calendario].[AñoMes].&amp;[" &amp; TEXT(AI$6,"yyyymm")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J81" s="8">
        <f>IFERROR(
GETPIVOTDATA(
"[Base].[Importe]",
TDinamica_R!$A$5,
"[Calendario].[AñoMes]",
"[Calendario].[AñoMes].&amp;[" &amp; TEXT(AJ$6,"yyyymm")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K81" s="8">
        <f>IFERROR(
GETPIVOTDATA(
"[Base].[Importe]",
TDinamica_R!$A$5,
"[Calendario].[AñoMes]",
"[Calendario].[AñoMes].&amp;[" &amp; TEXT(AK$6,"yyyymm")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L81" s="8">
        <f>IFERROR(
GETPIVOTDATA(
"[Base].[Importe]",
TDinamica_R!$A$5,
"[Calendario].[AñoMes]",
"[Calendario].[AñoMes].&amp;[" &amp; TEXT(AL$6,"yyyymm")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M81" s="8">
        <f>IFERROR(
GETPIVOTDATA(
"[Base].[Importe]",
TDinamica_R!$A$5,
"[Calendario].[AñoMes]",
"[Calendario].[AñoMes].&amp;[" &amp; TEXT(AM$6,"yyyymm")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N81" s="8">
        <f>IFERROR(
GETPIVOTDATA(
"[Base].[Importe]",
TDinamica_R!$A$5,
"[Calendario].[AñoMes]",
"[Calendario].[AñoMes].&amp;[" &amp; TEXT(AN$6,"yyyymm")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O81" s="8">
        <f>IFERROR(
GETPIVOTDATA(
"[Base].[Importe]",
TDinamica_R!$A$5,
"[Calendario].[AñoMes]",
"[Calendario].[AñoMes].&amp;[" &amp; TEXT(AO$6,"yyyymm")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P81" s="8">
        <f>IFERROR(
GETPIVOTDATA(
"[Base].[Importe]",
TDinamica_R!$A$5,
"[Calendario].[AñoMes]",
"[Calendario].[AñoMes].&amp;[" &amp; TEXT(AP$6,"yyyymm")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Q81" s="8">
        <f>IFERROR(
GETPIVOTDATA(
"[Base].[Importe]",
TDinamica_R!$A$5,
"[Calendario].[AñoMes]",
"[Calendario].[AñoMes].&amp;[" &amp; TEXT(AQ$6,"yyyymm")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R81" s="8">
        <f>IFERROR(
GETPIVOTDATA(
"[Base].[Importe]",
TDinamica_R!$A$5,
"[Calendario].[AñoMes]",
"[Calendario].[AñoMes].&amp;[" &amp; TEXT(AR$6,"yyyymm")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S81" s="8">
        <f>IFERROR(
GETPIVOTDATA(
"[Base].[Importe]",
TDinamica_R!$A$5,
"[Calendario].[AñoMes]",
"[Calendario].[AñoMes].&amp;[" &amp; TEXT(AS$6,"yyyymm")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T81" s="8">
        <f>IFERROR(
GETPIVOTDATA(
"[Base].[Importe]",
TDinamica_R!$A$5,
"[Calendario].[AñoMes]",
"[Calendario].[AñoMes].&amp;[" &amp; TEXT(AT$6,"yyyymm")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U81" s="8">
        <f>IFERROR(
GETPIVOTDATA(
"[Base].[Importe]",
TDinamica_R!$A$5,
"[Calendario].[AñoMes]",
"[Calendario].[AñoMes].&amp;[" &amp; TEXT(AU$6,"yyyymm")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V81" s="8">
        <f>IFERROR(
GETPIVOTDATA(
"[Base].[Importe]",
TDinamica_R!$A$5,
"[Calendario].[AñoMes]",
"[Calendario].[AñoMes].&amp;[" &amp; TEXT(AV$6,"yyyymm")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W81" s="8">
        <f>IFERROR(
GETPIVOTDATA(
"[Base].[Importe]",
TDinamica_R!$A$5,
"[Calendario].[AñoMes]",
"[Calendario].[AñoMes].&amp;[" &amp; TEXT(AW$6,"yyyymm")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X81" s="8">
        <f>IFERROR(
GETPIVOTDATA(
"[Base].[Importe]",
TDinamica_R!$A$5,
"[Calendario].[AñoMes]",
"[Calendario].[AñoMes].&amp;[" &amp; TEXT(AX$6,"yyyymm")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Y81" s="8">
        <f>IFERROR(
GETPIVOTDATA(
"[Base].[Importe]",
TDinamica_R!$A$5,
"[Calendario].[AñoMes]",
"[Calendario].[AñoMes].&amp;[" &amp; TEXT(AY$6,"yyyymm")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Z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TEXT(AZ$6,"yyyymm") &amp; "]"
),
0
)</f>
        <v>0</v>
      </c>
      <c r="BA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TEXT(BA$6,"yyyymm") &amp; "]"
),
0
)</f>
        <v>0</v>
      </c>
      <c r="BB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TEXT(BB$6,"yyyymm") &amp; "]"
),
0
)</f>
        <v>0</v>
      </c>
      <c r="BC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TEXT(BC$6,"yyyymm") &amp; "]"
),
0
)</f>
        <v>0</v>
      </c>
      <c r="BD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TEXT(BD$6,"yyyymm") &amp; "]"
),
0
)</f>
        <v>0</v>
      </c>
      <c r="BE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TEXT(BE$6,"yyyymm") &amp; "]"
),
0
)</f>
        <v>0</v>
      </c>
      <c r="BF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TEXT(BF$6,"yyyymm") &amp; "]"
),
0
)</f>
        <v>0</v>
      </c>
      <c r="BG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TEXT(BG$6,"yyyymm") &amp; "]"
),
0
)</f>
        <v>0</v>
      </c>
      <c r="BH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TEXT(BH$6,"yyyymm") &amp; "]"
),
0
)</f>
        <v>0</v>
      </c>
      <c r="BI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TEXT(BI$6,"yyyymm") &amp; "]"
),
0
)</f>
        <v>0</v>
      </c>
      <c r="BJ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TEXT(BJ$6,"yyyymm") &amp; "]"
),
0
)</f>
        <v>0</v>
      </c>
      <c r="BK81" s="8">
        <f>IFERROR(
GETPIVOTDATA(
"[Base_PPE].[Importe]",
TDinamica_P!$A$4,
"[Base_PPE].[Metrica]",
"[Base_PPE].[Metrica].&amp;[" &amp; TRIM($A81) &amp; "]",
"[Base_PPE].[SITUACION]",
"[Base_PPE].[SITUACION].&amp;[" &amp; TRIM($C81) &amp; "]",
"[Base_PPE].[SEGMENTO_DESCRIP]",
"[Base_PPE].[SEGMENTO_DESCRIP].&amp;[" &amp; TRIM($C$6) &amp; "]",
"[Base_PPE].[Periodo]",
"[Base_PPE].[Periodo].&amp;[" &amp; TEXT(BK$6,"yyyymm") &amp; "]"
),
0
)</f>
        <v>0</v>
      </c>
      <c r="BO81" s="24">
        <f t="shared" si="65"/>
        <v>0</v>
      </c>
      <c r="BP81" s="24">
        <f t="shared" si="65"/>
        <v>0</v>
      </c>
      <c r="BQ81" s="24">
        <f t="shared" si="65"/>
        <v>0</v>
      </c>
      <c r="BR81" s="24">
        <f t="shared" si="65"/>
        <v>0</v>
      </c>
      <c r="BS81" s="24">
        <f t="shared" si="65"/>
        <v>0</v>
      </c>
      <c r="BT81" s="24">
        <f t="shared" si="65"/>
        <v>0</v>
      </c>
    </row>
    <row r="82" spans="1:72" hidden="1" outlineLevel="1" x14ac:dyDescent="0.25">
      <c r="A82" s="11" t="s">
        <v>71</v>
      </c>
      <c r="C82" s="2"/>
      <c r="D82" s="8">
        <f>IFERROR(
GETPIVOTDATA(
"[Base].[Importe]",
TDinamica_R!$A$5,
"[Calendario].[AñoMes]",
"[Calendario].[AñoMes].&amp;[" &amp; TEXT(D$6,"yyyymm")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E82" s="8">
        <f>IFERROR(
GETPIVOTDATA(
"[Base].[Importe]",
TDinamica_R!$A$5,
"[Calendario].[AñoMes]",
"[Calendario].[AñoMes].&amp;[" &amp; TEXT(E$6,"yyyymm")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F82" s="8">
        <f>IFERROR(
GETPIVOTDATA(
"[Base].[Importe]",
TDinamica_R!$A$5,
"[Calendario].[AñoMes]",
"[Calendario].[AñoMes].&amp;[" &amp; TEXT(F$6,"yyyymm")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G82" s="8">
        <f>IFERROR(
GETPIVOTDATA(
"[Base].[Importe]",
TDinamica_R!$A$5,
"[Calendario].[AñoMes]",
"[Calendario].[AñoMes].&amp;[" &amp; TEXT(G$6,"yyyymm")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H82" s="8">
        <f>IFERROR(
GETPIVOTDATA(
"[Base].[Importe]",
TDinamica_R!$A$5,
"[Calendario].[AñoMes]",
"[Calendario].[AñoMes].&amp;[" &amp; TEXT(H$6,"yyyymm")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I82" s="8">
        <f>IFERROR(
GETPIVOTDATA(
"[Base].[Importe]",
TDinamica_R!$A$5,
"[Calendario].[AñoMes]",
"[Calendario].[AñoMes].&amp;[" &amp; TEXT(I$6,"yyyymm")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J82" s="8">
        <f>IFERROR(
GETPIVOTDATA(
"[Base].[Importe]",
TDinamica_R!$A$5,
"[Calendario].[AñoMes]",
"[Calendario].[AñoMes].&amp;[" &amp; TEXT(J$6,"yyyymm")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K82" s="8">
        <f>IFERROR(
GETPIVOTDATA(
"[Base].[Importe]",
TDinamica_R!$A$5,
"[Calendario].[AñoMes]",
"[Calendario].[AñoMes].&amp;[" &amp; TEXT(K$6,"yyyymm")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L82" s="8">
        <f>IFERROR(
GETPIVOTDATA(
"[Base].[Importe]",
TDinamica_R!$A$5,
"[Calendario].[AñoMes]",
"[Calendario].[AñoMes].&amp;[" &amp; TEXT(L$6,"yyyymm")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M82" s="8">
        <f>IFERROR(
GETPIVOTDATA(
"[Base].[Importe]",
TDinamica_R!$A$5,
"[Calendario].[AñoMes]",
"[Calendario].[AñoMes].&amp;[" &amp; TEXT(M$6,"yyyymm")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N82" s="8">
        <f>IFERROR(
GETPIVOTDATA(
"[Base].[Importe]",
TDinamica_R!$A$5,
"[Calendario].[AñoMes]",
"[Calendario].[AñoMes].&amp;[" &amp; TEXT(N$6,"yyyymm")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O82" s="8">
        <f>IFERROR(
GETPIVOTDATA(
"[Base].[Importe]",
TDinamica_R!$A$5,
"[Calendario].[AñoMes]",
"[Calendario].[AñoMes].&amp;[" &amp; TEXT(O$6,"yyyymm")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P82" s="8">
        <f>IFERROR(
GETPIVOTDATA(
"[Base].[Importe]",
TDinamica_R!$A$5,
"[Calendario].[AñoMes]",
"[Calendario].[AñoMes].&amp;[" &amp; TEXT(P$6,"yyyymm")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Q82" s="8">
        <f>IFERROR(
GETPIVOTDATA(
"[Base].[Importe]",
TDinamica_R!$A$5,
"[Calendario].[AñoMes]",
"[Calendario].[AñoMes].&amp;[" &amp; TEXT(Q$6,"yyyymm")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R82" s="8">
        <f>IFERROR(
GETPIVOTDATA(
"[Base].[Importe]",
TDinamica_R!$A$5,
"[Calendario].[AñoMes]",
"[Calendario].[AñoMes].&amp;[" &amp; TEXT(R$6,"yyyymm")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S82" s="8">
        <f>IFERROR(
GETPIVOTDATA(
"[Base].[Importe]",
TDinamica_R!$A$5,
"[Calendario].[AñoMes]",
"[Calendario].[AñoMes].&amp;[" &amp; TEXT(S$6,"yyyymm")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T82" s="8">
        <f>IFERROR(
GETPIVOTDATA(
"[Base].[Importe]",
TDinamica_R!$A$5,
"[Calendario].[AñoMes]",
"[Calendario].[AñoMes].&amp;[" &amp; TEXT(T$6,"yyyymm")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U82" s="8">
        <f>IFERROR(
GETPIVOTDATA(
"[Base].[Importe]",
TDinamica_R!$A$5,
"[Calendario].[AñoMes]",
"[Calendario].[AñoMes].&amp;[" &amp; TEXT(U$6,"yyyymm")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V82" s="8">
        <f>IFERROR(
GETPIVOTDATA(
"[Base].[Importe]",
TDinamica_R!$A$5,
"[Calendario].[AñoMes]",
"[Calendario].[AñoMes].&amp;[" &amp; TEXT(V$6,"yyyymm")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W82" s="8">
        <f>IFERROR(
GETPIVOTDATA(
"[Base].[Importe]",
TDinamica_R!$A$5,
"[Calendario].[AñoMes]",
"[Calendario].[AñoMes].&amp;[" &amp; TEXT(W$6,"yyyymm")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X82" s="8">
        <f>IFERROR(
GETPIVOTDATA(
"[Base].[Importe]",
TDinamica_R!$A$5,
"[Calendario].[AñoMes]",
"[Calendario].[AñoMes].&amp;[" &amp; TEXT(X$6,"yyyymm")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Y82" s="8">
        <f>IFERROR(
GETPIVOTDATA(
"[Base].[Importe]",
TDinamica_R!$A$5,
"[Calendario].[AñoMes]",
"[Calendario].[AñoMes].&amp;[" &amp; TEXT(Y$6,"yyyymm")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Z82" s="8">
        <f>IFERROR(
GETPIVOTDATA(
"[Base].[Importe]",
TDinamica_R!$A$5,
"[Calendario].[AñoMes]",
"[Calendario].[AñoMes].&amp;[" &amp; TEXT(Z$6,"yyyymm")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A82" s="8">
        <f>IFERROR(
GETPIVOTDATA(
"[Base].[Importe]",
TDinamica_R!$A$5,
"[Calendario].[AñoMes]",
"[Calendario].[AñoMes].&amp;[" &amp; TEXT(AA$6,"yyyymm")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B82" s="8">
        <f>IFERROR(
GETPIVOTDATA(
"[Base].[Importe]",
TDinamica_R!$A$5,
"[Calendario].[AñoMes]",
"[Calendario].[AñoMes].&amp;[" &amp; TEXT(AB$6,"yyyymm")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C82" s="8">
        <f>IFERROR(
GETPIVOTDATA(
"[Base].[Importe]",
TDinamica_R!$A$5,
"[Calendario].[AñoMes]",
"[Calendario].[AñoMes].&amp;[" &amp; TEXT(AC$6,"yyyymm")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D82" s="8">
        <f>IFERROR(
GETPIVOTDATA(
"[Base].[Importe]",
TDinamica_R!$A$5,
"[Calendario].[AñoMes]",
"[Calendario].[AñoMes].&amp;[" &amp; TEXT(AD$6,"yyyymm")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E82" s="8">
        <f>IFERROR(
GETPIVOTDATA(
"[Base].[Importe]",
TDinamica_R!$A$5,
"[Calendario].[AñoMes]",
"[Calendario].[AñoMes].&amp;[" &amp; TEXT(AE$6,"yyyymm")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F82" s="8">
        <f>IFERROR(
GETPIVOTDATA(
"[Base].[Importe]",
TDinamica_R!$A$5,
"[Calendario].[AñoMes]",
"[Calendario].[AñoMes].&amp;[" &amp; TEXT(AF$6,"yyyymm")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G82" s="8">
        <f>IFERROR(
GETPIVOTDATA(
"[Base].[Importe]",
TDinamica_R!$A$5,
"[Calendario].[AñoMes]",
"[Calendario].[AñoMes].&amp;[" &amp; TEXT(AG$6,"yyyymm")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H82" s="8">
        <f>IFERROR(
GETPIVOTDATA(
"[Base].[Importe]",
TDinamica_R!$A$5,
"[Calendario].[AñoMes]",
"[Calendario].[AñoMes].&amp;[" &amp; TEXT(AH$6,"yyyymm")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I82" s="8">
        <f>IFERROR(
GETPIVOTDATA(
"[Base].[Importe]",
TDinamica_R!$A$5,
"[Calendario].[AñoMes]",
"[Calendario].[AñoMes].&amp;[" &amp; TEXT(AI$6,"yyyymm")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J82" s="8">
        <f>IFERROR(
GETPIVOTDATA(
"[Base].[Importe]",
TDinamica_R!$A$5,
"[Calendario].[AñoMes]",
"[Calendario].[AñoMes].&amp;[" &amp; TEXT(AJ$6,"yyyymm")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K82" s="8">
        <f>IFERROR(
GETPIVOTDATA(
"[Base].[Importe]",
TDinamica_R!$A$5,
"[Calendario].[AñoMes]",
"[Calendario].[AñoMes].&amp;[" &amp; TEXT(AK$6,"yyyymm")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L82" s="8">
        <f>IFERROR(
GETPIVOTDATA(
"[Base].[Importe]",
TDinamica_R!$A$5,
"[Calendario].[AñoMes]",
"[Calendario].[AñoMes].&amp;[" &amp; TEXT(AL$6,"yyyymm")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M82" s="8">
        <f>IFERROR(
GETPIVOTDATA(
"[Base].[Importe]",
TDinamica_R!$A$5,
"[Calendario].[AñoMes]",
"[Calendario].[AñoMes].&amp;[" &amp; TEXT(AM$6,"yyyymm")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N82" s="8">
        <f>IFERROR(
GETPIVOTDATA(
"[Base].[Importe]",
TDinamica_R!$A$5,
"[Calendario].[AñoMes]",
"[Calendario].[AñoMes].&amp;[" &amp; TEXT(AN$6,"yyyymm")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O82" s="8">
        <f>IFERROR(
GETPIVOTDATA(
"[Base].[Importe]",
TDinamica_R!$A$5,
"[Calendario].[AñoMes]",
"[Calendario].[AñoMes].&amp;[" &amp; TEXT(AO$6,"yyyymm")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P82" s="8">
        <f>IFERROR(
GETPIVOTDATA(
"[Base].[Importe]",
TDinamica_R!$A$5,
"[Calendario].[AñoMes]",
"[Calendario].[AñoMes].&amp;[" &amp; TEXT(AP$6,"yyyymm")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Q82" s="8">
        <f>IFERROR(
GETPIVOTDATA(
"[Base].[Importe]",
TDinamica_R!$A$5,
"[Calendario].[AñoMes]",
"[Calendario].[AñoMes].&amp;[" &amp; TEXT(AQ$6,"yyyymm")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R82" s="8">
        <f>IFERROR(
GETPIVOTDATA(
"[Base].[Importe]",
TDinamica_R!$A$5,
"[Calendario].[AñoMes]",
"[Calendario].[AñoMes].&amp;[" &amp; TEXT(AR$6,"yyyymm")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S82" s="8">
        <f>IFERROR(
GETPIVOTDATA(
"[Base].[Importe]",
TDinamica_R!$A$5,
"[Calendario].[AñoMes]",
"[Calendario].[AñoMes].&amp;[" &amp; TEXT(AS$6,"yyyymm")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T82" s="8">
        <f>IFERROR(
GETPIVOTDATA(
"[Base].[Importe]",
TDinamica_R!$A$5,
"[Calendario].[AñoMes]",
"[Calendario].[AñoMes].&amp;[" &amp; TEXT(AT$6,"yyyymm")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U82" s="8">
        <f>IFERROR(
GETPIVOTDATA(
"[Base].[Importe]",
TDinamica_R!$A$5,
"[Calendario].[AñoMes]",
"[Calendario].[AñoMes].&amp;[" &amp; TEXT(AU$6,"yyyymm")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V82" s="8">
        <f>IFERROR(
GETPIVOTDATA(
"[Base].[Importe]",
TDinamica_R!$A$5,
"[Calendario].[AñoMes]",
"[Calendario].[AñoMes].&amp;[" &amp; TEXT(AV$6,"yyyymm")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W82" s="8">
        <f>IFERROR(
GETPIVOTDATA(
"[Base].[Importe]",
TDinamica_R!$A$5,
"[Calendario].[AñoMes]",
"[Calendario].[AñoMes].&amp;[" &amp; TEXT(AW$6,"yyyymm")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X82" s="8">
        <f>IFERROR(
GETPIVOTDATA(
"[Base].[Importe]",
TDinamica_R!$A$5,
"[Calendario].[AñoMes]",
"[Calendario].[AñoMes].&amp;[" &amp; TEXT(AX$6,"yyyymm")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Y82" s="8">
        <f>IFERROR(
GETPIVOTDATA(
"[Base].[Importe]",
TDinamica_R!$A$5,
"[Calendario].[AñoMes]",
"[Calendario].[AñoMes].&amp;[" &amp; TEXT(AY$6,"yyyymm")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Z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TEXT(AZ$6,"yyyymm") &amp; "]"
),
0
)</f>
        <v>0</v>
      </c>
      <c r="BA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TEXT(BA$6,"yyyymm") &amp; "]"
),
0
)</f>
        <v>0</v>
      </c>
      <c r="BB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TEXT(BB$6,"yyyymm") &amp; "]"
),
0
)</f>
        <v>0</v>
      </c>
      <c r="BC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TEXT(BC$6,"yyyymm") &amp; "]"
),
0
)</f>
        <v>0</v>
      </c>
      <c r="BD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TEXT(BD$6,"yyyymm") &amp; "]"
),
0
)</f>
        <v>0</v>
      </c>
      <c r="BE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TEXT(BE$6,"yyyymm") &amp; "]"
),
0
)</f>
        <v>0</v>
      </c>
      <c r="BF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TEXT(BF$6,"yyyymm") &amp; "]"
),
0
)</f>
        <v>0</v>
      </c>
      <c r="BG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TEXT(BG$6,"yyyymm") &amp; "]"
),
0
)</f>
        <v>0</v>
      </c>
      <c r="BH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TEXT(BH$6,"yyyymm") &amp; "]"
),
0
)</f>
        <v>0</v>
      </c>
      <c r="BI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TEXT(BI$6,"yyyymm") &amp; "]"
),
0
)</f>
        <v>0</v>
      </c>
      <c r="BJ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TEXT(BJ$6,"yyyymm") &amp; "]"
),
0
)</f>
        <v>0</v>
      </c>
      <c r="BK82" s="8">
        <f>IFERROR(
GETPIVOTDATA(
"[Base_PPE].[Importe]",
TDinamica_P!$A$4,
"[Base_PPE].[Metrica]",
"[Base_PPE].[Metrica].&amp;[" &amp; TRIM($A82) &amp; "]",
"[Base_PPE].[SITUACION]",
"[Base_PPE].[SITUACION].&amp;[" &amp; TRIM($C82) &amp; "]",
"[Base_PPE].[SEGMENTO_DESCRIP]",
"[Base_PPE].[SEGMENTO_DESCRIP].&amp;[" &amp; TRIM($C$6) &amp; "]",
"[Base_PPE].[Periodo]",
"[Base_PPE].[Periodo].&amp;[" &amp; TEXT(BK$6,"yyyymm") &amp; "]"
),
0
)</f>
        <v>0</v>
      </c>
      <c r="BO82" s="24">
        <f t="shared" si="65"/>
        <v>0</v>
      </c>
      <c r="BP82" s="24">
        <f t="shared" si="65"/>
        <v>0</v>
      </c>
      <c r="BQ82" s="24">
        <f t="shared" si="65"/>
        <v>0</v>
      </c>
      <c r="BR82" s="24">
        <f t="shared" si="65"/>
        <v>0</v>
      </c>
      <c r="BS82" s="24">
        <f t="shared" si="65"/>
        <v>0</v>
      </c>
      <c r="BT82" s="24">
        <f t="shared" si="65"/>
        <v>0</v>
      </c>
    </row>
    <row r="83" spans="1:72" collapsed="1" x14ac:dyDescent="0.25">
      <c r="C83" s="3" t="s">
        <v>71</v>
      </c>
      <c r="D83" s="10">
        <f t="shared" ref="D83:AY83" si="66">SUM(D63:D82)</f>
        <v>5.9165062805349988</v>
      </c>
      <c r="E83" s="10">
        <f t="shared" si="66"/>
        <v>5.46143194268</v>
      </c>
      <c r="F83" s="10">
        <f t="shared" si="66"/>
        <v>4.4567582479599999</v>
      </c>
      <c r="G83" s="10">
        <f t="shared" si="66"/>
        <v>6.5998469032499996</v>
      </c>
      <c r="H83" s="10">
        <f t="shared" si="66"/>
        <v>5.3659473582599988</v>
      </c>
      <c r="I83" s="10">
        <f t="shared" si="66"/>
        <v>6.1664523868679995</v>
      </c>
      <c r="J83" s="10">
        <f t="shared" si="66"/>
        <v>5.6570994943400006</v>
      </c>
      <c r="K83" s="10">
        <f t="shared" si="66"/>
        <v>5.9504752184200003</v>
      </c>
      <c r="L83" s="10">
        <f t="shared" si="66"/>
        <v>5.9299958554099996</v>
      </c>
      <c r="M83" s="10">
        <f t="shared" si="66"/>
        <v>5.0608236303499998</v>
      </c>
      <c r="N83" s="10">
        <f t="shared" si="66"/>
        <v>4.970333711326</v>
      </c>
      <c r="O83" s="10">
        <f t="shared" si="66"/>
        <v>4.2097760384689993</v>
      </c>
      <c r="P83" s="10">
        <f t="shared" si="66"/>
        <v>5.0379112730740001</v>
      </c>
      <c r="Q83" s="10">
        <f t="shared" si="66"/>
        <v>4.3155142014900001</v>
      </c>
      <c r="R83" s="10">
        <f t="shared" si="66"/>
        <v>4.7353594462400013</v>
      </c>
      <c r="S83" s="10">
        <f t="shared" si="66"/>
        <v>3.6204616277099997</v>
      </c>
      <c r="T83" s="10">
        <f t="shared" si="66"/>
        <v>3.6967840083480001</v>
      </c>
      <c r="U83" s="10">
        <f t="shared" si="66"/>
        <v>3.6828810776900003</v>
      </c>
      <c r="V83" s="10">
        <f t="shared" si="66"/>
        <v>3.2024685770470001</v>
      </c>
      <c r="W83" s="10">
        <f t="shared" si="66"/>
        <v>3.3686960768200001</v>
      </c>
      <c r="X83" s="10">
        <f t="shared" si="66"/>
        <v>7.6621158886820009</v>
      </c>
      <c r="Y83" s="10">
        <f t="shared" si="66"/>
        <v>-0.96834596919500004</v>
      </c>
      <c r="Z83" s="10">
        <f t="shared" si="66"/>
        <v>3.2643637117100002</v>
      </c>
      <c r="AA83" s="10">
        <f t="shared" si="66"/>
        <v>2.6091579431900001</v>
      </c>
      <c r="AB83" s="10">
        <f t="shared" si="66"/>
        <v>3.4666472424200001</v>
      </c>
      <c r="AC83" s="10">
        <f t="shared" si="66"/>
        <v>2.3211216176879996</v>
      </c>
      <c r="AD83" s="10">
        <f t="shared" si="66"/>
        <v>1.3121843790900001</v>
      </c>
      <c r="AE83" s="10">
        <f t="shared" si="66"/>
        <v>2.5275039992699995</v>
      </c>
      <c r="AF83" s="10">
        <f t="shared" si="66"/>
        <v>2.3925344298699995</v>
      </c>
      <c r="AG83" s="10">
        <f t="shared" si="66"/>
        <v>2.9793166767899999</v>
      </c>
      <c r="AH83" s="10">
        <f t="shared" si="66"/>
        <v>2.4392435499949996</v>
      </c>
      <c r="AI83" s="10">
        <f t="shared" si="66"/>
        <v>2.6552989576799999</v>
      </c>
      <c r="AJ83" s="10">
        <f t="shared" si="66"/>
        <v>2.5203602110400003</v>
      </c>
      <c r="AK83" s="10">
        <f t="shared" si="66"/>
        <v>2.2195880989100001</v>
      </c>
      <c r="AL83" s="10">
        <f t="shared" si="66"/>
        <v>3.2160375330399997</v>
      </c>
      <c r="AM83" s="10">
        <f t="shared" si="66"/>
        <v>2.2706110934569996</v>
      </c>
      <c r="AN83" s="10">
        <f t="shared" si="66"/>
        <v>2.8963263046742527</v>
      </c>
      <c r="AO83" s="10">
        <f t="shared" si="66"/>
        <v>2.4375634024143022</v>
      </c>
      <c r="AP83" s="10">
        <f t="shared" si="66"/>
        <v>2.7777799527739098</v>
      </c>
      <c r="AQ83" s="10">
        <f t="shared" si="66"/>
        <v>4.2100892465822364</v>
      </c>
      <c r="AR83" s="10">
        <f t="shared" si="66"/>
        <v>4.0173106058922032</v>
      </c>
      <c r="AS83" s="10">
        <f t="shared" si="66"/>
        <v>4.7576704996780155</v>
      </c>
      <c r="AT83" s="10">
        <f t="shared" si="66"/>
        <v>0</v>
      </c>
      <c r="AU83" s="10">
        <f t="shared" si="66"/>
        <v>0</v>
      </c>
      <c r="AV83" s="10">
        <f t="shared" si="66"/>
        <v>0</v>
      </c>
      <c r="AW83" s="10">
        <f t="shared" si="66"/>
        <v>0</v>
      </c>
      <c r="AX83" s="10">
        <f t="shared" si="66"/>
        <v>0</v>
      </c>
      <c r="AY83" s="10">
        <f t="shared" si="66"/>
        <v>0</v>
      </c>
      <c r="AZ83" s="10">
        <f t="shared" ref="AZ83:BK83" si="67">SUM(AZ63:AZ82)</f>
        <v>1.898353364687194</v>
      </c>
      <c r="BA83" s="10">
        <f t="shared" si="67"/>
        <v>1.8502309997334354</v>
      </c>
      <c r="BB83" s="10">
        <f t="shared" si="67"/>
        <v>1.80349802118307</v>
      </c>
      <c r="BC83" s="10">
        <f t="shared" si="67"/>
        <v>1.7685563278834462</v>
      </c>
      <c r="BD83" s="10">
        <f t="shared" si="67"/>
        <v>1.7446855863193502</v>
      </c>
      <c r="BE83" s="10">
        <f t="shared" si="67"/>
        <v>1.7164750450539472</v>
      </c>
      <c r="BF83" s="10">
        <f t="shared" si="67"/>
        <v>1.6882312229406156</v>
      </c>
      <c r="BG83" s="10">
        <f t="shared" si="67"/>
        <v>1.6721210111361475</v>
      </c>
      <c r="BH83" s="10">
        <f t="shared" si="67"/>
        <v>1.6554560527818005</v>
      </c>
      <c r="BI83" s="10">
        <f t="shared" si="67"/>
        <v>1.6489025151111245</v>
      </c>
      <c r="BJ83" s="10">
        <f t="shared" si="67"/>
        <v>1.6506188279056999</v>
      </c>
      <c r="BK83" s="10">
        <f t="shared" si="67"/>
        <v>1.6481923162621284</v>
      </c>
      <c r="BO83" s="23">
        <f>SUM(BO63:BO82)</f>
        <v>8.1116696598624642</v>
      </c>
      <c r="BP83" s="23">
        <f t="shared" ref="BP83:BT83" si="68">SUM(BP63:BP82)</f>
        <v>5.5520823856036996</v>
      </c>
      <c r="BQ83" s="23">
        <f t="shared" si="68"/>
        <v>5.3338897070885549</v>
      </c>
      <c r="BR83" s="23">
        <f t="shared" si="68"/>
        <v>7.0999532391979994</v>
      </c>
      <c r="BS83" s="23">
        <f t="shared" si="68"/>
        <v>14.088784920804001</v>
      </c>
      <c r="BT83" s="23">
        <f t="shared" si="68"/>
        <v>15.834696471175002</v>
      </c>
    </row>
    <row r="86" spans="1:72" hidden="1" outlineLevel="1" x14ac:dyDescent="0.25">
      <c r="A86" s="11" t="s">
        <v>76</v>
      </c>
      <c r="C86" s="2" t="s">
        <v>79</v>
      </c>
      <c r="D86" s="8">
        <f>IFERROR(
GETPIVOTDATA(
"[Base].[Importe]",
TDinamica_R!$A$5,
"[Calendario].[AñoMes]",
"[Calendario].[AñoMes].&amp;[" &amp; TEXT(D$6,"yyyymm") &amp; "]",
"[Base].[Metrica]",
"[Base].[Metrica].&amp;[" &amp; $A86 &amp; "]",
"[Base].[SEGMENTO_DESCRIP]",
"[Base].[SEGMENTO_DESCRIP].&amp;[" &amp; $C$6 &amp; "]",
"[Base].[SITUACION]",
"[Base].[SITUACION].&amp;[" &amp; $C86 &amp; "]"
),0)/1000</f>
        <v>-91.091246899499993</v>
      </c>
      <c r="E86" s="8">
        <f>IFERROR(
GETPIVOTDATA(
"[Base].[Importe]",
TDinamica_R!$A$5,
"[Calendario].[AñoMes]",
"[Calendario].[AñoMes].&amp;[" &amp; TEXT(E$6,"yyyymm") &amp; "]",
"[Base].[Metrica]",
"[Base].[Metrica].&amp;[" &amp; $A86 &amp; "]",
"[Base].[SEGMENTO_DESCRIP]",
"[Base].[SEGMENTO_DESCRIP].&amp;[" &amp; $C$6 &amp; "]",
"[Base].[SITUACION]",
"[Base].[SITUACION].&amp;[" &amp; $C86 &amp; "]"
),0)/1000</f>
        <v>-79.410431795299999</v>
      </c>
      <c r="F86" s="8">
        <f>IFERROR(
GETPIVOTDATA(
"[Base].[Importe]",
TDinamica_R!$A$5,
"[Calendario].[AñoMes]",
"[Calendario].[AñoMes].&amp;[" &amp; TEXT(F$6,"yyyymm") &amp; "]",
"[Base].[Metrica]",
"[Base].[Metrica].&amp;[" &amp; $A86 &amp; "]",
"[Base].[SEGMENTO_DESCRIP]",
"[Base].[SEGMENTO_DESCRIP].&amp;[" &amp; $C$6 &amp; "]",
"[Base].[SITUACION]",
"[Base].[SITUACION].&amp;[" &amp; $C86 &amp; "]"
),0)/1000</f>
        <v>-89.648562123299996</v>
      </c>
      <c r="G86" s="8">
        <f>IFERROR(
GETPIVOTDATA(
"[Base].[Importe]",
TDinamica_R!$A$5,
"[Calendario].[AñoMes]",
"[Calendario].[AñoMes].&amp;[" &amp; TEXT(G$6,"yyyymm") &amp; "]",
"[Base].[Metrica]",
"[Base].[Metrica].&amp;[" &amp; $A86 &amp; "]",
"[Base].[SEGMENTO_DESCRIP]",
"[Base].[SEGMENTO_DESCRIP].&amp;[" &amp; $C$6 &amp; "]",
"[Base].[SITUACION]",
"[Base].[SITUACION].&amp;[" &amp; $C86 &amp; "]"
),0)/1000</f>
        <v>-95.657899862199997</v>
      </c>
      <c r="H86" s="8">
        <f>IFERROR(
GETPIVOTDATA(
"[Base].[Importe]",
TDinamica_R!$A$5,
"[Calendario].[AñoMes]",
"[Calendario].[AñoMes].&amp;[" &amp; TEXT(H$6,"yyyymm") &amp; "]",
"[Base].[Metrica]",
"[Base].[Metrica].&amp;[" &amp; $A86 &amp; "]",
"[Base].[SEGMENTO_DESCRIP]",
"[Base].[SEGMENTO_DESCRIP].&amp;[" &amp; $C$6 &amp; "]",
"[Base].[SITUACION]",
"[Base].[SITUACION].&amp;[" &amp; $C86 &amp; "]"
),0)/1000</f>
        <v>-94.444067406499997</v>
      </c>
      <c r="I86" s="8">
        <f>IFERROR(
GETPIVOTDATA(
"[Base].[Importe]",
TDinamica_R!$A$5,
"[Calendario].[AñoMes]",
"[Calendario].[AñoMes].&amp;[" &amp; TEXT(I$6,"yyyymm") &amp; "]",
"[Base].[Metrica]",
"[Base].[Metrica].&amp;[" &amp; $A86 &amp; "]",
"[Base].[SEGMENTO_DESCRIP]",
"[Base].[SEGMENTO_DESCRIP].&amp;[" &amp; $C$6 &amp; "]",
"[Base].[SITUACION]",
"[Base].[SITUACION].&amp;[" &amp; $C86 &amp; "]"
),0)/1000</f>
        <v>-95.045711652099996</v>
      </c>
      <c r="J86" s="8">
        <f>IFERROR(
GETPIVOTDATA(
"[Base].[Importe]",
TDinamica_R!$A$5,
"[Calendario].[AñoMes]",
"[Calendario].[AñoMes].&amp;[" &amp; TEXT(J$6,"yyyymm") &amp; "]",
"[Base].[Metrica]",
"[Base].[Metrica].&amp;[" &amp; $A86 &amp; "]",
"[Base].[SEGMENTO_DESCRIP]",
"[Base].[SEGMENTO_DESCRIP].&amp;[" &amp; $C$6 &amp; "]",
"[Base].[SITUACION]",
"[Base].[SITUACION].&amp;[" &amp; $C86 &amp; "]"
),0)/1000</f>
        <v>-78.1058241888</v>
      </c>
      <c r="K86" s="8">
        <f>IFERROR(
GETPIVOTDATA(
"[Base].[Importe]",
TDinamica_R!$A$5,
"[Calendario].[AñoMes]",
"[Calendario].[AñoMes].&amp;[" &amp; TEXT(K$6,"yyyymm") &amp; "]",
"[Base].[Metrica]",
"[Base].[Metrica].&amp;[" &amp; $A86 &amp; "]",
"[Base].[SEGMENTO_DESCRIP]",
"[Base].[SEGMENTO_DESCRIP].&amp;[" &amp; $C$6 &amp; "]",
"[Base].[SITUACION]",
"[Base].[SITUACION].&amp;[" &amp; $C86 &amp; "]"
),0)/1000</f>
        <v>-80.905869925100006</v>
      </c>
      <c r="L86" s="8">
        <f>IFERROR(
GETPIVOTDATA(
"[Base].[Importe]",
TDinamica_R!$A$5,
"[Calendario].[AñoMes]",
"[Calendario].[AñoMes].&amp;[" &amp; TEXT(L$6,"yyyymm") &amp; "]",
"[Base].[Metrica]",
"[Base].[Metrica].&amp;[" &amp; $A86 &amp; "]",
"[Base].[SEGMENTO_DESCRIP]",
"[Base].[SEGMENTO_DESCRIP].&amp;[" &amp; $C$6 &amp; "]",
"[Base].[SITUACION]",
"[Base].[SITUACION].&amp;[" &amp; $C86 &amp; "]"
),0)/1000</f>
        <v>-76.775645165900002</v>
      </c>
      <c r="M86" s="8">
        <f>IFERROR(
GETPIVOTDATA(
"[Base].[Importe]",
TDinamica_R!$A$5,
"[Calendario].[AñoMes]",
"[Calendario].[AñoMes].&amp;[" &amp; TEXT(M$6,"yyyymm") &amp; "]",
"[Base].[Metrica]",
"[Base].[Metrica].&amp;[" &amp; $A86 &amp; "]",
"[Base].[SEGMENTO_DESCRIP]",
"[Base].[SEGMENTO_DESCRIP].&amp;[" &amp; $C$6 &amp; "]",
"[Base].[SITUACION]",
"[Base].[SITUACION].&amp;[" &amp; $C86 &amp; "]"
),0)/1000</f>
        <v>-70.253830501099998</v>
      </c>
      <c r="N86" s="8">
        <f>IFERROR(
GETPIVOTDATA(
"[Base].[Importe]",
TDinamica_R!$A$5,
"[Calendario].[AñoMes]",
"[Calendario].[AñoMes].&amp;[" &amp; TEXT(N$6,"yyyymm") &amp; "]",
"[Base].[Metrica]",
"[Base].[Metrica].&amp;[" &amp; $A86 &amp; "]",
"[Base].[SEGMENTO_DESCRIP]",
"[Base].[SEGMENTO_DESCRIP].&amp;[" &amp; $C$6 &amp; "]",
"[Base].[SITUACION]",
"[Base].[SITUACION].&amp;[" &amp; $C86 &amp; "]"
),0)/1000</f>
        <v>-73.003688510300009</v>
      </c>
      <c r="O86" s="8">
        <f>IFERROR(
GETPIVOTDATA(
"[Base].[Importe]",
TDinamica_R!$A$5,
"[Calendario].[AñoMes]",
"[Calendario].[AñoMes].&amp;[" &amp; TEXT(O$6,"yyyymm") &amp; "]",
"[Base].[Metrica]",
"[Base].[Metrica].&amp;[" &amp; $A86 &amp; "]",
"[Base].[SEGMENTO_DESCRIP]",
"[Base].[SEGMENTO_DESCRIP].&amp;[" &amp; $C$6 &amp; "]",
"[Base].[SITUACION]",
"[Base].[SITUACION].&amp;[" &amp; $C86 &amp; "]"
),0)/1000</f>
        <v>-70.360820519100002</v>
      </c>
      <c r="P86" s="8">
        <f>IFERROR(
GETPIVOTDATA(
"[Base].[Importe]",
TDinamica_R!$A$5,
"[Calendario].[AñoMes]",
"[Calendario].[AñoMes].&amp;[" &amp; TEXT(P$6,"yyyymm") &amp; "]",
"[Base].[Metrica]",
"[Base].[Metrica].&amp;[" &amp; $A86 &amp; "]",
"[Base].[SEGMENTO_DESCRIP]",
"[Base].[SEGMENTO_DESCRIP].&amp;[" &amp; $C$6 &amp; "]",
"[Base].[SITUACION]",
"[Base].[SITUACION].&amp;[" &amp; $C86 &amp; "]"
),0)/1000</f>
        <v>-71.703780525100001</v>
      </c>
      <c r="Q86" s="8">
        <f>IFERROR(
GETPIVOTDATA(
"[Base].[Importe]",
TDinamica_R!$A$5,
"[Calendario].[AñoMes]",
"[Calendario].[AñoMes].&amp;[" &amp; TEXT(Q$6,"yyyymm") &amp; "]",
"[Base].[Metrica]",
"[Base].[Metrica].&amp;[" &amp; $A86 &amp; "]",
"[Base].[SEGMENTO_DESCRIP]",
"[Base].[SEGMENTO_DESCRIP].&amp;[" &amp; $C$6 &amp; "]",
"[Base].[SITUACION]",
"[Base].[SITUACION].&amp;[" &amp; $C86 &amp; "]"
),0)/1000</f>
        <v>-79.100496442000008</v>
      </c>
      <c r="R86" s="8">
        <f>IFERROR(
GETPIVOTDATA(
"[Base].[Importe]",
TDinamica_R!$A$5,
"[Calendario].[AñoMes]",
"[Calendario].[AñoMes].&amp;[" &amp; TEXT(R$6,"yyyymm") &amp; "]",
"[Base].[Metrica]",
"[Base].[Metrica].&amp;[" &amp; $A86 &amp; "]",
"[Base].[SEGMENTO_DESCRIP]",
"[Base].[SEGMENTO_DESCRIP].&amp;[" &amp; $C$6 &amp; "]",
"[Base].[SITUACION]",
"[Base].[SITUACION].&amp;[" &amp; $C86 &amp; "]"
),0)/1000</f>
        <v>-76.456916670900014</v>
      </c>
      <c r="S86" s="8">
        <f>IFERROR(
GETPIVOTDATA(
"[Base].[Importe]",
TDinamica_R!$A$5,
"[Calendario].[AñoMes]",
"[Calendario].[AñoMes].&amp;[" &amp; TEXT(S$6,"yyyymm") &amp; "]",
"[Base].[Metrica]",
"[Base].[Metrica].&amp;[" &amp; $A86 &amp; "]",
"[Base].[SEGMENTO_DESCRIP]",
"[Base].[SEGMENTO_DESCRIP].&amp;[" &amp; $C$6 &amp; "]",
"[Base].[SITUACION]",
"[Base].[SITUACION].&amp;[" &amp; $C86 &amp; "]"
),0)/1000</f>
        <v>-85.140483386900002</v>
      </c>
      <c r="T86" s="8">
        <f>IFERROR(
GETPIVOTDATA(
"[Base].[Importe]",
TDinamica_R!$A$5,
"[Calendario].[AñoMes]",
"[Calendario].[AñoMes].&amp;[" &amp; TEXT(T$6,"yyyymm") &amp; "]",
"[Base].[Metrica]",
"[Base].[Metrica].&amp;[" &amp; $A86 &amp; "]",
"[Base].[SEGMENTO_DESCRIP]",
"[Base].[SEGMENTO_DESCRIP].&amp;[" &amp; $C$6 &amp; "]",
"[Base].[SITUACION]",
"[Base].[SITUACION].&amp;[" &amp; $C86 &amp; "]"
),0)/1000</f>
        <v>-80.134838234299991</v>
      </c>
      <c r="U86" s="8">
        <f>IFERROR(
GETPIVOTDATA(
"[Base].[Importe]",
TDinamica_R!$A$5,
"[Calendario].[AñoMes]",
"[Calendario].[AñoMes].&amp;[" &amp; TEXT(U$6,"yyyymm") &amp; "]",
"[Base].[Metrica]",
"[Base].[Metrica].&amp;[" &amp; $A86 &amp; "]",
"[Base].[SEGMENTO_DESCRIP]",
"[Base].[SEGMENTO_DESCRIP].&amp;[" &amp; $C$6 &amp; "]",
"[Base].[SITUACION]",
"[Base].[SITUACION].&amp;[" &amp; $C86 &amp; "]"
),0)/1000</f>
        <v>-73.260003579100001</v>
      </c>
      <c r="V86" s="8">
        <f>IFERROR(
GETPIVOTDATA(
"[Base].[Importe]",
TDinamica_R!$A$5,
"[Calendario].[AñoMes]",
"[Calendario].[AñoMes].&amp;[" &amp; TEXT(V$6,"yyyymm") &amp; "]",
"[Base].[Metrica]",
"[Base].[Metrica].&amp;[" &amp; $A86 &amp; "]",
"[Base].[SEGMENTO_DESCRIP]",
"[Base].[SEGMENTO_DESCRIP].&amp;[" &amp; $C$6 &amp; "]",
"[Base].[SITUACION]",
"[Base].[SITUACION].&amp;[" &amp; $C86 &amp; "]"
),0)/1000</f>
        <v>-74.81490533520001</v>
      </c>
      <c r="W86" s="8">
        <f>IFERROR(
GETPIVOTDATA(
"[Base].[Importe]",
TDinamica_R!$A$5,
"[Calendario].[AñoMes]",
"[Calendario].[AñoMes].&amp;[" &amp; TEXT(W$6,"yyyymm") &amp; "]",
"[Base].[Metrica]",
"[Base].[Metrica].&amp;[" &amp; $A86 &amp; "]",
"[Base].[SEGMENTO_DESCRIP]",
"[Base].[SEGMENTO_DESCRIP].&amp;[" &amp; $C$6 &amp; "]",
"[Base].[SITUACION]",
"[Base].[SITUACION].&amp;[" &amp; $C86 &amp; "]"
),0)/1000</f>
        <v>-74.238541685600012</v>
      </c>
      <c r="X86" s="8">
        <f>IFERROR(
GETPIVOTDATA(
"[Base].[Importe]",
TDinamica_R!$A$5,
"[Calendario].[AñoMes]",
"[Calendario].[AñoMes].&amp;[" &amp; TEXT(X$6,"yyyymm") &amp; "]",
"[Base].[Metrica]",
"[Base].[Metrica].&amp;[" &amp; $A86 &amp; "]",
"[Base].[SEGMENTO_DESCRIP]",
"[Base].[SEGMENTO_DESCRIP].&amp;[" &amp; $C$6 &amp; "]",
"[Base].[SITUACION]",
"[Base].[SITUACION].&amp;[" &amp; $C86 &amp; "]"
),0)/1000</f>
        <v>-77.439444904300004</v>
      </c>
      <c r="Y86" s="8">
        <f>IFERROR(
GETPIVOTDATA(
"[Base].[Importe]",
TDinamica_R!$A$5,
"[Calendario].[AñoMes]",
"[Calendario].[AñoMes].&amp;[" &amp; TEXT(Y$6,"yyyymm") &amp; "]",
"[Base].[Metrica]",
"[Base].[Metrica].&amp;[" &amp; $A86 &amp; "]",
"[Base].[SEGMENTO_DESCRIP]",
"[Base].[SEGMENTO_DESCRIP].&amp;[" &amp; $C$6 &amp; "]",
"[Base].[SITUACION]",
"[Base].[SITUACION].&amp;[" &amp; $C86 &amp; "]"
),0)/1000</f>
        <v>-71.501259378100002</v>
      </c>
      <c r="Z86" s="8">
        <f>IFERROR(
GETPIVOTDATA(
"[Base].[Importe]",
TDinamica_R!$A$5,
"[Calendario].[AñoMes]",
"[Calendario].[AñoMes].&amp;[" &amp; TEXT(Z$6,"yyyymm") &amp; "]",
"[Base].[Metrica]",
"[Base].[Metrica].&amp;[" &amp; $A86 &amp; "]",
"[Base].[SEGMENTO_DESCRIP]",
"[Base].[SEGMENTO_DESCRIP].&amp;[" &amp; $C$6 &amp; "]",
"[Base].[SITUACION]",
"[Base].[SITUACION].&amp;[" &amp; $C86 &amp; "]"
),0)/1000</f>
        <v>-73.155194127299993</v>
      </c>
      <c r="AA86" s="8">
        <f>IFERROR(
GETPIVOTDATA(
"[Base].[Importe]",
TDinamica_R!$A$5,
"[Calendario].[AñoMes]",
"[Calendario].[AñoMes].&amp;[" &amp; TEXT(AA$6,"yyyymm") &amp; "]",
"[Base].[Metrica]",
"[Base].[Metrica].&amp;[" &amp; $A86 &amp; "]",
"[Base].[SEGMENTO_DESCRIP]",
"[Base].[SEGMENTO_DESCRIP].&amp;[" &amp; $C$6 &amp; "]",
"[Base].[SITUACION]",
"[Base].[SITUACION].&amp;[" &amp; $C86 &amp; "]"
),0)/1000</f>
        <v>-70.042166278899998</v>
      </c>
      <c r="AB86" s="8">
        <f>IFERROR(
GETPIVOTDATA(
"[Base].[Importe]",
TDinamica_R!$A$5,
"[Calendario].[AñoMes]",
"[Calendario].[AñoMes].&amp;[" &amp; TEXT(AB$6,"yyyymm") &amp; "]",
"[Base].[Metrica]",
"[Base].[Metrica].&amp;[" &amp; $A86 &amp; "]",
"[Base].[SEGMENTO_DESCRIP]",
"[Base].[SEGMENTO_DESCRIP].&amp;[" &amp; $C$6 &amp; "]",
"[Base].[SITUACION]",
"[Base].[SITUACION].&amp;[" &amp; $C86 &amp; "]"
),0)/1000</f>
        <v>-109.15931612750001</v>
      </c>
      <c r="AC86" s="8">
        <f>IFERROR(
GETPIVOTDATA(
"[Base].[Importe]",
TDinamica_R!$A$5,
"[Calendario].[AñoMes]",
"[Calendario].[AñoMes].&amp;[" &amp; TEXT(AC$6,"yyyymm") &amp; "]",
"[Base].[Metrica]",
"[Base].[Metrica].&amp;[" &amp; $A86 &amp; "]",
"[Base].[SEGMENTO_DESCRIP]",
"[Base].[SEGMENTO_DESCRIP].&amp;[" &amp; $C$6 &amp; "]",
"[Base].[SITUACION]",
"[Base].[SITUACION].&amp;[" &amp; $C86 &amp; "]"
),0)/1000</f>
        <v>-100.91290525310001</v>
      </c>
      <c r="AD86" s="8">
        <f>IFERROR(
GETPIVOTDATA(
"[Base].[Importe]",
TDinamica_R!$A$5,
"[Calendario].[AñoMes]",
"[Calendario].[AñoMes].&amp;[" &amp; TEXT(AD$6,"yyyymm") &amp; "]",
"[Base].[Metrica]",
"[Base].[Metrica].&amp;[" &amp; $A86 &amp; "]",
"[Base].[SEGMENTO_DESCRIP]",
"[Base].[SEGMENTO_DESCRIP].&amp;[" &amp; $C$6 &amp; "]",
"[Base].[SITUACION]",
"[Base].[SITUACION].&amp;[" &amp; $C86 &amp; "]"
),0)/1000</f>
        <v>-125.34129461539999</v>
      </c>
      <c r="AE86" s="8">
        <f>IFERROR(
GETPIVOTDATA(
"[Base].[Importe]",
TDinamica_R!$A$5,
"[Calendario].[AñoMes]",
"[Calendario].[AñoMes].&amp;[" &amp; TEXT(AE$6,"yyyymm") &amp; "]",
"[Base].[Metrica]",
"[Base].[Metrica].&amp;[" &amp; $A86 &amp; "]",
"[Base].[SEGMENTO_DESCRIP]",
"[Base].[SEGMENTO_DESCRIP].&amp;[" &amp; $C$6 &amp; "]",
"[Base].[SITUACION]",
"[Base].[SITUACION].&amp;[" &amp; $C86 &amp; "]"
),0)/1000</f>
        <v>-132.986899736</v>
      </c>
      <c r="AF86" s="8">
        <f>IFERROR(
GETPIVOTDATA(
"[Base].[Importe]",
TDinamica_R!$A$5,
"[Calendario].[AñoMes]",
"[Calendario].[AñoMes].&amp;[" &amp; TEXT(AF$6,"yyyymm") &amp; "]",
"[Base].[Metrica]",
"[Base].[Metrica].&amp;[" &amp; $A86 &amp; "]",
"[Base].[SEGMENTO_DESCRIP]",
"[Base].[SEGMENTO_DESCRIP].&amp;[" &amp; $C$6 &amp; "]",
"[Base].[SITUACION]",
"[Base].[SITUACION].&amp;[" &amp; $C86 &amp; "]"
),0)/1000</f>
        <v>-132.02654672689997</v>
      </c>
      <c r="AG86" s="8">
        <f>IFERROR(
GETPIVOTDATA(
"[Base].[Importe]",
TDinamica_R!$A$5,
"[Calendario].[AñoMes]",
"[Calendario].[AñoMes].&amp;[" &amp; TEXT(AG$6,"yyyymm") &amp; "]",
"[Base].[Metrica]",
"[Base].[Metrica].&amp;[" &amp; $A86 &amp; "]",
"[Base].[SEGMENTO_DESCRIP]",
"[Base].[SEGMENTO_DESCRIP].&amp;[" &amp; $C$6 &amp; "]",
"[Base].[SITUACION]",
"[Base].[SITUACION].&amp;[" &amp; $C86 &amp; "]"
),0)/1000</f>
        <v>-139.7555860699</v>
      </c>
      <c r="AH86" s="8">
        <f>IFERROR(
GETPIVOTDATA(
"[Base].[Importe]",
TDinamica_R!$A$5,
"[Calendario].[AñoMes]",
"[Calendario].[AñoMes].&amp;[" &amp; TEXT(AH$6,"yyyymm") &amp; "]",
"[Base].[Metrica]",
"[Base].[Metrica].&amp;[" &amp; $A86 &amp; "]",
"[Base].[SEGMENTO_DESCRIP]",
"[Base].[SEGMENTO_DESCRIP].&amp;[" &amp; $C$6 &amp; "]",
"[Base].[SITUACION]",
"[Base].[SITUACION].&amp;[" &amp; $C86 &amp; "]"
),0)/1000</f>
        <v>-152.7862115609</v>
      </c>
      <c r="AI86" s="8">
        <f>IFERROR(
GETPIVOTDATA(
"[Base].[Importe]",
TDinamica_R!$A$5,
"[Calendario].[AñoMes]",
"[Calendario].[AñoMes].&amp;[" &amp; TEXT(AI$6,"yyyymm") &amp; "]",
"[Base].[Metrica]",
"[Base].[Metrica].&amp;[" &amp; $A86 &amp; "]",
"[Base].[SEGMENTO_DESCRIP]",
"[Base].[SEGMENTO_DESCRIP].&amp;[" &amp; $C$6 &amp; "]",
"[Base].[SITUACION]",
"[Base].[SITUACION].&amp;[" &amp; $C86 &amp; "]"
),0)/1000</f>
        <v>-157.99028035040001</v>
      </c>
      <c r="AJ86" s="8">
        <f>IFERROR(
GETPIVOTDATA(
"[Base].[Importe]",
TDinamica_R!$A$5,
"[Calendario].[AñoMes]",
"[Calendario].[AñoMes].&amp;[" &amp; TEXT(AJ$6,"yyyymm") &amp; "]",
"[Base].[Metrica]",
"[Base].[Metrica].&amp;[" &amp; $A86 &amp; "]",
"[Base].[SEGMENTO_DESCRIP]",
"[Base].[SEGMENTO_DESCRIP].&amp;[" &amp; $C$6 &amp; "]",
"[Base].[SITUACION]",
"[Base].[SITUACION].&amp;[" &amp; $C86 &amp; "]"
),0)/1000</f>
        <v>-124.5853686184</v>
      </c>
      <c r="AK86" s="8">
        <f>IFERROR(
GETPIVOTDATA(
"[Base].[Importe]",
TDinamica_R!$A$5,
"[Calendario].[AñoMes]",
"[Calendario].[AñoMes].&amp;[" &amp; TEXT(AK$6,"yyyymm") &amp; "]",
"[Base].[Metrica]",
"[Base].[Metrica].&amp;[" &amp; $A86 &amp; "]",
"[Base].[SEGMENTO_DESCRIP]",
"[Base].[SEGMENTO_DESCRIP].&amp;[" &amp; $C$6 &amp; "]",
"[Base].[SITUACION]",
"[Base].[SITUACION].&amp;[" &amp; $C86 &amp; "]"
),0)/1000</f>
        <v>-140.14020702139999</v>
      </c>
      <c r="AL86" s="8">
        <f>IFERROR(
GETPIVOTDATA(
"[Base].[Importe]",
TDinamica_R!$A$5,
"[Calendario].[AñoMes]",
"[Calendario].[AñoMes].&amp;[" &amp; TEXT(AL$6,"yyyymm") &amp; "]",
"[Base].[Metrica]",
"[Base].[Metrica].&amp;[" &amp; $A86 &amp; "]",
"[Base].[SEGMENTO_DESCRIP]",
"[Base].[SEGMENTO_DESCRIP].&amp;[" &amp; $C$6 &amp; "]",
"[Base].[SITUACION]",
"[Base].[SITUACION].&amp;[" &amp; $C86 &amp; "]"
),0)/1000</f>
        <v>-147.58030296910002</v>
      </c>
      <c r="AM86" s="8">
        <f>IFERROR(
GETPIVOTDATA(
"[Base].[Importe]",
TDinamica_R!$A$5,
"[Calendario].[AñoMes]",
"[Calendario].[AñoMes].&amp;[" &amp; TEXT(AM$6,"yyyymm") &amp; "]",
"[Base].[Metrica]",
"[Base].[Metrica].&amp;[" &amp; $A86 &amp; "]",
"[Base].[SEGMENTO_DESCRIP]",
"[Base].[SEGMENTO_DESCRIP].&amp;[" &amp; $C$6 &amp; "]",
"[Base].[SITUACION]",
"[Base].[SITUACION].&amp;[" &amp; $C86 &amp; "]"
),0)/1000</f>
        <v>-176.425079219</v>
      </c>
      <c r="AN86" s="8">
        <f>IFERROR(
GETPIVOTDATA(
"[Base].[Importe]",
TDinamica_R!$A$5,
"[Calendario].[AñoMes]",
"[Calendario].[AñoMes].&amp;[" &amp; TEXT(AN$6,"yyyymm") &amp; "]",
"[Base].[Metrica]",
"[Base].[Metrica].&amp;[" &amp; $A86 &amp; "]",
"[Base].[SEGMENTO_DESCRIP]",
"[Base].[SEGMENTO_DESCRIP].&amp;[" &amp; $C$6 &amp; "]",
"[Base].[SITUACION]",
"[Base].[SITUACION].&amp;[" &amp; $C86 &amp; "]"
),0)/1000</f>
        <v>-132.93267057060001</v>
      </c>
      <c r="AO86" s="8">
        <f>IFERROR(
GETPIVOTDATA(
"[Base].[Importe]",
TDinamica_R!$A$5,
"[Calendario].[AñoMes]",
"[Calendario].[AñoMes].&amp;[" &amp; TEXT(AO$6,"yyyymm") &amp; "]",
"[Base].[Metrica]",
"[Base].[Metrica].&amp;[" &amp; $A86 &amp; "]",
"[Base].[SEGMENTO_DESCRIP]",
"[Base].[SEGMENTO_DESCRIP].&amp;[" &amp; $C$6 &amp; "]",
"[Base].[SITUACION]",
"[Base].[SITUACION].&amp;[" &amp; $C86 &amp; "]"
),0)/1000</f>
        <v>-150.08132712720001</v>
      </c>
      <c r="AP86" s="8">
        <f>IFERROR(
GETPIVOTDATA(
"[Base].[Importe]",
TDinamica_R!$A$5,
"[Calendario].[AñoMes]",
"[Calendario].[AñoMes].&amp;[" &amp; TEXT(AP$6,"yyyymm") &amp; "]",
"[Base].[Metrica]",
"[Base].[Metrica].&amp;[" &amp; $A86 &amp; "]",
"[Base].[SEGMENTO_DESCRIP]",
"[Base].[SEGMENTO_DESCRIP].&amp;[" &amp; $C$6 &amp; "]",
"[Base].[SITUACION]",
"[Base].[SITUACION].&amp;[" &amp; $C86 &amp; "]"
),0)/1000</f>
        <v>-179.9770389521</v>
      </c>
      <c r="AQ86" s="8">
        <f>IFERROR(
GETPIVOTDATA(
"[Base].[Importe]",
TDinamica_R!$A$5,
"[Calendario].[AñoMes]",
"[Calendario].[AñoMes].&amp;[" &amp; TEXT(AQ$6,"yyyymm") &amp; "]",
"[Base].[Metrica]",
"[Base].[Metrica].&amp;[" &amp; $A86 &amp; "]",
"[Base].[SEGMENTO_DESCRIP]",
"[Base].[SEGMENTO_DESCRIP].&amp;[" &amp; $C$6 &amp; "]",
"[Base].[SITUACION]",
"[Base].[SITUACION].&amp;[" &amp; $C86 &amp; "]"
),0)/1000</f>
        <v>-161.29527401960001</v>
      </c>
      <c r="AR86" s="8">
        <f>IFERROR(
GETPIVOTDATA(
"[Base].[Importe]",
TDinamica_R!$A$5,
"[Calendario].[AñoMes]",
"[Calendario].[AñoMes].&amp;[" &amp; TEXT(AR$6,"yyyymm") &amp; "]",
"[Base].[Metrica]",
"[Base].[Metrica].&amp;[" &amp; $A86 &amp; "]",
"[Base].[SEGMENTO_DESCRIP]",
"[Base].[SEGMENTO_DESCRIP].&amp;[" &amp; $C$6 &amp; "]",
"[Base].[SITUACION]",
"[Base].[SITUACION].&amp;[" &amp; $C86 &amp; "]"
),0)/1000</f>
        <v>-159.82692325320002</v>
      </c>
      <c r="AS86" s="8">
        <f>IFERROR(
GETPIVOTDATA(
"[Base].[Importe]",
TDinamica_R!$A$5,
"[Calendario].[AñoMes]",
"[Calendario].[AñoMes].&amp;[" &amp; TEXT(AS$6,"yyyymm") &amp; "]",
"[Base].[Metrica]",
"[Base].[Metrica].&amp;[" &amp; $A86 &amp; "]",
"[Base].[SEGMENTO_DESCRIP]",
"[Base].[SEGMENTO_DESCRIP].&amp;[" &amp; $C$6 &amp; "]",
"[Base].[SITUACION]",
"[Base].[SITUACION].&amp;[" &amp; $C86 &amp; "]"
),0)/1000</f>
        <v>-174.14548035839999</v>
      </c>
      <c r="AT86" s="8">
        <f>IFERROR(
GETPIVOTDATA(
"[Base].[Importe]",
TDinamica_R!$A$5,
"[Calendario].[AñoMes]",
"[Calendario].[AñoMes].&amp;[" &amp; TEXT(AT$6,"yyyymm")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U86" s="8">
        <f>IFERROR(
GETPIVOTDATA(
"[Base].[Importe]",
TDinamica_R!$A$5,
"[Calendario].[AñoMes]",
"[Calendario].[AñoMes].&amp;[" &amp; TEXT(AU$6,"yyyymm")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V86" s="8">
        <f>IFERROR(
GETPIVOTDATA(
"[Base].[Importe]",
TDinamica_R!$A$5,
"[Calendario].[AñoMes]",
"[Calendario].[AñoMes].&amp;[" &amp; TEXT(AV$6,"yyyymm")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W86" s="8">
        <f>IFERROR(
GETPIVOTDATA(
"[Base].[Importe]",
TDinamica_R!$A$5,
"[Calendario].[AñoMes]",
"[Calendario].[AñoMes].&amp;[" &amp; TEXT(AW$6,"yyyymm")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X86" s="8">
        <f>IFERROR(
GETPIVOTDATA(
"[Base].[Importe]",
TDinamica_R!$A$5,
"[Calendario].[AñoMes]",
"[Calendario].[AñoMes].&amp;[" &amp; TEXT(AX$6,"yyyymm")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Y86" s="8">
        <f>IFERROR(
GETPIVOTDATA(
"[Base].[Importe]",
TDinamica_R!$A$5,
"[Calendario].[AñoMes]",
"[Calendario].[AñoMes].&amp;[" &amp; TEXT(AY$6,"yyyymm")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Z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TEXT(AZ$6,"yyyymm") &amp; "]"
),
0
)</f>
        <v>-147.49810544250002</v>
      </c>
      <c r="BA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TEXT(BA$6,"yyyymm") &amp; "]"
),
0
)</f>
        <v>-143.91293454940001</v>
      </c>
      <c r="BB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TEXT(BB$6,"yyyymm") &amp; "]"
),
0
)</f>
        <v>-147.71997066630001</v>
      </c>
      <c r="BC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TEXT(BC$6,"yyyymm") &amp; "]"
),
0
)</f>
        <v>-148.7629151502</v>
      </c>
      <c r="BD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TEXT(BD$6,"yyyymm") &amp; "]"
),
0
)</f>
        <v>-159.35682392590002</v>
      </c>
      <c r="BE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TEXT(BE$6,"yyyymm") &amp; "]"
),
0
)</f>
        <v>-167.72196278289999</v>
      </c>
      <c r="BF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TEXT(BF$6,"yyyymm") &amp; "]"
),
0
)</f>
        <v>-154.51825788119999</v>
      </c>
      <c r="BG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TEXT(BG$6,"yyyymm") &amp; "]"
),
0
)</f>
        <v>-162.07410391730002</v>
      </c>
      <c r="BH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TEXT(BH$6,"yyyymm") &amp; "]"
),
0
)</f>
        <v>-175.0487332889</v>
      </c>
      <c r="BI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TEXT(BI$6,"yyyymm") &amp; "]"
),
0
)</f>
        <v>-163.17472028899999</v>
      </c>
      <c r="BJ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TEXT(BJ$6,"yyyymm") &amp; "]"
),
0
)</f>
        <v>-167.29498884020001</v>
      </c>
      <c r="BK86" s="8">
        <f>IFERROR(
GETPIVOTDATA(
"[Base_PPE].[Importe]",
TDinamica_P!$A$4,
"[Base_PPE].[Metrica]",
"[Base_PPE].[Metrica].&amp;[" &amp; TRIM($A86) &amp; "]",
"[Base_PPE].[SITUACION]",
"[Base_PPE].[SITUACION].&amp;[" &amp; TRIM($C86) &amp; "]",
"[Base_PPE].[SEGMENTO_DESCRIP]",
"[Base_PPE].[SEGMENTO_DESCRIP].&amp;[" &amp; TRIM($C$6) &amp; "]",
"[Base_PPE].[Periodo]",
"[Base_PPE].[Periodo].&amp;[" &amp; TEXT(BK$6,"yyyymm") &amp; "]"
),
0
)</f>
        <v>-173.48572381700001</v>
      </c>
      <c r="BO86" s="24">
        <f t="shared" ref="BO86:BT88" si="69">SUMIFS($D86:$BM86,$D$6:$BM$6,"&gt;="&amp;BO$2,$D$6:$BM$6,"&lt;="&amp;BO$6,$D$5:$BM$5,BO$5)</f>
        <v>-462.99103664990002</v>
      </c>
      <c r="BP86" s="24">
        <f t="shared" si="69"/>
        <v>-439.13101065820001</v>
      </c>
      <c r="BQ86" s="24">
        <f t="shared" si="69"/>
        <v>-283.01399769780005</v>
      </c>
      <c r="BR86" s="24">
        <f t="shared" si="69"/>
        <v>-335.413515996</v>
      </c>
      <c r="BS86" s="24">
        <f t="shared" si="69"/>
        <v>-227.26119363800001</v>
      </c>
      <c r="BT86" s="24">
        <f t="shared" si="69"/>
        <v>-260.15024081809997</v>
      </c>
    </row>
    <row r="87" spans="1:72" hidden="1" outlineLevel="1" x14ac:dyDescent="0.25">
      <c r="A87" s="11" t="s">
        <v>76</v>
      </c>
      <c r="C87" s="2" t="s">
        <v>78</v>
      </c>
      <c r="D87" s="8">
        <f>IFERROR(
GETPIVOTDATA(
"[Base].[Importe]",
TDinamica_R!$A$5,
"[Calendario].[AñoMes]",
"[Calendario].[AñoMes].&amp;[" &amp; TEXT(D$6,"yyyymm") &amp; "]",
"[Base].[Metrica]",
"[Base].[Metrica].&amp;[" &amp; $A87 &amp; "]",
"[Base].[SEGMENTO_DESCRIP]",
"[Base].[SEGMENTO_DESCRIP].&amp;[" &amp; $C$6 &amp; "]",
"[Base].[SITUACION]",
"[Base].[SITUACION].&amp;[" &amp; $C87 &amp; "]"
),0)/1000</f>
        <v>-93.879708114400003</v>
      </c>
      <c r="E87" s="8">
        <f>IFERROR(
GETPIVOTDATA(
"[Base].[Importe]",
TDinamica_R!$A$5,
"[Calendario].[AñoMes]",
"[Calendario].[AñoMes].&amp;[" &amp; TEXT(E$6,"yyyymm") &amp; "]",
"[Base].[Metrica]",
"[Base].[Metrica].&amp;[" &amp; $A87 &amp; "]",
"[Base].[SEGMENTO_DESCRIP]",
"[Base].[SEGMENTO_DESCRIP].&amp;[" &amp; $C$6 &amp; "]",
"[Base].[SITUACION]",
"[Base].[SITUACION].&amp;[" &amp; $C87 &amp; "]"
),0)/1000</f>
        <v>-92.272462323000013</v>
      </c>
      <c r="F87" s="8">
        <f>IFERROR(
GETPIVOTDATA(
"[Base].[Importe]",
TDinamica_R!$A$5,
"[Calendario].[AñoMes]",
"[Calendario].[AñoMes].&amp;[" &amp; TEXT(F$6,"yyyymm") &amp; "]",
"[Base].[Metrica]",
"[Base].[Metrica].&amp;[" &amp; $A87 &amp; "]",
"[Base].[SEGMENTO_DESCRIP]",
"[Base].[SEGMENTO_DESCRIP].&amp;[" &amp; $C$6 &amp; "]",
"[Base].[SITUACION]",
"[Base].[SITUACION].&amp;[" &amp; $C87 &amp; "]"
),0)/1000</f>
        <v>-110.2062663821</v>
      </c>
      <c r="G87" s="8">
        <f>IFERROR(
GETPIVOTDATA(
"[Base].[Importe]",
TDinamica_R!$A$5,
"[Calendario].[AñoMes]",
"[Calendario].[AñoMes].&amp;[" &amp; TEXT(G$6,"yyyymm") &amp; "]",
"[Base].[Metrica]",
"[Base].[Metrica].&amp;[" &amp; $A87 &amp; "]",
"[Base].[SEGMENTO_DESCRIP]",
"[Base].[SEGMENTO_DESCRIP].&amp;[" &amp; $C$6 &amp; "]",
"[Base].[SITUACION]",
"[Base].[SITUACION].&amp;[" &amp; $C87 &amp; "]"
),0)/1000</f>
        <v>-97.955150144699985</v>
      </c>
      <c r="H87" s="8">
        <f>IFERROR(
GETPIVOTDATA(
"[Base].[Importe]",
TDinamica_R!$A$5,
"[Calendario].[AñoMes]",
"[Calendario].[AñoMes].&amp;[" &amp; TEXT(H$6,"yyyymm") &amp; "]",
"[Base].[Metrica]",
"[Base].[Metrica].&amp;[" &amp; $A87 &amp; "]",
"[Base].[SEGMENTO_DESCRIP]",
"[Base].[SEGMENTO_DESCRIP].&amp;[" &amp; $C$6 &amp; "]",
"[Base].[SITUACION]",
"[Base].[SITUACION].&amp;[" &amp; $C87 &amp; "]"
),0)/1000</f>
        <v>-117.9889361235</v>
      </c>
      <c r="I87" s="8">
        <f>IFERROR(
GETPIVOTDATA(
"[Base].[Importe]",
TDinamica_R!$A$5,
"[Calendario].[AñoMes]",
"[Calendario].[AñoMes].&amp;[" &amp; TEXT(I$6,"yyyymm") &amp; "]",
"[Base].[Metrica]",
"[Base].[Metrica].&amp;[" &amp; $A87 &amp; "]",
"[Base].[SEGMENTO_DESCRIP]",
"[Base].[SEGMENTO_DESCRIP].&amp;[" &amp; $C$6 &amp; "]",
"[Base].[SITUACION]",
"[Base].[SITUACION].&amp;[" &amp; $C87 &amp; "]"
),0)/1000</f>
        <v>-109.72629272729999</v>
      </c>
      <c r="J87" s="8">
        <f>IFERROR(
GETPIVOTDATA(
"[Base].[Importe]",
TDinamica_R!$A$5,
"[Calendario].[AñoMes]",
"[Calendario].[AñoMes].&amp;[" &amp; TEXT(J$6,"yyyymm") &amp; "]",
"[Base].[Metrica]",
"[Base].[Metrica].&amp;[" &amp; $A87 &amp; "]",
"[Base].[SEGMENTO_DESCRIP]",
"[Base].[SEGMENTO_DESCRIP].&amp;[" &amp; $C$6 &amp; "]",
"[Base].[SITUACION]",
"[Base].[SITUACION].&amp;[" &amp; $C87 &amp; "]"
),0)/1000</f>
        <v>-96.982721174999995</v>
      </c>
      <c r="K87" s="8">
        <f>IFERROR(
GETPIVOTDATA(
"[Base].[Importe]",
TDinamica_R!$A$5,
"[Calendario].[AñoMes]",
"[Calendario].[AñoMes].&amp;[" &amp; TEXT(K$6,"yyyymm") &amp; "]",
"[Base].[Metrica]",
"[Base].[Metrica].&amp;[" &amp; $A87 &amp; "]",
"[Base].[SEGMENTO_DESCRIP]",
"[Base].[SEGMENTO_DESCRIP].&amp;[" &amp; $C$6 &amp; "]",
"[Base].[SITUACION]",
"[Base].[SITUACION].&amp;[" &amp; $C87 &amp; "]"
),0)/1000</f>
        <v>-112.98213141490001</v>
      </c>
      <c r="L87" s="8">
        <f>IFERROR(
GETPIVOTDATA(
"[Base].[Importe]",
TDinamica_R!$A$5,
"[Calendario].[AñoMes]",
"[Calendario].[AñoMes].&amp;[" &amp; TEXT(L$6,"yyyymm") &amp; "]",
"[Base].[Metrica]",
"[Base].[Metrica].&amp;[" &amp; $A87 &amp; "]",
"[Base].[SEGMENTO_DESCRIP]",
"[Base].[SEGMENTO_DESCRIP].&amp;[" &amp; $C$6 &amp; "]",
"[Base].[SITUACION]",
"[Base].[SITUACION].&amp;[" &amp; $C87 &amp; "]"
),0)/1000</f>
        <v>-110.8772809014</v>
      </c>
      <c r="M87" s="8">
        <f>IFERROR(
GETPIVOTDATA(
"[Base].[Importe]",
TDinamica_R!$A$5,
"[Calendario].[AñoMes]",
"[Calendario].[AñoMes].&amp;[" &amp; TEXT(M$6,"yyyymm") &amp; "]",
"[Base].[Metrica]",
"[Base].[Metrica].&amp;[" &amp; $A87 &amp; "]",
"[Base].[SEGMENTO_DESCRIP]",
"[Base].[SEGMENTO_DESCRIP].&amp;[" &amp; $C$6 &amp; "]",
"[Base].[SITUACION]",
"[Base].[SITUACION].&amp;[" &amp; $C87 &amp; "]"
),0)/1000</f>
        <v>-111.7003355782</v>
      </c>
      <c r="N87" s="8">
        <f>IFERROR(
GETPIVOTDATA(
"[Base].[Importe]",
TDinamica_R!$A$5,
"[Calendario].[AñoMes]",
"[Calendario].[AñoMes].&amp;[" &amp; TEXT(N$6,"yyyymm") &amp; "]",
"[Base].[Metrica]",
"[Base].[Metrica].&amp;[" &amp; $A87 &amp; "]",
"[Base].[SEGMENTO_DESCRIP]",
"[Base].[SEGMENTO_DESCRIP].&amp;[" &amp; $C$6 &amp; "]",
"[Base].[SITUACION]",
"[Base].[SITUACION].&amp;[" &amp; $C87 &amp; "]"
),0)/1000</f>
        <v>-116.75710431740001</v>
      </c>
      <c r="O87" s="8">
        <f>IFERROR(
GETPIVOTDATA(
"[Base].[Importe]",
TDinamica_R!$A$5,
"[Calendario].[AñoMes]",
"[Calendario].[AñoMes].&amp;[" &amp; TEXT(O$6,"yyyymm") &amp; "]",
"[Base].[Metrica]",
"[Base].[Metrica].&amp;[" &amp; $A87 &amp; "]",
"[Base].[SEGMENTO_DESCRIP]",
"[Base].[SEGMENTO_DESCRIP].&amp;[" &amp; $C$6 &amp; "]",
"[Base].[SITUACION]",
"[Base].[SITUACION].&amp;[" &amp; $C87 &amp; "]"
),0)/1000</f>
        <v>-113.16071369879998</v>
      </c>
      <c r="P87" s="8">
        <f>IFERROR(
GETPIVOTDATA(
"[Base].[Importe]",
TDinamica_R!$A$5,
"[Calendario].[AñoMes]",
"[Calendario].[AñoMes].&amp;[" &amp; TEXT(P$6,"yyyymm") &amp; "]",
"[Base].[Metrica]",
"[Base].[Metrica].&amp;[" &amp; $A87 &amp; "]",
"[Base].[SEGMENTO_DESCRIP]",
"[Base].[SEGMENTO_DESCRIP].&amp;[" &amp; $C$6 &amp; "]",
"[Base].[SITUACION]",
"[Base].[SITUACION].&amp;[" &amp; $C87 &amp; "]"
),0)/1000</f>
        <v>-152.97144433719998</v>
      </c>
      <c r="Q87" s="8">
        <f>IFERROR(
GETPIVOTDATA(
"[Base].[Importe]",
TDinamica_R!$A$5,
"[Calendario].[AñoMes]",
"[Calendario].[AñoMes].&amp;[" &amp; TEXT(Q$6,"yyyymm") &amp; "]",
"[Base].[Metrica]",
"[Base].[Metrica].&amp;[" &amp; $A87 &amp; "]",
"[Base].[SEGMENTO_DESCRIP]",
"[Base].[SEGMENTO_DESCRIP].&amp;[" &amp; $C$6 &amp; "]",
"[Base].[SITUACION]",
"[Base].[SITUACION].&amp;[" &amp; $C87 &amp; "]"
),0)/1000</f>
        <v>-132.6338749233</v>
      </c>
      <c r="R87" s="8">
        <f>IFERROR(
GETPIVOTDATA(
"[Base].[Importe]",
TDinamica_R!$A$5,
"[Calendario].[AñoMes]",
"[Calendario].[AñoMes].&amp;[" &amp; TEXT(R$6,"yyyymm") &amp; "]",
"[Base].[Metrica]",
"[Base].[Metrica].&amp;[" &amp; $A87 &amp; "]",
"[Base].[SEGMENTO_DESCRIP]",
"[Base].[SEGMENTO_DESCRIP].&amp;[" &amp; $C$6 &amp; "]",
"[Base].[SITUACION]",
"[Base].[SITUACION].&amp;[" &amp; $C87 &amp; "]"
),0)/1000</f>
        <v>-137.76699324340001</v>
      </c>
      <c r="S87" s="8">
        <f>IFERROR(
GETPIVOTDATA(
"[Base].[Importe]",
TDinamica_R!$A$5,
"[Calendario].[AñoMes]",
"[Calendario].[AñoMes].&amp;[" &amp; TEXT(S$6,"yyyymm") &amp; "]",
"[Base].[Metrica]",
"[Base].[Metrica].&amp;[" &amp; $A87 &amp; "]",
"[Base].[SEGMENTO_DESCRIP]",
"[Base].[SEGMENTO_DESCRIP].&amp;[" &amp; $C$6 &amp; "]",
"[Base].[SITUACION]",
"[Base].[SITUACION].&amp;[" &amp; $C87 &amp; "]"
),0)/1000</f>
        <v>-136.85443290350003</v>
      </c>
      <c r="T87" s="8">
        <f>IFERROR(
GETPIVOTDATA(
"[Base].[Importe]",
TDinamica_R!$A$5,
"[Calendario].[AñoMes]",
"[Calendario].[AñoMes].&amp;[" &amp; TEXT(T$6,"yyyymm") &amp; "]",
"[Base].[Metrica]",
"[Base].[Metrica].&amp;[" &amp; $A87 &amp; "]",
"[Base].[SEGMENTO_DESCRIP]",
"[Base].[SEGMENTO_DESCRIP].&amp;[" &amp; $C$6 &amp; "]",
"[Base].[SITUACION]",
"[Base].[SITUACION].&amp;[" &amp; $C87 &amp; "]"
),0)/1000</f>
        <v>-156.00584191699997</v>
      </c>
      <c r="U87" s="8">
        <f>IFERROR(
GETPIVOTDATA(
"[Base].[Importe]",
TDinamica_R!$A$5,
"[Calendario].[AñoMes]",
"[Calendario].[AñoMes].&amp;[" &amp; TEXT(U$6,"yyyymm") &amp; "]",
"[Base].[Metrica]",
"[Base].[Metrica].&amp;[" &amp; $A87 &amp; "]",
"[Base].[SEGMENTO_DESCRIP]",
"[Base].[SEGMENTO_DESCRIP].&amp;[" &amp; $C$6 &amp; "]",
"[Base].[SITUACION]",
"[Base].[SITUACION].&amp;[" &amp; $C87 &amp; "]"
),0)/1000</f>
        <v>-129.4829913495</v>
      </c>
      <c r="V87" s="8">
        <f>IFERROR(
GETPIVOTDATA(
"[Base].[Importe]",
TDinamica_R!$A$5,
"[Calendario].[AñoMes]",
"[Calendario].[AñoMes].&amp;[" &amp; TEXT(V$6,"yyyymm") &amp; "]",
"[Base].[Metrica]",
"[Base].[Metrica].&amp;[" &amp; $A87 &amp; "]",
"[Base].[SEGMENTO_DESCRIP]",
"[Base].[SEGMENTO_DESCRIP].&amp;[" &amp; $C$6 &amp; "]",
"[Base].[SITUACION]",
"[Base].[SITUACION].&amp;[" &amp; $C87 &amp; "]"
),0)/1000</f>
        <v>-144.33804853460001</v>
      </c>
      <c r="W87" s="8">
        <f>IFERROR(
GETPIVOTDATA(
"[Base].[Importe]",
TDinamica_R!$A$5,
"[Calendario].[AñoMes]",
"[Calendario].[AñoMes].&amp;[" &amp; TEXT(W$6,"yyyymm") &amp; "]",
"[Base].[Metrica]",
"[Base].[Metrica].&amp;[" &amp; $A87 &amp; "]",
"[Base].[SEGMENTO_DESCRIP]",
"[Base].[SEGMENTO_DESCRIP].&amp;[" &amp; $C$6 &amp; "]",
"[Base].[SITUACION]",
"[Base].[SITUACION].&amp;[" &amp; $C87 &amp; "]"
),0)/1000</f>
        <v>-138.5163119039</v>
      </c>
      <c r="X87" s="8">
        <f>IFERROR(
GETPIVOTDATA(
"[Base].[Importe]",
TDinamica_R!$A$5,
"[Calendario].[AñoMes]",
"[Calendario].[AñoMes].&amp;[" &amp; TEXT(X$6,"yyyymm") &amp; "]",
"[Base].[Metrica]",
"[Base].[Metrica].&amp;[" &amp; $A87 &amp; "]",
"[Base].[SEGMENTO_DESCRIP]",
"[Base].[SEGMENTO_DESCRIP].&amp;[" &amp; $C$6 &amp; "]",
"[Base].[SITUACION]",
"[Base].[SITUACION].&amp;[" &amp; $C87 &amp; "]"
),0)/1000</f>
        <v>-138.1383184101</v>
      </c>
      <c r="Y87" s="8">
        <f>IFERROR(
GETPIVOTDATA(
"[Base].[Importe]",
TDinamica_R!$A$5,
"[Calendario].[AñoMes]",
"[Calendario].[AñoMes].&amp;[" &amp; TEXT(Y$6,"yyyymm") &amp; "]",
"[Base].[Metrica]",
"[Base].[Metrica].&amp;[" &amp; $A87 &amp; "]",
"[Base].[SEGMENTO_DESCRIP]",
"[Base].[SEGMENTO_DESCRIP].&amp;[" &amp; $C$6 &amp; "]",
"[Base].[SITUACION]",
"[Base].[SITUACION].&amp;[" &amp; $C87 &amp; "]"
),0)/1000</f>
        <v>-138.3219977944</v>
      </c>
      <c r="Z87" s="8">
        <f>IFERROR(
GETPIVOTDATA(
"[Base].[Importe]",
TDinamica_R!$A$5,
"[Calendario].[AñoMes]",
"[Calendario].[AñoMes].&amp;[" &amp; TEXT(Z$6,"yyyymm") &amp; "]",
"[Base].[Metrica]",
"[Base].[Metrica].&amp;[" &amp; $A87 &amp; "]",
"[Base].[SEGMENTO_DESCRIP]",
"[Base].[SEGMENTO_DESCRIP].&amp;[" &amp; $C$6 &amp; "]",
"[Base].[SITUACION]",
"[Base].[SITUACION].&amp;[" &amp; $C87 &amp; "]"
),0)/1000</f>
        <v>-125.79225716959999</v>
      </c>
      <c r="AA87" s="8">
        <f>IFERROR(
GETPIVOTDATA(
"[Base].[Importe]",
TDinamica_R!$A$5,
"[Calendario].[AñoMes]",
"[Calendario].[AñoMes].&amp;[" &amp; TEXT(AA$6,"yyyymm") &amp; "]",
"[Base].[Metrica]",
"[Base].[Metrica].&amp;[" &amp; $A87 &amp; "]",
"[Base].[SEGMENTO_DESCRIP]",
"[Base].[SEGMENTO_DESCRIP].&amp;[" &amp; $C$6 &amp; "]",
"[Base].[SITUACION]",
"[Base].[SITUACION].&amp;[" &amp; $C87 &amp; "]"
),0)/1000</f>
        <v>-113.86984648079999</v>
      </c>
      <c r="AB87" s="8">
        <f>IFERROR(
GETPIVOTDATA(
"[Base].[Importe]",
TDinamica_R!$A$5,
"[Calendario].[AñoMes]",
"[Calendario].[AñoMes].&amp;[" &amp; TEXT(AB$6,"yyyymm") &amp; "]",
"[Base].[Metrica]",
"[Base].[Metrica].&amp;[" &amp; $A87 &amp; "]",
"[Base].[SEGMENTO_DESCRIP]",
"[Base].[SEGMENTO_DESCRIP].&amp;[" &amp; $C$6 &amp; "]",
"[Base].[SITUACION]",
"[Base].[SITUACION].&amp;[" &amp; $C87 &amp; "]"
),0)/1000</f>
        <v>-139.13924562810001</v>
      </c>
      <c r="AC87" s="8">
        <f>IFERROR(
GETPIVOTDATA(
"[Base].[Importe]",
TDinamica_R!$A$5,
"[Calendario].[AñoMes]",
"[Calendario].[AñoMes].&amp;[" &amp; TEXT(AC$6,"yyyymm") &amp; "]",
"[Base].[Metrica]",
"[Base].[Metrica].&amp;[" &amp; $A87 &amp; "]",
"[Base].[SEGMENTO_DESCRIP]",
"[Base].[SEGMENTO_DESCRIP].&amp;[" &amp; $C$6 &amp; "]",
"[Base].[SITUACION]",
"[Base].[SITUACION].&amp;[" &amp; $C87 &amp; "]"
),0)/1000</f>
        <v>-117.36375260989999</v>
      </c>
      <c r="AD87" s="8">
        <f>IFERROR(
GETPIVOTDATA(
"[Base].[Importe]",
TDinamica_R!$A$5,
"[Calendario].[AñoMes]",
"[Calendario].[AñoMes].&amp;[" &amp; TEXT(AD$6,"yyyymm") &amp; "]",
"[Base].[Metrica]",
"[Base].[Metrica].&amp;[" &amp; $A87 &amp; "]",
"[Base].[SEGMENTO_DESCRIP]",
"[Base].[SEGMENTO_DESCRIP].&amp;[" &amp; $C$6 &amp; "]",
"[Base].[SITUACION]",
"[Base].[SITUACION].&amp;[" &amp; $C87 &amp; "]"
),0)/1000</f>
        <v>-142.36915830300001</v>
      </c>
      <c r="AE87" s="8">
        <f>IFERROR(
GETPIVOTDATA(
"[Base].[Importe]",
TDinamica_R!$A$5,
"[Calendario].[AñoMes]",
"[Calendario].[AñoMes].&amp;[" &amp; TEXT(AE$6,"yyyymm") &amp; "]",
"[Base].[Metrica]",
"[Base].[Metrica].&amp;[" &amp; $A87 &amp; "]",
"[Base].[SEGMENTO_DESCRIP]",
"[Base].[SEGMENTO_DESCRIP].&amp;[" &amp; $C$6 &amp; "]",
"[Base].[SITUACION]",
"[Base].[SITUACION].&amp;[" &amp; $C87 &amp; "]"
),0)/1000</f>
        <v>-132.6117070734</v>
      </c>
      <c r="AF87" s="8">
        <f>IFERROR(
GETPIVOTDATA(
"[Base].[Importe]",
TDinamica_R!$A$5,
"[Calendario].[AñoMes]",
"[Calendario].[AñoMes].&amp;[" &amp; TEXT(AF$6,"yyyymm") &amp; "]",
"[Base].[Metrica]",
"[Base].[Metrica].&amp;[" &amp; $A87 &amp; "]",
"[Base].[SEGMENTO_DESCRIP]",
"[Base].[SEGMENTO_DESCRIP].&amp;[" &amp; $C$6 &amp; "]",
"[Base].[SITUACION]",
"[Base].[SITUACION].&amp;[" &amp; $C87 &amp; "]"
),0)/1000</f>
        <v>-136.27248791710002</v>
      </c>
      <c r="AG87" s="8">
        <f>IFERROR(
GETPIVOTDATA(
"[Base].[Importe]",
TDinamica_R!$A$5,
"[Calendario].[AñoMes]",
"[Calendario].[AñoMes].&amp;[" &amp; TEXT(AG$6,"yyyymm") &amp; "]",
"[Base].[Metrica]",
"[Base].[Metrica].&amp;[" &amp; $A87 &amp; "]",
"[Base].[SEGMENTO_DESCRIP]",
"[Base].[SEGMENTO_DESCRIP].&amp;[" &amp; $C$6 &amp; "]",
"[Base].[SITUACION]",
"[Base].[SITUACION].&amp;[" &amp; $C87 &amp; "]"
),0)/1000</f>
        <v>-124.8339211823</v>
      </c>
      <c r="AH87" s="8">
        <f>IFERROR(
GETPIVOTDATA(
"[Base].[Importe]",
TDinamica_R!$A$5,
"[Calendario].[AñoMes]",
"[Calendario].[AñoMes].&amp;[" &amp; TEXT(AH$6,"yyyymm") &amp; "]",
"[Base].[Metrica]",
"[Base].[Metrica].&amp;[" &amp; $A87 &amp; "]",
"[Base].[SEGMENTO_DESCRIP]",
"[Base].[SEGMENTO_DESCRIP].&amp;[" &amp; $C$6 &amp; "]",
"[Base].[SITUACION]",
"[Base].[SITUACION].&amp;[" &amp; $C87 &amp; "]"
),0)/1000</f>
        <v>-116.4216408205</v>
      </c>
      <c r="AI87" s="8">
        <f>IFERROR(
GETPIVOTDATA(
"[Base].[Importe]",
TDinamica_R!$A$5,
"[Calendario].[AñoMes]",
"[Calendario].[AñoMes].&amp;[" &amp; TEXT(AI$6,"yyyymm") &amp; "]",
"[Base].[Metrica]",
"[Base].[Metrica].&amp;[" &amp; $A87 &amp; "]",
"[Base].[SEGMENTO_DESCRIP]",
"[Base].[SEGMENTO_DESCRIP].&amp;[" &amp; $C$6 &amp; "]",
"[Base].[SITUACION]",
"[Base].[SITUACION].&amp;[" &amp; $C87 &amp; "]"
),0)/1000</f>
        <v>-119.0398513961</v>
      </c>
      <c r="AJ87" s="8">
        <f>IFERROR(
GETPIVOTDATA(
"[Base].[Importe]",
TDinamica_R!$A$5,
"[Calendario].[AñoMes]",
"[Calendario].[AñoMes].&amp;[" &amp; TEXT(AJ$6,"yyyymm") &amp; "]",
"[Base].[Metrica]",
"[Base].[Metrica].&amp;[" &amp; $A87 &amp; "]",
"[Base].[SEGMENTO_DESCRIP]",
"[Base].[SEGMENTO_DESCRIP].&amp;[" &amp; $C$6 &amp; "]",
"[Base].[SITUACION]",
"[Base].[SITUACION].&amp;[" &amp; $C87 &amp; "]"
),0)/1000</f>
        <v>-112.81413515289999</v>
      </c>
      <c r="AK87" s="8">
        <f>IFERROR(
GETPIVOTDATA(
"[Base].[Importe]",
TDinamica_R!$A$5,
"[Calendario].[AñoMes]",
"[Calendario].[AñoMes].&amp;[" &amp; TEXT(AK$6,"yyyymm") &amp; "]",
"[Base].[Metrica]",
"[Base].[Metrica].&amp;[" &amp; $A87 &amp; "]",
"[Base].[SEGMENTO_DESCRIP]",
"[Base].[SEGMENTO_DESCRIP].&amp;[" &amp; $C$6 &amp; "]",
"[Base].[SITUACION]",
"[Base].[SITUACION].&amp;[" &amp; $C87 &amp; "]"
),0)/1000</f>
        <v>-116.73537381700001</v>
      </c>
      <c r="AL87" s="8">
        <f>IFERROR(
GETPIVOTDATA(
"[Base].[Importe]",
TDinamica_R!$A$5,
"[Calendario].[AñoMes]",
"[Calendario].[AñoMes].&amp;[" &amp; TEXT(AL$6,"yyyymm") &amp; "]",
"[Base].[Metrica]",
"[Base].[Metrica].&amp;[" &amp; $A87 &amp; "]",
"[Base].[SEGMENTO_DESCRIP]",
"[Base].[SEGMENTO_DESCRIP].&amp;[" &amp; $C$6 &amp; "]",
"[Base].[SITUACION]",
"[Base].[SITUACION].&amp;[" &amp; $C87 &amp; "]"
),0)/1000</f>
        <v>-121.9225959706</v>
      </c>
      <c r="AM87" s="8">
        <f>IFERROR(
GETPIVOTDATA(
"[Base].[Importe]",
TDinamica_R!$A$5,
"[Calendario].[AñoMes]",
"[Calendario].[AñoMes].&amp;[" &amp; TEXT(AM$6,"yyyymm") &amp; "]",
"[Base].[Metrica]",
"[Base].[Metrica].&amp;[" &amp; $A87 &amp; "]",
"[Base].[SEGMENTO_DESCRIP]",
"[Base].[SEGMENTO_DESCRIP].&amp;[" &amp; $C$6 &amp; "]",
"[Base].[SITUACION]",
"[Base].[SITUACION].&amp;[" &amp; $C87 &amp; "]"
),0)/1000</f>
        <v>-115.07761941019999</v>
      </c>
      <c r="AN87" s="8">
        <f>IFERROR(
GETPIVOTDATA(
"[Base].[Importe]",
TDinamica_R!$A$5,
"[Calendario].[AñoMes]",
"[Calendario].[AñoMes].&amp;[" &amp; TEXT(AN$6,"yyyymm") &amp; "]",
"[Base].[Metrica]",
"[Base].[Metrica].&amp;[" &amp; $A87 &amp; "]",
"[Base].[SEGMENTO_DESCRIP]",
"[Base].[SEGMENTO_DESCRIP].&amp;[" &amp; $C$6 &amp; "]",
"[Base].[SITUACION]",
"[Base].[SITUACION].&amp;[" &amp; $C87 &amp; "]"
),0)/1000</f>
        <v>-120.00928569939998</v>
      </c>
      <c r="AO87" s="8">
        <f>IFERROR(
GETPIVOTDATA(
"[Base].[Importe]",
TDinamica_R!$A$5,
"[Calendario].[AñoMes]",
"[Calendario].[AñoMes].&amp;[" &amp; TEXT(AO$6,"yyyymm") &amp; "]",
"[Base].[Metrica]",
"[Base].[Metrica].&amp;[" &amp; $A87 &amp; "]",
"[Base].[SEGMENTO_DESCRIP]",
"[Base].[SEGMENTO_DESCRIP].&amp;[" &amp; $C$6 &amp; "]",
"[Base].[SITUACION]",
"[Base].[SITUACION].&amp;[" &amp; $C87 &amp; "]"
),0)/1000</f>
        <v>-154.50547808279998</v>
      </c>
      <c r="AP87" s="8">
        <f>IFERROR(
GETPIVOTDATA(
"[Base].[Importe]",
TDinamica_R!$A$5,
"[Calendario].[AñoMes]",
"[Calendario].[AñoMes].&amp;[" &amp; TEXT(AP$6,"yyyymm") &amp; "]",
"[Base].[Metrica]",
"[Base].[Metrica].&amp;[" &amp; $A87 &amp; "]",
"[Base].[SEGMENTO_DESCRIP]",
"[Base].[SEGMENTO_DESCRIP].&amp;[" &amp; $C$6 &amp; "]",
"[Base].[SITUACION]",
"[Base].[SITUACION].&amp;[" &amp; $C87 &amp; "]"
),0)/1000</f>
        <v>-156.20932353730001</v>
      </c>
      <c r="AQ87" s="8">
        <f>IFERROR(
GETPIVOTDATA(
"[Base].[Importe]",
TDinamica_R!$A$5,
"[Calendario].[AñoMes]",
"[Calendario].[AñoMes].&amp;[" &amp; TEXT(AQ$6,"yyyymm") &amp; "]",
"[Base].[Metrica]",
"[Base].[Metrica].&amp;[" &amp; $A87 &amp; "]",
"[Base].[SEGMENTO_DESCRIP]",
"[Base].[SEGMENTO_DESCRIP].&amp;[" &amp; $C$6 &amp; "]",
"[Base].[SITUACION]",
"[Base].[SITUACION].&amp;[" &amp; $C87 &amp; "]"
),0)/1000</f>
        <v>-191.16842479300001</v>
      </c>
      <c r="AR87" s="8">
        <f>IFERROR(
GETPIVOTDATA(
"[Base].[Importe]",
TDinamica_R!$A$5,
"[Calendario].[AñoMes]",
"[Calendario].[AñoMes].&amp;[" &amp; TEXT(AR$6,"yyyymm") &amp; "]",
"[Base].[Metrica]",
"[Base].[Metrica].&amp;[" &amp; $A87 &amp; "]",
"[Base].[SEGMENTO_DESCRIP]",
"[Base].[SEGMENTO_DESCRIP].&amp;[" &amp; $C$6 &amp; "]",
"[Base].[SITUACION]",
"[Base].[SITUACION].&amp;[" &amp; $C87 &amp; "]"
),0)/1000</f>
        <v>-157.8700093166</v>
      </c>
      <c r="AS87" s="8">
        <f>IFERROR(
GETPIVOTDATA(
"[Base].[Importe]",
TDinamica_R!$A$5,
"[Calendario].[AñoMes]",
"[Calendario].[AñoMes].&amp;[" &amp; TEXT(AS$6,"yyyymm") &amp; "]",
"[Base].[Metrica]",
"[Base].[Metrica].&amp;[" &amp; $A87 &amp; "]",
"[Base].[SEGMENTO_DESCRIP]",
"[Base].[SEGMENTO_DESCRIP].&amp;[" &amp; $C$6 &amp; "]",
"[Base].[SITUACION]",
"[Base].[SITUACION].&amp;[" &amp; $C87 &amp; "]"
),0)/1000</f>
        <v>-157.8182530279</v>
      </c>
      <c r="AT87" s="8">
        <f>IFERROR(
GETPIVOTDATA(
"[Base].[Importe]",
TDinamica_R!$A$5,
"[Calendario].[AñoMes]",
"[Calendario].[AñoMes].&amp;[" &amp; TEXT(AT$6,"yyyymm")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U87" s="8">
        <f>IFERROR(
GETPIVOTDATA(
"[Base].[Importe]",
TDinamica_R!$A$5,
"[Calendario].[AñoMes]",
"[Calendario].[AñoMes].&amp;[" &amp; TEXT(AU$6,"yyyymm")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V87" s="8">
        <f>IFERROR(
GETPIVOTDATA(
"[Base].[Importe]",
TDinamica_R!$A$5,
"[Calendario].[AñoMes]",
"[Calendario].[AñoMes].&amp;[" &amp; TEXT(AV$6,"yyyymm")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W87" s="8">
        <f>IFERROR(
GETPIVOTDATA(
"[Base].[Importe]",
TDinamica_R!$A$5,
"[Calendario].[AñoMes]",
"[Calendario].[AñoMes].&amp;[" &amp; TEXT(AW$6,"yyyymm")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X87" s="8">
        <f>IFERROR(
GETPIVOTDATA(
"[Base].[Importe]",
TDinamica_R!$A$5,
"[Calendario].[AñoMes]",
"[Calendario].[AñoMes].&amp;[" &amp; TEXT(AX$6,"yyyymm")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Y87" s="8">
        <f>IFERROR(
GETPIVOTDATA(
"[Base].[Importe]",
TDinamica_R!$A$5,
"[Calendario].[AñoMes]",
"[Calendario].[AñoMes].&amp;[" &amp; TEXT(AY$6,"yyyymm")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Z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TEXT(AZ$6,"yyyymm") &amp; "]"
),
0
)</f>
        <v>-132.45010285230001</v>
      </c>
      <c r="BA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TEXT(BA$6,"yyyymm") &amp; "]"
),
0
)</f>
        <v>-126.54269753280001</v>
      </c>
      <c r="BB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TEXT(BB$6,"yyyymm") &amp; "]"
),
0
)</f>
        <v>-126.7429776906</v>
      </c>
      <c r="BC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TEXT(BC$6,"yyyymm") &amp; "]"
),
0
)</f>
        <v>-121.07375064590001</v>
      </c>
      <c r="BD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TEXT(BD$6,"yyyymm") &amp; "]"
),
0
)</f>
        <v>-124.69067739459999</v>
      </c>
      <c r="BE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TEXT(BE$6,"yyyymm") &amp; "]"
),
0
)</f>
        <v>-120.9809057212</v>
      </c>
      <c r="BF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TEXT(BF$6,"yyyymm") &amp; "]"
),
0
)</f>
        <v>-111.8183044036</v>
      </c>
      <c r="BG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TEXT(BG$6,"yyyymm") &amp; "]"
),
0
)</f>
        <v>-110.8130186851</v>
      </c>
      <c r="BH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TEXT(BH$6,"yyyymm") &amp; "]"
),
0
)</f>
        <v>-112.3248561413</v>
      </c>
      <c r="BI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TEXT(BI$6,"yyyymm") &amp; "]"
),
0
)</f>
        <v>-115.7605259816</v>
      </c>
      <c r="BJ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TEXT(BJ$6,"yyyymm") &amp; "]"
),
0
)</f>
        <v>-121.9464766513</v>
      </c>
      <c r="BK87" s="8">
        <f>IFERROR(
GETPIVOTDATA(
"[Base_PPE].[Importe]",
TDinamica_P!$A$4,
"[Base_PPE].[Metrica]",
"[Base_PPE].[Metrica].&amp;[" &amp; TRIM($A87) &amp; "]",
"[Base_PPE].[SITUACION]",
"[Base_PPE].[SITUACION].&amp;[" &amp; TRIM($C87) &amp; "]",
"[Base_PPE].[SEGMENTO_DESCRIP]",
"[Base_PPE].[SEGMENTO_DESCRIP].&amp;[" &amp; TRIM($C$6) &amp; "]",
"[Base_PPE].[Periodo]",
"[Base_PPE].[Periodo].&amp;[" &amp; TEXT(BK$6,"yyyymm") &amp; "]"
),
0
)</f>
        <v>-129.31053657370001</v>
      </c>
      <c r="BO87" s="24">
        <f t="shared" si="69"/>
        <v>-430.72408731949997</v>
      </c>
      <c r="BP87" s="24">
        <f t="shared" si="69"/>
        <v>-385.73577807570001</v>
      </c>
      <c r="BQ87" s="24">
        <f t="shared" si="69"/>
        <v>-274.51476378219996</v>
      </c>
      <c r="BR87" s="24">
        <f t="shared" si="69"/>
        <v>-398.87215654100004</v>
      </c>
      <c r="BS87" s="24">
        <f t="shared" si="69"/>
        <v>-423.37231250389999</v>
      </c>
      <c r="BT87" s="24">
        <f t="shared" si="69"/>
        <v>-296.35843681950001</v>
      </c>
    </row>
    <row r="88" spans="1:72" hidden="1" outlineLevel="1" x14ac:dyDescent="0.25">
      <c r="A88" s="11" t="s">
        <v>76</v>
      </c>
      <c r="C88" s="2" t="s">
        <v>80</v>
      </c>
      <c r="D88" s="8">
        <f>IFERROR(
GETPIVOTDATA(
"[Base].[Importe]",
TDinamica_R!$A$5,
"[Calendario].[AñoMes]",
"[Calendario].[AñoMes].&amp;[" &amp; TEXT(D$6,"yyyymm") &amp; "]",
"[Base].[Metrica]",
"[Base].[Metrica].&amp;[" &amp; $A88 &amp; "]",
"[Base].[SEGMENTO_DESCRIP]",
"[Base].[SEGMENTO_DESCRIP].&amp;[" &amp; $C$6 &amp; "]",
"[Base].[SITUACION]",
"[Base].[SITUACION].&amp;[" &amp; $C88 &amp; "]"
),0)/1000</f>
        <v>-34.340750020499996</v>
      </c>
      <c r="E88" s="8">
        <f>IFERROR(
GETPIVOTDATA(
"[Base].[Importe]",
TDinamica_R!$A$5,
"[Calendario].[AñoMes]",
"[Calendario].[AñoMes].&amp;[" &amp; TEXT(E$6,"yyyymm") &amp; "]",
"[Base].[Metrica]",
"[Base].[Metrica].&amp;[" &amp; $A88 &amp; "]",
"[Base].[SEGMENTO_DESCRIP]",
"[Base].[SEGMENTO_DESCRIP].&amp;[" &amp; $C$6 &amp; "]",
"[Base].[SITUACION]",
"[Base].[SITUACION].&amp;[" &amp; $C88 &amp; "]"
),0)/1000</f>
        <v>-36.647774019300009</v>
      </c>
      <c r="F88" s="8">
        <f>IFERROR(
GETPIVOTDATA(
"[Base].[Importe]",
TDinamica_R!$A$5,
"[Calendario].[AñoMes]",
"[Calendario].[AñoMes].&amp;[" &amp; TEXT(F$6,"yyyymm") &amp; "]",
"[Base].[Metrica]",
"[Base].[Metrica].&amp;[" &amp; $A88 &amp; "]",
"[Base].[SEGMENTO_DESCRIP]",
"[Base].[SEGMENTO_DESCRIP].&amp;[" &amp; $C$6 &amp; "]",
"[Base].[SITUACION]",
"[Base].[SITUACION].&amp;[" &amp; $C88 &amp; "]"
),0)/1000</f>
        <v>-34.088518436099996</v>
      </c>
      <c r="G88" s="8">
        <f>IFERROR(
GETPIVOTDATA(
"[Base].[Importe]",
TDinamica_R!$A$5,
"[Calendario].[AñoMes]",
"[Calendario].[AñoMes].&amp;[" &amp; TEXT(G$6,"yyyymm") &amp; "]",
"[Base].[Metrica]",
"[Base].[Metrica].&amp;[" &amp; $A88 &amp; "]",
"[Base].[SEGMENTO_DESCRIP]",
"[Base].[SEGMENTO_DESCRIP].&amp;[" &amp; $C$6 &amp; "]",
"[Base].[SITUACION]",
"[Base].[SITUACION].&amp;[" &amp; $C88 &amp; "]"
),0)/1000</f>
        <v>-36.902330582199994</v>
      </c>
      <c r="H88" s="8">
        <f>IFERROR(
GETPIVOTDATA(
"[Base].[Importe]",
TDinamica_R!$A$5,
"[Calendario].[AñoMes]",
"[Calendario].[AñoMes].&amp;[" &amp; TEXT(H$6,"yyyymm") &amp; "]",
"[Base].[Metrica]",
"[Base].[Metrica].&amp;[" &amp; $A88 &amp; "]",
"[Base].[SEGMENTO_DESCRIP]",
"[Base].[SEGMENTO_DESCRIP].&amp;[" &amp; $C$6 &amp; "]",
"[Base].[SITUACION]",
"[Base].[SITUACION].&amp;[" &amp; $C88 &amp; "]"
),0)/1000</f>
        <v>-36.467073642999999</v>
      </c>
      <c r="I88" s="8">
        <f>IFERROR(
GETPIVOTDATA(
"[Base].[Importe]",
TDinamica_R!$A$5,
"[Calendario].[AñoMes]",
"[Calendario].[AñoMes].&amp;[" &amp; TEXT(I$6,"yyyymm") &amp; "]",
"[Base].[Metrica]",
"[Base].[Metrica].&amp;[" &amp; $A88 &amp; "]",
"[Base].[SEGMENTO_DESCRIP]",
"[Base].[SEGMENTO_DESCRIP].&amp;[" &amp; $C$6 &amp; "]",
"[Base].[SITUACION]",
"[Base].[SITUACION].&amp;[" &amp; $C88 &amp; "]"
),0)/1000</f>
        <v>-33.652929995000001</v>
      </c>
      <c r="J88" s="8">
        <f>IFERROR(
GETPIVOTDATA(
"[Base].[Importe]",
TDinamica_R!$A$5,
"[Calendario].[AñoMes]",
"[Calendario].[AñoMes].&amp;[" &amp; TEXT(J$6,"yyyymm") &amp; "]",
"[Base].[Metrica]",
"[Base].[Metrica].&amp;[" &amp; $A88 &amp; "]",
"[Base].[SEGMENTO_DESCRIP]",
"[Base].[SEGMENTO_DESCRIP].&amp;[" &amp; $C$6 &amp; "]",
"[Base].[SITUACION]",
"[Base].[SITUACION].&amp;[" &amp; $C88 &amp; "]"
),0)/1000</f>
        <v>-37.1232900065</v>
      </c>
      <c r="K88" s="8">
        <f>IFERROR(
GETPIVOTDATA(
"[Base].[Importe]",
TDinamica_R!$A$5,
"[Calendario].[AñoMes]",
"[Calendario].[AñoMes].&amp;[" &amp; TEXT(K$6,"yyyymm") &amp; "]",
"[Base].[Metrica]",
"[Base].[Metrica].&amp;[" &amp; $A88 &amp; "]",
"[Base].[SEGMENTO_DESCRIP]",
"[Base].[SEGMENTO_DESCRIP].&amp;[" &amp; $C$6 &amp; "]",
"[Base].[SITUACION]",
"[Base].[SITUACION].&amp;[" &amp; $C88 &amp; "]"
),0)/1000</f>
        <v>-33.734312844100003</v>
      </c>
      <c r="L88" s="8">
        <f>IFERROR(
GETPIVOTDATA(
"[Base].[Importe]",
TDinamica_R!$A$5,
"[Calendario].[AñoMes]",
"[Calendario].[AñoMes].&amp;[" &amp; TEXT(L$6,"yyyymm") &amp; "]",
"[Base].[Metrica]",
"[Base].[Metrica].&amp;[" &amp; $A88 &amp; "]",
"[Base].[SEGMENTO_DESCRIP]",
"[Base].[SEGMENTO_DESCRIP].&amp;[" &amp; $C$6 &amp; "]",
"[Base].[SITUACION]",
"[Base].[SITUACION].&amp;[" &amp; $C88 &amp; "]"
),0)/1000</f>
        <v>-34.9580800528</v>
      </c>
      <c r="M88" s="8">
        <f>IFERROR(
GETPIVOTDATA(
"[Base].[Importe]",
TDinamica_R!$A$5,
"[Calendario].[AñoMes]",
"[Calendario].[AñoMes].&amp;[" &amp; TEXT(M$6,"yyyymm") &amp; "]",
"[Base].[Metrica]",
"[Base].[Metrica].&amp;[" &amp; $A88 &amp; "]",
"[Base].[SEGMENTO_DESCRIP]",
"[Base].[SEGMENTO_DESCRIP].&amp;[" &amp; $C$6 &amp; "]",
"[Base].[SITUACION]",
"[Base].[SITUACION].&amp;[" &amp; $C88 &amp; "]"
),0)/1000</f>
        <v>-34.963705987399997</v>
      </c>
      <c r="N88" s="8">
        <f>IFERROR(
GETPIVOTDATA(
"[Base].[Importe]",
TDinamica_R!$A$5,
"[Calendario].[AñoMes]",
"[Calendario].[AñoMes].&amp;[" &amp; TEXT(N$6,"yyyymm") &amp; "]",
"[Base].[Metrica]",
"[Base].[Metrica].&amp;[" &amp; $A88 &amp; "]",
"[Base].[SEGMENTO_DESCRIP]",
"[Base].[SEGMENTO_DESCRIP].&amp;[" &amp; $C$6 &amp; "]",
"[Base].[SITUACION]",
"[Base].[SITUACION].&amp;[" &amp; $C88 &amp; "]"
),0)/1000</f>
        <v>-38.149302224300001</v>
      </c>
      <c r="O88" s="8">
        <f>IFERROR(
GETPIVOTDATA(
"[Base].[Importe]",
TDinamica_R!$A$5,
"[Calendario].[AñoMes]",
"[Calendario].[AñoMes].&amp;[" &amp; TEXT(O$6,"yyyymm") &amp; "]",
"[Base].[Metrica]",
"[Base].[Metrica].&amp;[" &amp; $A88 &amp; "]",
"[Base].[SEGMENTO_DESCRIP]",
"[Base].[SEGMENTO_DESCRIP].&amp;[" &amp; $C$6 &amp; "]",
"[Base].[SITUACION]",
"[Base].[SITUACION].&amp;[" &amp; $C88 &amp; "]"
),0)/1000</f>
        <v>-32.585244671500007</v>
      </c>
      <c r="P88" s="8">
        <f>IFERROR(
GETPIVOTDATA(
"[Base].[Importe]",
TDinamica_R!$A$5,
"[Calendario].[AñoMes]",
"[Calendario].[AñoMes].&amp;[" &amp; TEXT(P$6,"yyyymm") &amp; "]",
"[Base].[Metrica]",
"[Base].[Metrica].&amp;[" &amp; $A88 &amp; "]",
"[Base].[SEGMENTO_DESCRIP]",
"[Base].[SEGMENTO_DESCRIP].&amp;[" &amp; $C$6 &amp; "]",
"[Base].[SITUACION]",
"[Base].[SITUACION].&amp;[" &amp; $C88 &amp; "]"
),0)/1000</f>
        <v>-28.861661476200002</v>
      </c>
      <c r="Q88" s="8">
        <f>IFERROR(
GETPIVOTDATA(
"[Base].[Importe]",
TDinamica_R!$A$5,
"[Calendario].[AñoMes]",
"[Calendario].[AñoMes].&amp;[" &amp; TEXT(Q$6,"yyyymm") &amp; "]",
"[Base].[Metrica]",
"[Base].[Metrica].&amp;[" &amp; $A88 &amp; "]",
"[Base].[SEGMENTO_DESCRIP]",
"[Base].[SEGMENTO_DESCRIP].&amp;[" &amp; $C$6 &amp; "]",
"[Base].[SITUACION]",
"[Base].[SITUACION].&amp;[" &amp; $C88 &amp; "]"
),0)/1000</f>
        <v>-29.7426004617</v>
      </c>
      <c r="R88" s="8">
        <f>IFERROR(
GETPIVOTDATA(
"[Base].[Importe]",
TDinamica_R!$A$5,
"[Calendario].[AñoMes]",
"[Calendario].[AñoMes].&amp;[" &amp; TEXT(R$6,"yyyymm") &amp; "]",
"[Base].[Metrica]",
"[Base].[Metrica].&amp;[" &amp; $A88 &amp; "]",
"[Base].[SEGMENTO_DESCRIP]",
"[Base].[SEGMENTO_DESCRIP].&amp;[" &amp; $C$6 &amp; "]",
"[Base].[SITUACION]",
"[Base].[SITUACION].&amp;[" &amp; $C88 &amp; "]"
),0)/1000</f>
        <v>-32.640581951800002</v>
      </c>
      <c r="S88" s="8">
        <f>IFERROR(
GETPIVOTDATA(
"[Base].[Importe]",
TDinamica_R!$A$5,
"[Calendario].[AñoMes]",
"[Calendario].[AñoMes].&amp;[" &amp; TEXT(S$6,"yyyymm") &amp; "]",
"[Base].[Metrica]",
"[Base].[Metrica].&amp;[" &amp; $A88 &amp; "]",
"[Base].[SEGMENTO_DESCRIP]",
"[Base].[SEGMENTO_DESCRIP].&amp;[" &amp; $C$6 &amp; "]",
"[Base].[SITUACION]",
"[Base].[SITUACION].&amp;[" &amp; $C88 &amp; "]"
),0)/1000</f>
        <v>-32.063887233999999</v>
      </c>
      <c r="T88" s="8">
        <f>IFERROR(
GETPIVOTDATA(
"[Base].[Importe]",
TDinamica_R!$A$5,
"[Calendario].[AñoMes]",
"[Calendario].[AñoMes].&amp;[" &amp; TEXT(T$6,"yyyymm") &amp; "]",
"[Base].[Metrica]",
"[Base].[Metrica].&amp;[" &amp; $A88 &amp; "]",
"[Base].[SEGMENTO_DESCRIP]",
"[Base].[SEGMENTO_DESCRIP].&amp;[" &amp; $C$6 &amp; "]",
"[Base].[SITUACION]",
"[Base].[SITUACION].&amp;[" &amp; $C88 &amp; "]"
),0)/1000</f>
        <v>-37.456149501499993</v>
      </c>
      <c r="U88" s="8">
        <f>IFERROR(
GETPIVOTDATA(
"[Base].[Importe]",
TDinamica_R!$A$5,
"[Calendario].[AñoMes]",
"[Calendario].[AñoMes].&amp;[" &amp; TEXT(U$6,"yyyymm") &amp; "]",
"[Base].[Metrica]",
"[Base].[Metrica].&amp;[" &amp; $A88 &amp; "]",
"[Base].[SEGMENTO_DESCRIP]",
"[Base].[SEGMENTO_DESCRIP].&amp;[" &amp; $C$6 &amp; "]",
"[Base].[SITUACION]",
"[Base].[SITUACION].&amp;[" &amp; $C88 &amp; "]"
),0)/1000</f>
        <v>-50.803827565800006</v>
      </c>
      <c r="V88" s="8">
        <f>IFERROR(
GETPIVOTDATA(
"[Base].[Importe]",
TDinamica_R!$A$5,
"[Calendario].[AñoMes]",
"[Calendario].[AñoMes].&amp;[" &amp; TEXT(V$6,"yyyymm") &amp; "]",
"[Base].[Metrica]",
"[Base].[Metrica].&amp;[" &amp; $A88 &amp; "]",
"[Base].[SEGMENTO_DESCRIP]",
"[Base].[SEGMENTO_DESCRIP].&amp;[" &amp; $C$6 &amp; "]",
"[Base].[SITUACION]",
"[Base].[SITUACION].&amp;[" &amp; $C88 &amp; "]"
),0)/1000</f>
        <v>-45.225341806199999</v>
      </c>
      <c r="W88" s="8">
        <f>IFERROR(
GETPIVOTDATA(
"[Base].[Importe]",
TDinamica_R!$A$5,
"[Calendario].[AñoMes]",
"[Calendario].[AñoMes].&amp;[" &amp; TEXT(W$6,"yyyymm") &amp; "]",
"[Base].[Metrica]",
"[Base].[Metrica].&amp;[" &amp; $A88 &amp; "]",
"[Base].[SEGMENTO_DESCRIP]",
"[Base].[SEGMENTO_DESCRIP].&amp;[" &amp; $C$6 &amp; "]",
"[Base].[SITUACION]",
"[Base].[SITUACION].&amp;[" &amp; $C88 &amp; "]"
),0)/1000</f>
        <v>-37.013605721500006</v>
      </c>
      <c r="X88" s="8">
        <f>IFERROR(
GETPIVOTDATA(
"[Base].[Importe]",
TDinamica_R!$A$5,
"[Calendario].[AñoMes]",
"[Calendario].[AñoMes].&amp;[" &amp; TEXT(X$6,"yyyymm") &amp; "]",
"[Base].[Metrica]",
"[Base].[Metrica].&amp;[" &amp; $A88 &amp; "]",
"[Base].[SEGMENTO_DESCRIP]",
"[Base].[SEGMENTO_DESCRIP].&amp;[" &amp; $C$6 &amp; "]",
"[Base].[SITUACION]",
"[Base].[SITUACION].&amp;[" &amp; $C88 &amp; "]"
),0)/1000</f>
        <v>-35.080011169200006</v>
      </c>
      <c r="Y88" s="8">
        <f>IFERROR(
GETPIVOTDATA(
"[Base].[Importe]",
TDinamica_R!$A$5,
"[Calendario].[AñoMes]",
"[Calendario].[AñoMes].&amp;[" &amp; TEXT(Y$6,"yyyymm") &amp; "]",
"[Base].[Metrica]",
"[Base].[Metrica].&amp;[" &amp; $A88 &amp; "]",
"[Base].[SEGMENTO_DESCRIP]",
"[Base].[SEGMENTO_DESCRIP].&amp;[" &amp; $C$6 &amp; "]",
"[Base].[SITUACION]",
"[Base].[SITUACION].&amp;[" &amp; $C88 &amp; "]"
),0)/1000</f>
        <v>-33.047020099200004</v>
      </c>
      <c r="Z88" s="8">
        <f>IFERROR(
GETPIVOTDATA(
"[Base].[Importe]",
TDinamica_R!$A$5,
"[Calendario].[AñoMes]",
"[Calendario].[AñoMes].&amp;[" &amp; TEXT(Z$6,"yyyymm") &amp; "]",
"[Base].[Metrica]",
"[Base].[Metrica].&amp;[" &amp; $A88 &amp; "]",
"[Base].[SEGMENTO_DESCRIP]",
"[Base].[SEGMENTO_DESCRIP].&amp;[" &amp; $C$6 &amp; "]",
"[Base].[SITUACION]",
"[Base].[SITUACION].&amp;[" &amp; $C88 &amp; "]"
),0)/1000</f>
        <v>-34.446876400199997</v>
      </c>
      <c r="AA88" s="8">
        <f>IFERROR(
GETPIVOTDATA(
"[Base].[Importe]",
TDinamica_R!$A$5,
"[Calendario].[AñoMes]",
"[Calendario].[AñoMes].&amp;[" &amp; TEXT(AA$6,"yyyymm") &amp; "]",
"[Base].[Metrica]",
"[Base].[Metrica].&amp;[" &amp; $A88 &amp; "]",
"[Base].[SEGMENTO_DESCRIP]",
"[Base].[SEGMENTO_DESCRIP].&amp;[" &amp; $C$6 &amp; "]",
"[Base].[SITUACION]",
"[Base].[SITUACION].&amp;[" &amp; $C88 &amp; "]"
),0)/1000</f>
        <v>-32.569532537699999</v>
      </c>
      <c r="AB88" s="8">
        <f>IFERROR(
GETPIVOTDATA(
"[Base].[Importe]",
TDinamica_R!$A$5,
"[Calendario].[AñoMes]",
"[Calendario].[AñoMes].&amp;[" &amp; TEXT(AB$6,"yyyymm") &amp; "]",
"[Base].[Metrica]",
"[Base].[Metrica].&amp;[" &amp; $A88 &amp; "]",
"[Base].[SEGMENTO_DESCRIP]",
"[Base].[SEGMENTO_DESCRIP].&amp;[" &amp; $C$6 &amp; "]",
"[Base].[SITUACION]",
"[Base].[SITUACION].&amp;[" &amp; $C88 &amp; "]"
),0)/1000</f>
        <v>-34.713446164899999</v>
      </c>
      <c r="AC88" s="8">
        <f>IFERROR(
GETPIVOTDATA(
"[Base].[Importe]",
TDinamica_R!$A$5,
"[Calendario].[AñoMes]",
"[Calendario].[AñoMes].&amp;[" &amp; TEXT(AC$6,"yyyymm") &amp; "]",
"[Base].[Metrica]",
"[Base].[Metrica].&amp;[" &amp; $A88 &amp; "]",
"[Base].[SEGMENTO_DESCRIP]",
"[Base].[SEGMENTO_DESCRIP].&amp;[" &amp; $C$6 &amp; "]",
"[Base].[SITUACION]",
"[Base].[SITUACION].&amp;[" &amp; $C88 &amp; "]"
),0)/1000</f>
        <v>-30.756430028900002</v>
      </c>
      <c r="AD88" s="8">
        <f>IFERROR(
GETPIVOTDATA(
"[Base].[Importe]",
TDinamica_R!$A$5,
"[Calendario].[AñoMes]",
"[Calendario].[AñoMes].&amp;[" &amp; TEXT(AD$6,"yyyymm") &amp; "]",
"[Base].[Metrica]",
"[Base].[Metrica].&amp;[" &amp; $A88 &amp; "]",
"[Base].[SEGMENTO_DESCRIP]",
"[Base].[SEGMENTO_DESCRIP].&amp;[" &amp; $C$6 &amp; "]",
"[Base].[SITUACION]",
"[Base].[SITUACION].&amp;[" &amp; $C88 &amp; "]"
),0)/1000</f>
        <v>-32.5065314601</v>
      </c>
      <c r="AE88" s="8">
        <f>IFERROR(
GETPIVOTDATA(
"[Base].[Importe]",
TDinamica_R!$A$5,
"[Calendario].[AñoMes]",
"[Calendario].[AñoMes].&amp;[" &amp; TEXT(AE$6,"yyyymm") &amp; "]",
"[Base].[Metrica]",
"[Base].[Metrica].&amp;[" &amp; $A88 &amp; "]",
"[Base].[SEGMENTO_DESCRIP]",
"[Base].[SEGMENTO_DESCRIP].&amp;[" &amp; $C$6 &amp; "]",
"[Base].[SITUACION]",
"[Base].[SITUACION].&amp;[" &amp; $C88 &amp; "]"
),0)/1000</f>
        <v>-33.293585505900005</v>
      </c>
      <c r="AF88" s="8">
        <f>IFERROR(
GETPIVOTDATA(
"[Base].[Importe]",
TDinamica_R!$A$5,
"[Calendario].[AñoMes]",
"[Calendario].[AñoMes].&amp;[" &amp; TEXT(AF$6,"yyyymm") &amp; "]",
"[Base].[Metrica]",
"[Base].[Metrica].&amp;[" &amp; $A88 &amp; "]",
"[Base].[SEGMENTO_DESCRIP]",
"[Base].[SEGMENTO_DESCRIP].&amp;[" &amp; $C$6 &amp; "]",
"[Base].[SITUACION]",
"[Base].[SITUACION].&amp;[" &amp; $C88 &amp; "]"
),0)/1000</f>
        <v>-33.613532934700004</v>
      </c>
      <c r="AG88" s="8">
        <f>IFERROR(
GETPIVOTDATA(
"[Base].[Importe]",
TDinamica_R!$A$5,
"[Calendario].[AñoMes]",
"[Calendario].[AñoMes].&amp;[" &amp; TEXT(AG$6,"yyyymm") &amp; "]",
"[Base].[Metrica]",
"[Base].[Metrica].&amp;[" &amp; $A88 &amp; "]",
"[Base].[SEGMENTO_DESCRIP]",
"[Base].[SEGMENTO_DESCRIP].&amp;[" &amp; $C$6 &amp; "]",
"[Base].[SITUACION]",
"[Base].[SITUACION].&amp;[" &amp; $C88 &amp; "]"
),0)/1000</f>
        <v>-34.016970237900004</v>
      </c>
      <c r="AH88" s="8">
        <f>IFERROR(
GETPIVOTDATA(
"[Base].[Importe]",
TDinamica_R!$A$5,
"[Calendario].[AñoMes]",
"[Calendario].[AñoMes].&amp;[" &amp; TEXT(AH$6,"yyyymm") &amp; "]",
"[Base].[Metrica]",
"[Base].[Metrica].&amp;[" &amp; $A88 &amp; "]",
"[Base].[SEGMENTO_DESCRIP]",
"[Base].[SEGMENTO_DESCRIP].&amp;[" &amp; $C$6 &amp; "]",
"[Base].[SITUACION]",
"[Base].[SITUACION].&amp;[" &amp; $C88 &amp; "]"
),0)/1000</f>
        <v>-32.900127885899998</v>
      </c>
      <c r="AI88" s="8">
        <f>IFERROR(
GETPIVOTDATA(
"[Base].[Importe]",
TDinamica_R!$A$5,
"[Calendario].[AñoMes]",
"[Calendario].[AñoMes].&amp;[" &amp; TEXT(AI$6,"yyyymm") &amp; "]",
"[Base].[Metrica]",
"[Base].[Metrica].&amp;[" &amp; $A88 &amp; "]",
"[Base].[SEGMENTO_DESCRIP]",
"[Base].[SEGMENTO_DESCRIP].&amp;[" &amp; $C$6 &amp; "]",
"[Base].[SITUACION]",
"[Base].[SITUACION].&amp;[" &amp; $C88 &amp; "]"
),0)/1000</f>
        <v>-34.711321826899997</v>
      </c>
      <c r="AJ88" s="8">
        <f>IFERROR(
GETPIVOTDATA(
"[Base].[Importe]",
TDinamica_R!$A$5,
"[Calendario].[AñoMes]",
"[Calendario].[AñoMes].&amp;[" &amp; TEXT(AJ$6,"yyyymm") &amp; "]",
"[Base].[Metrica]",
"[Base].[Metrica].&amp;[" &amp; $A88 &amp; "]",
"[Base].[SEGMENTO_DESCRIP]",
"[Base].[SEGMENTO_DESCRIP].&amp;[" &amp; $C$6 &amp; "]",
"[Base].[SITUACION]",
"[Base].[SITUACION].&amp;[" &amp; $C88 &amp; "]"
),0)/1000</f>
        <v>-35.719615119700002</v>
      </c>
      <c r="AK88" s="8">
        <f>IFERROR(
GETPIVOTDATA(
"[Base].[Importe]",
TDinamica_R!$A$5,
"[Calendario].[AñoMes]",
"[Calendario].[AñoMes].&amp;[" &amp; TEXT(AK$6,"yyyymm") &amp; "]",
"[Base].[Metrica]",
"[Base].[Metrica].&amp;[" &amp; $A88 &amp; "]",
"[Base].[SEGMENTO_DESCRIP]",
"[Base].[SEGMENTO_DESCRIP].&amp;[" &amp; $C$6 &amp; "]",
"[Base].[SITUACION]",
"[Base].[SITUACION].&amp;[" &amp; $C88 &amp; "]"
),0)/1000</f>
        <v>-32.398065115500003</v>
      </c>
      <c r="AL88" s="8">
        <f>IFERROR(
GETPIVOTDATA(
"[Base].[Importe]",
TDinamica_R!$A$5,
"[Calendario].[AñoMes]",
"[Calendario].[AñoMes].&amp;[" &amp; TEXT(AL$6,"yyyymm") &amp; "]",
"[Base].[Metrica]",
"[Base].[Metrica].&amp;[" &amp; $A88 &amp; "]",
"[Base].[SEGMENTO_DESCRIP]",
"[Base].[SEGMENTO_DESCRIP].&amp;[" &amp; $C$6 &amp; "]",
"[Base].[SITUACION]",
"[Base].[SITUACION].&amp;[" &amp; $C88 &amp; "]"
),0)/1000</f>
        <v>-37.019765850299997</v>
      </c>
      <c r="AM88" s="8">
        <f>IFERROR(
GETPIVOTDATA(
"[Base].[Importe]",
TDinamica_R!$A$5,
"[Calendario].[AñoMes]",
"[Calendario].[AñoMes].&amp;[" &amp; TEXT(AM$6,"yyyymm") &amp; "]",
"[Base].[Metrica]",
"[Base].[Metrica].&amp;[" &amp; $A88 &amp; "]",
"[Base].[SEGMENTO_DESCRIP]",
"[Base].[SEGMENTO_DESCRIP].&amp;[" &amp; $C$6 &amp; "]",
"[Base].[SITUACION]",
"[Base].[SITUACION].&amp;[" &amp; $C88 &amp; "]"
),0)/1000</f>
        <v>-34.566111439099998</v>
      </c>
      <c r="AN88" s="8">
        <f>IFERROR(
GETPIVOTDATA(
"[Base].[Importe]",
TDinamica_R!$A$5,
"[Calendario].[AñoMes]",
"[Calendario].[AñoMes].&amp;[" &amp; TEXT(AN$6,"yyyymm") &amp; "]",
"[Base].[Metrica]",
"[Base].[Metrica].&amp;[" &amp; $A88 &amp; "]",
"[Base].[SEGMENTO_DESCRIP]",
"[Base].[SEGMENTO_DESCRIP].&amp;[" &amp; $C$6 &amp; "]",
"[Base].[SITUACION]",
"[Base].[SITUACION].&amp;[" &amp; $C88 &amp; "]"
),0)/1000</f>
        <v>-38.013220738799994</v>
      </c>
      <c r="AO88" s="8">
        <f>IFERROR(
GETPIVOTDATA(
"[Base].[Importe]",
TDinamica_R!$A$5,
"[Calendario].[AñoMes]",
"[Calendario].[AñoMes].&amp;[" &amp; TEXT(AO$6,"yyyymm") &amp; "]",
"[Base].[Metrica]",
"[Base].[Metrica].&amp;[" &amp; $A88 &amp; "]",
"[Base].[SEGMENTO_DESCRIP]",
"[Base].[SEGMENTO_DESCRIP].&amp;[" &amp; $C$6 &amp; "]",
"[Base].[SITUACION]",
"[Base].[SITUACION].&amp;[" &amp; $C88 &amp; "]"
),0)/1000</f>
        <v>-35.719858224999996</v>
      </c>
      <c r="AP88" s="8">
        <f>IFERROR(
GETPIVOTDATA(
"[Base].[Importe]",
TDinamica_R!$A$5,
"[Calendario].[AñoMes]",
"[Calendario].[AñoMes].&amp;[" &amp; TEXT(AP$6,"yyyymm") &amp; "]",
"[Base].[Metrica]",
"[Base].[Metrica].&amp;[" &amp; $A88 &amp; "]",
"[Base].[SEGMENTO_DESCRIP]",
"[Base].[SEGMENTO_DESCRIP].&amp;[" &amp; $C$6 &amp; "]",
"[Base].[SITUACION]",
"[Base].[SITUACION].&amp;[" &amp; $C88 &amp; "]"
),0)/1000</f>
        <v>-39.858508538999999</v>
      </c>
      <c r="AQ88" s="8">
        <f>IFERROR(
GETPIVOTDATA(
"[Base].[Importe]",
TDinamica_R!$A$5,
"[Calendario].[AñoMes]",
"[Calendario].[AñoMes].&amp;[" &amp; TEXT(AQ$6,"yyyymm") &amp; "]",
"[Base].[Metrica]",
"[Base].[Metrica].&amp;[" &amp; $A88 &amp; "]",
"[Base].[SEGMENTO_DESCRIP]",
"[Base].[SEGMENTO_DESCRIP].&amp;[" &amp; $C$6 &amp; "]",
"[Base].[SITUACION]",
"[Base].[SITUACION].&amp;[" &amp; $C88 &amp; "]"
),0)/1000</f>
        <v>-46.508162275800004</v>
      </c>
      <c r="AR88" s="8">
        <f>IFERROR(
GETPIVOTDATA(
"[Base].[Importe]",
TDinamica_R!$A$5,
"[Calendario].[AñoMes]",
"[Calendario].[AñoMes].&amp;[" &amp; TEXT(AR$6,"yyyymm") &amp; "]",
"[Base].[Metrica]",
"[Base].[Metrica].&amp;[" &amp; $A88 &amp; "]",
"[Base].[SEGMENTO_DESCRIP]",
"[Base].[SEGMENTO_DESCRIP].&amp;[" &amp; $C$6 &amp; "]",
"[Base].[SITUACION]",
"[Base].[SITUACION].&amp;[" &amp; $C88 &amp; "]"
),0)/1000</f>
        <v>-40.780651321600004</v>
      </c>
      <c r="AS88" s="8">
        <f>IFERROR(
GETPIVOTDATA(
"[Base].[Importe]",
TDinamica_R!$A$5,
"[Calendario].[AñoMes]",
"[Calendario].[AñoMes].&amp;[" &amp; TEXT(AS$6,"yyyymm") &amp; "]",
"[Base].[Metrica]",
"[Base].[Metrica].&amp;[" &amp; $A88 &amp; "]",
"[Base].[SEGMENTO_DESCRIP]",
"[Base].[SEGMENTO_DESCRIP].&amp;[" &amp; $C$6 &amp; "]",
"[Base].[SITUACION]",
"[Base].[SITUACION].&amp;[" &amp; $C88 &amp; "]"
),0)/1000</f>
        <v>-48.761110240900003</v>
      </c>
      <c r="AT88" s="8">
        <f>IFERROR(
GETPIVOTDATA(
"[Base].[Importe]",
TDinamica_R!$A$5,
"[Calendario].[AñoMes]",
"[Calendario].[AñoMes].&amp;[" &amp; TEXT(AT$6,"yyyymm")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U88" s="8">
        <f>IFERROR(
GETPIVOTDATA(
"[Base].[Importe]",
TDinamica_R!$A$5,
"[Calendario].[AñoMes]",
"[Calendario].[AñoMes].&amp;[" &amp; TEXT(AU$6,"yyyymm")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V88" s="8">
        <f>IFERROR(
GETPIVOTDATA(
"[Base].[Importe]",
TDinamica_R!$A$5,
"[Calendario].[AñoMes]",
"[Calendario].[AñoMes].&amp;[" &amp; TEXT(AV$6,"yyyymm")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W88" s="8">
        <f>IFERROR(
GETPIVOTDATA(
"[Base].[Importe]",
TDinamica_R!$A$5,
"[Calendario].[AñoMes]",
"[Calendario].[AñoMes].&amp;[" &amp; TEXT(AW$6,"yyyymm")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X88" s="8">
        <f>IFERROR(
GETPIVOTDATA(
"[Base].[Importe]",
TDinamica_R!$A$5,
"[Calendario].[AñoMes]",
"[Calendario].[AñoMes].&amp;[" &amp; TEXT(AX$6,"yyyymm")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Y88" s="8">
        <f>IFERROR(
GETPIVOTDATA(
"[Base].[Importe]",
TDinamica_R!$A$5,
"[Calendario].[AñoMes]",
"[Calendario].[AñoMes].&amp;[" &amp; TEXT(AY$6,"yyyymm")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Z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TEXT(AZ$6,"yyyymm") &amp; "]"
),
0
)</f>
        <v>-36.0208825514</v>
      </c>
      <c r="BA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TEXT(BA$6,"yyyymm") &amp; "]"
),
0
)</f>
        <v>-35.286800848799999</v>
      </c>
      <c r="BB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TEXT(BB$6,"yyyymm") &amp; "]"
),
0
)</f>
        <v>-36.234370388299993</v>
      </c>
      <c r="BC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TEXT(BC$6,"yyyymm") &amp; "]"
),
0
)</f>
        <v>-35.477832700199997</v>
      </c>
      <c r="BD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TEXT(BD$6,"yyyymm") &amp; "]"
),
0
)</f>
        <v>-36.220506407999999</v>
      </c>
      <c r="BE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TEXT(BE$6,"yyyymm") &amp; "]"
),
0
)</f>
        <v>-36.858243979000001</v>
      </c>
      <c r="BF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TEXT(BF$6,"yyyymm") &amp; "]"
),
0
)</f>
        <v>-35.752626264999996</v>
      </c>
      <c r="BG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TEXT(BG$6,"yyyymm") &amp; "]"
),
0
)</f>
        <v>-35.751252201100002</v>
      </c>
      <c r="BH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TEXT(BH$6,"yyyymm") &amp; "]"
),
0
)</f>
        <v>-37.565003338299995</v>
      </c>
      <c r="BI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TEXT(BI$6,"yyyymm") &amp; "]"
),
0
)</f>
        <v>-36.094081840100003</v>
      </c>
      <c r="BJ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TEXT(BJ$6,"yyyymm") &amp; "]"
),
0
)</f>
        <v>-35.879451594100004</v>
      </c>
      <c r="BK88" s="8">
        <f>IFERROR(
GETPIVOTDATA(
"[Base_PPE].[Importe]",
TDinamica_P!$A$4,
"[Base_PPE].[Metrica]",
"[Base_PPE].[Metrica].&amp;[" &amp; TRIM($A88) &amp; "]",
"[Base_PPE].[SITUACION]",
"[Base_PPE].[SITUACION].&amp;[" &amp; TRIM($C88) &amp; "]",
"[Base_PPE].[SEGMENTO_DESCRIP]",
"[Base_PPE].[SEGMENTO_DESCRIP].&amp;[" &amp; TRIM($C$6) &amp; "]",
"[Base_PPE].[Periodo]",
"[Base_PPE].[Periodo].&amp;[" &amp; TEXT(BK$6,"yyyymm") &amp; "]"
),
0
)</f>
        <v>-35.958429343300004</v>
      </c>
      <c r="BO88" s="24">
        <f t="shared" si="69"/>
        <v>-113.59158750279998</v>
      </c>
      <c r="BP88" s="24">
        <f t="shared" si="69"/>
        <v>-107.5420537885</v>
      </c>
      <c r="BQ88" s="24">
        <f t="shared" si="69"/>
        <v>-73.733078963799983</v>
      </c>
      <c r="BR88" s="24">
        <f t="shared" si="69"/>
        <v>-97.976407653899997</v>
      </c>
      <c r="BS88" s="24">
        <f t="shared" si="69"/>
        <v>-91.244843889700007</v>
      </c>
      <c r="BT88" s="24">
        <f t="shared" si="69"/>
        <v>-105.07704247590002</v>
      </c>
    </row>
    <row r="89" spans="1:72" collapsed="1" x14ac:dyDescent="0.25">
      <c r="C89" s="3" t="s">
        <v>76</v>
      </c>
      <c r="D89" s="10">
        <f>SUM(D86:D88)</f>
        <v>-219.31170503439998</v>
      </c>
      <c r="E89" s="10">
        <f t="shared" ref="E89:AY89" si="70">SUM(E86:E88)</f>
        <v>-208.33066813760001</v>
      </c>
      <c r="F89" s="10">
        <f t="shared" si="70"/>
        <v>-233.94334694150001</v>
      </c>
      <c r="G89" s="10">
        <f t="shared" si="70"/>
        <v>-230.51538058909998</v>
      </c>
      <c r="H89" s="10">
        <f t="shared" si="70"/>
        <v>-248.900077173</v>
      </c>
      <c r="I89" s="10">
        <f t="shared" si="70"/>
        <v>-238.42493437439998</v>
      </c>
      <c r="J89" s="10">
        <f t="shared" si="70"/>
        <v>-212.21183537029998</v>
      </c>
      <c r="K89" s="10">
        <f t="shared" si="70"/>
        <v>-227.62231418410002</v>
      </c>
      <c r="L89" s="10">
        <f t="shared" si="70"/>
        <v>-222.6110061201</v>
      </c>
      <c r="M89" s="10">
        <f t="shared" si="70"/>
        <v>-216.9178720667</v>
      </c>
      <c r="N89" s="10">
        <f t="shared" si="70"/>
        <v>-227.91009505200003</v>
      </c>
      <c r="O89" s="10">
        <f t="shared" si="70"/>
        <v>-216.1067788894</v>
      </c>
      <c r="P89" s="10">
        <f t="shared" si="70"/>
        <v>-253.53688633849998</v>
      </c>
      <c r="Q89" s="10">
        <f t="shared" si="70"/>
        <v>-241.476971827</v>
      </c>
      <c r="R89" s="10">
        <f t="shared" si="70"/>
        <v>-246.86449186610002</v>
      </c>
      <c r="S89" s="10">
        <f t="shared" si="70"/>
        <v>-254.05880352440002</v>
      </c>
      <c r="T89" s="10">
        <f t="shared" si="70"/>
        <v>-273.59682965279995</v>
      </c>
      <c r="U89" s="10">
        <f t="shared" si="70"/>
        <v>-253.54682249440003</v>
      </c>
      <c r="V89" s="10">
        <f t="shared" si="70"/>
        <v>-264.37829567599999</v>
      </c>
      <c r="W89" s="10">
        <f t="shared" si="70"/>
        <v>-249.76845931100002</v>
      </c>
      <c r="X89" s="10">
        <f t="shared" si="70"/>
        <v>-250.65777448360001</v>
      </c>
      <c r="Y89" s="10">
        <f t="shared" si="70"/>
        <v>-242.87027727170002</v>
      </c>
      <c r="Z89" s="10">
        <f t="shared" si="70"/>
        <v>-233.39432769709998</v>
      </c>
      <c r="AA89" s="10">
        <f t="shared" si="70"/>
        <v>-216.48154529739998</v>
      </c>
      <c r="AB89" s="10">
        <f t="shared" si="70"/>
        <v>-283.01200792050003</v>
      </c>
      <c r="AC89" s="10">
        <f t="shared" si="70"/>
        <v>-249.03308789190001</v>
      </c>
      <c r="AD89" s="10">
        <f t="shared" si="70"/>
        <v>-300.2169843785</v>
      </c>
      <c r="AE89" s="10">
        <f t="shared" si="70"/>
        <v>-298.89219231530001</v>
      </c>
      <c r="AF89" s="10">
        <f t="shared" si="70"/>
        <v>-301.91256757870002</v>
      </c>
      <c r="AG89" s="10">
        <f t="shared" si="70"/>
        <v>-298.60647749010002</v>
      </c>
      <c r="AH89" s="10">
        <f t="shared" si="70"/>
        <v>-302.10798026730004</v>
      </c>
      <c r="AI89" s="10">
        <f t="shared" si="70"/>
        <v>-311.74145357340007</v>
      </c>
      <c r="AJ89" s="10">
        <f t="shared" si="70"/>
        <v>-273.11911889099997</v>
      </c>
      <c r="AK89" s="10">
        <f t="shared" si="70"/>
        <v>-289.27364595389997</v>
      </c>
      <c r="AL89" s="10">
        <f t="shared" si="70"/>
        <v>-306.52266479000002</v>
      </c>
      <c r="AM89" s="10">
        <f t="shared" si="70"/>
        <v>-326.06881006829997</v>
      </c>
      <c r="AN89" s="10">
        <f t="shared" si="70"/>
        <v>-290.95517700879998</v>
      </c>
      <c r="AO89" s="10">
        <f t="shared" si="70"/>
        <v>-340.30666343499996</v>
      </c>
      <c r="AP89" s="10">
        <f t="shared" si="70"/>
        <v>-376.04487102840005</v>
      </c>
      <c r="AQ89" s="10">
        <f t="shared" si="70"/>
        <v>-398.97186108840003</v>
      </c>
      <c r="AR89" s="10">
        <f t="shared" si="70"/>
        <v>-358.47758389140006</v>
      </c>
      <c r="AS89" s="10">
        <f t="shared" si="70"/>
        <v>-380.72484362719996</v>
      </c>
      <c r="AT89" s="10">
        <f t="shared" si="70"/>
        <v>0</v>
      </c>
      <c r="AU89" s="10">
        <f t="shared" si="70"/>
        <v>0</v>
      </c>
      <c r="AV89" s="10">
        <f t="shared" si="70"/>
        <v>0</v>
      </c>
      <c r="AW89" s="10">
        <f t="shared" si="70"/>
        <v>0</v>
      </c>
      <c r="AX89" s="10">
        <f t="shared" si="70"/>
        <v>0</v>
      </c>
      <c r="AY89" s="10">
        <f t="shared" si="70"/>
        <v>0</v>
      </c>
      <c r="AZ89" s="10">
        <f t="shared" ref="AZ89:BK89" si="71">SUM(AZ86:AZ88)</f>
        <v>-315.9690908462</v>
      </c>
      <c r="BA89" s="10">
        <f t="shared" si="71"/>
        <v>-305.742432931</v>
      </c>
      <c r="BB89" s="10">
        <f t="shared" si="71"/>
        <v>-310.69731874520005</v>
      </c>
      <c r="BC89" s="10">
        <f t="shared" si="71"/>
        <v>-305.31449849630002</v>
      </c>
      <c r="BD89" s="10">
        <f t="shared" si="71"/>
        <v>-320.26800772850004</v>
      </c>
      <c r="BE89" s="10">
        <f t="shared" si="71"/>
        <v>-325.56111248310003</v>
      </c>
      <c r="BF89" s="10">
        <f t="shared" si="71"/>
        <v>-302.08918854979999</v>
      </c>
      <c r="BG89" s="10">
        <f t="shared" si="71"/>
        <v>-308.63837480350003</v>
      </c>
      <c r="BH89" s="10">
        <f t="shared" si="71"/>
        <v>-324.93859276850003</v>
      </c>
      <c r="BI89" s="10">
        <f t="shared" si="71"/>
        <v>-315.02932811069996</v>
      </c>
      <c r="BJ89" s="10">
        <f t="shared" si="71"/>
        <v>-325.12091708560001</v>
      </c>
      <c r="BK89" s="10">
        <f t="shared" si="71"/>
        <v>-338.75468973400001</v>
      </c>
      <c r="BO89" s="23">
        <f t="shared" ref="BO89:BT89" si="72">SUM(BO86:BO88)</f>
        <v>-1007.3067114721999</v>
      </c>
      <c r="BP89" s="23">
        <f t="shared" si="72"/>
        <v>-932.40884252239994</v>
      </c>
      <c r="BQ89" s="23">
        <f t="shared" si="72"/>
        <v>-631.26184044379988</v>
      </c>
      <c r="BR89" s="23">
        <f t="shared" si="72"/>
        <v>-832.26208019089995</v>
      </c>
      <c r="BS89" s="23">
        <f t="shared" si="72"/>
        <v>-741.87835003159989</v>
      </c>
      <c r="BT89" s="23">
        <f t="shared" si="72"/>
        <v>-661.58572011349997</v>
      </c>
    </row>
    <row r="91" spans="1:72" hidden="1" outlineLevel="1" x14ac:dyDescent="0.25">
      <c r="A91" s="11" t="s">
        <v>81</v>
      </c>
      <c r="C91" s="2" t="s">
        <v>85</v>
      </c>
      <c r="D91" s="8">
        <f>IFERROR(
GETPIVOTDATA(
"[Base].[Importe]",
TDinamica_R!$A$5,
"[Calendario].[AñoMes]",
"[Calendario].[AñoMes].&amp;[" &amp; TEXT(D$6,"yyyymm")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E91" s="8">
        <f>IFERROR(
GETPIVOTDATA(
"[Base].[Importe]",
TDinamica_R!$A$5,
"[Calendario].[AñoMes]",
"[Calendario].[AñoMes].&amp;[" &amp; TEXT(E$6,"yyyymm")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F91" s="8">
        <f>IFERROR(
GETPIVOTDATA(
"[Base].[Importe]",
TDinamica_R!$A$5,
"[Calendario].[AñoMes]",
"[Calendario].[AñoMes].&amp;[" &amp; TEXT(F$6,"yyyymm")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G91" s="8">
        <f>IFERROR(
GETPIVOTDATA(
"[Base].[Importe]",
TDinamica_R!$A$5,
"[Calendario].[AñoMes]",
"[Calendario].[AñoMes].&amp;[" &amp; TEXT(G$6,"yyyymm")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H91" s="8">
        <f>IFERROR(
GETPIVOTDATA(
"[Base].[Importe]",
TDinamica_R!$A$5,
"[Calendario].[AñoMes]",
"[Calendario].[AñoMes].&amp;[" &amp; TEXT(H$6,"yyyymm")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I91" s="8">
        <f>IFERROR(
GETPIVOTDATA(
"[Base].[Importe]",
TDinamica_R!$A$5,
"[Calendario].[AñoMes]",
"[Calendario].[AñoMes].&amp;[" &amp; TEXT(I$6,"yyyymm")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J91" s="8">
        <f>IFERROR(
GETPIVOTDATA(
"[Base].[Importe]",
TDinamica_R!$A$5,
"[Calendario].[AñoMes]",
"[Calendario].[AñoMes].&amp;[" &amp; TEXT(J$6,"yyyymm")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K91" s="8">
        <f>IFERROR(
GETPIVOTDATA(
"[Base].[Importe]",
TDinamica_R!$A$5,
"[Calendario].[AñoMes]",
"[Calendario].[AñoMes].&amp;[" &amp; TEXT(K$6,"yyyymm")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L91" s="8">
        <f>IFERROR(
GETPIVOTDATA(
"[Base].[Importe]",
TDinamica_R!$A$5,
"[Calendario].[AñoMes]",
"[Calendario].[AñoMes].&amp;[" &amp; TEXT(L$6,"yyyymm")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M91" s="8">
        <f>IFERROR(
GETPIVOTDATA(
"[Base].[Importe]",
TDinamica_R!$A$5,
"[Calendario].[AñoMes]",
"[Calendario].[AñoMes].&amp;[" &amp; TEXT(M$6,"yyyymm")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N91" s="8">
        <f>IFERROR(
GETPIVOTDATA(
"[Base].[Importe]",
TDinamica_R!$A$5,
"[Calendario].[AñoMes]",
"[Calendario].[AñoMes].&amp;[" &amp; TEXT(N$6,"yyyymm")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O91" s="8">
        <f>IFERROR(
GETPIVOTDATA(
"[Base].[Importe]",
TDinamica_R!$A$5,
"[Calendario].[AñoMes]",
"[Calendario].[AñoMes].&amp;[" &amp; TEXT(O$6,"yyyymm")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P91" s="8">
        <f>IFERROR(
GETPIVOTDATA(
"[Base].[Importe]",
TDinamica_R!$A$5,
"[Calendario].[AñoMes]",
"[Calendario].[AñoMes].&amp;[" &amp; TEXT(P$6,"yyyymm")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Q91" s="8">
        <f>IFERROR(
GETPIVOTDATA(
"[Base].[Importe]",
TDinamica_R!$A$5,
"[Calendario].[AñoMes]",
"[Calendario].[AñoMes].&amp;[" &amp; TEXT(Q$6,"yyyymm")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R91" s="8">
        <f>IFERROR(
GETPIVOTDATA(
"[Base].[Importe]",
TDinamica_R!$A$5,
"[Calendario].[AñoMes]",
"[Calendario].[AñoMes].&amp;[" &amp; TEXT(R$6,"yyyymm")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S91" s="8">
        <f>IFERROR(
GETPIVOTDATA(
"[Base].[Importe]",
TDinamica_R!$A$5,
"[Calendario].[AñoMes]",
"[Calendario].[AñoMes].&amp;[" &amp; TEXT(S$6,"yyyymm")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T91" s="8">
        <f>IFERROR(
GETPIVOTDATA(
"[Base].[Importe]",
TDinamica_R!$A$5,
"[Calendario].[AñoMes]",
"[Calendario].[AñoMes].&amp;[" &amp; TEXT(T$6,"yyyymm")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U91" s="8">
        <f>IFERROR(
GETPIVOTDATA(
"[Base].[Importe]",
TDinamica_R!$A$5,
"[Calendario].[AñoMes]",
"[Calendario].[AñoMes].&amp;[" &amp; TEXT(U$6,"yyyymm")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V91" s="8">
        <f>IFERROR(
GETPIVOTDATA(
"[Base].[Importe]",
TDinamica_R!$A$5,
"[Calendario].[AñoMes]",
"[Calendario].[AñoMes].&amp;[" &amp; TEXT(V$6,"yyyymm")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W91" s="8">
        <f>IFERROR(
GETPIVOTDATA(
"[Base].[Importe]",
TDinamica_R!$A$5,
"[Calendario].[AñoMes]",
"[Calendario].[AñoMes].&amp;[" &amp; TEXT(W$6,"yyyymm")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X91" s="8">
        <f>IFERROR(
GETPIVOTDATA(
"[Base].[Importe]",
TDinamica_R!$A$5,
"[Calendario].[AñoMes]",
"[Calendario].[AñoMes].&amp;[" &amp; TEXT(X$6,"yyyymm")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Y91" s="8">
        <f>IFERROR(
GETPIVOTDATA(
"[Base].[Importe]",
TDinamica_R!$A$5,
"[Calendario].[AñoMes]",
"[Calendario].[AñoMes].&amp;[" &amp; TEXT(Y$6,"yyyymm")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Z91" s="8">
        <f>IFERROR(
GETPIVOTDATA(
"[Base].[Importe]",
TDinamica_R!$A$5,
"[Calendario].[AñoMes]",
"[Calendario].[AñoMes].&amp;[" &amp; TEXT(Z$6,"yyyymm")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A91" s="8">
        <f>IFERROR(
GETPIVOTDATA(
"[Base].[Importe]",
TDinamica_R!$A$5,
"[Calendario].[AñoMes]",
"[Calendario].[AñoMes].&amp;[" &amp; TEXT(AA$6,"yyyymm")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B91" s="8">
        <f>IFERROR(
GETPIVOTDATA(
"[Base].[Importe]",
TDinamica_R!$A$5,
"[Calendario].[AñoMes]",
"[Calendario].[AñoMes].&amp;[" &amp; TEXT(AB$6,"yyyymm")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C91" s="8">
        <f>IFERROR(
GETPIVOTDATA(
"[Base].[Importe]",
TDinamica_R!$A$5,
"[Calendario].[AñoMes]",
"[Calendario].[AñoMes].&amp;[" &amp; TEXT(AC$6,"yyyymm")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D91" s="8">
        <f>IFERROR(
GETPIVOTDATA(
"[Base].[Importe]",
TDinamica_R!$A$5,
"[Calendario].[AñoMes]",
"[Calendario].[AñoMes].&amp;[" &amp; TEXT(AD$6,"yyyymm")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E91" s="8">
        <f>IFERROR(
GETPIVOTDATA(
"[Base].[Importe]",
TDinamica_R!$A$5,
"[Calendario].[AñoMes]",
"[Calendario].[AñoMes].&amp;[" &amp; TEXT(AE$6,"yyyymm")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F91" s="8">
        <f>IFERROR(
GETPIVOTDATA(
"[Base].[Importe]",
TDinamica_R!$A$5,
"[Calendario].[AñoMes]",
"[Calendario].[AñoMes].&amp;[" &amp; TEXT(AF$6,"yyyymm")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G91" s="8">
        <f>IFERROR(
GETPIVOTDATA(
"[Base].[Importe]",
TDinamica_R!$A$5,
"[Calendario].[AñoMes]",
"[Calendario].[AñoMes].&amp;[" &amp; TEXT(AG$6,"yyyymm")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H91" s="8">
        <f>IFERROR(
GETPIVOTDATA(
"[Base].[Importe]",
TDinamica_R!$A$5,
"[Calendario].[AñoMes]",
"[Calendario].[AñoMes].&amp;[" &amp; TEXT(AH$6,"yyyymm")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I91" s="8">
        <f>IFERROR(
GETPIVOTDATA(
"[Base].[Importe]",
TDinamica_R!$A$5,
"[Calendario].[AñoMes]",
"[Calendario].[AñoMes].&amp;[" &amp; TEXT(AI$6,"yyyymm")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J91" s="8">
        <f>IFERROR(
GETPIVOTDATA(
"[Base].[Importe]",
TDinamica_R!$A$5,
"[Calendario].[AñoMes]",
"[Calendario].[AñoMes].&amp;[" &amp; TEXT(AJ$6,"yyyymm")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K91" s="8">
        <f>IFERROR(
GETPIVOTDATA(
"[Base].[Importe]",
TDinamica_R!$A$5,
"[Calendario].[AñoMes]",
"[Calendario].[AñoMes].&amp;[" &amp; TEXT(AK$6,"yyyymm")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L91" s="8">
        <f>IFERROR(
GETPIVOTDATA(
"[Base].[Importe]",
TDinamica_R!$A$5,
"[Calendario].[AñoMes]",
"[Calendario].[AñoMes].&amp;[" &amp; TEXT(AL$6,"yyyymm")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M91" s="8">
        <f>IFERROR(
GETPIVOTDATA(
"[Base].[Importe]",
TDinamica_R!$A$5,
"[Calendario].[AñoMes]",
"[Calendario].[AñoMes].&amp;[" &amp; TEXT(AM$6,"yyyymm")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N91" s="8">
        <f>IFERROR(
GETPIVOTDATA(
"[Base].[Importe]",
TDinamica_R!$A$5,
"[Calendario].[AñoMes]",
"[Calendario].[AñoMes].&amp;[" &amp; TEXT(AN$6,"yyyymm")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O91" s="8">
        <f>IFERROR(
GETPIVOTDATA(
"[Base].[Importe]",
TDinamica_R!$A$5,
"[Calendario].[AñoMes]",
"[Calendario].[AñoMes].&amp;[" &amp; TEXT(AO$6,"yyyymm")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P91" s="8">
        <f>IFERROR(
GETPIVOTDATA(
"[Base].[Importe]",
TDinamica_R!$A$5,
"[Calendario].[AñoMes]",
"[Calendario].[AñoMes].&amp;[" &amp; TEXT(AP$6,"yyyymm")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Q91" s="8">
        <f>IFERROR(
GETPIVOTDATA(
"[Base].[Importe]",
TDinamica_R!$A$5,
"[Calendario].[AñoMes]",
"[Calendario].[AñoMes].&amp;[" &amp; TEXT(AQ$6,"yyyymm")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R91" s="8">
        <f>IFERROR(
GETPIVOTDATA(
"[Base].[Importe]",
TDinamica_R!$A$5,
"[Calendario].[AñoMes]",
"[Calendario].[AñoMes].&amp;[" &amp; TEXT(AR$6,"yyyymm")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S91" s="8">
        <f>IFERROR(
GETPIVOTDATA(
"[Base].[Importe]",
TDinamica_R!$A$5,
"[Calendario].[AñoMes]",
"[Calendario].[AñoMes].&amp;[" &amp; TEXT(AS$6,"yyyymm")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T91" s="8">
        <f>IFERROR(
GETPIVOTDATA(
"[Base].[Importe]",
TDinamica_R!$A$5,
"[Calendario].[AñoMes]",
"[Calendario].[AñoMes].&amp;[" &amp; TEXT(AT$6,"yyyymm")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U91" s="8">
        <f>IFERROR(
GETPIVOTDATA(
"[Base].[Importe]",
TDinamica_R!$A$5,
"[Calendario].[AñoMes]",
"[Calendario].[AñoMes].&amp;[" &amp; TEXT(AU$6,"yyyymm")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V91" s="8">
        <f>IFERROR(
GETPIVOTDATA(
"[Base].[Importe]",
TDinamica_R!$A$5,
"[Calendario].[AñoMes]",
"[Calendario].[AñoMes].&amp;[" &amp; TEXT(AV$6,"yyyymm")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W91" s="8">
        <f>IFERROR(
GETPIVOTDATA(
"[Base].[Importe]",
TDinamica_R!$A$5,
"[Calendario].[AñoMes]",
"[Calendario].[AñoMes].&amp;[" &amp; TEXT(AW$6,"yyyymm")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X91" s="8">
        <f>IFERROR(
GETPIVOTDATA(
"[Base].[Importe]",
TDinamica_R!$A$5,
"[Calendario].[AñoMes]",
"[Calendario].[AñoMes].&amp;[" &amp; TEXT(AX$6,"yyyymm")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Y91" s="8">
        <f>IFERROR(
GETPIVOTDATA(
"[Base].[Importe]",
TDinamica_R!$A$5,
"[Calendario].[AñoMes]",
"[Calendario].[AñoMes].&amp;[" &amp; TEXT(AY$6,"yyyymm")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Z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TEXT(AZ$6,"yyyymm") &amp; "]"
),
0
)</f>
        <v>0</v>
      </c>
      <c r="BA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TEXT(BA$6,"yyyymm") &amp; "]"
),
0
)</f>
        <v>0</v>
      </c>
      <c r="BB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TEXT(BB$6,"yyyymm") &amp; "]"
),
0
)</f>
        <v>0</v>
      </c>
      <c r="BC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TEXT(BC$6,"yyyymm") &amp; "]"
),
0
)</f>
        <v>0</v>
      </c>
      <c r="BD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TEXT(BD$6,"yyyymm") &amp; "]"
),
0
)</f>
        <v>0</v>
      </c>
      <c r="BE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TEXT(BE$6,"yyyymm") &amp; "]"
),
0
)</f>
        <v>0</v>
      </c>
      <c r="BF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TEXT(BF$6,"yyyymm") &amp; "]"
),
0
)</f>
        <v>0</v>
      </c>
      <c r="BG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TEXT(BG$6,"yyyymm") &amp; "]"
),
0
)</f>
        <v>0</v>
      </c>
      <c r="BH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TEXT(BH$6,"yyyymm") &amp; "]"
),
0
)</f>
        <v>0</v>
      </c>
      <c r="BI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TEXT(BI$6,"yyyymm") &amp; "]"
),
0
)</f>
        <v>0</v>
      </c>
      <c r="BJ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TEXT(BJ$6,"yyyymm") &amp; "]"
),
0
)</f>
        <v>0</v>
      </c>
      <c r="BK91" s="8">
        <f>IFERROR(
GETPIVOTDATA(
"[Base_PPE].[Importe]",
TDinamica_P!$A$4,
"[Base_PPE].[Metrica]",
"[Base_PPE].[Metrica].&amp;[" &amp; TRIM($A91) &amp; "]",
"[Base_PPE].[SITUACION]",
"[Base_PPE].[SITUACION].&amp;[" &amp; TRIM($C91) &amp; "]",
"[Base_PPE].[SEGMENTO_DESCRIP]",
"[Base_PPE].[SEGMENTO_DESCRIP].&amp;[" &amp; TRIM($C$6) &amp; "]",
"[Base_PPE].[Periodo]",
"[Base_PPE].[Periodo].&amp;[" &amp; TEXT(BK$6,"yyyymm") &amp; "]"
),
0
)</f>
        <v>0</v>
      </c>
      <c r="BO91" s="24">
        <f t="shared" ref="BO91:BT92" si="73">SUMIFS($D91:$BM91,$D$6:$BM$6,"&gt;="&amp;BO$2,$D$6:$BM$6,"&lt;="&amp;BO$6,$D$5:$BM$5,BO$5)</f>
        <v>0</v>
      </c>
      <c r="BP91" s="24">
        <f t="shared" si="73"/>
        <v>0</v>
      </c>
      <c r="BQ91" s="24">
        <f t="shared" si="73"/>
        <v>0</v>
      </c>
      <c r="BR91" s="24">
        <f t="shared" si="73"/>
        <v>0</v>
      </c>
      <c r="BS91" s="24">
        <f t="shared" si="73"/>
        <v>0</v>
      </c>
      <c r="BT91" s="24">
        <f t="shared" si="73"/>
        <v>0</v>
      </c>
    </row>
    <row r="92" spans="1:72" hidden="1" outlineLevel="1" x14ac:dyDescent="0.25">
      <c r="A92" s="11" t="s">
        <v>81</v>
      </c>
      <c r="C92" s="2" t="s">
        <v>48</v>
      </c>
      <c r="D92" s="8">
        <f>IFERROR(
GETPIVOTDATA(
"[Base].[Importe]",
TDinamica_R!$A$5,
"[Calendario].[AñoMes]",
"[Calendario].[AñoMes].&amp;[" &amp; TEXT(D$6,"yyyymm") &amp; "]",
"[Base].[Metrica]",
"[Base].[Metrica].&amp;[" &amp; $A92 &amp; "]",
"[Base].[SEGMENTO_DESCRIP]",
"[Base].[SEGMENTO_DESCRIP].&amp;[" &amp; $C$6 &amp; "]",
"[Base].[SITUACION]",
"[Base].[SITUACION].&amp;[" &amp; $C92 &amp; "]"
),0)/1000</f>
        <v>-2.7816437722763969</v>
      </c>
      <c r="E92" s="8">
        <f>IFERROR(
GETPIVOTDATA(
"[Base].[Importe]",
TDinamica_R!$A$5,
"[Calendario].[AñoMes]",
"[Calendario].[AñoMes].&amp;[" &amp; TEXT(E$6,"yyyymm") &amp; "]",
"[Base].[Metrica]",
"[Base].[Metrica].&amp;[" &amp; $A92 &amp; "]",
"[Base].[SEGMENTO_DESCRIP]",
"[Base].[SEGMENTO_DESCRIP].&amp;[" &amp; $C$6 &amp; "]",
"[Base].[SITUACION]",
"[Base].[SITUACION].&amp;[" &amp; $C92 &amp; "]"
),0)/1000</f>
        <v>-2.2240490529467882</v>
      </c>
      <c r="F92" s="8">
        <f>IFERROR(
GETPIVOTDATA(
"[Base].[Importe]",
TDinamica_R!$A$5,
"[Calendario].[AñoMes]",
"[Calendario].[AñoMes].&amp;[" &amp; TEXT(F$6,"yyyymm") &amp; "]",
"[Base].[Metrica]",
"[Base].[Metrica].&amp;[" &amp; $A92 &amp; "]",
"[Base].[SEGMENTO_DESCRIP]",
"[Base].[SEGMENTO_DESCRIP].&amp;[" &amp; $C$6 &amp; "]",
"[Base].[SITUACION]",
"[Base].[SITUACION].&amp;[" &amp; $C92 &amp; "]"
),0)/1000</f>
        <v>-0.76410988149172643</v>
      </c>
      <c r="G92" s="8">
        <f>IFERROR(
GETPIVOTDATA(
"[Base].[Importe]",
TDinamica_R!$A$5,
"[Calendario].[AñoMes]",
"[Calendario].[AñoMes].&amp;[" &amp; TEXT(G$6,"yyyymm") &amp; "]",
"[Base].[Metrica]",
"[Base].[Metrica].&amp;[" &amp; $A92 &amp; "]",
"[Base].[SEGMENTO_DESCRIP]",
"[Base].[SEGMENTO_DESCRIP].&amp;[" &amp; $C$6 &amp; "]",
"[Base].[SITUACION]",
"[Base].[SITUACION].&amp;[" &amp; $C92 &amp; "]"
),0)/1000</f>
        <v>-1.9660160319247222</v>
      </c>
      <c r="H92" s="8">
        <f>IFERROR(
GETPIVOTDATA(
"[Base].[Importe]",
TDinamica_R!$A$5,
"[Calendario].[AñoMes]",
"[Calendario].[AñoMes].&amp;[" &amp; TEXT(H$6,"yyyymm") &amp; "]",
"[Base].[Metrica]",
"[Base].[Metrica].&amp;[" &amp; $A92 &amp; "]",
"[Base].[SEGMENTO_DESCRIP]",
"[Base].[SEGMENTO_DESCRIP].&amp;[" &amp; $C$6 &amp; "]",
"[Base].[SITUACION]",
"[Base].[SITUACION].&amp;[" &amp; $C92 &amp; "]"
),0)/1000</f>
        <v>-1.4123731124663614</v>
      </c>
      <c r="I92" s="8">
        <f>IFERROR(
GETPIVOTDATA(
"[Base].[Importe]",
TDinamica_R!$A$5,
"[Calendario].[AñoMes]",
"[Calendario].[AñoMes].&amp;[" &amp; TEXT(I$6,"yyyymm") &amp; "]",
"[Base].[Metrica]",
"[Base].[Metrica].&amp;[" &amp; $A92 &amp; "]",
"[Base].[SEGMENTO_DESCRIP]",
"[Base].[SEGMENTO_DESCRIP].&amp;[" &amp; $C$6 &amp; "]",
"[Base].[SITUACION]",
"[Base].[SITUACION].&amp;[" &amp; $C92 &amp; "]"
),0)/1000</f>
        <v>-3.7496962370748124</v>
      </c>
      <c r="J92" s="8">
        <f>IFERROR(
GETPIVOTDATA(
"[Base].[Importe]",
TDinamica_R!$A$5,
"[Calendario].[AñoMes]",
"[Calendario].[AñoMes].&amp;[" &amp; TEXT(J$6,"yyyymm") &amp; "]",
"[Base].[Metrica]",
"[Base].[Metrica].&amp;[" &amp; $A92 &amp; "]",
"[Base].[SEGMENTO_DESCRIP]",
"[Base].[SEGMENTO_DESCRIP].&amp;[" &amp; $C$6 &amp; "]",
"[Base].[SITUACION]",
"[Base].[SITUACION].&amp;[" &amp; $C92 &amp; "]"
),0)/1000</f>
        <v>-2.748700183542204</v>
      </c>
      <c r="K92" s="8">
        <f>IFERROR(
GETPIVOTDATA(
"[Base].[Importe]",
TDinamica_R!$A$5,
"[Calendario].[AñoMes]",
"[Calendario].[AñoMes].&amp;[" &amp; TEXT(K$6,"yyyymm") &amp; "]",
"[Base].[Metrica]",
"[Base].[Metrica].&amp;[" &amp; $A92 &amp; "]",
"[Base].[SEGMENTO_DESCRIP]",
"[Base].[SEGMENTO_DESCRIP].&amp;[" &amp; $C$6 &amp; "]",
"[Base].[SITUACION]",
"[Base].[SITUACION].&amp;[" &amp; $C92 &amp; "]"
),0)/1000</f>
        <v>-8.179291040680809</v>
      </c>
      <c r="L92" s="8">
        <f>IFERROR(
GETPIVOTDATA(
"[Base].[Importe]",
TDinamica_R!$A$5,
"[Calendario].[AñoMes]",
"[Calendario].[AñoMes].&amp;[" &amp; TEXT(L$6,"yyyymm") &amp; "]",
"[Base].[Metrica]",
"[Base].[Metrica].&amp;[" &amp; $A92 &amp; "]",
"[Base].[SEGMENTO_DESCRIP]",
"[Base].[SEGMENTO_DESCRIP].&amp;[" &amp; $C$6 &amp; "]",
"[Base].[SITUACION]",
"[Base].[SITUACION].&amp;[" &amp; $C92 &amp; "]"
),0)/1000</f>
        <v>-0.71661350237318711</v>
      </c>
      <c r="M92" s="8">
        <f>IFERROR(
GETPIVOTDATA(
"[Base].[Importe]",
TDinamica_R!$A$5,
"[Calendario].[AñoMes]",
"[Calendario].[AñoMes].&amp;[" &amp; TEXT(M$6,"yyyymm") &amp; "]",
"[Base].[Metrica]",
"[Base].[Metrica].&amp;[" &amp; $A92 &amp; "]",
"[Base].[SEGMENTO_DESCRIP]",
"[Base].[SEGMENTO_DESCRIP].&amp;[" &amp; $C$6 &amp; "]",
"[Base].[SITUACION]",
"[Base].[SITUACION].&amp;[" &amp; $C92 &amp; "]"
),0)/1000</f>
        <v>-4.915964188193791</v>
      </c>
      <c r="N92" s="8">
        <f>IFERROR(
GETPIVOTDATA(
"[Base].[Importe]",
TDinamica_R!$A$5,
"[Calendario].[AñoMes]",
"[Calendario].[AñoMes].&amp;[" &amp; TEXT(N$6,"yyyymm") &amp; "]",
"[Base].[Metrica]",
"[Base].[Metrica].&amp;[" &amp; $A92 &amp; "]",
"[Base].[SEGMENTO_DESCRIP]",
"[Base].[SEGMENTO_DESCRIP].&amp;[" &amp; $C$6 &amp; "]",
"[Base].[SITUACION]",
"[Base].[SITUACION].&amp;[" &amp; $C92 &amp; "]"
),0)/1000</f>
        <v>-2.5060077307839768</v>
      </c>
      <c r="O92" s="8">
        <f>IFERROR(
GETPIVOTDATA(
"[Base].[Importe]",
TDinamica_R!$A$5,
"[Calendario].[AñoMes]",
"[Calendario].[AñoMes].&amp;[" &amp; TEXT(O$6,"yyyymm") &amp; "]",
"[Base].[Metrica]",
"[Base].[Metrica].&amp;[" &amp; $A92 &amp; "]",
"[Base].[SEGMENTO_DESCRIP]",
"[Base].[SEGMENTO_DESCRIP].&amp;[" &amp; $C$6 &amp; "]",
"[Base].[SITUACION]",
"[Base].[SITUACION].&amp;[" &amp; $C92 &amp; "]"
),0)/1000</f>
        <v>-1.7240558810516569</v>
      </c>
      <c r="P92" s="8">
        <f>IFERROR(
GETPIVOTDATA(
"[Base].[Importe]",
TDinamica_R!$A$5,
"[Calendario].[AñoMes]",
"[Calendario].[AñoMes].&amp;[" &amp; TEXT(P$6,"yyyymm") &amp; "]",
"[Base].[Metrica]",
"[Base].[Metrica].&amp;[" &amp; $A92 &amp; "]",
"[Base].[SEGMENTO_DESCRIP]",
"[Base].[SEGMENTO_DESCRIP].&amp;[" &amp; $C$6 &amp; "]",
"[Base].[SITUACION]",
"[Base].[SITUACION].&amp;[" &amp; $C92 &amp; "]"
),0)/1000</f>
        <v>-2.5057630564202138</v>
      </c>
      <c r="Q92" s="8">
        <f>IFERROR(
GETPIVOTDATA(
"[Base].[Importe]",
TDinamica_R!$A$5,
"[Calendario].[AñoMes]",
"[Calendario].[AñoMes].&amp;[" &amp; TEXT(Q$6,"yyyymm") &amp; "]",
"[Base].[Metrica]",
"[Base].[Metrica].&amp;[" &amp; $A92 &amp; "]",
"[Base].[SEGMENTO_DESCRIP]",
"[Base].[SEGMENTO_DESCRIP].&amp;[" &amp; $C$6 &amp; "]",
"[Base].[SITUACION]",
"[Base].[SITUACION].&amp;[" &amp; $C92 &amp; "]"
),0)/1000</f>
        <v>-1.9185649688226056</v>
      </c>
      <c r="R92" s="8">
        <f>IFERROR(
GETPIVOTDATA(
"[Base].[Importe]",
TDinamica_R!$A$5,
"[Calendario].[AñoMes]",
"[Calendario].[AñoMes].&amp;[" &amp; TEXT(R$6,"yyyymm") &amp; "]",
"[Base].[Metrica]",
"[Base].[Metrica].&amp;[" &amp; $A92 &amp; "]",
"[Base].[SEGMENTO_DESCRIP]",
"[Base].[SEGMENTO_DESCRIP].&amp;[" &amp; $C$6 &amp; "]",
"[Base].[SITUACION]",
"[Base].[SITUACION].&amp;[" &amp; $C92 &amp; "]"
),0)/1000</f>
        <v>-1.1558543398097987</v>
      </c>
      <c r="S92" s="8">
        <f>IFERROR(
GETPIVOTDATA(
"[Base].[Importe]",
TDinamica_R!$A$5,
"[Calendario].[AñoMes]",
"[Calendario].[AñoMes].&amp;[" &amp; TEXT(S$6,"yyyymm") &amp; "]",
"[Base].[Metrica]",
"[Base].[Metrica].&amp;[" &amp; $A92 &amp; "]",
"[Base].[SEGMENTO_DESCRIP]",
"[Base].[SEGMENTO_DESCRIP].&amp;[" &amp; $C$6 &amp; "]",
"[Base].[SITUACION]",
"[Base].[SITUACION].&amp;[" &amp; $C92 &amp; "]"
),0)/1000</f>
        <v>-3.1426314758106053</v>
      </c>
      <c r="T92" s="8">
        <f>IFERROR(
GETPIVOTDATA(
"[Base].[Importe]",
TDinamica_R!$A$5,
"[Calendario].[AñoMes]",
"[Calendario].[AñoMes].&amp;[" &amp; TEXT(T$6,"yyyymm") &amp; "]",
"[Base].[Metrica]",
"[Base].[Metrica].&amp;[" &amp; $A92 &amp; "]",
"[Base].[SEGMENTO_DESCRIP]",
"[Base].[SEGMENTO_DESCRIP].&amp;[" &amp; $C$6 &amp; "]",
"[Base].[SITUACION]",
"[Base].[SITUACION].&amp;[" &amp; $C92 &amp; "]"
),0)/1000</f>
        <v>-4.4318983633541968</v>
      </c>
      <c r="U92" s="8">
        <f>IFERROR(
GETPIVOTDATA(
"[Base].[Importe]",
TDinamica_R!$A$5,
"[Calendario].[AñoMes]",
"[Calendario].[AñoMes].&amp;[" &amp; TEXT(U$6,"yyyymm") &amp; "]",
"[Base].[Metrica]",
"[Base].[Metrica].&amp;[" &amp; $A92 &amp; "]",
"[Base].[SEGMENTO_DESCRIP]",
"[Base].[SEGMENTO_DESCRIP].&amp;[" &amp; $C$6 &amp; "]",
"[Base].[SITUACION]",
"[Base].[SITUACION].&amp;[" &amp; $C92 &amp; "]"
),0)/1000</f>
        <v>-4.4650997546961886</v>
      </c>
      <c r="V92" s="8">
        <f>IFERROR(
GETPIVOTDATA(
"[Base].[Importe]",
TDinamica_R!$A$5,
"[Calendario].[AñoMes]",
"[Calendario].[AñoMes].&amp;[" &amp; TEXT(V$6,"yyyymm") &amp; "]",
"[Base].[Metrica]",
"[Base].[Metrica].&amp;[" &amp; $A92 &amp; "]",
"[Base].[SEGMENTO_DESCRIP]",
"[Base].[SEGMENTO_DESCRIP].&amp;[" &amp; $C$6 &amp; "]",
"[Base].[SITUACION]",
"[Base].[SITUACION].&amp;[" &amp; $C92 &amp; "]"
),0)/1000</f>
        <v>-2.8044297322295306</v>
      </c>
      <c r="W92" s="8">
        <f>IFERROR(
GETPIVOTDATA(
"[Base].[Importe]",
TDinamica_R!$A$5,
"[Calendario].[AñoMes]",
"[Calendario].[AñoMes].&amp;[" &amp; TEXT(W$6,"yyyymm") &amp; "]",
"[Base].[Metrica]",
"[Base].[Metrica].&amp;[" &amp; $A92 &amp; "]",
"[Base].[SEGMENTO_DESCRIP]",
"[Base].[SEGMENTO_DESCRIP].&amp;[" &amp; $C$6 &amp; "]",
"[Base].[SITUACION]",
"[Base].[SITUACION].&amp;[" &amp; $C92 &amp; "]"
),0)/1000</f>
        <v>-2.559697242721326</v>
      </c>
      <c r="X92" s="8">
        <f>IFERROR(
GETPIVOTDATA(
"[Base].[Importe]",
TDinamica_R!$A$5,
"[Calendario].[AñoMes]",
"[Calendario].[AñoMes].&amp;[" &amp; TEXT(X$6,"yyyymm") &amp; "]",
"[Base].[Metrica]",
"[Base].[Metrica].&amp;[" &amp; $A92 &amp; "]",
"[Base].[SEGMENTO_DESCRIP]",
"[Base].[SEGMENTO_DESCRIP].&amp;[" &amp; $C$6 &amp; "]",
"[Base].[SITUACION]",
"[Base].[SITUACION].&amp;[" &amp; $C92 &amp; "]"
),0)/1000</f>
        <v>-4.950127077338573</v>
      </c>
      <c r="Y92" s="8">
        <f>IFERROR(
GETPIVOTDATA(
"[Base].[Importe]",
TDinamica_R!$A$5,
"[Calendario].[AñoMes]",
"[Calendario].[AñoMes].&amp;[" &amp; TEXT(Y$6,"yyyymm") &amp; "]",
"[Base].[Metrica]",
"[Base].[Metrica].&amp;[" &amp; $A92 &amp; "]",
"[Base].[SEGMENTO_DESCRIP]",
"[Base].[SEGMENTO_DESCRIP].&amp;[" &amp; $C$6 &amp; "]",
"[Base].[SITUACION]",
"[Base].[SITUACION].&amp;[" &amp; $C92 &amp; "]"
),0)/1000</f>
        <v>-1.8280243660600926</v>
      </c>
      <c r="Z92" s="8">
        <f>IFERROR(
GETPIVOTDATA(
"[Base].[Importe]",
TDinamica_R!$A$5,
"[Calendario].[AñoMes]",
"[Calendario].[AñoMes].&amp;[" &amp; TEXT(Z$6,"yyyymm") &amp; "]",
"[Base].[Metrica]",
"[Base].[Metrica].&amp;[" &amp; $A92 &amp; "]",
"[Base].[SEGMENTO_DESCRIP]",
"[Base].[SEGMENTO_DESCRIP].&amp;[" &amp; $C$6 &amp; "]",
"[Base].[SITUACION]",
"[Base].[SITUACION].&amp;[" &amp; $C92 &amp; "]"
),0)/1000</f>
        <v>-1.6702923314739255</v>
      </c>
      <c r="AA92" s="8">
        <f>IFERROR(
GETPIVOTDATA(
"[Base].[Importe]",
TDinamica_R!$A$5,
"[Calendario].[AñoMes]",
"[Calendario].[AñoMes].&amp;[" &amp; TEXT(AA$6,"yyyymm") &amp; "]",
"[Base].[Metrica]",
"[Base].[Metrica].&amp;[" &amp; $A92 &amp; "]",
"[Base].[SEGMENTO_DESCRIP]",
"[Base].[SEGMENTO_DESCRIP].&amp;[" &amp; $C$6 &amp; "]",
"[Base].[SITUACION]",
"[Base].[SITUACION].&amp;[" &amp; $C92 &amp; "]"
),0)/1000</f>
        <v>-2.3549327509738855</v>
      </c>
      <c r="AB92" s="8">
        <f>IFERROR(
GETPIVOTDATA(
"[Base].[Importe]",
TDinamica_R!$A$5,
"[Calendario].[AñoMes]",
"[Calendario].[AñoMes].&amp;[" &amp; TEXT(AB$6,"yyyymm") &amp; "]",
"[Base].[Metrica]",
"[Base].[Metrica].&amp;[" &amp; $A92 &amp; "]",
"[Base].[SEGMENTO_DESCRIP]",
"[Base].[SEGMENTO_DESCRIP].&amp;[" &amp; $C$6 &amp; "]",
"[Base].[SITUACION]",
"[Base].[SITUACION].&amp;[" &amp; $C92 &amp; "]"
),0)/1000</f>
        <v>-0.86682086460013663</v>
      </c>
      <c r="AC92" s="8">
        <f>IFERROR(
GETPIVOTDATA(
"[Base].[Importe]",
TDinamica_R!$A$5,
"[Calendario].[AñoMes]",
"[Calendario].[AñoMes].&amp;[" &amp; TEXT(AC$6,"yyyymm") &amp; "]",
"[Base].[Metrica]",
"[Base].[Metrica].&amp;[" &amp; $A92 &amp; "]",
"[Base].[SEGMENTO_DESCRIP]",
"[Base].[SEGMENTO_DESCRIP].&amp;[" &amp; $C$6 &amp; "]",
"[Base].[SITUACION]",
"[Base].[SITUACION].&amp;[" &amp; $C92 &amp; "]"
),0)/1000</f>
        <v>-0.75633963542567473</v>
      </c>
      <c r="AD92" s="8">
        <f>IFERROR(
GETPIVOTDATA(
"[Base].[Importe]",
TDinamica_R!$A$5,
"[Calendario].[AñoMes]",
"[Calendario].[AñoMes].&amp;[" &amp; TEXT(AD$6,"yyyymm") &amp; "]",
"[Base].[Metrica]",
"[Base].[Metrica].&amp;[" &amp; $A92 &amp; "]",
"[Base].[SEGMENTO_DESCRIP]",
"[Base].[SEGMENTO_DESCRIP].&amp;[" &amp; $C$6 &amp; "]",
"[Base].[SITUACION]",
"[Base].[SITUACION].&amp;[" &amp; $C92 &amp; "]"
),0)/1000</f>
        <v>-0.67489675795757764</v>
      </c>
      <c r="AE92" s="8">
        <f>IFERROR(
GETPIVOTDATA(
"[Base].[Importe]",
TDinamica_R!$A$5,
"[Calendario].[AñoMes]",
"[Calendario].[AñoMes].&amp;[" &amp; TEXT(AE$6,"yyyymm") &amp; "]",
"[Base].[Metrica]",
"[Base].[Metrica].&amp;[" &amp; $A92 &amp; "]",
"[Base].[SEGMENTO_DESCRIP]",
"[Base].[SEGMENTO_DESCRIP].&amp;[" &amp; $C$6 &amp; "]",
"[Base].[SITUACION]",
"[Base].[SITUACION].&amp;[" &amp; $C92 &amp; "]"
),0)/1000</f>
        <v>-5.1679014002950145</v>
      </c>
      <c r="AF92" s="8">
        <f>IFERROR(
GETPIVOTDATA(
"[Base].[Importe]",
TDinamica_R!$A$5,
"[Calendario].[AñoMes]",
"[Calendario].[AñoMes].&amp;[" &amp; TEXT(AF$6,"yyyymm") &amp; "]",
"[Base].[Metrica]",
"[Base].[Metrica].&amp;[" &amp; $A92 &amp; "]",
"[Base].[SEGMENTO_DESCRIP]",
"[Base].[SEGMENTO_DESCRIP].&amp;[" &amp; $C$6 &amp; "]",
"[Base].[SITUACION]",
"[Base].[SITUACION].&amp;[" &amp; $C92 &amp; "]"
),0)/1000</f>
        <v>-3.1112498625334086</v>
      </c>
      <c r="AG92" s="8">
        <f>IFERROR(
GETPIVOTDATA(
"[Base].[Importe]",
TDinamica_R!$A$5,
"[Calendario].[AñoMes]",
"[Calendario].[AñoMes].&amp;[" &amp; TEXT(AG$6,"yyyymm") &amp; "]",
"[Base].[Metrica]",
"[Base].[Metrica].&amp;[" &amp; $A92 &amp; "]",
"[Base].[SEGMENTO_DESCRIP]",
"[Base].[SEGMENTO_DESCRIP].&amp;[" &amp; $C$6 &amp; "]",
"[Base].[SITUACION]",
"[Base].[SITUACION].&amp;[" &amp; $C92 &amp; "]"
),0)/1000</f>
        <v>0.20157619327033044</v>
      </c>
      <c r="AH92" s="8">
        <f>IFERROR(
GETPIVOTDATA(
"[Base].[Importe]",
TDinamica_R!$A$5,
"[Calendario].[AñoMes]",
"[Calendario].[AñoMes].&amp;[" &amp; TEXT(AH$6,"yyyymm") &amp; "]",
"[Base].[Metrica]",
"[Base].[Metrica].&amp;[" &amp; $A92 &amp; "]",
"[Base].[SEGMENTO_DESCRIP]",
"[Base].[SEGMENTO_DESCRIP].&amp;[" &amp; $C$6 &amp; "]",
"[Base].[SITUACION]",
"[Base].[SITUACION].&amp;[" &amp; $C92 &amp; "]"
),0)/1000</f>
        <v>-1.4090017253553009</v>
      </c>
      <c r="AI92" s="8">
        <f>IFERROR(
GETPIVOTDATA(
"[Base].[Importe]",
TDinamica_R!$A$5,
"[Calendario].[AñoMes]",
"[Calendario].[AñoMes].&amp;[" &amp; TEXT(AI$6,"yyyymm") &amp; "]",
"[Base].[Metrica]",
"[Base].[Metrica].&amp;[" &amp; $A92 &amp; "]",
"[Base].[SEGMENTO_DESCRIP]",
"[Base].[SEGMENTO_DESCRIP].&amp;[" &amp; $C$6 &amp; "]",
"[Base].[SITUACION]",
"[Base].[SITUACION].&amp;[" &amp; $C92 &amp; "]"
),0)/1000</f>
        <v>-0.45702784170186994</v>
      </c>
      <c r="AJ92" s="8">
        <f>IFERROR(
GETPIVOTDATA(
"[Base].[Importe]",
TDinamica_R!$A$5,
"[Calendario].[AñoMes]",
"[Calendario].[AñoMes].&amp;[" &amp; TEXT(AJ$6,"yyyymm") &amp; "]",
"[Base].[Metrica]",
"[Base].[Metrica].&amp;[" &amp; $A92 &amp; "]",
"[Base].[SEGMENTO_DESCRIP]",
"[Base].[SEGMENTO_DESCRIP].&amp;[" &amp; $C$6 &amp; "]",
"[Base].[SITUACION]",
"[Base].[SITUACION].&amp;[" &amp; $C92 &amp; "]"
),0)/1000</f>
        <v>-1.8148048537126289</v>
      </c>
      <c r="AK92" s="8">
        <f>IFERROR(
GETPIVOTDATA(
"[Base].[Importe]",
TDinamica_R!$A$5,
"[Calendario].[AñoMes]",
"[Calendario].[AñoMes].&amp;[" &amp; TEXT(AK$6,"yyyymm") &amp; "]",
"[Base].[Metrica]",
"[Base].[Metrica].&amp;[" &amp; $A92 &amp; "]",
"[Base].[SEGMENTO_DESCRIP]",
"[Base].[SEGMENTO_DESCRIP].&amp;[" &amp; $C$6 &amp; "]",
"[Base].[SITUACION]",
"[Base].[SITUACION].&amp;[" &amp; $C92 &amp; "]"
),0)/1000</f>
        <v>-0.66184531078621101</v>
      </c>
      <c r="AL92" s="8">
        <f>IFERROR(
GETPIVOTDATA(
"[Base].[Importe]",
TDinamica_R!$A$5,
"[Calendario].[AñoMes]",
"[Calendario].[AñoMes].&amp;[" &amp; TEXT(AL$6,"yyyymm") &amp; "]",
"[Base].[Metrica]",
"[Base].[Metrica].&amp;[" &amp; $A92 &amp; "]",
"[Base].[SEGMENTO_DESCRIP]",
"[Base].[SEGMENTO_DESCRIP].&amp;[" &amp; $C$6 &amp; "]",
"[Base].[SITUACION]",
"[Base].[SITUACION].&amp;[" &amp; $C92 &amp; "]"
),0)/1000</f>
        <v>-0.3416707442879815</v>
      </c>
      <c r="AM92" s="8">
        <f>IFERROR(
GETPIVOTDATA(
"[Base].[Importe]",
TDinamica_R!$A$5,
"[Calendario].[AñoMes]",
"[Calendario].[AñoMes].&amp;[" &amp; TEXT(AM$6,"yyyymm") &amp; "]",
"[Base].[Metrica]",
"[Base].[Metrica].&amp;[" &amp; $A92 &amp; "]",
"[Base].[SEGMENTO_DESCRIP]",
"[Base].[SEGMENTO_DESCRIP].&amp;[" &amp; $C$6 &amp; "]",
"[Base].[SITUACION]",
"[Base].[SITUACION].&amp;[" &amp; $C92 &amp; "]"
),0)/1000</f>
        <v>-2.310862406199099</v>
      </c>
      <c r="AN92" s="8">
        <f>IFERROR(
GETPIVOTDATA(
"[Base].[Importe]",
TDinamica_R!$A$5,
"[Calendario].[AñoMes]",
"[Calendario].[AñoMes].&amp;[" &amp; TEXT(AN$6,"yyyymm") &amp; "]",
"[Base].[Metrica]",
"[Base].[Metrica].&amp;[" &amp; $A92 &amp; "]",
"[Base].[SEGMENTO_DESCRIP]",
"[Base].[SEGMENTO_DESCRIP].&amp;[" &amp; $C$6 &amp; "]",
"[Base].[SITUACION]",
"[Base].[SITUACION].&amp;[" &amp; $C92 &amp; "]"
),0)/1000</f>
        <v>-0.30950595263652575</v>
      </c>
      <c r="AO92" s="8">
        <f>IFERROR(
GETPIVOTDATA(
"[Base].[Importe]",
TDinamica_R!$A$5,
"[Calendario].[AñoMes]",
"[Calendario].[AñoMes].&amp;[" &amp; TEXT(AO$6,"yyyymm") &amp; "]",
"[Base].[Metrica]",
"[Base].[Metrica].&amp;[" &amp; $A92 &amp; "]",
"[Base].[SEGMENTO_DESCRIP]",
"[Base].[SEGMENTO_DESCRIP].&amp;[" &amp; $C$6 &amp; "]",
"[Base].[SITUACION]",
"[Base].[SITUACION].&amp;[" &amp; $C92 &amp; "]"
),0)/1000</f>
        <v>-0.17924480428506803</v>
      </c>
      <c r="AP92" s="8">
        <f>IFERROR(
GETPIVOTDATA(
"[Base].[Importe]",
TDinamica_R!$A$5,
"[Calendario].[AñoMes]",
"[Calendario].[AñoMes].&amp;[" &amp; TEXT(AP$6,"yyyymm") &amp; "]",
"[Base].[Metrica]",
"[Base].[Metrica].&amp;[" &amp; $A92 &amp; "]",
"[Base].[SEGMENTO_DESCRIP]",
"[Base].[SEGMENTO_DESCRIP].&amp;[" &amp; $C$6 &amp; "]",
"[Base].[SITUACION]",
"[Base].[SITUACION].&amp;[" &amp; $C92 &amp; "]"
),0)/1000</f>
        <v>-1.5535306665513744</v>
      </c>
      <c r="AQ92" s="8">
        <f>IFERROR(
GETPIVOTDATA(
"[Base].[Importe]",
TDinamica_R!$A$5,
"[Calendario].[AñoMes]",
"[Calendario].[AñoMes].&amp;[" &amp; TEXT(AQ$6,"yyyymm") &amp; "]",
"[Base].[Metrica]",
"[Base].[Metrica].&amp;[" &amp; $A92 &amp; "]",
"[Base].[SEGMENTO_DESCRIP]",
"[Base].[SEGMENTO_DESCRIP].&amp;[" &amp; $C$6 &amp; "]",
"[Base].[SITUACION]",
"[Base].[SITUACION].&amp;[" &amp; $C92 &amp; "]"
),0)/1000</f>
        <v>-0.32025022315782148</v>
      </c>
      <c r="AR92" s="8">
        <f>IFERROR(
GETPIVOTDATA(
"[Base].[Importe]",
TDinamica_R!$A$5,
"[Calendario].[AñoMes]",
"[Calendario].[AñoMes].&amp;[" &amp; TEXT(AR$6,"yyyymm") &amp; "]",
"[Base].[Metrica]",
"[Base].[Metrica].&amp;[" &amp; $A92 &amp; "]",
"[Base].[SEGMENTO_DESCRIP]",
"[Base].[SEGMENTO_DESCRIP].&amp;[" &amp; $C$6 &amp; "]",
"[Base].[SITUACION]",
"[Base].[SITUACION].&amp;[" &amp; $C92 &amp; "]"
),0)/1000</f>
        <v>-0.40920316206148472</v>
      </c>
      <c r="AS92" s="8">
        <f>IFERROR(
GETPIVOTDATA(
"[Base].[Importe]",
TDinamica_R!$A$5,
"[Calendario].[AñoMes]",
"[Calendario].[AñoMes].&amp;[" &amp; TEXT(AS$6,"yyyymm") &amp; "]",
"[Base].[Metrica]",
"[Base].[Metrica].&amp;[" &amp; $A92 &amp; "]",
"[Base].[SEGMENTO_DESCRIP]",
"[Base].[SEGMENTO_DESCRIP].&amp;[" &amp; $C$6 &amp; "]",
"[Base].[SITUACION]",
"[Base].[SITUACION].&amp;[" &amp; $C92 &amp; "]"
),0)/1000</f>
        <v>-1.7521136791427829</v>
      </c>
      <c r="AT92" s="8">
        <f>IFERROR(
GETPIVOTDATA(
"[Base].[Importe]",
TDinamica_R!$A$5,
"[Calendario].[AñoMes]",
"[Calendario].[AñoMes].&amp;[" &amp; TEXT(AT$6,"yyyymm")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U92" s="8">
        <f>IFERROR(
GETPIVOTDATA(
"[Base].[Importe]",
TDinamica_R!$A$5,
"[Calendario].[AñoMes]",
"[Calendario].[AñoMes].&amp;[" &amp; TEXT(AU$6,"yyyymm")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V92" s="8">
        <f>IFERROR(
GETPIVOTDATA(
"[Base].[Importe]",
TDinamica_R!$A$5,
"[Calendario].[AñoMes]",
"[Calendario].[AñoMes].&amp;[" &amp; TEXT(AV$6,"yyyymm")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W92" s="8">
        <f>IFERROR(
GETPIVOTDATA(
"[Base].[Importe]",
TDinamica_R!$A$5,
"[Calendario].[AñoMes]",
"[Calendario].[AñoMes].&amp;[" &amp; TEXT(AW$6,"yyyymm")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X92" s="8">
        <f>IFERROR(
GETPIVOTDATA(
"[Base].[Importe]",
TDinamica_R!$A$5,
"[Calendario].[AñoMes]",
"[Calendario].[AñoMes].&amp;[" &amp; TEXT(AX$6,"yyyymm")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Y92" s="8">
        <f>IFERROR(
GETPIVOTDATA(
"[Base].[Importe]",
TDinamica_R!$A$5,
"[Calendario].[AñoMes]",
"[Calendario].[AñoMes].&amp;[" &amp; TEXT(AY$6,"yyyymm")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Z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TEXT(AZ$6,"yyyymm") &amp; "]"
),
0
)</f>
        <v>-1.8690119204022559</v>
      </c>
      <c r="BA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TEXT(BA$6,"yyyymm") &amp; "]"
),
0
)</f>
        <v>-2.1771602490720636</v>
      </c>
      <c r="BB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TEXT(BB$6,"yyyymm") &amp; "]"
),
0
)</f>
        <v>-2.2921026900534263</v>
      </c>
      <c r="BC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TEXT(BC$6,"yyyymm") &amp; "]"
),
0
)</f>
        <v>-2.4680607316198273</v>
      </c>
      <c r="BD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TEXT(BD$6,"yyyymm") &amp; "]"
),
0
)</f>
        <v>-2.5373440147559618</v>
      </c>
      <c r="BE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TEXT(BE$6,"yyyymm") &amp; "]"
),
0
)</f>
        <v>-2.6863943623925124</v>
      </c>
      <c r="BF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TEXT(BF$6,"yyyymm") &amp; "]"
),
0
)</f>
        <v>-2.3056934021613107</v>
      </c>
      <c r="BG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TEXT(BG$6,"yyyymm") &amp; "]"
),
0
)</f>
        <v>-2.2419531453653119</v>
      </c>
      <c r="BH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TEXT(BH$6,"yyyymm") &amp; "]"
),
0
)</f>
        <v>-2.3263472557473905</v>
      </c>
      <c r="BI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TEXT(BI$6,"yyyymm") &amp; "]"
),
0
)</f>
        <v>-2.2605388039619063</v>
      </c>
      <c r="BJ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TEXT(BJ$6,"yyyymm") &amp; "]"
),
0
)</f>
        <v>-2.2605388039619063</v>
      </c>
      <c r="BK92" s="8">
        <f>IFERROR(
GETPIVOTDATA(
"[Base_PPE].[Importe]",
TDinamica_P!$A$4,
"[Base_PPE].[Metrica]",
"[Base_PPE].[Metrica].&amp;[" &amp; TRIM($A92) &amp; "]",
"[Base_PPE].[SITUACION]",
"[Base_PPE].[SITUACION].&amp;[" &amp; TRIM($C92) &amp; "]",
"[Base_PPE].[SEGMENTO_DESCRIP]",
"[Base_PPE].[SEGMENTO_DESCRIP].&amp;[" &amp; TRIM($C$6) &amp; "]",
"[Base_PPE].[Periodo]",
"[Base_PPE].[Periodo].&amp;[" &amp; TEXT(BK$6,"yyyymm") &amp; "]"
),
0
)</f>
        <v>-2.348133277782916</v>
      </c>
      <c r="BO92" s="24">
        <f t="shared" si="73"/>
        <v>-2.0422814234729683</v>
      </c>
      <c r="BP92" s="24">
        <f t="shared" si="73"/>
        <v>-6.3382748595277452</v>
      </c>
      <c r="BQ92" s="24">
        <f t="shared" si="73"/>
        <v>-0.48875075692159375</v>
      </c>
      <c r="BR92" s="24">
        <f t="shared" si="73"/>
        <v>-2.2980572579833889</v>
      </c>
      <c r="BS92" s="24">
        <f t="shared" si="73"/>
        <v>-5.5801823650526181</v>
      </c>
      <c r="BT92" s="24">
        <f t="shared" si="73"/>
        <v>-5.7698027067149118</v>
      </c>
    </row>
    <row r="93" spans="1:72" collapsed="1" x14ac:dyDescent="0.25">
      <c r="C93" s="3" t="s">
        <v>81</v>
      </c>
      <c r="D93" s="10">
        <f>SUM(D91:D92)</f>
        <v>-2.7816437722763969</v>
      </c>
      <c r="E93" s="10">
        <f t="shared" ref="E93:AY93" si="74">SUM(E91:E92)</f>
        <v>-2.2240490529467882</v>
      </c>
      <c r="F93" s="10">
        <f t="shared" si="74"/>
        <v>-0.76410988149172643</v>
      </c>
      <c r="G93" s="10">
        <f t="shared" si="74"/>
        <v>-1.9660160319247222</v>
      </c>
      <c r="H93" s="10">
        <f t="shared" si="74"/>
        <v>-1.4123731124663614</v>
      </c>
      <c r="I93" s="10">
        <f t="shared" si="74"/>
        <v>-3.7496962370748124</v>
      </c>
      <c r="J93" s="10">
        <f t="shared" si="74"/>
        <v>-2.748700183542204</v>
      </c>
      <c r="K93" s="10">
        <f t="shared" si="74"/>
        <v>-8.179291040680809</v>
      </c>
      <c r="L93" s="10">
        <f t="shared" si="74"/>
        <v>-0.71661350237318711</v>
      </c>
      <c r="M93" s="10">
        <f t="shared" si="74"/>
        <v>-4.915964188193791</v>
      </c>
      <c r="N93" s="10">
        <f t="shared" si="74"/>
        <v>-2.5060077307839768</v>
      </c>
      <c r="O93" s="10">
        <f t="shared" si="74"/>
        <v>-1.7240558810516569</v>
      </c>
      <c r="P93" s="10">
        <f t="shared" si="74"/>
        <v>-2.5057630564202138</v>
      </c>
      <c r="Q93" s="10">
        <f t="shared" si="74"/>
        <v>-1.9185649688226056</v>
      </c>
      <c r="R93" s="10">
        <f t="shared" si="74"/>
        <v>-1.1558543398097987</v>
      </c>
      <c r="S93" s="10">
        <f t="shared" si="74"/>
        <v>-3.1426314758106053</v>
      </c>
      <c r="T93" s="10">
        <f t="shared" si="74"/>
        <v>-4.4318983633541968</v>
      </c>
      <c r="U93" s="10">
        <f t="shared" si="74"/>
        <v>-4.4650997546961886</v>
      </c>
      <c r="V93" s="10">
        <f t="shared" si="74"/>
        <v>-2.8044297322295306</v>
      </c>
      <c r="W93" s="10">
        <f t="shared" si="74"/>
        <v>-2.559697242721326</v>
      </c>
      <c r="X93" s="10">
        <f t="shared" si="74"/>
        <v>-4.950127077338573</v>
      </c>
      <c r="Y93" s="10">
        <f t="shared" si="74"/>
        <v>-1.8280243660600926</v>
      </c>
      <c r="Z93" s="10">
        <f t="shared" si="74"/>
        <v>-1.6702923314739255</v>
      </c>
      <c r="AA93" s="10">
        <f t="shared" si="74"/>
        <v>-2.3549327509738855</v>
      </c>
      <c r="AB93" s="10">
        <f t="shared" si="74"/>
        <v>-0.86682086460013663</v>
      </c>
      <c r="AC93" s="10">
        <f t="shared" si="74"/>
        <v>-0.75633963542567473</v>
      </c>
      <c r="AD93" s="10">
        <f t="shared" si="74"/>
        <v>-0.67489675795757764</v>
      </c>
      <c r="AE93" s="10">
        <f t="shared" si="74"/>
        <v>-5.1679014002950145</v>
      </c>
      <c r="AF93" s="10">
        <f t="shared" si="74"/>
        <v>-3.1112498625334086</v>
      </c>
      <c r="AG93" s="10">
        <f t="shared" si="74"/>
        <v>0.20157619327033044</v>
      </c>
      <c r="AH93" s="10">
        <f t="shared" si="74"/>
        <v>-1.4090017253553009</v>
      </c>
      <c r="AI93" s="10">
        <f t="shared" si="74"/>
        <v>-0.45702784170186994</v>
      </c>
      <c r="AJ93" s="10">
        <f t="shared" si="74"/>
        <v>-1.8148048537126289</v>
      </c>
      <c r="AK93" s="10">
        <f t="shared" si="74"/>
        <v>-0.66184531078621101</v>
      </c>
      <c r="AL93" s="10">
        <f t="shared" si="74"/>
        <v>-0.3416707442879815</v>
      </c>
      <c r="AM93" s="10">
        <f t="shared" si="74"/>
        <v>-2.310862406199099</v>
      </c>
      <c r="AN93" s="10">
        <f t="shared" si="74"/>
        <v>-0.30950595263652575</v>
      </c>
      <c r="AO93" s="10">
        <f t="shared" si="74"/>
        <v>-0.17924480428506803</v>
      </c>
      <c r="AP93" s="10">
        <f t="shared" si="74"/>
        <v>-1.5535306665513744</v>
      </c>
      <c r="AQ93" s="10">
        <f t="shared" si="74"/>
        <v>-0.32025022315782148</v>
      </c>
      <c r="AR93" s="10">
        <f t="shared" si="74"/>
        <v>-0.40920316206148472</v>
      </c>
      <c r="AS93" s="10">
        <f t="shared" si="74"/>
        <v>-1.7521136791427829</v>
      </c>
      <c r="AT93" s="10">
        <f t="shared" si="74"/>
        <v>0</v>
      </c>
      <c r="AU93" s="10">
        <f t="shared" si="74"/>
        <v>0</v>
      </c>
      <c r="AV93" s="10">
        <f t="shared" si="74"/>
        <v>0</v>
      </c>
      <c r="AW93" s="10">
        <f t="shared" si="74"/>
        <v>0</v>
      </c>
      <c r="AX93" s="10">
        <f t="shared" si="74"/>
        <v>0</v>
      </c>
      <c r="AY93" s="10">
        <f t="shared" si="74"/>
        <v>0</v>
      </c>
      <c r="AZ93" s="10">
        <f t="shared" ref="AZ93:BK93" si="75">SUM(AZ91:AZ92)</f>
        <v>-1.8690119204022559</v>
      </c>
      <c r="BA93" s="10">
        <f t="shared" si="75"/>
        <v>-2.1771602490720636</v>
      </c>
      <c r="BB93" s="10">
        <f t="shared" si="75"/>
        <v>-2.2921026900534263</v>
      </c>
      <c r="BC93" s="10">
        <f t="shared" si="75"/>
        <v>-2.4680607316198273</v>
      </c>
      <c r="BD93" s="10">
        <f t="shared" si="75"/>
        <v>-2.5373440147559618</v>
      </c>
      <c r="BE93" s="10">
        <f t="shared" si="75"/>
        <v>-2.6863943623925124</v>
      </c>
      <c r="BF93" s="10">
        <f t="shared" si="75"/>
        <v>-2.3056934021613107</v>
      </c>
      <c r="BG93" s="10">
        <f t="shared" si="75"/>
        <v>-2.2419531453653119</v>
      </c>
      <c r="BH93" s="10">
        <f t="shared" si="75"/>
        <v>-2.3263472557473905</v>
      </c>
      <c r="BI93" s="10">
        <f t="shared" si="75"/>
        <v>-2.2605388039619063</v>
      </c>
      <c r="BJ93" s="10">
        <f t="shared" si="75"/>
        <v>-2.2605388039619063</v>
      </c>
      <c r="BK93" s="10">
        <f t="shared" si="75"/>
        <v>-2.348133277782916</v>
      </c>
      <c r="BO93" s="23">
        <f t="shared" ref="BO93:BT93" si="76">SUM(BO91:BO92)</f>
        <v>-2.0422814234729683</v>
      </c>
      <c r="BP93" s="23">
        <f t="shared" si="76"/>
        <v>-6.3382748595277452</v>
      </c>
      <c r="BQ93" s="23">
        <f t="shared" si="76"/>
        <v>-0.48875075692159375</v>
      </c>
      <c r="BR93" s="23">
        <f t="shared" si="76"/>
        <v>-2.2980572579833889</v>
      </c>
      <c r="BS93" s="23">
        <f t="shared" si="76"/>
        <v>-5.5801823650526181</v>
      </c>
      <c r="BT93" s="23">
        <f t="shared" si="76"/>
        <v>-5.7698027067149118</v>
      </c>
    </row>
    <row r="95" spans="1:72" hidden="1" outlineLevel="1" x14ac:dyDescent="0.25">
      <c r="A95" s="11" t="s">
        <v>82</v>
      </c>
      <c r="C95" s="2" t="s">
        <v>83</v>
      </c>
      <c r="D95" s="8">
        <f>IFERROR(
GETPIVOTDATA(
"[Base].[Importe]",
TDinamica_R!$A$5,
"[Calendario].[AñoMes]",
"[Calendario].[AñoMes].&amp;[" &amp; TEXT(D$6,"yyyymm")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E95" s="8">
        <f>IFERROR(
GETPIVOTDATA(
"[Base].[Importe]",
TDinamica_R!$A$5,
"[Calendario].[AñoMes]",
"[Calendario].[AñoMes].&amp;[" &amp; TEXT(E$6,"yyyymm")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F95" s="8">
        <f>IFERROR(
GETPIVOTDATA(
"[Base].[Importe]",
TDinamica_R!$A$5,
"[Calendario].[AñoMes]",
"[Calendario].[AñoMes].&amp;[" &amp; TEXT(F$6,"yyyymm")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G95" s="8">
        <f>IFERROR(
GETPIVOTDATA(
"[Base].[Importe]",
TDinamica_R!$A$5,
"[Calendario].[AñoMes]",
"[Calendario].[AñoMes].&amp;[" &amp; TEXT(G$6,"yyyymm")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H95" s="8">
        <f>IFERROR(
GETPIVOTDATA(
"[Base].[Importe]",
TDinamica_R!$A$5,
"[Calendario].[AñoMes]",
"[Calendario].[AñoMes].&amp;[" &amp; TEXT(H$6,"yyyymm")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I95" s="8">
        <f>IFERROR(
GETPIVOTDATA(
"[Base].[Importe]",
TDinamica_R!$A$5,
"[Calendario].[AñoMes]",
"[Calendario].[AñoMes].&amp;[" &amp; TEXT(I$6,"yyyymm")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J95" s="8">
        <f>IFERROR(
GETPIVOTDATA(
"[Base].[Importe]",
TDinamica_R!$A$5,
"[Calendario].[AñoMes]",
"[Calendario].[AñoMes].&amp;[" &amp; TEXT(J$6,"yyyymm")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K95" s="8">
        <f>IFERROR(
GETPIVOTDATA(
"[Base].[Importe]",
TDinamica_R!$A$5,
"[Calendario].[AñoMes]",
"[Calendario].[AñoMes].&amp;[" &amp; TEXT(K$6,"yyyymm") &amp; "]",
"[Base].[Metrica]",
"[Base].[Metrica].&amp;[" &amp; $A95 &amp; "]",
"[Base].[SEGMENTO_DESCRIP]",
"[Base].[SEGMENTO_DESCRIP].&amp;[" &amp; $C$6 &amp; "]",
"[Base].[SITUACION]",
"[Base].[SITUACION].&amp;[" &amp; $C95 &amp; "]"
),0)/1000</f>
        <v>32.075992257497163</v>
      </c>
      <c r="L95" s="8">
        <f>IFERROR(
GETPIVOTDATA(
"[Base].[Importe]",
TDinamica_R!$A$5,
"[Calendario].[AñoMes]",
"[Calendario].[AñoMes].&amp;[" &amp; TEXT(L$6,"yyyymm")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M95" s="8">
        <f>IFERROR(
GETPIVOTDATA(
"[Base].[Importe]",
TDinamica_R!$A$5,
"[Calendario].[AñoMes]",
"[Calendario].[AñoMes].&amp;[" &amp; TEXT(M$6,"yyyymm") &amp; "]",
"[Base].[Metrica]",
"[Base].[Metrica].&amp;[" &amp; $A95 &amp; "]",
"[Base].[SEGMENTO_DESCRIP]",
"[Base].[SEGMENTO_DESCRIP].&amp;[" &amp; $C$6 &amp; "]",
"[Base].[SITUACION]",
"[Base].[SITUACION].&amp;[" &amp; $C95 &amp; "]"
),0)/1000</f>
        <v>15.14778334943192</v>
      </c>
      <c r="N95" s="8">
        <f>IFERROR(
GETPIVOTDATA(
"[Base].[Importe]",
TDinamica_R!$A$5,
"[Calendario].[AñoMes]",
"[Calendario].[AñoMes].&amp;[" &amp; TEXT(N$6,"yyyymm")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O95" s="8">
        <f>IFERROR(
GETPIVOTDATA(
"[Base].[Importe]",
TDinamica_R!$A$5,
"[Calendario].[AñoMes]",
"[Calendario].[AñoMes].&amp;[" &amp; TEXT(O$6,"yyyymm")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P95" s="8">
        <f>IFERROR(
GETPIVOTDATA(
"[Base].[Importe]",
TDinamica_R!$A$5,
"[Calendario].[AñoMes]",
"[Calendario].[AñoMes].&amp;[" &amp; TEXT(P$6,"yyyymm")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Q95" s="8">
        <f>IFERROR(
GETPIVOTDATA(
"[Base].[Importe]",
TDinamica_R!$A$5,
"[Calendario].[AñoMes]",
"[Calendario].[AñoMes].&amp;[" &amp; TEXT(Q$6,"yyyymm")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R95" s="8">
        <f>IFERROR(
GETPIVOTDATA(
"[Base].[Importe]",
TDinamica_R!$A$5,
"[Calendario].[AñoMes]",
"[Calendario].[AñoMes].&amp;[" &amp; TEXT(R$6,"yyyymm")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S95" s="8">
        <f>IFERROR(
GETPIVOTDATA(
"[Base].[Importe]",
TDinamica_R!$A$5,
"[Calendario].[AñoMes]",
"[Calendario].[AñoMes].&amp;[" &amp; TEXT(S$6,"yyyymm")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T95" s="8">
        <f>IFERROR(
GETPIVOTDATA(
"[Base].[Importe]",
TDinamica_R!$A$5,
"[Calendario].[AñoMes]",
"[Calendario].[AñoMes].&amp;[" &amp; TEXT(T$6,"yyyymm")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U95" s="8">
        <f>IFERROR(
GETPIVOTDATA(
"[Base].[Importe]",
TDinamica_R!$A$5,
"[Calendario].[AñoMes]",
"[Calendario].[AñoMes].&amp;[" &amp; TEXT(U$6,"yyyymm")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V95" s="8">
        <f>IFERROR(
GETPIVOTDATA(
"[Base].[Importe]",
TDinamica_R!$A$5,
"[Calendario].[AñoMes]",
"[Calendario].[AñoMes].&amp;[" &amp; TEXT(V$6,"yyyymm")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W95" s="8">
        <f>IFERROR(
GETPIVOTDATA(
"[Base].[Importe]",
TDinamica_R!$A$5,
"[Calendario].[AñoMes]",
"[Calendario].[AñoMes].&amp;[" &amp; TEXT(W$6,"yyyymm")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X95" s="8">
        <f>IFERROR(
GETPIVOTDATA(
"[Base].[Importe]",
TDinamica_R!$A$5,
"[Calendario].[AñoMes]",
"[Calendario].[AñoMes].&amp;[" &amp; TEXT(X$6,"yyyymm")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Y95" s="8">
        <f>IFERROR(
GETPIVOTDATA(
"[Base].[Importe]",
TDinamica_R!$A$5,
"[Calendario].[AñoMes]",
"[Calendario].[AñoMes].&amp;[" &amp; TEXT(Y$6,"yyyymm") &amp; "]",
"[Base].[Metrica]",
"[Base].[Metrica].&amp;[" &amp; $A95 &amp; "]",
"[Base].[SEGMENTO_DESCRIP]",
"[Base].[SEGMENTO_DESCRIP].&amp;[" &amp; $C$6 &amp; "]",
"[Base].[SITUACION]",
"[Base].[SITUACION].&amp;[" &amp; $C95 &amp; "]"
),0)/1000</f>
        <v>4.027952</v>
      </c>
      <c r="Z95" s="8">
        <f>IFERROR(
GETPIVOTDATA(
"[Base].[Importe]",
TDinamica_R!$A$5,
"[Calendario].[AñoMes]",
"[Calendario].[AñoMes].&amp;[" &amp; TEXT(Z$6,"yyyymm") &amp; "]",
"[Base].[Metrica]",
"[Base].[Metrica].&amp;[" &amp; $A95 &amp; "]",
"[Base].[SEGMENTO_DESCRIP]",
"[Base].[SEGMENTO_DESCRIP].&amp;[" &amp; $C$6 &amp; "]",
"[Base].[SITUACION]",
"[Base].[SITUACION].&amp;[" &amp; $C95 &amp; "]"
),0)/1000</f>
        <v>5.8016254204999999E-2</v>
      </c>
      <c r="AA95" s="8">
        <f>IFERROR(
GETPIVOTDATA(
"[Base].[Importe]",
TDinamica_R!$A$5,
"[Calendario].[AñoMes]",
"[Calendario].[AñoMes].&amp;[" &amp; TEXT(AA$6,"yyyymm") &amp; "]",
"[Base].[Metrica]",
"[Base].[Metrica].&amp;[" &amp; $A95 &amp; "]",
"[Base].[SEGMENTO_DESCRIP]",
"[Base].[SEGMENTO_DESCRIP].&amp;[" &amp; $C$6 &amp; "]",
"[Base].[SITUACION]",
"[Base].[SITUACION].&amp;[" &amp; $C95 &amp; "]"
),0)/1000</f>
        <v>-7.4068412479999998E-3</v>
      </c>
      <c r="AB95" s="8">
        <f>IFERROR(
GETPIVOTDATA(
"[Base].[Importe]",
TDinamica_R!$A$5,
"[Calendario].[AñoMes]",
"[Calendario].[AñoMes].&amp;[" &amp; TEXT(AB$6,"yyyymm")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C95" s="8">
        <f>IFERROR(
GETPIVOTDATA(
"[Base].[Importe]",
TDinamica_R!$A$5,
"[Calendario].[AñoMes]",
"[Calendario].[AñoMes].&amp;[" &amp; TEXT(AC$6,"yyyymm")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D95" s="8">
        <f>IFERROR(
GETPIVOTDATA(
"[Base].[Importe]",
TDinamica_R!$A$5,
"[Calendario].[AñoMes]",
"[Calendario].[AñoMes].&amp;[" &amp; TEXT(AD$6,"yyyymm") &amp; "]",
"[Base].[Metrica]",
"[Base].[Metrica].&amp;[" &amp; $A95 &amp; "]",
"[Base].[SEGMENTO_DESCRIP]",
"[Base].[SEGMENTO_DESCRIP].&amp;[" &amp; $C$6 &amp; "]",
"[Base].[SITUACION]",
"[Base].[SITUACION].&amp;[" &amp; $C95 &amp; "]"
),0)/1000</f>
        <v>20.4904301981</v>
      </c>
      <c r="AE95" s="8">
        <f>IFERROR(
GETPIVOTDATA(
"[Base].[Importe]",
TDinamica_R!$A$5,
"[Calendario].[AñoMes]",
"[Calendario].[AñoMes].&amp;[" &amp; TEXT(AE$6,"yyyymm") &amp; "]",
"[Base].[Metrica]",
"[Base].[Metrica].&amp;[" &amp; $A95 &amp; "]",
"[Base].[SEGMENTO_DESCRIP]",
"[Base].[SEGMENTO_DESCRIP].&amp;[" &amp; $C$6 &amp; "]",
"[Base].[SITUACION]",
"[Base].[SITUACION].&amp;[" &amp; $C95 &amp; "]"
),0)/1000</f>
        <v>-0.15181036794</v>
      </c>
      <c r="AF95" s="8">
        <f>IFERROR(
GETPIVOTDATA(
"[Base].[Importe]",
TDinamica_R!$A$5,
"[Calendario].[AñoMes]",
"[Calendario].[AñoMes].&amp;[" &amp; TEXT(AF$6,"yyyymm")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G95" s="8">
        <f>IFERROR(
GETPIVOTDATA(
"[Base].[Importe]",
TDinamica_R!$A$5,
"[Calendario].[AñoMes]",
"[Calendario].[AñoMes].&amp;[" &amp; TEXT(AG$6,"yyyymm") &amp; "]",
"[Base].[Metrica]",
"[Base].[Metrica].&amp;[" &amp; $A95 &amp; "]",
"[Base].[SEGMENTO_DESCRIP]",
"[Base].[SEGMENTO_DESCRIP].&amp;[" &amp; $C$6 &amp; "]",
"[Base].[SITUACION]",
"[Base].[SITUACION].&amp;[" &amp; $C95 &amp; "]"
),0)/1000</f>
        <v>24.899748227250001</v>
      </c>
      <c r="AH95" s="8">
        <f>IFERROR(
GETPIVOTDATA(
"[Base].[Importe]",
TDinamica_R!$A$5,
"[Calendario].[AñoMes]",
"[Calendario].[AñoMes].&amp;[" &amp; TEXT(AH$6,"yyyymm")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I95" s="8">
        <f>IFERROR(
GETPIVOTDATA(
"[Base].[Importe]",
TDinamica_R!$A$5,
"[Calendario].[AñoMes]",
"[Calendario].[AñoMes].&amp;[" &amp; TEXT(AI$6,"yyyymm")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J95" s="8">
        <f>IFERROR(
GETPIVOTDATA(
"[Base].[Importe]",
TDinamica_R!$A$5,
"[Calendario].[AñoMes]",
"[Calendario].[AñoMes].&amp;[" &amp; TEXT(AJ$6,"yyyymm") &amp; "]",
"[Base].[Metrica]",
"[Base].[Metrica].&amp;[" &amp; $A95 &amp; "]",
"[Base].[SEGMENTO_DESCRIP]",
"[Base].[SEGMENTO_DESCRIP].&amp;[" &amp; $C$6 &amp; "]",
"[Base].[SITUACION]",
"[Base].[SITUACION].&amp;[" &amp; $C95 &amp; "]"
),0)/1000</f>
        <v>21.58858218085</v>
      </c>
      <c r="AK95" s="8">
        <f>IFERROR(
GETPIVOTDATA(
"[Base].[Importe]",
TDinamica_R!$A$5,
"[Calendario].[AñoMes]",
"[Calendario].[AñoMes].&amp;[" &amp; TEXT(AK$6,"yyyymm") &amp; "]",
"[Base].[Metrica]",
"[Base].[Metrica].&amp;[" &amp; $A95 &amp; "]",
"[Base].[SEGMENTO_DESCRIP]",
"[Base].[SEGMENTO_DESCRIP].&amp;[" &amp; $C$6 &amp; "]",
"[Base].[SITUACION]",
"[Base].[SITUACION].&amp;[" &amp; $C95 &amp; "]"
),0)/1000</f>
        <v>-1.9628666199999999E-3</v>
      </c>
      <c r="AL95" s="8">
        <f>IFERROR(
GETPIVOTDATA(
"[Base].[Importe]",
TDinamica_R!$A$5,
"[Calendario].[AñoMes]",
"[Calendario].[AñoMes].&amp;[" &amp; TEXT(AL$6,"yyyymm") &amp; "]",
"[Base].[Metrica]",
"[Base].[Metrica].&amp;[" &amp; $A95 &amp; "]",
"[Base].[SEGMENTO_DESCRIP]",
"[Base].[SEGMENTO_DESCRIP].&amp;[" &amp; $C$6 &amp; "]",
"[Base].[SITUACION]",
"[Base].[SITUACION].&amp;[" &amp; $C95 &amp; "]"
),0)/1000</f>
        <v>21.764683582425</v>
      </c>
      <c r="AM95" s="8">
        <f>IFERROR(
GETPIVOTDATA(
"[Base].[Importe]",
TDinamica_R!$A$5,
"[Calendario].[AñoMes]",
"[Calendario].[AñoMes].&amp;[" &amp; TEXT(AM$6,"yyyymm") &amp; "]",
"[Base].[Metrica]",
"[Base].[Metrica].&amp;[" &amp; $A95 &amp; "]",
"[Base].[SEGMENTO_DESCRIP]",
"[Base].[SEGMENTO_DESCRIP].&amp;[" &amp; $C$6 &amp; "]",
"[Base].[SITUACION]",
"[Base].[SITUACION].&amp;[" &amp; $C95 &amp; "]"
),0)/1000</f>
        <v>-7.1265516139999993E-3</v>
      </c>
      <c r="AN95" s="8">
        <f>IFERROR(
GETPIVOTDATA(
"[Base].[Importe]",
TDinamica_R!$A$5,
"[Calendario].[AñoMes]",
"[Calendario].[AñoMes].&amp;[" &amp; TEXT(AN$6,"yyyymm")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O95" s="8">
        <f>IFERROR(
GETPIVOTDATA(
"[Base].[Importe]",
TDinamica_R!$A$5,
"[Calendario].[AñoMes]",
"[Calendario].[AñoMes].&amp;[" &amp; TEXT(AO$6,"yyyymm")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P95" s="8">
        <f>IFERROR(
GETPIVOTDATA(
"[Base].[Importe]",
TDinamica_R!$A$5,
"[Calendario].[AñoMes]",
"[Calendario].[AñoMes].&amp;[" &amp; TEXT(AP$6,"yyyymm")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Q95" s="8">
        <f>IFERROR(
GETPIVOTDATA(
"[Base].[Importe]",
TDinamica_R!$A$5,
"[Calendario].[AñoMes]",
"[Calendario].[AñoMes].&amp;[" &amp; TEXT(AQ$6,"yyyymm")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R95" s="8">
        <f>IFERROR(
GETPIVOTDATA(
"[Base].[Importe]",
TDinamica_R!$A$5,
"[Calendario].[AñoMes]",
"[Calendario].[AñoMes].&amp;[" &amp; TEXT(AR$6,"yyyymm")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S95" s="8">
        <f>IFERROR(
GETPIVOTDATA(
"[Base].[Importe]",
TDinamica_R!$A$5,
"[Calendario].[AñoMes]",
"[Calendario].[AñoMes].&amp;[" &amp; TEXT(AS$6,"yyyymm") &amp; "]",
"[Base].[Metrica]",
"[Base].[Metrica].&amp;[" &amp; $A95 &amp; "]",
"[Base].[SEGMENTO_DESCRIP]",
"[Base].[SEGMENTO_DESCRIP].&amp;[" &amp; $C$6 &amp; "]",
"[Base].[SITUACION]",
"[Base].[SITUACION].&amp;[" &amp; $C95 &amp; "]"
),0)/1000</f>
        <v>29.530927975232366</v>
      </c>
      <c r="AT95" s="8">
        <f>IFERROR(
GETPIVOTDATA(
"[Base].[Importe]",
TDinamica_R!$A$5,
"[Calendario].[AñoMes]",
"[Calendario].[AñoMes].&amp;[" &amp; TEXT(AT$6,"yyyymm")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U95" s="8">
        <f>IFERROR(
GETPIVOTDATA(
"[Base].[Importe]",
TDinamica_R!$A$5,
"[Calendario].[AñoMes]",
"[Calendario].[AñoMes].&amp;[" &amp; TEXT(AU$6,"yyyymm")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V95" s="8">
        <f>IFERROR(
GETPIVOTDATA(
"[Base].[Importe]",
TDinamica_R!$A$5,
"[Calendario].[AñoMes]",
"[Calendario].[AñoMes].&amp;[" &amp; TEXT(AV$6,"yyyymm")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W95" s="8">
        <f>IFERROR(
GETPIVOTDATA(
"[Base].[Importe]",
TDinamica_R!$A$5,
"[Calendario].[AñoMes]",
"[Calendario].[AñoMes].&amp;[" &amp; TEXT(AW$6,"yyyymm")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X95" s="8">
        <f>IFERROR(
GETPIVOTDATA(
"[Base].[Importe]",
TDinamica_R!$A$5,
"[Calendario].[AñoMes]",
"[Calendario].[AñoMes].&amp;[" &amp; TEXT(AX$6,"yyyymm")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Y95" s="8">
        <f>IFERROR(
GETPIVOTDATA(
"[Base].[Importe]",
TDinamica_R!$A$5,
"[Calendario].[AñoMes]",
"[Calendario].[AñoMes].&amp;[" &amp; TEXT(AY$6,"yyyymm")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Z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TEXT(AZ$6,"yyyymm") &amp; "]"
),
0
)</f>
        <v>0</v>
      </c>
      <c r="BA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TEXT(BA$6,"yyyymm") &amp; "]"
),
0
)</f>
        <v>0</v>
      </c>
      <c r="BB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TEXT(BB$6,"yyyymm") &amp; "]"
),
0
)</f>
        <v>0</v>
      </c>
      <c r="BC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TEXT(BC$6,"yyyymm") &amp; "]"
),
0
)</f>
        <v>0</v>
      </c>
      <c r="BD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TEXT(BD$6,"yyyymm") &amp; "]"
),
0
)</f>
        <v>0</v>
      </c>
      <c r="BE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TEXT(BE$6,"yyyymm") &amp; "]"
),
0
)</f>
        <v>22.504005157022103</v>
      </c>
      <c r="BF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TEXT(BF$6,"yyyymm") &amp; "]"
),
0
)</f>
        <v>0</v>
      </c>
      <c r="BG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TEXT(BG$6,"yyyymm") &amp; "]"
),
0
)</f>
        <v>0</v>
      </c>
      <c r="BH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TEXT(BH$6,"yyyymm") &amp; "]"
),
0
)</f>
        <v>41.075969982430522</v>
      </c>
      <c r="BI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TEXT(BI$6,"yyyymm") &amp; "]"
),
0
)</f>
        <v>0</v>
      </c>
      <c r="BJ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TEXT(BJ$6,"yyyymm") &amp; "]"
),
0
)</f>
        <v>0</v>
      </c>
      <c r="BK95" s="8">
        <f>IFERROR(
GETPIVOTDATA(
"[Base_PPE].[Importe]",
TDinamica_P!$A$4,
"[Base_PPE].[Metrica]",
"[Base_PPE].[Metrica].&amp;[" &amp; TRIM($A95) &amp; "]",
"[Base_PPE].[SITUACION]",
"[Base_PPE].[SITUACION].&amp;[" &amp; TRIM($C95) &amp; "]",
"[Base_PPE].[SEGMENTO_DESCRIP]",
"[Base_PPE].[SEGMENTO_DESCRIP].&amp;[" &amp; TRIM($C$6) &amp; "]",
"[Base_PPE].[Periodo]",
"[Base_PPE].[Periodo].&amp;[" &amp; TEXT(BK$6,"yyyymm") &amp; "]"
),
0
)</f>
        <v>0</v>
      </c>
      <c r="BO95" s="24">
        <f t="shared" ref="BO95:BT95" si="77">SUMIFS($D95:$BM95,$D$6:$BM$6,"&gt;="&amp;BO$2,$D$6:$BM$6,"&lt;="&amp;BO$6,$D$5:$BM$5,BO$5)</f>
        <v>0</v>
      </c>
      <c r="BP95" s="24">
        <f t="shared" si="77"/>
        <v>0</v>
      </c>
      <c r="BQ95" s="24">
        <f t="shared" si="77"/>
        <v>0</v>
      </c>
      <c r="BR95" s="24">
        <f t="shared" si="77"/>
        <v>20.4904301981</v>
      </c>
      <c r="BS95" s="24">
        <f t="shared" si="77"/>
        <v>0</v>
      </c>
      <c r="BT95" s="24">
        <f t="shared" si="77"/>
        <v>0</v>
      </c>
    </row>
    <row r="96" spans="1:72" collapsed="1" x14ac:dyDescent="0.25">
      <c r="C96" s="3" t="s">
        <v>82</v>
      </c>
      <c r="D96" s="10">
        <f>SUM(D95:D95)</f>
        <v>0</v>
      </c>
      <c r="E96" s="10">
        <f t="shared" ref="E96:AY96" si="78">SUM(E95:E95)</f>
        <v>0</v>
      </c>
      <c r="F96" s="10">
        <f t="shared" si="78"/>
        <v>0</v>
      </c>
      <c r="G96" s="10">
        <f t="shared" si="78"/>
        <v>0</v>
      </c>
      <c r="H96" s="10">
        <f t="shared" si="78"/>
        <v>0</v>
      </c>
      <c r="I96" s="10">
        <f t="shared" si="78"/>
        <v>0</v>
      </c>
      <c r="J96" s="10">
        <f t="shared" si="78"/>
        <v>0</v>
      </c>
      <c r="K96" s="10">
        <f t="shared" si="78"/>
        <v>32.075992257497163</v>
      </c>
      <c r="L96" s="10">
        <f t="shared" si="78"/>
        <v>0</v>
      </c>
      <c r="M96" s="10">
        <f t="shared" si="78"/>
        <v>15.14778334943192</v>
      </c>
      <c r="N96" s="10">
        <f t="shared" si="78"/>
        <v>0</v>
      </c>
      <c r="O96" s="10">
        <f t="shared" si="78"/>
        <v>0</v>
      </c>
      <c r="P96" s="10">
        <f t="shared" si="78"/>
        <v>0</v>
      </c>
      <c r="Q96" s="10">
        <f t="shared" si="78"/>
        <v>0</v>
      </c>
      <c r="R96" s="10">
        <f t="shared" si="78"/>
        <v>0</v>
      </c>
      <c r="S96" s="10">
        <f t="shared" si="78"/>
        <v>0</v>
      </c>
      <c r="T96" s="10">
        <f t="shared" si="78"/>
        <v>0</v>
      </c>
      <c r="U96" s="10">
        <f t="shared" si="78"/>
        <v>0</v>
      </c>
      <c r="V96" s="10">
        <f t="shared" si="78"/>
        <v>0</v>
      </c>
      <c r="W96" s="10">
        <f t="shared" si="78"/>
        <v>0</v>
      </c>
      <c r="X96" s="10">
        <f t="shared" si="78"/>
        <v>0</v>
      </c>
      <c r="Y96" s="10">
        <f t="shared" si="78"/>
        <v>4.027952</v>
      </c>
      <c r="Z96" s="10">
        <f t="shared" si="78"/>
        <v>5.8016254204999999E-2</v>
      </c>
      <c r="AA96" s="10">
        <f t="shared" si="78"/>
        <v>-7.4068412479999998E-3</v>
      </c>
      <c r="AB96" s="10">
        <f t="shared" si="78"/>
        <v>0</v>
      </c>
      <c r="AC96" s="10">
        <f t="shared" si="78"/>
        <v>0</v>
      </c>
      <c r="AD96" s="10">
        <f t="shared" si="78"/>
        <v>20.4904301981</v>
      </c>
      <c r="AE96" s="10">
        <f t="shared" si="78"/>
        <v>-0.15181036794</v>
      </c>
      <c r="AF96" s="10">
        <f t="shared" si="78"/>
        <v>0</v>
      </c>
      <c r="AG96" s="10">
        <f t="shared" si="78"/>
        <v>24.899748227250001</v>
      </c>
      <c r="AH96" s="10">
        <f t="shared" si="78"/>
        <v>0</v>
      </c>
      <c r="AI96" s="10">
        <f t="shared" si="78"/>
        <v>0</v>
      </c>
      <c r="AJ96" s="10">
        <f t="shared" si="78"/>
        <v>21.58858218085</v>
      </c>
      <c r="AK96" s="10">
        <f t="shared" si="78"/>
        <v>-1.9628666199999999E-3</v>
      </c>
      <c r="AL96" s="10">
        <f t="shared" si="78"/>
        <v>21.764683582425</v>
      </c>
      <c r="AM96" s="10">
        <f t="shared" si="78"/>
        <v>-7.1265516139999993E-3</v>
      </c>
      <c r="AN96" s="10">
        <f t="shared" si="78"/>
        <v>0</v>
      </c>
      <c r="AO96" s="10">
        <f t="shared" si="78"/>
        <v>0</v>
      </c>
      <c r="AP96" s="10">
        <f t="shared" si="78"/>
        <v>0</v>
      </c>
      <c r="AQ96" s="10">
        <f t="shared" si="78"/>
        <v>0</v>
      </c>
      <c r="AR96" s="10">
        <f t="shared" si="78"/>
        <v>0</v>
      </c>
      <c r="AS96" s="10">
        <f t="shared" si="78"/>
        <v>29.530927975232366</v>
      </c>
      <c r="AT96" s="10">
        <f t="shared" si="78"/>
        <v>0</v>
      </c>
      <c r="AU96" s="10">
        <f t="shared" si="78"/>
        <v>0</v>
      </c>
      <c r="AV96" s="10">
        <f t="shared" si="78"/>
        <v>0</v>
      </c>
      <c r="AW96" s="10">
        <f t="shared" si="78"/>
        <v>0</v>
      </c>
      <c r="AX96" s="10">
        <f t="shared" si="78"/>
        <v>0</v>
      </c>
      <c r="AY96" s="10">
        <f t="shared" si="78"/>
        <v>0</v>
      </c>
      <c r="AZ96" s="10">
        <f t="shared" ref="AZ96:BK96" si="79">SUM(AZ95)</f>
        <v>0</v>
      </c>
      <c r="BA96" s="10">
        <f t="shared" si="79"/>
        <v>0</v>
      </c>
      <c r="BB96" s="10">
        <f t="shared" si="79"/>
        <v>0</v>
      </c>
      <c r="BC96" s="10">
        <f t="shared" si="79"/>
        <v>0</v>
      </c>
      <c r="BD96" s="10">
        <f t="shared" si="79"/>
        <v>0</v>
      </c>
      <c r="BE96" s="10">
        <f t="shared" si="79"/>
        <v>22.504005157022103</v>
      </c>
      <c r="BF96" s="10">
        <f t="shared" si="79"/>
        <v>0</v>
      </c>
      <c r="BG96" s="10">
        <f t="shared" si="79"/>
        <v>0</v>
      </c>
      <c r="BH96" s="10">
        <f t="shared" si="79"/>
        <v>41.075969982430522</v>
      </c>
      <c r="BI96" s="10">
        <f t="shared" si="79"/>
        <v>0</v>
      </c>
      <c r="BJ96" s="10">
        <f t="shared" si="79"/>
        <v>0</v>
      </c>
      <c r="BK96" s="10">
        <f t="shared" si="79"/>
        <v>0</v>
      </c>
      <c r="BO96" s="23">
        <f>SUM(BO95)</f>
        <v>0</v>
      </c>
      <c r="BP96" s="23">
        <f t="shared" ref="BP96:BT96" si="80">SUM(BP95)</f>
        <v>0</v>
      </c>
      <c r="BQ96" s="23">
        <f t="shared" si="80"/>
        <v>0</v>
      </c>
      <c r="BR96" s="23">
        <f t="shared" si="80"/>
        <v>20.4904301981</v>
      </c>
      <c r="BS96" s="23">
        <f t="shared" si="80"/>
        <v>0</v>
      </c>
      <c r="BT96" s="23">
        <f t="shared" si="80"/>
        <v>0</v>
      </c>
    </row>
    <row r="98" spans="3:72" x14ac:dyDescent="0.25">
      <c r="C98" s="3" t="s">
        <v>84</v>
      </c>
      <c r="D98" s="10">
        <f t="shared" ref="D98:BK98" si="81">D60+D83+D89+D93+D96</f>
        <v>-619.28900164782783</v>
      </c>
      <c r="E98" s="10">
        <f t="shared" si="81"/>
        <v>-129.17795306058807</v>
      </c>
      <c r="F98" s="10">
        <f t="shared" si="81"/>
        <v>-514.46993370310065</v>
      </c>
      <c r="G98" s="10">
        <f t="shared" si="81"/>
        <v>-312.75880536375524</v>
      </c>
      <c r="H98" s="10">
        <f t="shared" si="81"/>
        <v>-939.2711307496113</v>
      </c>
      <c r="I98" s="10">
        <f t="shared" si="81"/>
        <v>-704.47344713171094</v>
      </c>
      <c r="J98" s="10">
        <f t="shared" si="81"/>
        <v>-1284.3845731726676</v>
      </c>
      <c r="K98" s="10">
        <f t="shared" si="81"/>
        <v>-1516.9324621493492</v>
      </c>
      <c r="L98" s="10">
        <f t="shared" si="81"/>
        <v>-1047.5462232618479</v>
      </c>
      <c r="M98" s="10">
        <f t="shared" si="81"/>
        <v>-1492.0759559469313</v>
      </c>
      <c r="N98" s="10">
        <f t="shared" si="81"/>
        <v>-1001.9935819526156</v>
      </c>
      <c r="O98" s="10">
        <f t="shared" si="81"/>
        <v>-1391.3002341714007</v>
      </c>
      <c r="P98" s="10">
        <f t="shared" si="81"/>
        <v>-1997.3464579427834</v>
      </c>
      <c r="Q98" s="10">
        <f t="shared" si="81"/>
        <v>-824.63948051907539</v>
      </c>
      <c r="R98" s="10">
        <f t="shared" si="81"/>
        <v>-1309.7310674018265</v>
      </c>
      <c r="S98" s="10">
        <f t="shared" si="81"/>
        <v>-828.54779388850568</v>
      </c>
      <c r="T98" s="10">
        <f t="shared" si="81"/>
        <v>-619.58499917800975</v>
      </c>
      <c r="U98" s="10">
        <f t="shared" si="81"/>
        <v>-494.44883376222646</v>
      </c>
      <c r="V98" s="10">
        <f t="shared" si="81"/>
        <v>-340.69480491286464</v>
      </c>
      <c r="W98" s="10">
        <f t="shared" si="81"/>
        <v>-116.18298574073286</v>
      </c>
      <c r="X98" s="10">
        <f t="shared" si="81"/>
        <v>-87.733225056233437</v>
      </c>
      <c r="Y98" s="10">
        <f t="shared" si="81"/>
        <v>-213.09829231680934</v>
      </c>
      <c r="Z98" s="10">
        <f t="shared" si="81"/>
        <v>11.258017747148662</v>
      </c>
      <c r="AA98" s="10">
        <f t="shared" si="81"/>
        <v>-19.133863464603692</v>
      </c>
      <c r="AB98" s="10">
        <f t="shared" si="81"/>
        <v>-378.4153401584847</v>
      </c>
      <c r="AC98" s="10">
        <f t="shared" si="81"/>
        <v>-284.20010980595009</v>
      </c>
      <c r="AD98" s="10">
        <f t="shared" si="81"/>
        <v>-417.74899639926753</v>
      </c>
      <c r="AE98" s="10">
        <f t="shared" si="81"/>
        <v>-469.37087780426509</v>
      </c>
      <c r="AF98" s="10">
        <f t="shared" si="81"/>
        <v>-463.9223156213634</v>
      </c>
      <c r="AG98" s="10">
        <f t="shared" si="81"/>
        <v>-383.85692514278969</v>
      </c>
      <c r="AH98" s="10">
        <f t="shared" si="81"/>
        <v>-422.44182192266032</v>
      </c>
      <c r="AI98" s="10">
        <f t="shared" si="81"/>
        <v>-299.37432417102701</v>
      </c>
      <c r="AJ98" s="10">
        <f t="shared" si="81"/>
        <v>-398.06873199808462</v>
      </c>
      <c r="AK98" s="10">
        <f t="shared" si="81"/>
        <v>-493.33477862715108</v>
      </c>
      <c r="AL98" s="10">
        <f t="shared" si="81"/>
        <v>-192.32186662882302</v>
      </c>
      <c r="AM98" s="10">
        <f t="shared" si="81"/>
        <v>-257.11026312265597</v>
      </c>
      <c r="AN98" s="10">
        <f t="shared" si="81"/>
        <v>-142.97610199676225</v>
      </c>
      <c r="AO98" s="10">
        <f t="shared" si="81"/>
        <v>-314.1036860968706</v>
      </c>
      <c r="AP98" s="10">
        <f t="shared" si="81"/>
        <v>-60.885651832377526</v>
      </c>
      <c r="AQ98" s="10">
        <f t="shared" si="81"/>
        <v>-241.99634311497556</v>
      </c>
      <c r="AR98" s="10">
        <f t="shared" si="81"/>
        <v>-147.9383573875694</v>
      </c>
      <c r="AS98" s="10">
        <f t="shared" si="81"/>
        <v>-176.83017219143224</v>
      </c>
      <c r="AT98" s="10">
        <f t="shared" si="81"/>
        <v>0</v>
      </c>
      <c r="AU98" s="10">
        <f t="shared" si="81"/>
        <v>0</v>
      </c>
      <c r="AV98" s="10">
        <f t="shared" si="81"/>
        <v>0</v>
      </c>
      <c r="AW98" s="10">
        <f t="shared" si="81"/>
        <v>0</v>
      </c>
      <c r="AX98" s="10">
        <f t="shared" si="81"/>
        <v>0</v>
      </c>
      <c r="AY98" s="10">
        <f t="shared" si="81"/>
        <v>0</v>
      </c>
      <c r="AZ98" s="10">
        <f t="shared" si="81"/>
        <v>-315.93974940191509</v>
      </c>
      <c r="BA98" s="10">
        <f t="shared" si="81"/>
        <v>-306.06936218033866</v>
      </c>
      <c r="BB98" s="10">
        <f t="shared" si="81"/>
        <v>-311.18592341407037</v>
      </c>
      <c r="BC98" s="10">
        <f t="shared" si="81"/>
        <v>-306.01400290003636</v>
      </c>
      <c r="BD98" s="10">
        <f t="shared" si="81"/>
        <v>-321.06066615693663</v>
      </c>
      <c r="BE98" s="10">
        <f t="shared" si="81"/>
        <v>-304.02702664341649</v>
      </c>
      <c r="BF98" s="10">
        <f t="shared" si="81"/>
        <v>-302.70665072902068</v>
      </c>
      <c r="BG98" s="10">
        <f t="shared" si="81"/>
        <v>-309.20820693772919</v>
      </c>
      <c r="BH98" s="10">
        <f t="shared" si="81"/>
        <v>-284.5335139890351</v>
      </c>
      <c r="BI98" s="10">
        <f t="shared" si="81"/>
        <v>-315.64096439955074</v>
      </c>
      <c r="BJ98" s="10">
        <f t="shared" si="81"/>
        <v>-325.73083706165619</v>
      </c>
      <c r="BK98" s="10">
        <f t="shared" si="81"/>
        <v>-339.45463069552079</v>
      </c>
      <c r="BO98" s="23">
        <f>BO60+BO83+BO89+BO93+BO96</f>
        <v>-517.9654399260105</v>
      </c>
      <c r="BP98" s="23">
        <f t="shared" ref="BP98:BT98" si="82">BP60+BP83+BP89+BP93+BP96</f>
        <v>-934.89361290686645</v>
      </c>
      <c r="BQ98" s="23">
        <f t="shared" si="82"/>
        <v>-457.07978809363294</v>
      </c>
      <c r="BR98" s="23">
        <f t="shared" si="82"/>
        <v>-1080.3644463637022</v>
      </c>
      <c r="BS98" s="23">
        <f t="shared" si="82"/>
        <v>-4131.7170058636857</v>
      </c>
      <c r="BT98" s="23">
        <f t="shared" si="82"/>
        <v>-1262.9368884115167</v>
      </c>
    </row>
    <row r="102" spans="3:72" s="48" customFormat="1" x14ac:dyDescent="0.25">
      <c r="C102" s="46" t="s">
        <v>110</v>
      </c>
      <c r="D102" s="47">
        <f>D11</f>
        <v>50063.121659120006</v>
      </c>
      <c r="E102" s="47">
        <f>IFERROR(AVERAGE(D11:E11),0)</f>
        <v>50276.366441639999</v>
      </c>
      <c r="F102" s="47">
        <f t="shared" ref="F102:BK102" si="83">IFERROR(AVERAGE(E11:F11),0)</f>
        <v>51360.510434320007</v>
      </c>
      <c r="G102" s="47">
        <f t="shared" si="83"/>
        <v>52037.942060214998</v>
      </c>
      <c r="H102" s="47">
        <f t="shared" si="83"/>
        <v>52014.736112369996</v>
      </c>
      <c r="I102" s="47">
        <f t="shared" si="83"/>
        <v>52218.455648855001</v>
      </c>
      <c r="J102" s="48">
        <f t="shared" si="83"/>
        <v>52016.587979620002</v>
      </c>
      <c r="K102" s="48">
        <f t="shared" si="83"/>
        <v>51813.344463885005</v>
      </c>
      <c r="L102" s="48">
        <f t="shared" si="83"/>
        <v>51215.005905819999</v>
      </c>
      <c r="M102" s="48">
        <f t="shared" si="83"/>
        <v>49861.456347864994</v>
      </c>
      <c r="N102" s="48">
        <f t="shared" si="83"/>
        <v>48149.068357210002</v>
      </c>
      <c r="O102" s="48">
        <f t="shared" si="83"/>
        <v>46135.812214675003</v>
      </c>
      <c r="P102" s="48">
        <f t="shared" si="83"/>
        <v>43795.674450895</v>
      </c>
      <c r="Q102" s="48">
        <f t="shared" si="83"/>
        <v>41322.175906360004</v>
      </c>
      <c r="R102" s="48">
        <f t="shared" si="83"/>
        <v>39750.329839669997</v>
      </c>
      <c r="S102" s="48">
        <f t="shared" si="83"/>
        <v>38648.404012974992</v>
      </c>
      <c r="T102" s="48">
        <f t="shared" si="83"/>
        <v>37257.153971544991</v>
      </c>
      <c r="U102" s="48">
        <f t="shared" si="83"/>
        <v>35869.979730049992</v>
      </c>
      <c r="V102" s="48">
        <f t="shared" si="83"/>
        <v>34258.254014449994</v>
      </c>
      <c r="W102" s="47">
        <f t="shared" si="83"/>
        <v>32960.908384540002</v>
      </c>
      <c r="X102" s="47">
        <f t="shared" si="83"/>
        <v>32223.82159095</v>
      </c>
      <c r="Y102" s="47">
        <f t="shared" si="83"/>
        <v>31395.442168829999</v>
      </c>
      <c r="Z102" s="47">
        <f t="shared" si="83"/>
        <v>30217.505440900004</v>
      </c>
      <c r="AA102" s="47">
        <f t="shared" si="83"/>
        <v>28868.340044</v>
      </c>
      <c r="AB102" s="47">
        <f t="shared" si="83"/>
        <v>27761.276497269999</v>
      </c>
      <c r="AC102" s="48">
        <f t="shared" si="83"/>
        <v>26770.202426015006</v>
      </c>
      <c r="AD102" s="48">
        <f t="shared" si="83"/>
        <v>26160.370588725003</v>
      </c>
      <c r="AE102" s="48">
        <f t="shared" si="83"/>
        <v>25833.723252650001</v>
      </c>
      <c r="AF102" s="48">
        <f t="shared" si="83"/>
        <v>25487.332407389997</v>
      </c>
      <c r="AG102" s="48">
        <f t="shared" si="83"/>
        <v>25097.695453959997</v>
      </c>
      <c r="AH102" s="48">
        <f t="shared" si="83"/>
        <v>24418.525105544999</v>
      </c>
      <c r="AI102" s="48">
        <f t="shared" si="83"/>
        <v>24039.156060449997</v>
      </c>
      <c r="AJ102" s="48">
        <f t="shared" si="83"/>
        <v>23853.427306074998</v>
      </c>
      <c r="AK102" s="48">
        <f t="shared" si="83"/>
        <v>23522.782395350001</v>
      </c>
      <c r="AL102" s="48">
        <f t="shared" si="83"/>
        <v>23359.501620000003</v>
      </c>
      <c r="AM102" s="48">
        <f t="shared" si="83"/>
        <v>24048.747935685002</v>
      </c>
      <c r="AN102" s="48">
        <f t="shared" si="83"/>
        <v>26134.607495684999</v>
      </c>
      <c r="AO102" s="48">
        <f t="shared" si="83"/>
        <v>28953.46</v>
      </c>
      <c r="AP102" s="48">
        <f t="shared" si="83"/>
        <v>31749.34</v>
      </c>
      <c r="AQ102" s="48">
        <f t="shared" si="83"/>
        <v>35040.265113509995</v>
      </c>
      <c r="AR102" s="48">
        <f t="shared" si="83"/>
        <v>38845.816514479993</v>
      </c>
      <c r="AS102" s="48">
        <f t="shared" si="83"/>
        <v>42633.031828070001</v>
      </c>
      <c r="AT102" s="48">
        <f t="shared" si="83"/>
        <v>22287.2854271</v>
      </c>
      <c r="AU102" s="48">
        <f t="shared" si="83"/>
        <v>0</v>
      </c>
      <c r="AV102" s="48">
        <f t="shared" si="83"/>
        <v>0</v>
      </c>
      <c r="AW102" s="48">
        <f t="shared" si="83"/>
        <v>0</v>
      </c>
      <c r="AX102" s="48">
        <f t="shared" si="83"/>
        <v>0</v>
      </c>
      <c r="AY102" s="48">
        <f t="shared" si="83"/>
        <v>0</v>
      </c>
      <c r="AZ102" s="48">
        <f>AZ11</f>
        <v>21443.242514820795</v>
      </c>
      <c r="BA102" s="48">
        <f t="shared" si="83"/>
        <v>21238.744673955953</v>
      </c>
      <c r="BB102" s="48">
        <f t="shared" si="83"/>
        <v>20830.237393384843</v>
      </c>
      <c r="BC102" s="48">
        <f t="shared" si="83"/>
        <v>20510.754348693732</v>
      </c>
      <c r="BD102" s="48">
        <f t="shared" si="83"/>
        <v>20299.667122317478</v>
      </c>
      <c r="BE102" s="48">
        <f t="shared" si="83"/>
        <v>20051.487019226126</v>
      </c>
      <c r="BF102" s="48">
        <f t="shared" si="83"/>
        <v>19799.678676565039</v>
      </c>
      <c r="BG102" s="48">
        <f t="shared" si="83"/>
        <v>19645.040072812022</v>
      </c>
      <c r="BH102" s="48">
        <f t="shared" si="83"/>
        <v>19495.009474335006</v>
      </c>
      <c r="BI102" s="48">
        <f t="shared" si="83"/>
        <v>19429.576390118193</v>
      </c>
      <c r="BJ102" s="48">
        <f t="shared" si="83"/>
        <v>19419.086230844048</v>
      </c>
      <c r="BK102" s="48">
        <f t="shared" si="83"/>
        <v>19377.500424509697</v>
      </c>
      <c r="BO102" s="48">
        <f>IFERROR(AVERAGEIFS($D11:$BM11,$D$6:$BM$6,"&gt;="&amp;EOMONTH(BO$2,-1),$D$6:$BM$6,"&lt;="&amp;BO$6,$D$5:$BM$5,BO$5,$D11:$BM11,"&lt;&gt;0"),0)</f>
        <v>28941.973747842498</v>
      </c>
      <c r="BP102" s="48">
        <f>IFERROR(AVERAGEIFS($D11:$BM11,$D$6:$BM$6,"&gt;="&amp;EOMONTH(BP$2,-1),$D$6:$BM$6,"&lt;="&amp;BP$6,$D$5:$BM$5,BP$5,$D11:$BM11,"&lt;&gt;0"),0)</f>
        <v>21034.572433863494</v>
      </c>
      <c r="BQ102" s="48">
        <f>IFERROR(AVERAGEIFS($D11:$BM11,$D$6:$BM$6,"&gt;="&amp;EOMONTH(BQ$2,-1),$D$6:$BM$6,"&lt;="&amp;BQ$6,$D$5:$BM$5,BQ$5,$D11:$BM11,"&lt;&gt;0"),0)</f>
        <v>27562.501663789997</v>
      </c>
      <c r="BR102" s="48">
        <f>IFERROR(AVERAGEIFS($D11:$BM11,$D$6:$BM$6,"&gt;="&amp;EOMONTH(BR$2,-1),$D$6:$BM$6,"&lt;="&amp;BR$6,$D$5:$BM$5,BR$5,$D11:$BM11,"&lt;&gt;0"),0)</f>
        <v>26960.823542997499</v>
      </c>
      <c r="BS102" s="48">
        <f t="shared" ref="BS102:BT102" si="84">IFERROR(AVERAGEIFS($D11:$BM11,$D$6:$BM$6,"&gt;="&amp;EOMONTH(BS$2,-1),$D$6:$BM$6,"&lt;="&amp;BS$6,$D$5:$BM$5,BS$5,$D11:$BM11,"&lt;&gt;0"),0)</f>
        <v>41773.002145282502</v>
      </c>
      <c r="BT102" s="48">
        <f t="shared" si="84"/>
        <v>50928.047509253338</v>
      </c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72EB-143B-4BC1-9D9D-98C77DA4F88C}">
  <sheetPr codeName="Hoja10"/>
  <dimension ref="A1:AQ142"/>
  <sheetViews>
    <sheetView zoomScale="70" zoomScaleNormal="70" workbookViewId="0">
      <selection activeCell="B2" sqref="B2"/>
    </sheetView>
  </sheetViews>
  <sheetFormatPr baseColWidth="10" defaultColWidth="13.5703125" defaultRowHeight="15" x14ac:dyDescent="0.25"/>
  <cols>
    <col min="1" max="1" width="34.42578125" bestFit="1" customWidth="1"/>
    <col min="2" max="2" width="15.28515625" style="8" customWidth="1"/>
    <col min="3" max="3" width="16.5703125" style="8" customWidth="1"/>
    <col min="4" max="38" width="20.42578125" style="8" bestFit="1" customWidth="1"/>
    <col min="39" max="49" width="20.42578125" bestFit="1" customWidth="1"/>
  </cols>
  <sheetData>
    <row r="1" spans="1:43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43" x14ac:dyDescent="0.25">
      <c r="A2" s="4" t="s">
        <v>43</v>
      </c>
      <c r="B2" t="s" vm="2">
        <v>116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43" x14ac:dyDescent="0.25">
      <c r="A3" s="4" t="s">
        <v>53</v>
      </c>
      <c r="B3" t="s" vm="1">
        <v>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43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43" x14ac:dyDescent="0.25">
      <c r="A5" s="4" t="s">
        <v>42</v>
      </c>
      <c r="B5" s="4" t="s">
        <v>5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43" x14ac:dyDescent="0.25">
      <c r="A6" s="4" t="s">
        <v>44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33</v>
      </c>
      <c r="AD6" t="s">
        <v>34</v>
      </c>
      <c r="AE6" t="s">
        <v>35</v>
      </c>
      <c r="AF6" t="s">
        <v>36</v>
      </c>
      <c r="AG6" t="s">
        <v>37</v>
      </c>
      <c r="AH6" t="s">
        <v>38</v>
      </c>
      <c r="AI6" t="s">
        <v>39</v>
      </c>
      <c r="AJ6" t="s">
        <v>40</v>
      </c>
      <c r="AK6" t="s">
        <v>41</v>
      </c>
      <c r="AL6" t="s">
        <v>77</v>
      </c>
      <c r="AM6" t="s">
        <v>118</v>
      </c>
      <c r="AN6" t="s">
        <v>125</v>
      </c>
      <c r="AO6" t="s">
        <v>126</v>
      </c>
      <c r="AP6" t="s">
        <v>127</v>
      </c>
      <c r="AQ6" t="s">
        <v>128</v>
      </c>
    </row>
    <row r="7" spans="1:43" x14ac:dyDescent="0.25">
      <c r="A7" s="5" t="s">
        <v>51</v>
      </c>
      <c r="B7" s="9">
        <v>3296914780.8295002</v>
      </c>
      <c r="C7" s="9">
        <v>3386022485.5846596</v>
      </c>
      <c r="D7" s="9">
        <v>3500227061.4311404</v>
      </c>
      <c r="E7" s="9">
        <v>3571915431.6850004</v>
      </c>
      <c r="F7" s="9">
        <v>3642173862.6768494</v>
      </c>
      <c r="G7" s="9">
        <v>3704605204.5903201</v>
      </c>
      <c r="H7" s="9">
        <v>3758207204.9503794</v>
      </c>
      <c r="I7" s="9">
        <v>3885169988.7173996</v>
      </c>
      <c r="J7" s="9">
        <v>3915399095.1526699</v>
      </c>
      <c r="K7" s="9">
        <v>3916655245.8664403</v>
      </c>
      <c r="L7" s="9">
        <v>3892351002.2360802</v>
      </c>
      <c r="M7" s="9">
        <v>3818030520.8000093</v>
      </c>
      <c r="N7" s="9">
        <v>3742291258.9925594</v>
      </c>
      <c r="O7" s="9">
        <v>3659491505.1083999</v>
      </c>
      <c r="P7" s="9">
        <v>3609083826.1450596</v>
      </c>
      <c r="Q7" s="9">
        <v>3538953941.3123498</v>
      </c>
      <c r="R7" s="9">
        <v>3449455905.7505198</v>
      </c>
      <c r="S7" s="9">
        <v>3351286451.1345401</v>
      </c>
      <c r="T7" s="9">
        <v>3243965135.1589098</v>
      </c>
      <c r="U7" s="9">
        <v>3180067395.5021801</v>
      </c>
      <c r="V7" s="9">
        <v>3138110081.7030602</v>
      </c>
      <c r="W7" s="9">
        <v>3106911775.8808994</v>
      </c>
      <c r="X7" s="9">
        <v>3061124308.9990606</v>
      </c>
      <c r="Y7" s="9">
        <v>3032210913.7575397</v>
      </c>
      <c r="Z7" s="9">
        <v>3007235102.08498</v>
      </c>
      <c r="AA7" s="9">
        <v>2993132111.3061199</v>
      </c>
      <c r="AB7" s="9">
        <v>3020734373.7528801</v>
      </c>
      <c r="AC7" s="9">
        <v>3018609396.3957996</v>
      </c>
      <c r="AD7" s="9">
        <v>3035295270.21174</v>
      </c>
      <c r="AE7" s="9">
        <v>3015444127.1258802</v>
      </c>
      <c r="AF7" s="9">
        <v>3026184952.6038098</v>
      </c>
      <c r="AG7" s="9">
        <v>3061840835.2589502</v>
      </c>
      <c r="AH7" s="9">
        <v>3088637640.8408003</v>
      </c>
      <c r="AI7" s="9">
        <v>3156707095.6623497</v>
      </c>
      <c r="AJ7" s="9">
        <v>3177441076.7579794</v>
      </c>
      <c r="AK7" s="9">
        <v>3181009956.7460194</v>
      </c>
      <c r="AL7" s="9">
        <v>3217904690</v>
      </c>
      <c r="AM7" s="9">
        <v>3280334560</v>
      </c>
      <c r="AN7" s="9">
        <v>3321188670</v>
      </c>
      <c r="AO7" s="9">
        <v>3370567708.5829501</v>
      </c>
      <c r="AP7" s="9">
        <v>3433027864.8983603</v>
      </c>
      <c r="AQ7" s="9">
        <v>3517310751.9987001</v>
      </c>
    </row>
    <row r="8" spans="1:43" x14ac:dyDescent="0.25">
      <c r="A8" s="6" t="s">
        <v>49</v>
      </c>
      <c r="B8" s="9">
        <v>783632582.24810016</v>
      </c>
      <c r="C8" s="9">
        <v>806669001.7874999</v>
      </c>
      <c r="D8" s="9">
        <v>827744646.49190009</v>
      </c>
      <c r="E8" s="9">
        <v>848799438.2462002</v>
      </c>
      <c r="F8" s="9">
        <v>869862460.27220011</v>
      </c>
      <c r="G8" s="9">
        <v>887794261.2098999</v>
      </c>
      <c r="H8" s="9">
        <v>912741761.48003995</v>
      </c>
      <c r="I8" s="9">
        <v>950165785.5352</v>
      </c>
      <c r="J8" s="9">
        <v>976061963.35258985</v>
      </c>
      <c r="K8" s="9">
        <v>978371960.57824004</v>
      </c>
      <c r="L8" s="9">
        <v>986731785.07748008</v>
      </c>
      <c r="M8" s="9">
        <v>983610714.68219995</v>
      </c>
      <c r="N8" s="9">
        <v>971068543.81669998</v>
      </c>
      <c r="O8" s="9">
        <v>965526482.74319994</v>
      </c>
      <c r="P8" s="9">
        <v>959950995.16369987</v>
      </c>
      <c r="Q8" s="9">
        <v>950033079.52172005</v>
      </c>
      <c r="R8" s="9">
        <v>937488553.88891995</v>
      </c>
      <c r="S8" s="9">
        <v>918774244.30435979</v>
      </c>
      <c r="T8" s="9">
        <v>900835041.96451998</v>
      </c>
      <c r="U8" s="9">
        <v>894362174.20653987</v>
      </c>
      <c r="V8" s="9">
        <v>899735666.27133012</v>
      </c>
      <c r="W8" s="9">
        <v>905528505.44053996</v>
      </c>
      <c r="X8" s="9">
        <v>918383611.89248013</v>
      </c>
      <c r="Y8" s="9">
        <v>925298350.97258008</v>
      </c>
      <c r="Z8" s="9">
        <v>937490146.84325993</v>
      </c>
      <c r="AA8" s="9">
        <v>951356484.85922992</v>
      </c>
      <c r="AB8" s="9">
        <v>974930550.29042006</v>
      </c>
      <c r="AC8" s="9">
        <v>995022101.87154984</v>
      </c>
      <c r="AD8" s="9">
        <v>1023516883.0060401</v>
      </c>
      <c r="AE8" s="9">
        <v>1032083878.46828</v>
      </c>
      <c r="AF8" s="9">
        <v>1048723577.1768903</v>
      </c>
      <c r="AG8" s="9">
        <v>1073474839.4252501</v>
      </c>
      <c r="AH8" s="9">
        <v>1111110843.8323998</v>
      </c>
      <c r="AI8" s="9">
        <v>1167493746.0990498</v>
      </c>
      <c r="AJ8" s="9">
        <v>1202875499.2450798</v>
      </c>
      <c r="AK8" s="9">
        <v>1213471915.9494698</v>
      </c>
      <c r="AL8" s="9">
        <v>1232759500</v>
      </c>
      <c r="AM8" s="9">
        <v>1268671640</v>
      </c>
      <c r="AN8" s="9">
        <v>1299859280</v>
      </c>
      <c r="AO8" s="9">
        <v>1322085364.7997205</v>
      </c>
      <c r="AP8" s="9">
        <v>1353308353.76528</v>
      </c>
      <c r="AQ8" s="9">
        <v>1396662002.4562001</v>
      </c>
    </row>
    <row r="9" spans="1:43" x14ac:dyDescent="0.25">
      <c r="A9" s="7" t="s">
        <v>0</v>
      </c>
      <c r="B9" s="9">
        <v>782495806.63810015</v>
      </c>
      <c r="C9" s="9">
        <v>805369118.3175</v>
      </c>
      <c r="D9" s="9">
        <v>826765658.34189999</v>
      </c>
      <c r="E9" s="9">
        <v>847847060.4762001</v>
      </c>
      <c r="F9" s="9">
        <v>869089151.98220003</v>
      </c>
      <c r="G9" s="9">
        <v>886814082.84989989</v>
      </c>
      <c r="H9" s="9">
        <v>911633974.74659991</v>
      </c>
      <c r="I9" s="9">
        <v>948809807.81519997</v>
      </c>
      <c r="J9" s="9">
        <v>973941320.87279987</v>
      </c>
      <c r="K9" s="9">
        <v>976218428.81710005</v>
      </c>
      <c r="L9" s="9">
        <v>984195723.19340003</v>
      </c>
      <c r="M9" s="9">
        <v>980351224.22979999</v>
      </c>
      <c r="N9" s="9">
        <v>967162144.19229996</v>
      </c>
      <c r="O9" s="9">
        <v>960305011.86519992</v>
      </c>
      <c r="P9" s="9">
        <v>951168105.71809995</v>
      </c>
      <c r="Q9" s="9">
        <v>934748990.18240011</v>
      </c>
      <c r="R9" s="9">
        <v>914583182.41439998</v>
      </c>
      <c r="S9" s="9">
        <v>895180394.53909981</v>
      </c>
      <c r="T9" s="9">
        <v>879459798.58319998</v>
      </c>
      <c r="U9" s="9">
        <v>873690247.10849988</v>
      </c>
      <c r="V9" s="9">
        <v>881947052.96660006</v>
      </c>
      <c r="W9" s="9">
        <v>888670618.00149989</v>
      </c>
      <c r="X9" s="9">
        <v>904200692.99130011</v>
      </c>
      <c r="Y9" s="9">
        <v>911397371.03770006</v>
      </c>
      <c r="Z9" s="9">
        <v>923267304.00309992</v>
      </c>
      <c r="AA9" s="9">
        <v>940799588.46589994</v>
      </c>
      <c r="AB9" s="9">
        <v>965430169.8799001</v>
      </c>
      <c r="AC9" s="9">
        <v>985382874.16529989</v>
      </c>
      <c r="AD9" s="9">
        <v>1013279473.7489001</v>
      </c>
      <c r="AE9" s="9">
        <v>1021680050.6859</v>
      </c>
      <c r="AF9" s="9">
        <v>1037982701.9874002</v>
      </c>
      <c r="AG9" s="9">
        <v>1061774590.6251</v>
      </c>
      <c r="AH9" s="9">
        <v>1098399313.2660999</v>
      </c>
      <c r="AI9" s="9">
        <v>1154276869.6152999</v>
      </c>
      <c r="AJ9" s="9">
        <v>1190491078.6480999</v>
      </c>
      <c r="AK9" s="9">
        <v>1199628449.4211998</v>
      </c>
      <c r="AL9" s="9">
        <v>1217347240</v>
      </c>
      <c r="AM9" s="9">
        <v>1252992080</v>
      </c>
      <c r="AN9" s="9">
        <v>1284008570</v>
      </c>
      <c r="AO9" s="9">
        <v>1306492950.9908004</v>
      </c>
      <c r="AP9" s="9">
        <v>1337059523.5750601</v>
      </c>
      <c r="AQ9" s="9">
        <v>1379611847.3673</v>
      </c>
    </row>
    <row r="10" spans="1:43" x14ac:dyDescent="0.25">
      <c r="A10" s="7" t="s">
        <v>1</v>
      </c>
      <c r="B10" s="9">
        <v>350650.36</v>
      </c>
      <c r="C10" s="9">
        <v>341161.8</v>
      </c>
      <c r="D10" s="9">
        <v>322639.07</v>
      </c>
      <c r="E10" s="9">
        <v>313604.44</v>
      </c>
      <c r="F10" s="9">
        <v>268984.32000000001</v>
      </c>
      <c r="G10" s="9">
        <v>265088.73</v>
      </c>
      <c r="H10" s="9">
        <v>210981.88</v>
      </c>
      <c r="I10" s="9">
        <v>206514.4</v>
      </c>
      <c r="J10" s="9">
        <v>405894.18</v>
      </c>
      <c r="K10" s="9">
        <v>397583.92</v>
      </c>
      <c r="L10" s="9">
        <v>389106.5</v>
      </c>
      <c r="M10" s="9">
        <v>383056.31</v>
      </c>
      <c r="N10" s="9">
        <v>420512.63</v>
      </c>
      <c r="O10" s="9">
        <v>460894.62</v>
      </c>
      <c r="P10" s="9">
        <v>431030.29</v>
      </c>
      <c r="Q10" s="9">
        <v>772265.01</v>
      </c>
      <c r="R10" s="9">
        <v>1236494.1299999999</v>
      </c>
      <c r="S10" s="9">
        <v>1599736.15</v>
      </c>
      <c r="T10" s="9">
        <v>1955727.47</v>
      </c>
      <c r="U10" s="9">
        <v>2313085.7200000002</v>
      </c>
      <c r="V10" s="9">
        <v>2711622.98</v>
      </c>
      <c r="W10" s="9">
        <v>2730727.45</v>
      </c>
      <c r="X10" s="9">
        <v>2507338.08</v>
      </c>
      <c r="Y10" s="9">
        <v>2184044.09</v>
      </c>
      <c r="Z10" s="9">
        <v>2268091.5099999998</v>
      </c>
      <c r="AA10" s="9">
        <v>2374473.48</v>
      </c>
      <c r="AB10" s="9">
        <v>2439445.0099999998</v>
      </c>
      <c r="AC10" s="9">
        <v>2292033.5299999998</v>
      </c>
      <c r="AD10" s="9">
        <v>2339851.98</v>
      </c>
      <c r="AE10" s="9">
        <v>2528095.4300000002</v>
      </c>
      <c r="AF10" s="9">
        <v>2849535.97</v>
      </c>
      <c r="AG10" s="9">
        <v>2886042.25</v>
      </c>
      <c r="AH10" s="9">
        <v>3244101.51</v>
      </c>
      <c r="AI10" s="9">
        <v>3257981.08</v>
      </c>
      <c r="AJ10" s="9">
        <v>3261135.81</v>
      </c>
      <c r="AK10" s="9">
        <v>3136054.11</v>
      </c>
      <c r="AL10" s="9">
        <v>3063840</v>
      </c>
      <c r="AM10" s="9">
        <v>3064670</v>
      </c>
      <c r="AN10" s="9">
        <v>3013610</v>
      </c>
      <c r="AO10" s="9">
        <v>3163082.379999999</v>
      </c>
      <c r="AP10" s="9">
        <v>3401956.34</v>
      </c>
      <c r="AQ10" s="9">
        <v>3440427.7800000003</v>
      </c>
    </row>
    <row r="11" spans="1:43" x14ac:dyDescent="0.25">
      <c r="A11" s="7" t="s">
        <v>45</v>
      </c>
      <c r="B11" s="9">
        <v>786125.25</v>
      </c>
      <c r="C11" s="9">
        <v>958721.67</v>
      </c>
      <c r="D11" s="9">
        <v>656349.08000000007</v>
      </c>
      <c r="E11" s="9">
        <v>638773.33000000007</v>
      </c>
      <c r="F11" s="9">
        <v>504323.97</v>
      </c>
      <c r="G11" s="9">
        <v>715089.63</v>
      </c>
      <c r="H11" s="9">
        <v>896804.85343999998</v>
      </c>
      <c r="I11" s="9">
        <v>1149463.32</v>
      </c>
      <c r="J11" s="9">
        <v>1714748.2997900003</v>
      </c>
      <c r="K11" s="9">
        <v>1755947.8411399999</v>
      </c>
      <c r="L11" s="9">
        <v>2146955.3840799998</v>
      </c>
      <c r="M11" s="9">
        <v>2876434.1424000002</v>
      </c>
      <c r="N11" s="9">
        <v>3485886.9944000002</v>
      </c>
      <c r="O11" s="9">
        <v>4760576.2579999994</v>
      </c>
      <c r="P11" s="9">
        <v>8351859.1556000002</v>
      </c>
      <c r="Q11" s="9">
        <v>14511824.32932</v>
      </c>
      <c r="R11" s="9">
        <v>21668877.344519999</v>
      </c>
      <c r="S11" s="9">
        <v>21994113.615259998</v>
      </c>
      <c r="T11" s="9">
        <v>19419515.911320001</v>
      </c>
      <c r="U11" s="9">
        <v>18358841.378040005</v>
      </c>
      <c r="V11" s="9">
        <v>15076990.324730001</v>
      </c>
      <c r="W11" s="9">
        <v>14127159.989039999</v>
      </c>
      <c r="X11" s="9">
        <v>11675580.821180001</v>
      </c>
      <c r="Y11" s="9">
        <v>11716935.84488</v>
      </c>
      <c r="Z11" s="9">
        <v>11954751.330159999</v>
      </c>
      <c r="AA11" s="9">
        <v>8182422.913329999</v>
      </c>
      <c r="AB11" s="9">
        <v>7060935.4005200006</v>
      </c>
      <c r="AC11" s="9">
        <v>7347194.1762499996</v>
      </c>
      <c r="AD11" s="9">
        <v>7897557.2771400008</v>
      </c>
      <c r="AE11" s="9">
        <v>7875732.3523800001</v>
      </c>
      <c r="AF11" s="9">
        <v>7891339.21949</v>
      </c>
      <c r="AG11" s="9">
        <v>8814206.5501500014</v>
      </c>
      <c r="AH11" s="9">
        <v>9467429.0563000012</v>
      </c>
      <c r="AI11" s="9">
        <v>9958895.4037500005</v>
      </c>
      <c r="AJ11" s="9">
        <v>9123284.7869799994</v>
      </c>
      <c r="AK11" s="9">
        <v>10707412.418269997</v>
      </c>
      <c r="AL11" s="9">
        <v>12348420</v>
      </c>
      <c r="AM11" s="9">
        <v>12614890</v>
      </c>
      <c r="AN11" s="9">
        <v>12837100</v>
      </c>
      <c r="AO11" s="9">
        <v>12429331.428920001</v>
      </c>
      <c r="AP11" s="9">
        <v>12846873.85022</v>
      </c>
      <c r="AQ11" s="9">
        <v>13609727.308900002</v>
      </c>
    </row>
    <row r="12" spans="1:43" x14ac:dyDescent="0.25">
      <c r="A12" s="6" t="s">
        <v>47</v>
      </c>
      <c r="B12" s="9">
        <v>2463219076.9222798</v>
      </c>
      <c r="C12" s="9">
        <v>2528863872.5729995</v>
      </c>
      <c r="D12" s="9">
        <v>2620251005.2947602</v>
      </c>
      <c r="E12" s="9">
        <v>2671271518.9628501</v>
      </c>
      <c r="F12" s="9">
        <v>2720126404.6558595</v>
      </c>
      <c r="G12" s="9">
        <v>2764559029.8315001</v>
      </c>
      <c r="H12" s="9">
        <v>2793684181.0600195</v>
      </c>
      <c r="I12" s="9">
        <v>2883158776.6647496</v>
      </c>
      <c r="J12" s="9">
        <v>2888752546.5058899</v>
      </c>
      <c r="K12" s="9">
        <v>2889144957.8866601</v>
      </c>
      <c r="L12" s="9">
        <v>2858459407.8457203</v>
      </c>
      <c r="M12" s="9">
        <v>2789307991.0013394</v>
      </c>
      <c r="N12" s="9">
        <v>2728743181.3905396</v>
      </c>
      <c r="O12" s="9">
        <v>2653800204.3378</v>
      </c>
      <c r="P12" s="9">
        <v>2609796989.3294196</v>
      </c>
      <c r="Q12" s="9">
        <v>2550959895.4166198</v>
      </c>
      <c r="R12" s="9">
        <v>2475414010.29252</v>
      </c>
      <c r="S12" s="9">
        <v>2397325588.9391603</v>
      </c>
      <c r="T12" s="9">
        <v>2309800203.05651</v>
      </c>
      <c r="U12" s="9">
        <v>2253113294.6644402</v>
      </c>
      <c r="V12" s="9">
        <v>2206518698.8810301</v>
      </c>
      <c r="W12" s="9">
        <v>2170448102.6533995</v>
      </c>
      <c r="X12" s="9">
        <v>2113240854.0117402</v>
      </c>
      <c r="Y12" s="9">
        <v>2078675725.7917998</v>
      </c>
      <c r="Z12" s="9">
        <v>2042459239.24034</v>
      </c>
      <c r="AA12" s="9">
        <v>2015520937.5962403</v>
      </c>
      <c r="AB12" s="9">
        <v>2019737771.1356602</v>
      </c>
      <c r="AC12" s="9">
        <v>1997985900.3457499</v>
      </c>
      <c r="AD12" s="9">
        <v>1986405116.5694199</v>
      </c>
      <c r="AE12" s="9">
        <v>1958538128.3859601</v>
      </c>
      <c r="AF12" s="9">
        <v>1953446445.4874697</v>
      </c>
      <c r="AG12" s="9">
        <v>1964302613.6522501</v>
      </c>
      <c r="AH12" s="9">
        <v>1953883324.5777001</v>
      </c>
      <c r="AI12" s="9">
        <v>1965811257.2033</v>
      </c>
      <c r="AJ12" s="9">
        <v>1951248666.6328998</v>
      </c>
      <c r="AK12" s="9">
        <v>1942757455.8051798</v>
      </c>
      <c r="AL12" s="9">
        <v>1957656560</v>
      </c>
      <c r="AM12" s="9">
        <v>1981244630</v>
      </c>
      <c r="AN12" s="9">
        <v>1988249000</v>
      </c>
      <c r="AO12" s="9">
        <v>2011482203.5562096</v>
      </c>
      <c r="AP12" s="9">
        <v>2039028018.3311405</v>
      </c>
      <c r="AQ12" s="9">
        <v>2076074178.6883004</v>
      </c>
    </row>
    <row r="13" spans="1:43" x14ac:dyDescent="0.25">
      <c r="A13" s="7" t="s">
        <v>0</v>
      </c>
      <c r="B13" s="9">
        <v>2380204585.8618398</v>
      </c>
      <c r="C13" s="9">
        <v>2447145201.5932398</v>
      </c>
      <c r="D13" s="9">
        <v>2544945893.3780003</v>
      </c>
      <c r="E13" s="9">
        <v>2601939488.2255001</v>
      </c>
      <c r="F13" s="9">
        <v>2654133969.0940595</v>
      </c>
      <c r="G13" s="9">
        <v>2693372013.5595803</v>
      </c>
      <c r="H13" s="9">
        <v>2699881046.3819399</v>
      </c>
      <c r="I13" s="9">
        <v>2751598583.8310499</v>
      </c>
      <c r="J13" s="9">
        <v>2755524778.5331001</v>
      </c>
      <c r="K13" s="9">
        <v>2743320190.848</v>
      </c>
      <c r="L13" s="9">
        <v>2724377627.6301804</v>
      </c>
      <c r="M13" s="9">
        <v>2646208629.3170996</v>
      </c>
      <c r="N13" s="9">
        <v>2584123302.4405999</v>
      </c>
      <c r="O13" s="9">
        <v>2514752870.4322</v>
      </c>
      <c r="P13" s="9">
        <v>2442035241.9250598</v>
      </c>
      <c r="Q13" s="9">
        <v>2370721606.6857495</v>
      </c>
      <c r="R13" s="9">
        <v>2276303837.3508801</v>
      </c>
      <c r="S13" s="9">
        <v>2198441377.5594401</v>
      </c>
      <c r="T13" s="9">
        <v>2121976562.7035</v>
      </c>
      <c r="U13" s="9">
        <v>2073871908.2013199</v>
      </c>
      <c r="V13" s="9">
        <v>2043295573.67346</v>
      </c>
      <c r="W13" s="9">
        <v>2015675009.8627596</v>
      </c>
      <c r="X13" s="9">
        <v>1972108457.2532601</v>
      </c>
      <c r="Y13" s="9">
        <v>1931449415.3914397</v>
      </c>
      <c r="Z13" s="9">
        <v>1896338322.7176402</v>
      </c>
      <c r="AA13" s="9">
        <v>1879059543.5892904</v>
      </c>
      <c r="AB13" s="9">
        <v>1874769784.10186</v>
      </c>
      <c r="AC13" s="9">
        <v>1852139333.4494998</v>
      </c>
      <c r="AD13" s="9">
        <v>1839212920.4903197</v>
      </c>
      <c r="AE13" s="9">
        <v>1818561994.6279202</v>
      </c>
      <c r="AF13" s="9">
        <v>1820121007.4266696</v>
      </c>
      <c r="AG13" s="9">
        <v>1832892358.99845</v>
      </c>
      <c r="AH13" s="9">
        <v>1827728768.7022002</v>
      </c>
      <c r="AI13" s="9">
        <v>1844393178.3633001</v>
      </c>
      <c r="AJ13" s="9">
        <v>1840946782.5265198</v>
      </c>
      <c r="AK13" s="9">
        <v>1829216831.1835997</v>
      </c>
      <c r="AL13" s="9">
        <v>1845430970</v>
      </c>
      <c r="AM13" s="9">
        <v>1872109000</v>
      </c>
      <c r="AN13" s="9">
        <v>1883818030</v>
      </c>
      <c r="AO13" s="9">
        <v>1912366357.6378696</v>
      </c>
      <c r="AP13" s="9">
        <v>1941504410.8379006</v>
      </c>
      <c r="AQ13" s="9">
        <v>1978888071.2820003</v>
      </c>
    </row>
    <row r="14" spans="1:43" x14ac:dyDescent="0.25">
      <c r="A14" s="7" t="s">
        <v>1</v>
      </c>
      <c r="B14" s="9">
        <v>11727904.43</v>
      </c>
      <c r="C14" s="9">
        <v>12225114.66</v>
      </c>
      <c r="D14" s="9">
        <v>12137274.07212</v>
      </c>
      <c r="E14" s="9">
        <v>11078487.49495</v>
      </c>
      <c r="F14" s="9">
        <v>10484423.31291</v>
      </c>
      <c r="G14" s="9">
        <v>9690928.6961199995</v>
      </c>
      <c r="H14" s="9">
        <v>8838674.2937599998</v>
      </c>
      <c r="I14" s="9">
        <v>8090126.4693499999</v>
      </c>
      <c r="J14" s="9">
        <v>7899298.5066299997</v>
      </c>
      <c r="K14" s="9">
        <v>7022719.5684000002</v>
      </c>
      <c r="L14" s="9">
        <v>6333620.6331199994</v>
      </c>
      <c r="M14" s="9">
        <v>5676191.3300000001</v>
      </c>
      <c r="N14" s="9">
        <v>5015722.43</v>
      </c>
      <c r="O14" s="9">
        <v>5478534.1500000004</v>
      </c>
      <c r="P14" s="9">
        <v>8021560.1900000004</v>
      </c>
      <c r="Q14" s="9">
        <v>14529759.689999999</v>
      </c>
      <c r="R14" s="9">
        <v>26578164.699999999</v>
      </c>
      <c r="S14" s="9">
        <v>34682521.979999997</v>
      </c>
      <c r="T14" s="9">
        <v>40295303.299999997</v>
      </c>
      <c r="U14" s="9">
        <v>42451805.299999997</v>
      </c>
      <c r="V14" s="9">
        <v>43196840.380000003</v>
      </c>
      <c r="W14" s="9">
        <v>42276506.5</v>
      </c>
      <c r="X14" s="9">
        <v>43553784.200000003</v>
      </c>
      <c r="Y14" s="9">
        <v>43874345.649999999</v>
      </c>
      <c r="Z14" s="9">
        <v>43319487.829999998</v>
      </c>
      <c r="AA14" s="9">
        <v>42000559.259999998</v>
      </c>
      <c r="AB14" s="9">
        <v>43802655.729999997</v>
      </c>
      <c r="AC14" s="9">
        <v>43725780.32</v>
      </c>
      <c r="AD14" s="9">
        <v>42627964.409999996</v>
      </c>
      <c r="AE14" s="9">
        <v>41366117.729999997</v>
      </c>
      <c r="AF14" s="9">
        <v>40144266.729999997</v>
      </c>
      <c r="AG14" s="9">
        <v>38744397.710000001</v>
      </c>
      <c r="AH14" s="9">
        <v>38016471.43</v>
      </c>
      <c r="AI14" s="9">
        <v>36901770.82</v>
      </c>
      <c r="AJ14" s="9">
        <v>36207760.270000003</v>
      </c>
      <c r="AK14" s="9">
        <v>35705712.229999997</v>
      </c>
      <c r="AL14" s="9">
        <v>35149580</v>
      </c>
      <c r="AM14" s="9">
        <v>34378210</v>
      </c>
      <c r="AN14" s="9">
        <v>33418460</v>
      </c>
      <c r="AO14" s="9">
        <v>32308567.079999998</v>
      </c>
      <c r="AP14" s="9">
        <v>32021006.84</v>
      </c>
      <c r="AQ14" s="9">
        <v>31311242.479999993</v>
      </c>
    </row>
    <row r="15" spans="1:43" x14ac:dyDescent="0.25">
      <c r="A15" s="7" t="s">
        <v>45</v>
      </c>
      <c r="B15" s="9">
        <v>71286586.630439997</v>
      </c>
      <c r="C15" s="9">
        <v>69493556.319759995</v>
      </c>
      <c r="D15" s="9">
        <v>63167837.844640002</v>
      </c>
      <c r="E15" s="9">
        <v>58253543.242399998</v>
      </c>
      <c r="F15" s="9">
        <v>55508012.248889998</v>
      </c>
      <c r="G15" s="9">
        <v>61496087.575800002</v>
      </c>
      <c r="H15" s="9">
        <v>84964460.384320006</v>
      </c>
      <c r="I15" s="9">
        <v>123470066.36434999</v>
      </c>
      <c r="J15" s="9">
        <v>125328469.46616</v>
      </c>
      <c r="K15" s="9">
        <v>138802047.47025999</v>
      </c>
      <c r="L15" s="9">
        <v>127748159.58241999</v>
      </c>
      <c r="M15" s="9">
        <v>137423170.35424</v>
      </c>
      <c r="N15" s="9">
        <v>139604156.51994002</v>
      </c>
      <c r="O15" s="9">
        <v>133568799.75560001</v>
      </c>
      <c r="P15" s="9">
        <v>159740187.21436</v>
      </c>
      <c r="Q15" s="9">
        <v>165708529.04087001</v>
      </c>
      <c r="R15" s="9">
        <v>172532008.24164</v>
      </c>
      <c r="S15" s="9">
        <v>164201689.39971998</v>
      </c>
      <c r="T15" s="9">
        <v>147528337.05300999</v>
      </c>
      <c r="U15" s="9">
        <v>136789581.16312</v>
      </c>
      <c r="V15" s="9">
        <v>120026284.82756999</v>
      </c>
      <c r="W15" s="9">
        <v>112496586.29064001</v>
      </c>
      <c r="X15" s="9">
        <v>97578612.558480009</v>
      </c>
      <c r="Y15" s="9">
        <v>103351964.75036001</v>
      </c>
      <c r="Z15" s="9">
        <v>102801428.6927</v>
      </c>
      <c r="AA15" s="9">
        <v>94460834.746950001</v>
      </c>
      <c r="AB15" s="9">
        <v>101165331.3038</v>
      </c>
      <c r="AC15" s="9">
        <v>102120786.57625</v>
      </c>
      <c r="AD15" s="9">
        <v>104564231.6691</v>
      </c>
      <c r="AE15" s="9">
        <v>98610016.028040007</v>
      </c>
      <c r="AF15" s="9">
        <v>93181171.330799997</v>
      </c>
      <c r="AG15" s="9">
        <v>92665856.943800002</v>
      </c>
      <c r="AH15" s="9">
        <v>88138084.445499986</v>
      </c>
      <c r="AI15" s="9">
        <v>84516308.019999996</v>
      </c>
      <c r="AJ15" s="9">
        <v>74094123.836380005</v>
      </c>
      <c r="AK15" s="9">
        <v>77834912.391580001</v>
      </c>
      <c r="AL15" s="9">
        <v>77076010</v>
      </c>
      <c r="AM15" s="9">
        <v>74757420</v>
      </c>
      <c r="AN15" s="9">
        <v>71012510</v>
      </c>
      <c r="AO15" s="9">
        <v>66807278.838339999</v>
      </c>
      <c r="AP15" s="9">
        <v>65502600.653239995</v>
      </c>
      <c r="AQ15" s="9">
        <v>65874864.926300004</v>
      </c>
    </row>
    <row r="16" spans="1:43" x14ac:dyDescent="0.25">
      <c r="A16" s="6" t="s">
        <v>46</v>
      </c>
      <c r="B16" s="9">
        <v>50063121.659120008</v>
      </c>
      <c r="C16" s="9">
        <v>50489611.224160001</v>
      </c>
      <c r="D16" s="9">
        <v>52231409.644480005</v>
      </c>
      <c r="E16" s="9">
        <v>51844474.475949995</v>
      </c>
      <c r="F16" s="9">
        <v>52184997.748789996</v>
      </c>
      <c r="G16" s="9">
        <v>52251913.548920006</v>
      </c>
      <c r="H16" s="9">
        <v>51781262.410320006</v>
      </c>
      <c r="I16" s="9">
        <v>51845426.51744999</v>
      </c>
      <c r="J16" s="9">
        <v>50584585.294189997</v>
      </c>
      <c r="K16" s="9">
        <v>49138327.401539996</v>
      </c>
      <c r="L16" s="9">
        <v>47159809.312880009</v>
      </c>
      <c r="M16" s="9">
        <v>45111815.116470002</v>
      </c>
      <c r="N16" s="9">
        <v>42479533.785319999</v>
      </c>
      <c r="O16" s="9">
        <v>40164818.027399994</v>
      </c>
      <c r="P16" s="9">
        <v>39335841.651939996</v>
      </c>
      <c r="Q16" s="9">
        <v>37960966.374010004</v>
      </c>
      <c r="R16" s="9">
        <v>36553341.569079995</v>
      </c>
      <c r="S16" s="9">
        <v>35186617.89102</v>
      </c>
      <c r="T16" s="9">
        <v>33329890.137879997</v>
      </c>
      <c r="U16" s="9">
        <v>32591926.631200001</v>
      </c>
      <c r="V16" s="9">
        <v>31855716.550700001</v>
      </c>
      <c r="W16" s="9">
        <v>30935167.786960002</v>
      </c>
      <c r="X16" s="9">
        <v>29499843.094840005</v>
      </c>
      <c r="Y16" s="9">
        <v>28236836.993159998</v>
      </c>
      <c r="Z16" s="9">
        <v>27285716.001380004</v>
      </c>
      <c r="AA16" s="9">
        <v>26254688.850650001</v>
      </c>
      <c r="AB16" s="9">
        <v>26066052.326800004</v>
      </c>
      <c r="AC16" s="9">
        <v>25601394.178499997</v>
      </c>
      <c r="AD16" s="9">
        <v>25373270.636279996</v>
      </c>
      <c r="AE16" s="9">
        <v>24822120.271639999</v>
      </c>
      <c r="AF16" s="9">
        <v>24014929.939449996</v>
      </c>
      <c r="AG16" s="9">
        <v>24063382.181449998</v>
      </c>
      <c r="AH16" s="9">
        <v>23643472.4307</v>
      </c>
      <c r="AI16" s="9">
        <v>23402092.359999996</v>
      </c>
      <c r="AJ16" s="9">
        <v>23316910.880000003</v>
      </c>
      <c r="AK16" s="9">
        <v>24780584.991369996</v>
      </c>
      <c r="AL16" s="9">
        <v>27488630</v>
      </c>
      <c r="AM16" s="9">
        <v>30418290</v>
      </c>
      <c r="AN16" s="9">
        <v>33080390</v>
      </c>
      <c r="AO16" s="9">
        <v>37000140.227019995</v>
      </c>
      <c r="AP16" s="9">
        <v>40691492.801939994</v>
      </c>
      <c r="AQ16" s="9">
        <v>44574570.854199998</v>
      </c>
    </row>
    <row r="17" spans="1:43" x14ac:dyDescent="0.25">
      <c r="A17" s="7" t="s">
        <v>0</v>
      </c>
      <c r="B17" s="9">
        <v>46674944.999280006</v>
      </c>
      <c r="C17" s="9">
        <v>47574523.75434</v>
      </c>
      <c r="D17" s="9">
        <v>49554653.999340005</v>
      </c>
      <c r="E17" s="9">
        <v>49252377.228949994</v>
      </c>
      <c r="F17" s="9">
        <v>49919508.194589995</v>
      </c>
      <c r="G17" s="9">
        <v>50041766.334520005</v>
      </c>
      <c r="H17" s="9">
        <v>49123734.503200009</v>
      </c>
      <c r="I17" s="9">
        <v>47902202.889799997</v>
      </c>
      <c r="J17" s="9">
        <v>46783631.209999993</v>
      </c>
      <c r="K17" s="9">
        <v>45034259.960000001</v>
      </c>
      <c r="L17" s="9">
        <v>43931616.630000003</v>
      </c>
      <c r="M17" s="9">
        <v>41857522.82</v>
      </c>
      <c r="N17" s="9">
        <v>38636075.5</v>
      </c>
      <c r="O17" s="9">
        <v>36710841.189999998</v>
      </c>
      <c r="P17" s="9">
        <v>35586837.659999996</v>
      </c>
      <c r="Q17" s="9">
        <v>34585607.890000001</v>
      </c>
      <c r="R17" s="9">
        <v>32772706.110539999</v>
      </c>
      <c r="S17" s="9">
        <v>31874812.739289999</v>
      </c>
      <c r="T17" s="9">
        <v>30641696.818769999</v>
      </c>
      <c r="U17" s="9">
        <v>30233977.51568</v>
      </c>
      <c r="V17" s="9">
        <v>29738490.964230001</v>
      </c>
      <c r="W17" s="9">
        <v>29062585.223520003</v>
      </c>
      <c r="X17" s="9">
        <v>27785772.574980006</v>
      </c>
      <c r="Y17" s="9">
        <v>26302389.753159996</v>
      </c>
      <c r="Z17" s="9">
        <v>25312433.431380004</v>
      </c>
      <c r="AA17" s="9">
        <v>24385656.860650003</v>
      </c>
      <c r="AB17" s="9">
        <v>23920531.946800001</v>
      </c>
      <c r="AC17" s="9">
        <v>23421190.6085</v>
      </c>
      <c r="AD17" s="9">
        <v>23154931.826279998</v>
      </c>
      <c r="AE17" s="9">
        <v>22811500.901639998</v>
      </c>
      <c r="AF17" s="9">
        <v>22308845.429449998</v>
      </c>
      <c r="AG17" s="9">
        <v>22291830.361449998</v>
      </c>
      <c r="AH17" s="9">
        <v>22045859.500700001</v>
      </c>
      <c r="AI17" s="9">
        <v>21831129.289999999</v>
      </c>
      <c r="AJ17" s="9">
        <v>21974247.740000002</v>
      </c>
      <c r="AK17" s="9">
        <v>23365291.831369996</v>
      </c>
      <c r="AL17" s="9">
        <v>26038350</v>
      </c>
      <c r="AM17" s="9">
        <v>29027900</v>
      </c>
      <c r="AN17" s="9">
        <v>31726450</v>
      </c>
      <c r="AO17" s="9">
        <v>35634593.487019993</v>
      </c>
      <c r="AP17" s="9">
        <v>39462902.771939993</v>
      </c>
      <c r="AQ17" s="9">
        <v>43192049.334199995</v>
      </c>
    </row>
    <row r="18" spans="1:43" x14ac:dyDescent="0.25">
      <c r="A18" s="7" t="s">
        <v>1</v>
      </c>
      <c r="B18" s="9">
        <v>385243.31</v>
      </c>
      <c r="C18" s="9">
        <v>383926.41</v>
      </c>
      <c r="D18" s="9">
        <v>459059.32</v>
      </c>
      <c r="E18" s="9">
        <v>492489.01</v>
      </c>
      <c r="F18" s="9">
        <v>486449.64</v>
      </c>
      <c r="G18" s="9">
        <v>419016.28</v>
      </c>
      <c r="H18" s="9">
        <v>423856.86</v>
      </c>
      <c r="I18" s="9">
        <v>371969.16</v>
      </c>
      <c r="J18" s="9">
        <v>332159.34000000003</v>
      </c>
      <c r="K18" s="9">
        <v>271231.15000000002</v>
      </c>
      <c r="L18" s="9">
        <v>226849.59</v>
      </c>
      <c r="M18" s="9">
        <v>197560.38</v>
      </c>
      <c r="N18" s="9">
        <v>164812.45000000001</v>
      </c>
      <c r="O18" s="9">
        <v>125354.29</v>
      </c>
      <c r="P18" s="9">
        <v>167276.85999999999</v>
      </c>
      <c r="Q18" s="9">
        <v>257513.34</v>
      </c>
      <c r="R18" s="9">
        <v>568458.73</v>
      </c>
      <c r="S18" s="9">
        <v>647919.68999999994</v>
      </c>
      <c r="T18" s="9">
        <v>727841.82</v>
      </c>
      <c r="U18" s="9">
        <v>664571.05000000005</v>
      </c>
      <c r="V18" s="9">
        <v>722472.97</v>
      </c>
      <c r="W18" s="9">
        <v>670139.47</v>
      </c>
      <c r="X18" s="9">
        <v>741259.16</v>
      </c>
      <c r="Y18" s="9">
        <v>767776.71</v>
      </c>
      <c r="Z18" s="9">
        <v>777704.75</v>
      </c>
      <c r="AA18" s="9">
        <v>767395.09</v>
      </c>
      <c r="AB18" s="9">
        <v>798649.94</v>
      </c>
      <c r="AC18" s="9">
        <v>749708.15</v>
      </c>
      <c r="AD18" s="9">
        <v>684813.54</v>
      </c>
      <c r="AE18" s="9">
        <v>636112.76</v>
      </c>
      <c r="AF18" s="9">
        <v>598789.56000000006</v>
      </c>
      <c r="AG18" s="9">
        <v>549656.26</v>
      </c>
      <c r="AH18" s="9">
        <v>554291.77</v>
      </c>
      <c r="AI18" s="9">
        <v>540074.74</v>
      </c>
      <c r="AJ18" s="9">
        <v>488353.54</v>
      </c>
      <c r="AK18" s="9">
        <v>479025.79</v>
      </c>
      <c r="AL18" s="9">
        <v>426010</v>
      </c>
      <c r="AM18" s="9">
        <v>403850</v>
      </c>
      <c r="AN18" s="9">
        <v>393530</v>
      </c>
      <c r="AO18" s="9">
        <v>316767.45</v>
      </c>
      <c r="AP18" s="9">
        <v>314417.61</v>
      </c>
      <c r="AQ18" s="9">
        <v>348105.05999999994</v>
      </c>
    </row>
    <row r="19" spans="1:43" x14ac:dyDescent="0.25">
      <c r="A19" s="7" t="s">
        <v>45</v>
      </c>
      <c r="B19" s="9">
        <v>3002933.3498399998</v>
      </c>
      <c r="C19" s="9">
        <v>2531161.0598200001</v>
      </c>
      <c r="D19" s="9">
        <v>2217696.3251399999</v>
      </c>
      <c r="E19" s="9">
        <v>2099608.2370000002</v>
      </c>
      <c r="F19" s="9">
        <v>1779039.9141999998</v>
      </c>
      <c r="G19" s="9">
        <v>1791130.9343999999</v>
      </c>
      <c r="H19" s="9">
        <v>2233671.0471199998</v>
      </c>
      <c r="I19" s="9">
        <v>3571254.4676499995</v>
      </c>
      <c r="J19" s="9">
        <v>3468794.74419</v>
      </c>
      <c r="K19" s="9">
        <v>3832836.2915399997</v>
      </c>
      <c r="L19" s="9">
        <v>3001343.0928799994</v>
      </c>
      <c r="M19" s="9">
        <v>3056731.9164699996</v>
      </c>
      <c r="N19" s="9">
        <v>3678645.8353199996</v>
      </c>
      <c r="O19" s="9">
        <v>3328622.5474</v>
      </c>
      <c r="P19" s="9">
        <v>3581727.1319399998</v>
      </c>
      <c r="Q19" s="9">
        <v>3117845.1440099995</v>
      </c>
      <c r="R19" s="9">
        <v>3212176.72854</v>
      </c>
      <c r="S19" s="9">
        <v>2663885.4617300001</v>
      </c>
      <c r="T19" s="9">
        <v>1960351.4991100002</v>
      </c>
      <c r="U19" s="9">
        <v>1693378.0655200002</v>
      </c>
      <c r="V19" s="9">
        <v>1394752.61647</v>
      </c>
      <c r="W19" s="9">
        <v>1202443.0934399997</v>
      </c>
      <c r="X19" s="9">
        <v>972811.35985999997</v>
      </c>
      <c r="Y19" s="9">
        <v>1166670.5299999998</v>
      </c>
      <c r="Z19" s="9">
        <v>1195577.8199999998</v>
      </c>
      <c r="AA19" s="9">
        <v>1101636.8999999999</v>
      </c>
      <c r="AB19" s="9">
        <v>1346870.4400000002</v>
      </c>
      <c r="AC19" s="9">
        <v>1430495.42</v>
      </c>
      <c r="AD19" s="9">
        <v>1533525.27</v>
      </c>
      <c r="AE19" s="9">
        <v>1374506.61</v>
      </c>
      <c r="AF19" s="9">
        <v>1107294.95</v>
      </c>
      <c r="AG19" s="9">
        <v>1221895.56</v>
      </c>
      <c r="AH19" s="9">
        <v>1043321.16</v>
      </c>
      <c r="AI19" s="9">
        <v>1030888.33</v>
      </c>
      <c r="AJ19" s="9">
        <v>854309.6</v>
      </c>
      <c r="AK19" s="9">
        <v>936267.36999999988</v>
      </c>
      <c r="AL19" s="9">
        <v>1024270</v>
      </c>
      <c r="AM19" s="9">
        <v>986540</v>
      </c>
      <c r="AN19" s="9">
        <v>960410</v>
      </c>
      <c r="AO19" s="9">
        <v>1048779.29</v>
      </c>
      <c r="AP19" s="9">
        <v>914172.42</v>
      </c>
      <c r="AQ19" s="9">
        <v>1034416.4600000001</v>
      </c>
    </row>
    <row r="20" spans="1:43" x14ac:dyDescent="0.25">
      <c r="A20" s="6" t="s">
        <v>48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</row>
    <row r="21" spans="1:43" x14ac:dyDescent="0.25">
      <c r="A21" s="7" t="s">
        <v>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</row>
    <row r="22" spans="1:43" x14ac:dyDescent="0.25">
      <c r="A22" s="7" t="s">
        <v>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</row>
    <row r="23" spans="1:43" x14ac:dyDescent="0.25">
      <c r="A23" s="7" t="s">
        <v>45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</row>
    <row r="24" spans="1:43" x14ac:dyDescent="0.25">
      <c r="A24" s="5" t="s">
        <v>52</v>
      </c>
      <c r="B24" s="9">
        <v>3257026122.5972795</v>
      </c>
      <c r="C24" s="9">
        <v>3323336932.9663301</v>
      </c>
      <c r="D24" s="9">
        <v>3434933467.0636005</v>
      </c>
      <c r="E24" s="9">
        <v>3534434325.6033201</v>
      </c>
      <c r="F24" s="9">
        <v>3604900735.6830201</v>
      </c>
      <c r="G24" s="9">
        <v>3659769241.7115006</v>
      </c>
      <c r="H24" s="9">
        <v>3716600776.2641907</v>
      </c>
      <c r="I24" s="9">
        <v>3798217625.03368</v>
      </c>
      <c r="J24" s="9">
        <v>3913048180.1978741</v>
      </c>
      <c r="K24" s="9">
        <v>3906460711.7450495</v>
      </c>
      <c r="L24" s="9">
        <v>3890616862.1746197</v>
      </c>
      <c r="M24" s="9">
        <v>3840128033.7537994</v>
      </c>
      <c r="N24" s="9">
        <v>3783620925.2553201</v>
      </c>
      <c r="O24" s="9">
        <v>3705769929.0476599</v>
      </c>
      <c r="P24" s="9">
        <v>3635142238.9552808</v>
      </c>
      <c r="Q24" s="9">
        <v>3582356739.5957599</v>
      </c>
      <c r="R24" s="9">
        <v>3495879632.8333998</v>
      </c>
      <c r="S24" s="9">
        <v>3393360906.20328</v>
      </c>
      <c r="T24" s="9">
        <v>3284275894.4636602</v>
      </c>
      <c r="U24" s="9">
        <v>3195070844.1630101</v>
      </c>
      <c r="V24" s="9">
        <v>3157385394.2670393</v>
      </c>
      <c r="W24" s="9">
        <v>3112836142.1875</v>
      </c>
      <c r="X24" s="9">
        <v>3071378052.3625603</v>
      </c>
      <c r="Y24" s="9">
        <v>3035707169.7172003</v>
      </c>
      <c r="Z24" s="9">
        <v>3011220757.3901701</v>
      </c>
      <c r="AA24" s="9">
        <v>3006586420.4549999</v>
      </c>
      <c r="AB24" s="9">
        <v>3007993539.84587</v>
      </c>
      <c r="AC24" s="9">
        <v>3015793576.6913404</v>
      </c>
      <c r="AD24" s="9">
        <v>3015488627.2456007</v>
      </c>
      <c r="AE24" s="9">
        <v>3016292911.2079196</v>
      </c>
      <c r="AF24" s="9">
        <v>3012239526.9162397</v>
      </c>
      <c r="AG24" s="9">
        <v>3039474140.5726004</v>
      </c>
      <c r="AH24" s="9">
        <v>3067021187.6778097</v>
      </c>
      <c r="AI24" s="9">
        <v>3118496941.4302402</v>
      </c>
      <c r="AJ24" s="9">
        <v>3157156611.35812</v>
      </c>
      <c r="AK24" s="9">
        <v>3166948110.2867794</v>
      </c>
      <c r="AL24" s="9">
        <v>3183537640</v>
      </c>
      <c r="AM24" s="9">
        <v>3235569920</v>
      </c>
      <c r="AN24" s="9">
        <v>3298380190</v>
      </c>
      <c r="AO24" s="9">
        <v>3328038127.6888199</v>
      </c>
      <c r="AP24" s="9">
        <v>3379158198.0137005</v>
      </c>
      <c r="AQ24" s="9">
        <v>3466118327.5588007</v>
      </c>
    </row>
    <row r="25" spans="1:43" x14ac:dyDescent="0.25">
      <c r="A25" s="6" t="s">
        <v>49</v>
      </c>
      <c r="B25" s="9">
        <v>776879153.12559998</v>
      </c>
      <c r="C25" s="9">
        <v>790387731.77339983</v>
      </c>
      <c r="D25" s="9">
        <v>815974466.87119997</v>
      </c>
      <c r="E25" s="9">
        <v>839498749.13810003</v>
      </c>
      <c r="F25" s="9">
        <v>859936525.19559991</v>
      </c>
      <c r="G25" s="9">
        <v>874428603.19799995</v>
      </c>
      <c r="H25" s="9">
        <v>897032826.25929999</v>
      </c>
      <c r="I25" s="9">
        <v>926540570.02661991</v>
      </c>
      <c r="J25" s="9">
        <v>962979152.06980407</v>
      </c>
      <c r="K25" s="9">
        <v>975310428.98125005</v>
      </c>
      <c r="L25" s="9">
        <v>981740485.17837989</v>
      </c>
      <c r="M25" s="9">
        <v>984648889.03543997</v>
      </c>
      <c r="N25" s="9">
        <v>976438804.87108004</v>
      </c>
      <c r="O25" s="9">
        <v>965873396.4690001</v>
      </c>
      <c r="P25" s="9">
        <v>962458066.86233008</v>
      </c>
      <c r="Q25" s="9">
        <v>952358496.61241996</v>
      </c>
      <c r="R25" s="9">
        <v>942584556.60329998</v>
      </c>
      <c r="S25" s="9">
        <v>924985953.55616009</v>
      </c>
      <c r="T25" s="9">
        <v>904896112.84782004</v>
      </c>
      <c r="U25" s="9">
        <v>895132793.8583101</v>
      </c>
      <c r="V25" s="9">
        <v>891893632.73614001</v>
      </c>
      <c r="W25" s="9">
        <v>897560219.48277998</v>
      </c>
      <c r="X25" s="9">
        <v>905960874.07073998</v>
      </c>
      <c r="Y25" s="9">
        <v>920839337.18044996</v>
      </c>
      <c r="Z25" s="9">
        <v>928242255.84938002</v>
      </c>
      <c r="AA25" s="9">
        <v>943403205.48600018</v>
      </c>
      <c r="AB25" s="9">
        <v>964244847.5788101</v>
      </c>
      <c r="AC25" s="9">
        <v>982984711.88261008</v>
      </c>
      <c r="AD25" s="9">
        <v>1004580587.3168002</v>
      </c>
      <c r="AE25" s="9">
        <v>1024410442.1141599</v>
      </c>
      <c r="AF25" s="9">
        <v>1034511884.65416</v>
      </c>
      <c r="AG25" s="9">
        <v>1053845042.4404501</v>
      </c>
      <c r="AH25" s="9">
        <v>1086258232.1361701</v>
      </c>
      <c r="AI25" s="9">
        <v>1135598093.29054</v>
      </c>
      <c r="AJ25" s="9">
        <v>1177881315.8737803</v>
      </c>
      <c r="AK25" s="9">
        <v>1202369703.2223399</v>
      </c>
      <c r="AL25" s="9">
        <v>1212418340</v>
      </c>
      <c r="AM25" s="9">
        <v>1240879090</v>
      </c>
      <c r="AN25" s="9">
        <v>1283663280</v>
      </c>
      <c r="AO25" s="9">
        <v>1300435174.8933597</v>
      </c>
      <c r="AP25" s="9">
        <v>1323112720.4528201</v>
      </c>
      <c r="AQ25" s="9">
        <v>1368388037.9536998</v>
      </c>
    </row>
    <row r="26" spans="1:43" x14ac:dyDescent="0.25">
      <c r="A26" s="7" t="s">
        <v>0</v>
      </c>
      <c r="B26" s="9">
        <v>775624024.71560001</v>
      </c>
      <c r="C26" s="9">
        <v>789194877.72339988</v>
      </c>
      <c r="D26" s="9">
        <v>814833220.44120002</v>
      </c>
      <c r="E26" s="9">
        <v>838408073.84809995</v>
      </c>
      <c r="F26" s="9">
        <v>858979052.69559991</v>
      </c>
      <c r="G26" s="9">
        <v>873350512.47800004</v>
      </c>
      <c r="H26" s="9">
        <v>895880658.46579993</v>
      </c>
      <c r="I26" s="9">
        <v>925058035.40629995</v>
      </c>
      <c r="J26" s="9">
        <v>960997384.88141406</v>
      </c>
      <c r="K26" s="9">
        <v>972825181.66589999</v>
      </c>
      <c r="L26" s="9">
        <v>979070482.7529</v>
      </c>
      <c r="M26" s="9">
        <v>981603909.62839997</v>
      </c>
      <c r="N26" s="9">
        <v>972300648.42460001</v>
      </c>
      <c r="O26" s="9">
        <v>960568539.61820006</v>
      </c>
      <c r="P26" s="9">
        <v>954292335.5359</v>
      </c>
      <c r="Q26" s="9">
        <v>937493924.53289998</v>
      </c>
      <c r="R26" s="9">
        <v>919900109.11220002</v>
      </c>
      <c r="S26" s="9">
        <v>898571429.83880007</v>
      </c>
      <c r="T26" s="9">
        <v>880152591.85600007</v>
      </c>
      <c r="U26" s="9">
        <v>872638569.76770008</v>
      </c>
      <c r="V26" s="9">
        <v>869198212.60430002</v>
      </c>
      <c r="W26" s="9">
        <v>878775169.81630003</v>
      </c>
      <c r="X26" s="9">
        <v>889103698.65429997</v>
      </c>
      <c r="Y26" s="9">
        <v>906526459.05369997</v>
      </c>
      <c r="Z26" s="9">
        <v>911746990.74720001</v>
      </c>
      <c r="AA26" s="9">
        <v>928636394.21400011</v>
      </c>
      <c r="AB26" s="9">
        <v>952989859.41970003</v>
      </c>
      <c r="AC26" s="9">
        <v>972911389.79840004</v>
      </c>
      <c r="AD26" s="9">
        <v>994209435.79400015</v>
      </c>
      <c r="AE26" s="9">
        <v>1013336786.0666</v>
      </c>
      <c r="AF26" s="9">
        <v>1023260086.5803</v>
      </c>
      <c r="AG26" s="9">
        <v>1041141411.2174001</v>
      </c>
      <c r="AH26" s="9">
        <v>1072653121.6473</v>
      </c>
      <c r="AI26" s="9">
        <v>1120960412.0239</v>
      </c>
      <c r="AJ26" s="9">
        <v>1163832062.6330001</v>
      </c>
      <c r="AK26" s="9">
        <v>1188388989.8202</v>
      </c>
      <c r="AL26" s="9">
        <v>1195622680</v>
      </c>
      <c r="AM26" s="9">
        <v>1223169350</v>
      </c>
      <c r="AN26" s="9">
        <v>1266333580</v>
      </c>
      <c r="AO26" s="9">
        <v>1283202351.2269795</v>
      </c>
      <c r="AP26" s="9">
        <v>1306208507.8526301</v>
      </c>
      <c r="AQ26" s="9">
        <v>1349717388.8920498</v>
      </c>
    </row>
    <row r="27" spans="1:43" x14ac:dyDescent="0.25">
      <c r="A27" s="7" t="s">
        <v>1</v>
      </c>
      <c r="B27" s="9">
        <v>342098.23</v>
      </c>
      <c r="C27" s="9">
        <v>344291.91</v>
      </c>
      <c r="D27" s="9">
        <v>329786.53999999998</v>
      </c>
      <c r="E27" s="9">
        <v>319027.46000000002</v>
      </c>
      <c r="F27" s="9">
        <v>274832.11</v>
      </c>
      <c r="G27" s="9">
        <v>266512.43</v>
      </c>
      <c r="H27" s="9">
        <v>217091.22</v>
      </c>
      <c r="I27" s="9">
        <v>208592.37</v>
      </c>
      <c r="J27" s="9">
        <v>314025.90999999997</v>
      </c>
      <c r="K27" s="9">
        <v>399417.25</v>
      </c>
      <c r="L27" s="9">
        <v>392383.81</v>
      </c>
      <c r="M27" s="9">
        <v>385538.63</v>
      </c>
      <c r="N27" s="9">
        <v>385698.32</v>
      </c>
      <c r="O27" s="9">
        <v>451762.44</v>
      </c>
      <c r="P27" s="9">
        <v>347394.09</v>
      </c>
      <c r="Q27" s="9">
        <v>584131.73</v>
      </c>
      <c r="R27" s="9">
        <v>918554.41</v>
      </c>
      <c r="S27" s="9">
        <v>1434933.99</v>
      </c>
      <c r="T27" s="9">
        <v>1800374.66</v>
      </c>
      <c r="U27" s="9">
        <v>2001809.28</v>
      </c>
      <c r="V27" s="9">
        <v>2494085.33</v>
      </c>
      <c r="W27" s="9">
        <v>2468763.04</v>
      </c>
      <c r="X27" s="9">
        <v>2488955.5</v>
      </c>
      <c r="Y27" s="9">
        <v>2239458.48</v>
      </c>
      <c r="Z27" s="9">
        <v>2242490.67</v>
      </c>
      <c r="AA27" s="9">
        <v>2361184.96</v>
      </c>
      <c r="AB27" s="9">
        <v>2346553.35</v>
      </c>
      <c r="AC27" s="9">
        <v>2313941.75</v>
      </c>
      <c r="AD27" s="9">
        <v>2283321.08</v>
      </c>
      <c r="AE27" s="9">
        <v>2376264.54</v>
      </c>
      <c r="AF27" s="9">
        <v>2558997.7000000002</v>
      </c>
      <c r="AG27" s="9">
        <v>2841547.58</v>
      </c>
      <c r="AH27" s="9">
        <v>3051725.69</v>
      </c>
      <c r="AI27" s="9">
        <v>3184704.96</v>
      </c>
      <c r="AJ27" s="9">
        <v>3244202.23</v>
      </c>
      <c r="AK27" s="9">
        <v>3032971.76</v>
      </c>
      <c r="AL27" s="9">
        <v>3077290</v>
      </c>
      <c r="AM27" s="9">
        <v>3064260</v>
      </c>
      <c r="AN27" s="9">
        <v>2948290</v>
      </c>
      <c r="AO27" s="9">
        <v>3062416.6699999985</v>
      </c>
      <c r="AP27" s="9">
        <v>3259114.28</v>
      </c>
      <c r="AQ27" s="9">
        <v>3306986.2599999988</v>
      </c>
    </row>
    <row r="28" spans="1:43" x14ac:dyDescent="0.25">
      <c r="A28" s="7" t="s">
        <v>45</v>
      </c>
      <c r="B28" s="9">
        <v>913030.18</v>
      </c>
      <c r="C28" s="9">
        <v>848562.14</v>
      </c>
      <c r="D28" s="9">
        <v>811459.89</v>
      </c>
      <c r="E28" s="9">
        <v>771647.83000000007</v>
      </c>
      <c r="F28" s="9">
        <v>682640.39</v>
      </c>
      <c r="G28" s="9">
        <v>811578.28999999992</v>
      </c>
      <c r="H28" s="9">
        <v>935076.57350000006</v>
      </c>
      <c r="I28" s="9">
        <v>1273942.2503200001</v>
      </c>
      <c r="J28" s="9">
        <v>1667741.2783900001</v>
      </c>
      <c r="K28" s="9">
        <v>2085830.06535</v>
      </c>
      <c r="L28" s="9">
        <v>2277618.6154800002</v>
      </c>
      <c r="M28" s="9">
        <v>2659440.7770399996</v>
      </c>
      <c r="N28" s="9">
        <v>3752458.1264800001</v>
      </c>
      <c r="O28" s="9">
        <v>4853094.4107999997</v>
      </c>
      <c r="P28" s="9">
        <v>7818337.2364300005</v>
      </c>
      <c r="Q28" s="9">
        <v>14280440.34952</v>
      </c>
      <c r="R28" s="9">
        <v>21765893.081100006</v>
      </c>
      <c r="S28" s="9">
        <v>24979589.727359999</v>
      </c>
      <c r="T28" s="9">
        <v>22943146.331820004</v>
      </c>
      <c r="U28" s="9">
        <v>20492414.81061</v>
      </c>
      <c r="V28" s="9">
        <v>20201334.80184</v>
      </c>
      <c r="W28" s="9">
        <v>16316286.626479998</v>
      </c>
      <c r="X28" s="9">
        <v>14368219.916440001</v>
      </c>
      <c r="Y28" s="9">
        <v>12073419.646750001</v>
      </c>
      <c r="Z28" s="9">
        <v>14252774.432180002</v>
      </c>
      <c r="AA28" s="9">
        <v>12405626.312000001</v>
      </c>
      <c r="AB28" s="9">
        <v>8908434.8091100026</v>
      </c>
      <c r="AC28" s="9">
        <v>7759380.33421</v>
      </c>
      <c r="AD28" s="9">
        <v>8087830.4427999994</v>
      </c>
      <c r="AE28" s="9">
        <v>8697391.5075599998</v>
      </c>
      <c r="AF28" s="9">
        <v>8692800.3738599997</v>
      </c>
      <c r="AG28" s="9">
        <v>9862083.6430500019</v>
      </c>
      <c r="AH28" s="9">
        <v>10553384.798870001</v>
      </c>
      <c r="AI28" s="9">
        <v>11452976.306640001</v>
      </c>
      <c r="AJ28" s="9">
        <v>10805051.010779999</v>
      </c>
      <c r="AK28" s="9">
        <v>10947741.642139999</v>
      </c>
      <c r="AL28" s="9">
        <v>13718370</v>
      </c>
      <c r="AM28" s="9">
        <v>14645480</v>
      </c>
      <c r="AN28" s="9">
        <v>14381410</v>
      </c>
      <c r="AO28" s="9">
        <v>14170406.996380007</v>
      </c>
      <c r="AP28" s="9">
        <v>13645098.320190001</v>
      </c>
      <c r="AQ28" s="9">
        <v>15363662.801650006</v>
      </c>
    </row>
    <row r="29" spans="1:43" x14ac:dyDescent="0.25">
      <c r="A29" s="6" t="s">
        <v>47</v>
      </c>
      <c r="B29" s="9">
        <v>2430545060.2809296</v>
      </c>
      <c r="C29" s="9">
        <v>2482947807.2743902</v>
      </c>
      <c r="D29" s="9">
        <v>2567645783.9838004</v>
      </c>
      <c r="E29" s="9">
        <v>2642835183.9353399</v>
      </c>
      <c r="F29" s="9">
        <v>2692995980.8029399</v>
      </c>
      <c r="G29" s="9">
        <v>2733326083.3080006</v>
      </c>
      <c r="H29" s="9">
        <v>2767862705.5080104</v>
      </c>
      <c r="I29" s="9">
        <v>2820216538.71106</v>
      </c>
      <c r="J29" s="9">
        <v>2898364032.5525799</v>
      </c>
      <c r="K29" s="9">
        <v>2881219060.5924497</v>
      </c>
      <c r="L29" s="9">
        <v>2861073206.5684595</v>
      </c>
      <c r="M29" s="9">
        <v>2809671454.4996295</v>
      </c>
      <c r="N29" s="9">
        <v>2763274661.71136</v>
      </c>
      <c r="O29" s="9">
        <v>2698312052.9854198</v>
      </c>
      <c r="P29" s="9">
        <v>2632730974.2708206</v>
      </c>
      <c r="Q29" s="9">
        <v>2590999536.6683798</v>
      </c>
      <c r="R29" s="9">
        <v>2516052887.2234998</v>
      </c>
      <c r="S29" s="9">
        <v>2432492474.39362</v>
      </c>
      <c r="T29" s="9">
        <v>2345201448.2070198</v>
      </c>
      <c r="U29" s="9">
        <v>2267267333.8652201</v>
      </c>
      <c r="V29" s="9">
        <v>2233124329.6836996</v>
      </c>
      <c r="W29" s="9">
        <v>2183930037.4409599</v>
      </c>
      <c r="X29" s="9">
        <v>2135292098.9159801</v>
      </c>
      <c r="Y29" s="9">
        <v>2086114634.4770501</v>
      </c>
      <c r="Z29" s="9">
        <v>2055183144.72031</v>
      </c>
      <c r="AA29" s="9">
        <v>2036105501.1639996</v>
      </c>
      <c r="AB29" s="9">
        <v>2017675772.6335998</v>
      </c>
      <c r="AC29" s="9">
        <v>2006957441.2849302</v>
      </c>
      <c r="AD29" s="9">
        <v>1985429258.4598002</v>
      </c>
      <c r="AE29" s="9">
        <v>1966791034.5537198</v>
      </c>
      <c r="AF29" s="9">
        <v>1953270457.5299399</v>
      </c>
      <c r="AG29" s="9">
        <v>1961422531.8968999</v>
      </c>
      <c r="AH29" s="9">
        <v>1956830533.0599799</v>
      </c>
      <c r="AI29" s="9">
        <v>1959355794.4789801</v>
      </c>
      <c r="AJ29" s="9">
        <v>1955954720.0443399</v>
      </c>
      <c r="AK29" s="9">
        <v>1940517192.6596198</v>
      </c>
      <c r="AL29" s="9">
        <v>1945227940</v>
      </c>
      <c r="AM29" s="9">
        <v>1965670800</v>
      </c>
      <c r="AN29" s="9">
        <v>1982705630</v>
      </c>
      <c r="AO29" s="9">
        <v>1992674479.7889001</v>
      </c>
      <c r="AP29" s="9">
        <v>2017330345.5674701</v>
      </c>
      <c r="AQ29" s="9">
        <v>2055284091.5885508</v>
      </c>
    </row>
    <row r="30" spans="1:43" x14ac:dyDescent="0.25">
      <c r="A30" s="7" t="s">
        <v>0</v>
      </c>
      <c r="B30" s="9">
        <v>2336723136.9304199</v>
      </c>
      <c r="C30" s="9">
        <v>2388059987.5044699</v>
      </c>
      <c r="D30" s="9">
        <v>2480897500.1434002</v>
      </c>
      <c r="E30" s="9">
        <v>2559234246.6996403</v>
      </c>
      <c r="F30" s="9">
        <v>2616918511.3032999</v>
      </c>
      <c r="G30" s="9">
        <v>2651190594.5170002</v>
      </c>
      <c r="H30" s="9">
        <v>2671595914.00494</v>
      </c>
      <c r="I30" s="9">
        <v>2679224206.4361601</v>
      </c>
      <c r="J30" s="9">
        <v>2727982096.1242099</v>
      </c>
      <c r="K30" s="9">
        <v>2718385026.8987999</v>
      </c>
      <c r="L30" s="9">
        <v>2708930409.8144197</v>
      </c>
      <c r="M30" s="9">
        <v>2663838871.0149298</v>
      </c>
      <c r="N30" s="9">
        <v>2590501456.3710999</v>
      </c>
      <c r="O30" s="9">
        <v>2521705150.1759</v>
      </c>
      <c r="P30" s="9">
        <v>2460625366.2593002</v>
      </c>
      <c r="Q30" s="9">
        <v>2381042954.39394</v>
      </c>
      <c r="R30" s="9">
        <v>2300679002.5421</v>
      </c>
      <c r="S30" s="9">
        <v>2211943597.8443999</v>
      </c>
      <c r="T30" s="9">
        <v>2137867709.6517</v>
      </c>
      <c r="U30" s="9">
        <v>2074186408.1521499</v>
      </c>
      <c r="V30" s="9">
        <v>2039635250.1159797</v>
      </c>
      <c r="W30" s="9">
        <v>2011431067.6624</v>
      </c>
      <c r="X30" s="9">
        <v>1977245728.72932</v>
      </c>
      <c r="Y30" s="9">
        <v>1938172533.7195501</v>
      </c>
      <c r="Z30" s="9">
        <v>1889596435.82337</v>
      </c>
      <c r="AA30" s="9">
        <v>1869440046.6679997</v>
      </c>
      <c r="AB30" s="9">
        <v>1864760226.0950499</v>
      </c>
      <c r="AC30" s="9">
        <v>1849368491.5988801</v>
      </c>
      <c r="AD30" s="9">
        <v>1829511988.4088001</v>
      </c>
      <c r="AE30" s="9">
        <v>1809205456.0245199</v>
      </c>
      <c r="AF30" s="9">
        <v>1804890750.86234</v>
      </c>
      <c r="AG30" s="9">
        <v>1814978191.9839997</v>
      </c>
      <c r="AH30" s="9">
        <v>1815248499.2920399</v>
      </c>
      <c r="AI30" s="9">
        <v>1821634783.8066599</v>
      </c>
      <c r="AJ30" s="9">
        <v>1832802857.8824999</v>
      </c>
      <c r="AK30" s="9">
        <v>1823990448.4324799</v>
      </c>
      <c r="AL30" s="9">
        <v>1822583850</v>
      </c>
      <c r="AM30" s="9">
        <v>1845963160</v>
      </c>
      <c r="AN30" s="9">
        <v>1868677590</v>
      </c>
      <c r="AO30" s="9">
        <v>1885908803.9728</v>
      </c>
      <c r="AP30" s="9">
        <v>1915412782.1370401</v>
      </c>
      <c r="AQ30" s="9">
        <v>1951710566.1728508</v>
      </c>
    </row>
    <row r="31" spans="1:43" x14ac:dyDescent="0.25">
      <c r="A31" s="7" t="s">
        <v>1</v>
      </c>
      <c r="B31" s="9">
        <v>10884510.449999999</v>
      </c>
      <c r="C31" s="9">
        <v>11284471.84</v>
      </c>
      <c r="D31" s="9">
        <v>11713634.5078</v>
      </c>
      <c r="E31" s="9">
        <v>11140393.99148</v>
      </c>
      <c r="F31" s="9">
        <v>10238007.602400001</v>
      </c>
      <c r="G31" s="9">
        <v>9451443.534500001</v>
      </c>
      <c r="H31" s="9">
        <v>8890179.2634800002</v>
      </c>
      <c r="I31" s="9">
        <v>8052628.2397600003</v>
      </c>
      <c r="J31" s="9">
        <v>7690763.8887499999</v>
      </c>
      <c r="K31" s="9">
        <v>7050344.9033000004</v>
      </c>
      <c r="L31" s="9">
        <v>6110104.2454200005</v>
      </c>
      <c r="M31" s="9">
        <v>5721741.7487899996</v>
      </c>
      <c r="N31" s="9">
        <v>5094161.87</v>
      </c>
      <c r="O31" s="9">
        <v>4735616.47</v>
      </c>
      <c r="P31" s="9">
        <v>5684980.2599999998</v>
      </c>
      <c r="Q31" s="9">
        <v>9229582.75</v>
      </c>
      <c r="R31" s="9">
        <v>18460479.059999999</v>
      </c>
      <c r="S31" s="9">
        <v>30292854.350000001</v>
      </c>
      <c r="T31" s="9">
        <v>37149103.219999999</v>
      </c>
      <c r="U31" s="9">
        <v>41046379.560000002</v>
      </c>
      <c r="V31" s="9">
        <v>42052133.219999999</v>
      </c>
      <c r="W31" s="9">
        <v>40950790.520000003</v>
      </c>
      <c r="X31" s="9">
        <v>40981279.229999997</v>
      </c>
      <c r="Y31" s="9">
        <v>41528354.200000003</v>
      </c>
      <c r="Z31" s="9">
        <v>41820288.530000001</v>
      </c>
      <c r="AA31" s="9">
        <v>41058248.119999997</v>
      </c>
      <c r="AB31" s="9">
        <v>41145557</v>
      </c>
      <c r="AC31" s="9">
        <v>42970322.189999998</v>
      </c>
      <c r="AD31" s="9">
        <v>41585234.93</v>
      </c>
      <c r="AE31" s="9">
        <v>40148681.810000002</v>
      </c>
      <c r="AF31" s="9">
        <v>39106843.490000002</v>
      </c>
      <c r="AG31" s="9">
        <v>37536300.159999996</v>
      </c>
      <c r="AH31" s="9">
        <v>36883066.409999996</v>
      </c>
      <c r="AI31" s="9">
        <v>36076694.18</v>
      </c>
      <c r="AJ31" s="9">
        <v>35101537.729999997</v>
      </c>
      <c r="AK31" s="9">
        <v>35225711.600000001</v>
      </c>
      <c r="AL31" s="9">
        <v>34485850</v>
      </c>
      <c r="AM31" s="9">
        <v>33678680</v>
      </c>
      <c r="AN31" s="9">
        <v>32924300.000000004</v>
      </c>
      <c r="AO31" s="9">
        <v>32080798.409999996</v>
      </c>
      <c r="AP31" s="9">
        <v>31370099.289999992</v>
      </c>
      <c r="AQ31" s="9">
        <v>30765486.329999998</v>
      </c>
    </row>
    <row r="32" spans="1:43" x14ac:dyDescent="0.25">
      <c r="A32" s="7" t="s">
        <v>45</v>
      </c>
      <c r="B32" s="9">
        <v>82937412.900509998</v>
      </c>
      <c r="C32" s="9">
        <v>83603347.929920003</v>
      </c>
      <c r="D32" s="9">
        <v>75034649.332599998</v>
      </c>
      <c r="E32" s="9">
        <v>72460543.244220003</v>
      </c>
      <c r="F32" s="9">
        <v>65839461.897239998</v>
      </c>
      <c r="G32" s="9">
        <v>72684045.256500006</v>
      </c>
      <c r="H32" s="9">
        <v>87376612.239589989</v>
      </c>
      <c r="I32" s="9">
        <v>132939704.03514001</v>
      </c>
      <c r="J32" s="9">
        <v>162691172.53962001</v>
      </c>
      <c r="K32" s="9">
        <v>155783688.79034999</v>
      </c>
      <c r="L32" s="9">
        <v>146032692.50861999</v>
      </c>
      <c r="M32" s="9">
        <v>140110841.73591</v>
      </c>
      <c r="N32" s="9">
        <v>167679043.47025999</v>
      </c>
      <c r="O32" s="9">
        <v>171871286.33952001</v>
      </c>
      <c r="P32" s="9">
        <v>166420627.75152001</v>
      </c>
      <c r="Q32" s="9">
        <v>200726999.52444002</v>
      </c>
      <c r="R32" s="9">
        <v>196913405.62140003</v>
      </c>
      <c r="S32" s="9">
        <v>190256022.19922</v>
      </c>
      <c r="T32" s="9">
        <v>170184635.33532</v>
      </c>
      <c r="U32" s="9">
        <v>152034546.15307</v>
      </c>
      <c r="V32" s="9">
        <v>151436946.34772</v>
      </c>
      <c r="W32" s="9">
        <v>131548179.25855999</v>
      </c>
      <c r="X32" s="9">
        <v>117065090.95666</v>
      </c>
      <c r="Y32" s="9">
        <v>106413746.5575</v>
      </c>
      <c r="Z32" s="9">
        <v>123766420.36693999</v>
      </c>
      <c r="AA32" s="9">
        <v>125607206.376</v>
      </c>
      <c r="AB32" s="9">
        <v>111769989.53855</v>
      </c>
      <c r="AC32" s="9">
        <v>114618627.49605</v>
      </c>
      <c r="AD32" s="9">
        <v>114332035.12099999</v>
      </c>
      <c r="AE32" s="9">
        <v>117436896.7192</v>
      </c>
      <c r="AF32" s="9">
        <v>109272863.1776</v>
      </c>
      <c r="AG32" s="9">
        <v>108908039.7529</v>
      </c>
      <c r="AH32" s="9">
        <v>104698967.35794</v>
      </c>
      <c r="AI32" s="9">
        <v>101644316.49232</v>
      </c>
      <c r="AJ32" s="9">
        <v>88050324.431840003</v>
      </c>
      <c r="AK32" s="9">
        <v>81301032.627139986</v>
      </c>
      <c r="AL32" s="9">
        <v>88158240</v>
      </c>
      <c r="AM32" s="9">
        <v>86028960</v>
      </c>
      <c r="AN32" s="9">
        <v>81103740</v>
      </c>
      <c r="AO32" s="9">
        <v>74684877.406100005</v>
      </c>
      <c r="AP32" s="9">
        <v>70547464.140430018</v>
      </c>
      <c r="AQ32" s="9">
        <v>72808039.085700005</v>
      </c>
    </row>
    <row r="33" spans="1:43" x14ac:dyDescent="0.25">
      <c r="A33" s="6" t="s">
        <v>46</v>
      </c>
      <c r="B33" s="9">
        <v>49601909.190750003</v>
      </c>
      <c r="C33" s="9">
        <v>50001393.918540001</v>
      </c>
      <c r="D33" s="9">
        <v>51313216.208599992</v>
      </c>
      <c r="E33" s="9">
        <v>52100392.529880002</v>
      </c>
      <c r="F33" s="9">
        <v>51968229.684480011</v>
      </c>
      <c r="G33" s="9">
        <v>52014555.205499999</v>
      </c>
      <c r="H33" s="9">
        <v>51705244.49688001</v>
      </c>
      <c r="I33" s="9">
        <v>51460516.295999996</v>
      </c>
      <c r="J33" s="9">
        <v>51704995.575489998</v>
      </c>
      <c r="K33" s="9">
        <v>49931222.171350002</v>
      </c>
      <c r="L33" s="9">
        <v>47803170.427779995</v>
      </c>
      <c r="M33" s="9">
        <v>45807690.218730003</v>
      </c>
      <c r="N33" s="9">
        <v>43907458.672879994</v>
      </c>
      <c r="O33" s="9">
        <v>41584479.59324</v>
      </c>
      <c r="P33" s="9">
        <v>39953197.822130002</v>
      </c>
      <c r="Q33" s="9">
        <v>38998706.314959995</v>
      </c>
      <c r="R33" s="9">
        <v>37242189.006599993</v>
      </c>
      <c r="S33" s="9">
        <v>35882478.2535</v>
      </c>
      <c r="T33" s="9">
        <v>34178333.408820003</v>
      </c>
      <c r="U33" s="9">
        <v>32670716.439480003</v>
      </c>
      <c r="V33" s="9">
        <v>32367431.847200006</v>
      </c>
      <c r="W33" s="9">
        <v>31345885.26376</v>
      </c>
      <c r="X33" s="9">
        <v>30125079.375839997</v>
      </c>
      <c r="Y33" s="9">
        <v>28753198.059700001</v>
      </c>
      <c r="Z33" s="9">
        <v>27795356.820480004</v>
      </c>
      <c r="AA33" s="9">
        <v>27077713.805000007</v>
      </c>
      <c r="AB33" s="9">
        <v>26072919.633460004</v>
      </c>
      <c r="AC33" s="9">
        <v>25851423.523799997</v>
      </c>
      <c r="AD33" s="9">
        <v>25478781.469000001</v>
      </c>
      <c r="AE33" s="9">
        <v>25091434.540040001</v>
      </c>
      <c r="AF33" s="9">
        <v>24457184.732140001</v>
      </c>
      <c r="AG33" s="9">
        <v>24206566.23525</v>
      </c>
      <c r="AH33" s="9">
        <v>23932422.481660001</v>
      </c>
      <c r="AI33" s="9">
        <v>23543053.660719998</v>
      </c>
      <c r="AJ33" s="9">
        <v>23320575.439999998</v>
      </c>
      <c r="AK33" s="9">
        <v>24061214.404820003</v>
      </c>
      <c r="AL33" s="9">
        <v>25891360</v>
      </c>
      <c r="AM33" s="9">
        <v>29020030</v>
      </c>
      <c r="AN33" s="9">
        <v>32011280</v>
      </c>
      <c r="AO33" s="9">
        <v>34928473.006560005</v>
      </c>
      <c r="AP33" s="9">
        <v>38715131.993410006</v>
      </c>
      <c r="AQ33" s="9">
        <v>42446198.016550012</v>
      </c>
    </row>
    <row r="34" spans="1:43" x14ac:dyDescent="0.25">
      <c r="A34" s="7" t="s">
        <v>0</v>
      </c>
      <c r="B34" s="9">
        <v>45796706.714680009</v>
      </c>
      <c r="C34" s="9">
        <v>46217014.390100002</v>
      </c>
      <c r="D34" s="9">
        <v>48147803.151999995</v>
      </c>
      <c r="E34" s="9">
        <v>48941201.102679998</v>
      </c>
      <c r="F34" s="9">
        <v>49228798.822080009</v>
      </c>
      <c r="G34" s="9">
        <v>49257184.4855</v>
      </c>
      <c r="H34" s="9">
        <v>48917398.123040006</v>
      </c>
      <c r="I34" s="9">
        <v>47286637.60328</v>
      </c>
      <c r="J34" s="9">
        <v>46713818.7381</v>
      </c>
      <c r="K34" s="9">
        <v>45199799.119999997</v>
      </c>
      <c r="L34" s="9">
        <v>43896691.479999997</v>
      </c>
      <c r="M34" s="9">
        <v>42398204.390000001</v>
      </c>
      <c r="N34" s="9">
        <v>39425668.799999997</v>
      </c>
      <c r="O34" s="9">
        <v>36915884.980000004</v>
      </c>
      <c r="P34" s="9">
        <v>35933190.940000005</v>
      </c>
      <c r="Q34" s="9">
        <v>34605407.189999998</v>
      </c>
      <c r="R34" s="9">
        <v>33113433.360699996</v>
      </c>
      <c r="S34" s="9">
        <v>31995879.243269999</v>
      </c>
      <c r="T34" s="9">
        <v>30937784.372360002</v>
      </c>
      <c r="U34" s="9">
        <v>30073417.20245</v>
      </c>
      <c r="V34" s="9">
        <v>29854418.945080005</v>
      </c>
      <c r="W34" s="9">
        <v>29287351.499279998</v>
      </c>
      <c r="X34" s="9">
        <v>28284725.234099999</v>
      </c>
      <c r="Y34" s="9">
        <v>26882533.50465</v>
      </c>
      <c r="Z34" s="9">
        <v>25613232.310480006</v>
      </c>
      <c r="AA34" s="9">
        <v>24657530.495000005</v>
      </c>
      <c r="AB34" s="9">
        <v>23859957.70346</v>
      </c>
      <c r="AC34" s="9">
        <v>23497227.163799997</v>
      </c>
      <c r="AD34" s="9">
        <v>23111026.059</v>
      </c>
      <c r="AE34" s="9">
        <v>22703714.732760001</v>
      </c>
      <c r="AF34" s="9">
        <v>22384510.962140001</v>
      </c>
      <c r="AG34" s="9">
        <v>22224427.98525</v>
      </c>
      <c r="AH34" s="9">
        <v>21984325.761659998</v>
      </c>
      <c r="AI34" s="9">
        <v>21658772.910719998</v>
      </c>
      <c r="AJ34" s="9">
        <v>21700425.300000001</v>
      </c>
      <c r="AK34" s="9">
        <v>22584568.374820001</v>
      </c>
      <c r="AL34" s="9">
        <v>24245410</v>
      </c>
      <c r="AM34" s="9">
        <v>27435040</v>
      </c>
      <c r="AN34" s="9">
        <v>30457370</v>
      </c>
      <c r="AO34" s="9">
        <v>33486529.986560002</v>
      </c>
      <c r="AP34" s="9">
        <v>37336204.14365001</v>
      </c>
      <c r="AQ34" s="9">
        <v>40925243.02655001</v>
      </c>
    </row>
    <row r="35" spans="1:43" x14ac:dyDescent="0.25">
      <c r="A35" s="7" t="s">
        <v>1</v>
      </c>
      <c r="B35" s="9">
        <v>332196.23</v>
      </c>
      <c r="C35" s="9">
        <v>376926.16</v>
      </c>
      <c r="D35" s="9">
        <v>397799.61</v>
      </c>
      <c r="E35" s="9">
        <v>459603.78</v>
      </c>
      <c r="F35" s="9">
        <v>475698.25</v>
      </c>
      <c r="G35" s="9">
        <v>425987.64</v>
      </c>
      <c r="H35" s="9">
        <v>406761.07</v>
      </c>
      <c r="I35" s="9">
        <v>375392.05</v>
      </c>
      <c r="J35" s="9">
        <v>333252.11</v>
      </c>
      <c r="K35" s="9">
        <v>289023.64</v>
      </c>
      <c r="L35" s="9">
        <v>237793.22</v>
      </c>
      <c r="M35" s="9">
        <v>200452.67</v>
      </c>
      <c r="N35" s="9">
        <v>168908.66</v>
      </c>
      <c r="O35" s="9">
        <v>142827.23000000001</v>
      </c>
      <c r="P35" s="9">
        <v>129822.97</v>
      </c>
      <c r="Q35" s="9">
        <v>189929.54</v>
      </c>
      <c r="R35" s="9">
        <v>372931</v>
      </c>
      <c r="S35" s="9">
        <v>601898.31999999995</v>
      </c>
      <c r="T35" s="9">
        <v>694419.35</v>
      </c>
      <c r="U35" s="9">
        <v>632626.43999999994</v>
      </c>
      <c r="V35" s="9">
        <v>691070.6</v>
      </c>
      <c r="W35" s="9">
        <v>638284.85</v>
      </c>
      <c r="X35" s="9">
        <v>656567.09</v>
      </c>
      <c r="Y35" s="9">
        <v>716942.69</v>
      </c>
      <c r="Z35" s="9">
        <v>755625.97</v>
      </c>
      <c r="AA35" s="9">
        <v>755734.96</v>
      </c>
      <c r="AB35" s="9">
        <v>744939.01</v>
      </c>
      <c r="AC35" s="9">
        <v>728595.8</v>
      </c>
      <c r="AD35" s="9">
        <v>695325.81</v>
      </c>
      <c r="AE35" s="9">
        <v>637409.73</v>
      </c>
      <c r="AF35" s="9">
        <v>604642.07999999996</v>
      </c>
      <c r="AG35" s="9">
        <v>545449.75</v>
      </c>
      <c r="AH35" s="9">
        <v>544948.28</v>
      </c>
      <c r="AI35" s="9">
        <v>546413.44999999995</v>
      </c>
      <c r="AJ35" s="9">
        <v>494205.31</v>
      </c>
      <c r="AK35" s="9">
        <v>467046.78</v>
      </c>
      <c r="AL35" s="9">
        <v>435030</v>
      </c>
      <c r="AM35" s="9">
        <v>405060</v>
      </c>
      <c r="AN35" s="9">
        <v>394900</v>
      </c>
      <c r="AO35" s="9">
        <v>349407.69999999995</v>
      </c>
      <c r="AP35" s="9">
        <v>312799.39999999991</v>
      </c>
      <c r="AQ35" s="9">
        <v>329694.59999999998</v>
      </c>
    </row>
    <row r="36" spans="1:43" x14ac:dyDescent="0.25">
      <c r="A36" s="7" t="s">
        <v>45</v>
      </c>
      <c r="B36" s="9">
        <v>3473006.2460699999</v>
      </c>
      <c r="C36" s="9">
        <v>3407453.3684400003</v>
      </c>
      <c r="D36" s="9">
        <v>2767613.4465999999</v>
      </c>
      <c r="E36" s="9">
        <v>2699587.6472</v>
      </c>
      <c r="F36" s="9">
        <v>2263732.6124</v>
      </c>
      <c r="G36" s="9">
        <v>2331383.08</v>
      </c>
      <c r="H36" s="9">
        <v>2381085.3038400002</v>
      </c>
      <c r="I36" s="9">
        <v>3798486.6427199999</v>
      </c>
      <c r="J36" s="9">
        <v>4657924.7273900006</v>
      </c>
      <c r="K36" s="9">
        <v>4442399.4113500006</v>
      </c>
      <c r="L36" s="9">
        <v>3668685.7277799998</v>
      </c>
      <c r="M36" s="9">
        <v>3209033.1587299998</v>
      </c>
      <c r="N36" s="9">
        <v>4312881.2128799995</v>
      </c>
      <c r="O36" s="9">
        <v>4525767.3832399994</v>
      </c>
      <c r="P36" s="9">
        <v>3890183.9121299996</v>
      </c>
      <c r="Q36" s="9">
        <v>4203369.5849599997</v>
      </c>
      <c r="R36" s="9">
        <v>3755824.6458999999</v>
      </c>
      <c r="S36" s="9">
        <v>3284700.6902299998</v>
      </c>
      <c r="T36" s="9">
        <v>2546129.68646</v>
      </c>
      <c r="U36" s="9">
        <v>1964672.79703</v>
      </c>
      <c r="V36" s="9">
        <v>1821942.3021200001</v>
      </c>
      <c r="W36" s="9">
        <v>1420248.9144799998</v>
      </c>
      <c r="X36" s="9">
        <v>1183787.05174</v>
      </c>
      <c r="Y36" s="9">
        <v>1153721.8650499999</v>
      </c>
      <c r="Z36" s="9">
        <v>1426498.5399999998</v>
      </c>
      <c r="AA36" s="9">
        <v>1664448.35</v>
      </c>
      <c r="AB36" s="9">
        <v>1468022.92</v>
      </c>
      <c r="AC36" s="9">
        <v>1625600.56</v>
      </c>
      <c r="AD36" s="9">
        <v>1672429.6</v>
      </c>
      <c r="AE36" s="9">
        <v>1750310.0772800001</v>
      </c>
      <c r="AF36" s="9">
        <v>1468031.69</v>
      </c>
      <c r="AG36" s="9">
        <v>1436688.4999999998</v>
      </c>
      <c r="AH36" s="9">
        <v>1403148.44</v>
      </c>
      <c r="AI36" s="9">
        <v>1337867.3</v>
      </c>
      <c r="AJ36" s="9">
        <v>1125944.8299999998</v>
      </c>
      <c r="AK36" s="9">
        <v>1009599.25</v>
      </c>
      <c r="AL36" s="9">
        <v>1210920</v>
      </c>
      <c r="AM36" s="9">
        <v>1179930</v>
      </c>
      <c r="AN36" s="9">
        <v>1159010</v>
      </c>
      <c r="AO36" s="9">
        <v>1092535.3200000003</v>
      </c>
      <c r="AP36" s="9">
        <v>1066128.44976</v>
      </c>
      <c r="AQ36" s="9">
        <v>1191260.3899999997</v>
      </c>
    </row>
    <row r="37" spans="1:43" x14ac:dyDescent="0.25">
      <c r="A37" s="6" t="s">
        <v>48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</row>
    <row r="38" spans="1:43" x14ac:dyDescent="0.25">
      <c r="A38" s="7" t="s">
        <v>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</row>
    <row r="39" spans="1:43" x14ac:dyDescent="0.25">
      <c r="A39" s="7" t="s">
        <v>1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</row>
    <row r="40" spans="1:43" x14ac:dyDescent="0.25">
      <c r="A40" s="7" t="s">
        <v>45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</row>
    <row r="41" spans="1:43" x14ac:dyDescent="0.25">
      <c r="A41" s="5" t="s">
        <v>55</v>
      </c>
      <c r="B41" s="9">
        <v>47471398.881900005</v>
      </c>
      <c r="C41" s="9">
        <v>44077221.622900009</v>
      </c>
      <c r="D41" s="9">
        <v>50180043.611889996</v>
      </c>
      <c r="E41" s="9">
        <v>48520427.562680013</v>
      </c>
      <c r="F41" s="9">
        <v>53877072.307769991</v>
      </c>
      <c r="G41" s="9">
        <v>52605492.80438</v>
      </c>
      <c r="H41" s="9">
        <v>54973567.063220009</v>
      </c>
      <c r="I41" s="9">
        <v>55722251.426250003</v>
      </c>
      <c r="J41" s="9">
        <v>54400336.701439999</v>
      </c>
      <c r="K41" s="9">
        <v>55720658.893840007</v>
      </c>
      <c r="L41" s="9">
        <v>53043294.335659996</v>
      </c>
      <c r="M41" s="9">
        <v>52993488.421249993</v>
      </c>
      <c r="N41" s="9">
        <v>51578715.406979993</v>
      </c>
      <c r="O41" s="9">
        <v>46192180.290429994</v>
      </c>
      <c r="P41" s="9">
        <v>48395843.028340004</v>
      </c>
      <c r="Q41" s="9">
        <v>46854677.85881</v>
      </c>
      <c r="R41" s="9">
        <v>47474895.258600004</v>
      </c>
      <c r="S41" s="9">
        <v>44804431.192330018</v>
      </c>
      <c r="T41" s="9">
        <v>45846827.91049999</v>
      </c>
      <c r="U41" s="9">
        <v>43941420.042730011</v>
      </c>
      <c r="V41" s="9">
        <v>41886506.210949995</v>
      </c>
      <c r="W41" s="9">
        <v>42406939.535829999</v>
      </c>
      <c r="X41" s="9">
        <v>39977977.71401</v>
      </c>
      <c r="Y41" s="9">
        <v>40674358.89091</v>
      </c>
      <c r="Z41" s="9">
        <v>40123138.17871999</v>
      </c>
      <c r="AA41" s="9">
        <v>35630000.29259</v>
      </c>
      <c r="AB41" s="9">
        <v>39846893.762840003</v>
      </c>
      <c r="AC41" s="9">
        <v>38457624.879159994</v>
      </c>
      <c r="AD41" s="9">
        <v>39678467.129080005</v>
      </c>
      <c r="AE41" s="9">
        <v>38140468.058579996</v>
      </c>
      <c r="AF41" s="9">
        <v>39510422.555260003</v>
      </c>
      <c r="AG41" s="9">
        <v>39604471.386019997</v>
      </c>
      <c r="AH41" s="9">
        <v>38794958.030080006</v>
      </c>
      <c r="AI41" s="9">
        <v>40679924.256990001</v>
      </c>
      <c r="AJ41" s="9">
        <v>39939985.744590007</v>
      </c>
      <c r="AK41" s="9">
        <v>42043483.706999995</v>
      </c>
      <c r="AL41" s="9">
        <v>41981887.102430001</v>
      </c>
      <c r="AM41" s="9">
        <v>38630337.088959992</v>
      </c>
      <c r="AN41" s="9">
        <v>43276291.490000002</v>
      </c>
      <c r="AO41" s="9">
        <v>41880802.65394</v>
      </c>
      <c r="AP41" s="9">
        <v>43914939.380209997</v>
      </c>
      <c r="AQ41" s="9">
        <v>43231629.288490005</v>
      </c>
    </row>
    <row r="42" spans="1:43" x14ac:dyDescent="0.25">
      <c r="A42" s="6" t="s">
        <v>49</v>
      </c>
      <c r="B42" s="9">
        <v>9228036.1112099998</v>
      </c>
      <c r="C42" s="9">
        <v>8406230.7561100014</v>
      </c>
      <c r="D42" s="9">
        <v>9889730.825319998</v>
      </c>
      <c r="E42" s="9">
        <v>9952260.7707300019</v>
      </c>
      <c r="F42" s="9">
        <v>10785170.899339998</v>
      </c>
      <c r="G42" s="9">
        <v>10687483.345980002</v>
      </c>
      <c r="H42" s="9">
        <v>11351254.662280001</v>
      </c>
      <c r="I42" s="9">
        <v>11762794.651780002</v>
      </c>
      <c r="J42" s="9">
        <v>11774336.409840001</v>
      </c>
      <c r="K42" s="9">
        <v>12279499.086050002</v>
      </c>
      <c r="L42" s="9">
        <v>11857821.352109998</v>
      </c>
      <c r="M42" s="9">
        <v>12152146.889269998</v>
      </c>
      <c r="N42" s="9">
        <v>11868638.726059999</v>
      </c>
      <c r="O42" s="9">
        <v>10777754.724739999</v>
      </c>
      <c r="P42" s="9">
        <v>11343503.075620001</v>
      </c>
      <c r="Q42" s="9">
        <v>10877940.718920002</v>
      </c>
      <c r="R42" s="9">
        <v>11080266.031450002</v>
      </c>
      <c r="S42" s="9">
        <v>10410716.293649999</v>
      </c>
      <c r="T42" s="9">
        <v>10622486.259020001</v>
      </c>
      <c r="U42" s="9">
        <v>10425407.165339999</v>
      </c>
      <c r="V42" s="9">
        <v>10019767.070839997</v>
      </c>
      <c r="W42" s="9">
        <v>10319761.02734</v>
      </c>
      <c r="X42" s="9">
        <v>10005381.711159999</v>
      </c>
      <c r="Y42" s="9">
        <v>10554280.408839999</v>
      </c>
      <c r="Z42" s="9">
        <v>10598087.21277</v>
      </c>
      <c r="AA42" s="9">
        <v>9661337.5194400009</v>
      </c>
      <c r="AB42" s="9">
        <v>10930267.601899996</v>
      </c>
      <c r="AC42" s="9">
        <v>10771373.424480001</v>
      </c>
      <c r="AD42" s="9">
        <v>11279778.289830001</v>
      </c>
      <c r="AE42" s="9">
        <v>11063284.017099999</v>
      </c>
      <c r="AF42" s="9">
        <v>11544762.525919998</v>
      </c>
      <c r="AG42" s="9">
        <v>11746312.355949998</v>
      </c>
      <c r="AH42" s="9">
        <v>11710221.287319999</v>
      </c>
      <c r="AI42" s="9">
        <v>12611802.99158</v>
      </c>
      <c r="AJ42" s="9">
        <v>12634521.370350001</v>
      </c>
      <c r="AK42" s="9">
        <v>13304674.896809999</v>
      </c>
      <c r="AL42" s="9">
        <v>13339690.995469999</v>
      </c>
      <c r="AM42" s="9">
        <v>12281720.40064</v>
      </c>
      <c r="AN42" s="9">
        <v>13868565.38703</v>
      </c>
      <c r="AO42" s="9">
        <v>13354258.797459999</v>
      </c>
      <c r="AP42" s="9">
        <v>13930546.76974</v>
      </c>
      <c r="AQ42" s="9">
        <v>13682716.450670002</v>
      </c>
    </row>
    <row r="43" spans="1:43" x14ac:dyDescent="0.25">
      <c r="A43" s="7" t="s">
        <v>0</v>
      </c>
      <c r="B43" s="9">
        <v>9205366.1665000003</v>
      </c>
      <c r="C43" s="9">
        <v>8397450.3675200008</v>
      </c>
      <c r="D43" s="9">
        <v>9860930.575389998</v>
      </c>
      <c r="E43" s="9">
        <v>9929748.727400003</v>
      </c>
      <c r="F43" s="9">
        <v>10767686.738529999</v>
      </c>
      <c r="G43" s="9">
        <v>10657205.377630001</v>
      </c>
      <c r="H43" s="9">
        <v>11314587.841510002</v>
      </c>
      <c r="I43" s="9">
        <v>11725540.483830001</v>
      </c>
      <c r="J43" s="9">
        <v>11737785.26097</v>
      </c>
      <c r="K43" s="9">
        <v>12226511.580830002</v>
      </c>
      <c r="L43" s="9">
        <v>11793432.469329998</v>
      </c>
      <c r="M43" s="9">
        <v>12090549.389659999</v>
      </c>
      <c r="N43" s="9">
        <v>11796368.88346</v>
      </c>
      <c r="O43" s="9">
        <v>10713632.963649999</v>
      </c>
      <c r="P43" s="9">
        <v>11261082.314710001</v>
      </c>
      <c r="Q43" s="9">
        <v>10719065.302960001</v>
      </c>
      <c r="R43" s="9">
        <v>10944095.987790002</v>
      </c>
      <c r="S43" s="9">
        <v>10274104.71356</v>
      </c>
      <c r="T43" s="9">
        <v>10488711.687310001</v>
      </c>
      <c r="U43" s="9">
        <v>10328310.830469999</v>
      </c>
      <c r="V43" s="9">
        <v>9906541.982669998</v>
      </c>
      <c r="W43" s="9">
        <v>10218602.969550001</v>
      </c>
      <c r="X43" s="9">
        <v>9910185.8121999986</v>
      </c>
      <c r="Y43" s="9">
        <v>10460582.227569999</v>
      </c>
      <c r="Z43" s="9">
        <v>10512042.127590001</v>
      </c>
      <c r="AA43" s="9">
        <v>9577899.6986800022</v>
      </c>
      <c r="AB43" s="9">
        <v>10805127.315299997</v>
      </c>
      <c r="AC43" s="9">
        <v>10663737.38445</v>
      </c>
      <c r="AD43" s="9">
        <v>11180649.669770001</v>
      </c>
      <c r="AE43" s="9">
        <v>10974550.43505</v>
      </c>
      <c r="AF43" s="9">
        <v>11448897.378589999</v>
      </c>
      <c r="AG43" s="9">
        <v>11633282.068789998</v>
      </c>
      <c r="AH43" s="9">
        <v>11584759.564329999</v>
      </c>
      <c r="AI43" s="9">
        <v>12494829.135299999</v>
      </c>
      <c r="AJ43" s="9">
        <v>12487454.879780002</v>
      </c>
      <c r="AK43" s="9">
        <v>13160095.892049998</v>
      </c>
      <c r="AL43" s="9">
        <v>13212390.18523</v>
      </c>
      <c r="AM43" s="9">
        <v>12152667.42179</v>
      </c>
      <c r="AN43" s="9">
        <v>13726014.92264</v>
      </c>
      <c r="AO43" s="9">
        <v>13218974.588019999</v>
      </c>
      <c r="AP43" s="9">
        <v>13776593.50592</v>
      </c>
      <c r="AQ43" s="9">
        <v>13557394.544050002</v>
      </c>
    </row>
    <row r="44" spans="1:43" x14ac:dyDescent="0.25">
      <c r="A44" s="7" t="s">
        <v>1</v>
      </c>
      <c r="B44" s="9">
        <v>2387.7190900000001</v>
      </c>
      <c r="C44" s="9">
        <v>2599.1533599999998</v>
      </c>
      <c r="D44" s="9">
        <v>4780.5972099999999</v>
      </c>
      <c r="E44" s="9">
        <v>3908.2737099999999</v>
      </c>
      <c r="F44" s="9">
        <v>2572.9985000000001</v>
      </c>
      <c r="G44" s="9">
        <v>996.02629999999999</v>
      </c>
      <c r="H44" s="9">
        <v>2927.0211100000001</v>
      </c>
      <c r="I44" s="9">
        <v>948.40359000000001</v>
      </c>
      <c r="J44" s="9">
        <v>3410.3676399999999</v>
      </c>
      <c r="K44" s="9">
        <v>3803.3750100000002</v>
      </c>
      <c r="L44" s="9">
        <v>2667.14939</v>
      </c>
      <c r="M44" s="9">
        <v>2771.0261700000001</v>
      </c>
      <c r="N44" s="9">
        <v>3866.8385800000001</v>
      </c>
      <c r="O44" s="9">
        <v>2648.19184</v>
      </c>
      <c r="P44" s="9">
        <v>2593.1183799999999</v>
      </c>
      <c r="Q44" s="9">
        <v>3726.1092699999999</v>
      </c>
      <c r="R44" s="9">
        <v>6287.2163600000003</v>
      </c>
      <c r="S44" s="9">
        <v>9212.4087799999998</v>
      </c>
      <c r="T44" s="9">
        <v>9899.0750000000007</v>
      </c>
      <c r="U44" s="9">
        <v>10330.62371</v>
      </c>
      <c r="V44" s="9">
        <v>12701.43403</v>
      </c>
      <c r="W44" s="9">
        <v>12419.15316</v>
      </c>
      <c r="X44" s="9">
        <v>13367.385780000001</v>
      </c>
      <c r="Y44" s="9">
        <v>15015.46499</v>
      </c>
      <c r="Z44" s="9">
        <v>16127.450699999999</v>
      </c>
      <c r="AA44" s="9">
        <v>13396.54506</v>
      </c>
      <c r="AB44" s="9">
        <v>14646.66085</v>
      </c>
      <c r="AC44" s="9">
        <v>13971.46163</v>
      </c>
      <c r="AD44" s="9">
        <v>16734.357049999999</v>
      </c>
      <c r="AE44" s="9">
        <v>14001.29315</v>
      </c>
      <c r="AF44" s="9">
        <v>19115.16992</v>
      </c>
      <c r="AG44" s="9">
        <v>18591.280780000001</v>
      </c>
      <c r="AH44" s="9">
        <v>16775.20492</v>
      </c>
      <c r="AI44" s="9">
        <v>21308.383959999999</v>
      </c>
      <c r="AJ44" s="9">
        <v>17386.127260000001</v>
      </c>
      <c r="AK44" s="9">
        <v>21270.37311</v>
      </c>
      <c r="AL44" s="9">
        <v>18508.225129999999</v>
      </c>
      <c r="AM44" s="9">
        <v>13102.68917</v>
      </c>
      <c r="AN44" s="9">
        <v>19275.753519999998</v>
      </c>
      <c r="AO44" s="9">
        <v>18282.63337</v>
      </c>
      <c r="AP44" s="9">
        <v>18376.33886</v>
      </c>
      <c r="AQ44" s="9">
        <v>21717.6764</v>
      </c>
    </row>
    <row r="45" spans="1:43" x14ac:dyDescent="0.25">
      <c r="A45" s="7" t="s">
        <v>45</v>
      </c>
      <c r="B45" s="9">
        <v>20282.225620000001</v>
      </c>
      <c r="C45" s="9">
        <v>6181.2352299999984</v>
      </c>
      <c r="D45" s="9">
        <v>24019.652720000002</v>
      </c>
      <c r="E45" s="9">
        <v>18451.402900000001</v>
      </c>
      <c r="F45" s="9">
        <v>14911.162310000002</v>
      </c>
      <c r="G45" s="9">
        <v>29140.577549999998</v>
      </c>
      <c r="H45" s="9">
        <v>33507.211069999998</v>
      </c>
      <c r="I45" s="9">
        <v>36037.434760000004</v>
      </c>
      <c r="J45" s="9">
        <v>32857.190779999997</v>
      </c>
      <c r="K45" s="9">
        <v>48987.842960000009</v>
      </c>
      <c r="L45" s="9">
        <v>61619.900750000001</v>
      </c>
      <c r="M45" s="9">
        <v>58826.473440000002</v>
      </c>
      <c r="N45" s="9">
        <v>68403.004020000008</v>
      </c>
      <c r="O45" s="9">
        <v>61473.56925</v>
      </c>
      <c r="P45" s="9">
        <v>79827.642529999983</v>
      </c>
      <c r="Q45" s="9">
        <v>155149.30669000003</v>
      </c>
      <c r="R45" s="9">
        <v>129882.82729999999</v>
      </c>
      <c r="S45" s="9">
        <v>127399.17131000001</v>
      </c>
      <c r="T45" s="9">
        <v>123875.49671000001</v>
      </c>
      <c r="U45" s="9">
        <v>86765.711160000006</v>
      </c>
      <c r="V45" s="9">
        <v>100523.65414000001</v>
      </c>
      <c r="W45" s="9">
        <v>88738.90462999999</v>
      </c>
      <c r="X45" s="9">
        <v>81828.513179999994</v>
      </c>
      <c r="Y45" s="9">
        <v>78682.716279999993</v>
      </c>
      <c r="Z45" s="9">
        <v>69917.634479999993</v>
      </c>
      <c r="AA45" s="9">
        <v>70041.275699999998</v>
      </c>
      <c r="AB45" s="9">
        <v>110493.62575000001</v>
      </c>
      <c r="AC45" s="9">
        <v>93664.578400000013</v>
      </c>
      <c r="AD45" s="9">
        <v>82394.263009999995</v>
      </c>
      <c r="AE45" s="9">
        <v>74732.288899999985</v>
      </c>
      <c r="AF45" s="9">
        <v>76749.977410000007</v>
      </c>
      <c r="AG45" s="9">
        <v>94439.006379999992</v>
      </c>
      <c r="AH45" s="9">
        <v>108686.51807000001</v>
      </c>
      <c r="AI45" s="9">
        <v>95665.472320000015</v>
      </c>
      <c r="AJ45" s="9">
        <v>129680.36331</v>
      </c>
      <c r="AK45" s="9">
        <v>123308.63165000001</v>
      </c>
      <c r="AL45" s="9">
        <v>108792.58511000001</v>
      </c>
      <c r="AM45" s="9">
        <v>115950.28968</v>
      </c>
      <c r="AN45" s="9">
        <v>123274.71087</v>
      </c>
      <c r="AO45" s="9">
        <v>117001.57606999997</v>
      </c>
      <c r="AP45" s="9">
        <v>135576.92496000003</v>
      </c>
      <c r="AQ45" s="9">
        <v>103604.23022000001</v>
      </c>
    </row>
    <row r="46" spans="1:43" x14ac:dyDescent="0.25">
      <c r="A46" s="7" t="s">
        <v>74</v>
      </c>
      <c r="B46" s="9"/>
      <c r="C46" s="9"/>
      <c r="D46" s="9"/>
      <c r="E46" s="9">
        <v>152.36671999999999</v>
      </c>
      <c r="F46" s="9"/>
      <c r="G46" s="9">
        <v>141.36449999999999</v>
      </c>
      <c r="H46" s="9">
        <v>232.58858999999998</v>
      </c>
      <c r="I46" s="9">
        <v>268.32960000000003</v>
      </c>
      <c r="J46" s="9">
        <v>283.59045000000003</v>
      </c>
      <c r="K46" s="9">
        <v>196.28724999999997</v>
      </c>
      <c r="L46" s="9">
        <v>101.83264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spans="1:43" x14ac:dyDescent="0.25">
      <c r="A47" s="6" t="s">
        <v>47</v>
      </c>
      <c r="B47" s="9">
        <v>37310127.681710005</v>
      </c>
      <c r="C47" s="9">
        <v>34833108.29336001</v>
      </c>
      <c r="D47" s="9">
        <v>39350504.181929998</v>
      </c>
      <c r="E47" s="9">
        <v>37713441.334380008</v>
      </c>
      <c r="F47" s="9">
        <v>42104793.575259998</v>
      </c>
      <c r="G47" s="9">
        <v>40986901.684759997</v>
      </c>
      <c r="H47" s="9">
        <v>42656909.808510005</v>
      </c>
      <c r="I47" s="9">
        <v>43048612.816009998</v>
      </c>
      <c r="J47" s="9">
        <v>41746162.983339995</v>
      </c>
      <c r="K47" s="9">
        <v>42551206.677070007</v>
      </c>
      <c r="L47" s="9">
        <v>40379061.574479997</v>
      </c>
      <c r="M47" s="9">
        <v>40054532.706229992</v>
      </c>
      <c r="N47" s="9">
        <v>38940863.568949997</v>
      </c>
      <c r="O47" s="9">
        <v>34742385.883629993</v>
      </c>
      <c r="P47" s="9">
        <v>36347418.309210002</v>
      </c>
      <c r="Q47" s="9">
        <v>35277999.794869997</v>
      </c>
      <c r="R47" s="9">
        <v>35693806.08918</v>
      </c>
      <c r="S47" s="9">
        <v>33723006.261410013</v>
      </c>
      <c r="T47" s="9">
        <v>34536792.952899992</v>
      </c>
      <c r="U47" s="9">
        <v>32865778.861440007</v>
      </c>
      <c r="V47" s="9">
        <v>31252117.32539</v>
      </c>
      <c r="W47" s="9">
        <v>31482360.320700001</v>
      </c>
      <c r="X47" s="9">
        <v>29419203.826830003</v>
      </c>
      <c r="Y47" s="9">
        <v>29588275.343320001</v>
      </c>
      <c r="Z47" s="9">
        <v>29029791.404509995</v>
      </c>
      <c r="AA47" s="9">
        <v>25549552.195250001</v>
      </c>
      <c r="AB47" s="9">
        <v>28473201.661530003</v>
      </c>
      <c r="AC47" s="9">
        <v>27259734.579369996</v>
      </c>
      <c r="AD47" s="9">
        <v>27967432.726260003</v>
      </c>
      <c r="AE47" s="9">
        <v>26670822.131390002</v>
      </c>
      <c r="AF47" s="9">
        <v>27549198.200020004</v>
      </c>
      <c r="AG47" s="9">
        <v>27456578.896789998</v>
      </c>
      <c r="AH47" s="9">
        <v>26701211.67013</v>
      </c>
      <c r="AI47" s="9">
        <v>27679283.440570001</v>
      </c>
      <c r="AJ47" s="9">
        <v>26937339.456450004</v>
      </c>
      <c r="AK47" s="9">
        <v>28304657.742420003</v>
      </c>
      <c r="AL47" s="9">
        <v>28180971.135970004</v>
      </c>
      <c r="AM47" s="9">
        <v>25865928.983559996</v>
      </c>
      <c r="AN47" s="9">
        <v>28776289.012899999</v>
      </c>
      <c r="AO47" s="9">
        <v>27858167.46353</v>
      </c>
      <c r="AP47" s="9">
        <v>29200369.874049999</v>
      </c>
      <c r="AQ47" s="9">
        <v>28718819.766230002</v>
      </c>
    </row>
    <row r="48" spans="1:43" x14ac:dyDescent="0.25">
      <c r="A48" s="7" t="s">
        <v>0</v>
      </c>
      <c r="B48" s="9">
        <v>36822616.994250007</v>
      </c>
      <c r="C48" s="9">
        <v>34532614.000730008</v>
      </c>
      <c r="D48" s="9">
        <v>38964105.715439998</v>
      </c>
      <c r="E48" s="9">
        <v>37336898.538190007</v>
      </c>
      <c r="F48" s="9">
        <v>41543875.866239995</v>
      </c>
      <c r="G48" s="9">
        <v>40510462.70081</v>
      </c>
      <c r="H48" s="9">
        <v>41990341.67052</v>
      </c>
      <c r="I48" s="9">
        <v>42334827.915679999</v>
      </c>
      <c r="J48" s="9">
        <v>41140267.417829998</v>
      </c>
      <c r="K48" s="9">
        <v>41892602.569740005</v>
      </c>
      <c r="L48" s="9">
        <v>39626312.144859999</v>
      </c>
      <c r="M48" s="9">
        <v>39301932.435569994</v>
      </c>
      <c r="N48" s="9">
        <v>38102814.155019999</v>
      </c>
      <c r="O48" s="9">
        <v>33927463.362139992</v>
      </c>
      <c r="P48" s="9">
        <v>35455217.842660002</v>
      </c>
      <c r="Q48" s="9">
        <v>33911263.969689995</v>
      </c>
      <c r="R48" s="9">
        <v>34309796.968429998</v>
      </c>
      <c r="S48" s="9">
        <v>32033507.25207001</v>
      </c>
      <c r="T48" s="9">
        <v>32814616.037909996</v>
      </c>
      <c r="U48" s="9">
        <v>31631740.704320006</v>
      </c>
      <c r="V48" s="9">
        <v>30061494.088500001</v>
      </c>
      <c r="W48" s="9">
        <v>30451217.795230001</v>
      </c>
      <c r="X48" s="9">
        <v>28281428.328950003</v>
      </c>
      <c r="Y48" s="9">
        <v>28487584.322470002</v>
      </c>
      <c r="Z48" s="9">
        <v>27883860.028969996</v>
      </c>
      <c r="AA48" s="9">
        <v>24496535.301370002</v>
      </c>
      <c r="AB48" s="9">
        <v>27279886.84214</v>
      </c>
      <c r="AC48" s="9">
        <v>26216499.861689996</v>
      </c>
      <c r="AD48" s="9">
        <v>26797581.295080002</v>
      </c>
      <c r="AE48" s="9">
        <v>25527589.895270001</v>
      </c>
      <c r="AF48" s="9">
        <v>26382170.055630002</v>
      </c>
      <c r="AG48" s="9">
        <v>26503997.174239997</v>
      </c>
      <c r="AH48" s="9">
        <v>25763849.153420001</v>
      </c>
      <c r="AI48" s="9">
        <v>26736908.683329999</v>
      </c>
      <c r="AJ48" s="9">
        <v>25889225.602440003</v>
      </c>
      <c r="AK48" s="9">
        <v>27212033.625730004</v>
      </c>
      <c r="AL48" s="9">
        <v>27305945.703020003</v>
      </c>
      <c r="AM48" s="9">
        <v>25046767.986739997</v>
      </c>
      <c r="AN48" s="9">
        <v>27982366.787449997</v>
      </c>
      <c r="AO48" s="9">
        <v>27061781.483580001</v>
      </c>
      <c r="AP48" s="9">
        <v>28353052.714219999</v>
      </c>
      <c r="AQ48" s="9">
        <v>27898970.723020002</v>
      </c>
    </row>
    <row r="49" spans="1:43" x14ac:dyDescent="0.25">
      <c r="A49" s="7" t="s">
        <v>1</v>
      </c>
      <c r="B49" s="9">
        <v>63778.97997</v>
      </c>
      <c r="C49" s="9">
        <v>66588.13884</v>
      </c>
      <c r="D49" s="9">
        <v>55549.40453</v>
      </c>
      <c r="E49" s="9">
        <v>44283.620859999995</v>
      </c>
      <c r="F49" s="9">
        <v>47419.856650000002</v>
      </c>
      <c r="G49" s="9">
        <v>43224.476929999997</v>
      </c>
      <c r="H49" s="9">
        <v>46487.298319999994</v>
      </c>
      <c r="I49" s="9">
        <v>45396.898419999998</v>
      </c>
      <c r="J49" s="9">
        <v>45188.152049999997</v>
      </c>
      <c r="K49" s="9">
        <v>37521.777679999999</v>
      </c>
      <c r="L49" s="9">
        <v>37057.041429999997</v>
      </c>
      <c r="M49" s="9">
        <v>33031.984510000002</v>
      </c>
      <c r="N49" s="9">
        <v>32229.946619999999</v>
      </c>
      <c r="O49" s="9">
        <v>29355.0252</v>
      </c>
      <c r="P49" s="9">
        <v>29842.078119999998</v>
      </c>
      <c r="Q49" s="9">
        <v>58048.990839999999</v>
      </c>
      <c r="R49" s="9">
        <v>91752.677599999995</v>
      </c>
      <c r="S49" s="9">
        <v>162808.864</v>
      </c>
      <c r="T49" s="9">
        <v>217945.99859999999</v>
      </c>
      <c r="U49" s="9">
        <v>209427.5203</v>
      </c>
      <c r="V49" s="9">
        <v>223564.97080000001</v>
      </c>
      <c r="W49" s="9">
        <v>193035.54810000001</v>
      </c>
      <c r="X49" s="9">
        <v>189831.44620000001</v>
      </c>
      <c r="Y49" s="9">
        <v>205268.65489999999</v>
      </c>
      <c r="Z49" s="9">
        <v>232372.6355</v>
      </c>
      <c r="AA49" s="9">
        <v>219356.06140000001</v>
      </c>
      <c r="AB49" s="9">
        <v>203313.2512</v>
      </c>
      <c r="AC49" s="9">
        <v>218544.3958</v>
      </c>
      <c r="AD49" s="9">
        <v>223657.95009999999</v>
      </c>
      <c r="AE49" s="9">
        <v>211460.70680000001</v>
      </c>
      <c r="AF49" s="9">
        <v>243965.0667</v>
      </c>
      <c r="AG49" s="9">
        <v>200223.24309999999</v>
      </c>
      <c r="AH49" s="9">
        <v>222602.98019999999</v>
      </c>
      <c r="AI49" s="9">
        <v>216213.5423</v>
      </c>
      <c r="AJ49" s="9">
        <v>194329.95910000001</v>
      </c>
      <c r="AK49" s="9">
        <v>239363.04399999999</v>
      </c>
      <c r="AL49" s="9">
        <v>218550.95386000001</v>
      </c>
      <c r="AM49" s="9">
        <v>202755.75983</v>
      </c>
      <c r="AN49" s="9">
        <v>214443.13451</v>
      </c>
      <c r="AO49" s="9">
        <v>208378.25154</v>
      </c>
      <c r="AP49" s="9">
        <v>191982.42752</v>
      </c>
      <c r="AQ49" s="9">
        <v>206918.54029999999</v>
      </c>
    </row>
    <row r="50" spans="1:43" x14ac:dyDescent="0.25">
      <c r="A50" s="7" t="s">
        <v>45</v>
      </c>
      <c r="B50" s="9">
        <v>423731.70749</v>
      </c>
      <c r="C50" s="9">
        <v>233906.15379000001</v>
      </c>
      <c r="D50" s="9">
        <v>330849.06195999996</v>
      </c>
      <c r="E50" s="9">
        <v>332216.94325000013</v>
      </c>
      <c r="F50" s="9">
        <v>513497.85237000004</v>
      </c>
      <c r="G50" s="9">
        <v>433171.40051999997</v>
      </c>
      <c r="H50" s="9">
        <v>619887.46597000014</v>
      </c>
      <c r="I50" s="9">
        <v>668145.10078999982</v>
      </c>
      <c r="J50" s="9">
        <v>560457.98065000004</v>
      </c>
      <c r="K50" s="9">
        <v>620823.83030000003</v>
      </c>
      <c r="L50" s="9">
        <v>715546.68165000004</v>
      </c>
      <c r="M50" s="9">
        <v>719568.28615000006</v>
      </c>
      <c r="N50" s="9">
        <v>805819.46730999998</v>
      </c>
      <c r="O50" s="9">
        <v>785567.49628999992</v>
      </c>
      <c r="P50" s="9">
        <v>862358.38842999993</v>
      </c>
      <c r="Q50" s="9">
        <v>1308686.8343400001</v>
      </c>
      <c r="R50" s="9">
        <v>1292256.4431500002</v>
      </c>
      <c r="S50" s="9">
        <v>1526690.14534</v>
      </c>
      <c r="T50" s="9">
        <v>1504230.9163900004</v>
      </c>
      <c r="U50" s="9">
        <v>1024610.6368199999</v>
      </c>
      <c r="V50" s="9">
        <v>967058.26609000005</v>
      </c>
      <c r="W50" s="9">
        <v>838106.9773700001</v>
      </c>
      <c r="X50" s="9">
        <v>947944.05167999992</v>
      </c>
      <c r="Y50" s="9">
        <v>895422.36595000012</v>
      </c>
      <c r="Z50" s="9">
        <v>913558.74003999995</v>
      </c>
      <c r="AA50" s="9">
        <v>833660.8324800001</v>
      </c>
      <c r="AB50" s="9">
        <v>990001.56819000002</v>
      </c>
      <c r="AC50" s="9">
        <v>824690.32188000006</v>
      </c>
      <c r="AD50" s="9">
        <v>946193.48107999994</v>
      </c>
      <c r="AE50" s="9">
        <v>931771.52931999997</v>
      </c>
      <c r="AF50" s="9">
        <v>923063.07769000018</v>
      </c>
      <c r="AG50" s="9">
        <v>752358.47944999987</v>
      </c>
      <c r="AH50" s="9">
        <v>714759.53651000001</v>
      </c>
      <c r="AI50" s="9">
        <v>726161.21494000009</v>
      </c>
      <c r="AJ50" s="9">
        <v>853783.89490999992</v>
      </c>
      <c r="AK50" s="9">
        <v>853261.07269000006</v>
      </c>
      <c r="AL50" s="9">
        <v>656474.47908999992</v>
      </c>
      <c r="AM50" s="9">
        <v>616405.23699</v>
      </c>
      <c r="AN50" s="9">
        <v>579479.09094000014</v>
      </c>
      <c r="AO50" s="9">
        <v>588007.72840999998</v>
      </c>
      <c r="AP50" s="9">
        <v>655334.73230999999</v>
      </c>
      <c r="AQ50" s="9">
        <v>612930.50291000016</v>
      </c>
    </row>
    <row r="51" spans="1:43" x14ac:dyDescent="0.25">
      <c r="A51" s="7" t="s">
        <v>74</v>
      </c>
      <c r="B51" s="9"/>
      <c r="C51" s="9"/>
      <c r="D51" s="9"/>
      <c r="E51" s="9">
        <v>42.232079999999996</v>
      </c>
      <c r="F51" s="9"/>
      <c r="G51" s="9">
        <v>43.106500000000004</v>
      </c>
      <c r="H51" s="9">
        <v>193.37370000000001</v>
      </c>
      <c r="I51" s="9">
        <v>242.90111999999999</v>
      </c>
      <c r="J51" s="9">
        <v>249.43281000000002</v>
      </c>
      <c r="K51" s="9">
        <v>258.49934999999999</v>
      </c>
      <c r="L51" s="9">
        <v>145.70653999999999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spans="1:43" x14ac:dyDescent="0.25">
      <c r="A52" s="6" t="s">
        <v>46</v>
      </c>
      <c r="B52" s="9">
        <v>933235.08898</v>
      </c>
      <c r="C52" s="9">
        <v>837882.57342999987</v>
      </c>
      <c r="D52" s="9">
        <v>939808.60464000003</v>
      </c>
      <c r="E52" s="9">
        <v>854725.45756999997</v>
      </c>
      <c r="F52" s="9">
        <v>987107.83317000011</v>
      </c>
      <c r="G52" s="9">
        <v>931107.77363999991</v>
      </c>
      <c r="H52" s="9">
        <v>965402.59243000019</v>
      </c>
      <c r="I52" s="9">
        <v>910843.95845999976</v>
      </c>
      <c r="J52" s="9">
        <v>879837.30826000019</v>
      </c>
      <c r="K52" s="9">
        <v>889953.13072000002</v>
      </c>
      <c r="L52" s="9">
        <v>806411.40906999994</v>
      </c>
      <c r="M52" s="9">
        <v>786808.82574999996</v>
      </c>
      <c r="N52" s="9">
        <v>769213.11197000009</v>
      </c>
      <c r="O52" s="9">
        <v>672039.68206000002</v>
      </c>
      <c r="P52" s="9">
        <v>704921.64351000008</v>
      </c>
      <c r="Q52" s="9">
        <v>698737.34502000001</v>
      </c>
      <c r="R52" s="9">
        <v>700823.13797000004</v>
      </c>
      <c r="S52" s="9">
        <v>670708.63726999995</v>
      </c>
      <c r="T52" s="9">
        <v>687548.69858000008</v>
      </c>
      <c r="U52" s="9">
        <v>650234.01595000015</v>
      </c>
      <c r="V52" s="9">
        <v>614621.81472000014</v>
      </c>
      <c r="W52" s="9">
        <v>604818.18779</v>
      </c>
      <c r="X52" s="9">
        <v>553392.17602000013</v>
      </c>
      <c r="Y52" s="9">
        <v>531803.13875000016</v>
      </c>
      <c r="Z52" s="9">
        <v>495259.5614399999</v>
      </c>
      <c r="AA52" s="9">
        <v>419110.57789999992</v>
      </c>
      <c r="AB52" s="9">
        <v>443424.49941000005</v>
      </c>
      <c r="AC52" s="9">
        <v>426516.87530999997</v>
      </c>
      <c r="AD52" s="9">
        <v>431256.11298999999</v>
      </c>
      <c r="AE52" s="9">
        <v>406361.91009000002</v>
      </c>
      <c r="AF52" s="9">
        <v>416461.82932000002</v>
      </c>
      <c r="AG52" s="9">
        <v>401580.13327999995</v>
      </c>
      <c r="AH52" s="9">
        <v>383525.07263000001</v>
      </c>
      <c r="AI52" s="9">
        <v>388837.82484000007</v>
      </c>
      <c r="AJ52" s="9">
        <v>368124.91779000004</v>
      </c>
      <c r="AK52" s="9">
        <v>434151.06777000002</v>
      </c>
      <c r="AL52" s="9">
        <v>461224.97099000006</v>
      </c>
      <c r="AM52" s="9">
        <v>482687.70476000005</v>
      </c>
      <c r="AN52" s="9">
        <v>631437.09006999992</v>
      </c>
      <c r="AO52" s="9">
        <v>668376.39295000001</v>
      </c>
      <c r="AP52" s="9">
        <v>784022.73642000009</v>
      </c>
      <c r="AQ52" s="9">
        <v>830093.07159000007</v>
      </c>
    </row>
    <row r="53" spans="1:43" x14ac:dyDescent="0.25">
      <c r="A53" s="7" t="s">
        <v>0</v>
      </c>
      <c r="B53" s="9">
        <v>912247.02977000002</v>
      </c>
      <c r="C53" s="9">
        <v>827489.03447999991</v>
      </c>
      <c r="D53" s="9">
        <v>927516.80462000007</v>
      </c>
      <c r="E53" s="9">
        <v>834981.94310999999</v>
      </c>
      <c r="F53" s="9">
        <v>958437.70656000008</v>
      </c>
      <c r="G53" s="9">
        <v>912316.62344999996</v>
      </c>
      <c r="H53" s="9">
        <v>935087.2888600002</v>
      </c>
      <c r="I53" s="9">
        <v>891224.29404999979</v>
      </c>
      <c r="J53" s="9">
        <v>860245.3760500002</v>
      </c>
      <c r="K53" s="9">
        <v>868975.89028000005</v>
      </c>
      <c r="L53" s="9">
        <v>778684.58338999993</v>
      </c>
      <c r="M53" s="9">
        <v>761416.93366999994</v>
      </c>
      <c r="N53" s="9">
        <v>746804.45353000006</v>
      </c>
      <c r="O53" s="9">
        <v>648176.37242999999</v>
      </c>
      <c r="P53" s="9">
        <v>682731.58307000005</v>
      </c>
      <c r="Q53" s="9">
        <v>665015.19541000004</v>
      </c>
      <c r="R53" s="9">
        <v>666142.19049000007</v>
      </c>
      <c r="S53" s="9">
        <v>631956.02919999999</v>
      </c>
      <c r="T53" s="9">
        <v>653272.58104000008</v>
      </c>
      <c r="U53" s="9">
        <v>629677.2869500001</v>
      </c>
      <c r="V53" s="9">
        <v>594715.8422500001</v>
      </c>
      <c r="W53" s="9">
        <v>587446.68307000003</v>
      </c>
      <c r="X53" s="9">
        <v>531870.87846000004</v>
      </c>
      <c r="Y53" s="9">
        <v>506108.21728000016</v>
      </c>
      <c r="Z53" s="9">
        <v>473547.8253899999</v>
      </c>
      <c r="AA53" s="9">
        <v>395782.87167999992</v>
      </c>
      <c r="AB53" s="9">
        <v>417515.29609000002</v>
      </c>
      <c r="AC53" s="9">
        <v>399553.18586999999</v>
      </c>
      <c r="AD53" s="9">
        <v>405464.02227999998</v>
      </c>
      <c r="AE53" s="9">
        <v>381291.57294000004</v>
      </c>
      <c r="AF53" s="9">
        <v>389470.71693</v>
      </c>
      <c r="AG53" s="9">
        <v>381524.81038999994</v>
      </c>
      <c r="AH53" s="9">
        <v>364462.19199000002</v>
      </c>
      <c r="AI53" s="9">
        <v>374715.10108000005</v>
      </c>
      <c r="AJ53" s="9">
        <v>351768.79006000003</v>
      </c>
      <c r="AK53" s="9">
        <v>408854.47441000002</v>
      </c>
      <c r="AL53" s="9">
        <v>447820.00164000003</v>
      </c>
      <c r="AM53" s="9">
        <v>469077.51868000004</v>
      </c>
      <c r="AN53" s="9">
        <v>613657.52839999995</v>
      </c>
      <c r="AO53" s="9">
        <v>652767.72135000001</v>
      </c>
      <c r="AP53" s="9">
        <v>764864.82126000011</v>
      </c>
      <c r="AQ53" s="9">
        <v>818448.53581000003</v>
      </c>
    </row>
    <row r="54" spans="1:43" x14ac:dyDescent="0.25">
      <c r="A54" s="7" t="s">
        <v>1</v>
      </c>
      <c r="B54" s="9">
        <v>2806.0609399999998</v>
      </c>
      <c r="C54" s="9">
        <v>3394.9978000000001</v>
      </c>
      <c r="D54" s="9">
        <v>2572.3222599999999</v>
      </c>
      <c r="E54" s="9">
        <v>2367.40526</v>
      </c>
      <c r="F54" s="9">
        <v>2510.8654200000001</v>
      </c>
      <c r="G54" s="9">
        <v>2856.4157799999998</v>
      </c>
      <c r="H54" s="9">
        <v>2950.83178</v>
      </c>
      <c r="I54" s="9">
        <v>2456.3207900000002</v>
      </c>
      <c r="J54" s="9">
        <v>2124.5624699999998</v>
      </c>
      <c r="K54" s="9">
        <v>2393.0393600000002</v>
      </c>
      <c r="L54" s="9">
        <v>1553.1339399999999</v>
      </c>
      <c r="M54" s="9">
        <v>1607.7333900000001</v>
      </c>
      <c r="N54" s="9">
        <v>1267.0547999999999</v>
      </c>
      <c r="O54" s="9">
        <v>1144.3429599999999</v>
      </c>
      <c r="P54" s="9">
        <v>871.55349999999999</v>
      </c>
      <c r="Q54" s="9">
        <v>1307.9098899999999</v>
      </c>
      <c r="R54" s="9">
        <v>1553.22604</v>
      </c>
      <c r="S54" s="9">
        <v>3334.5772299999999</v>
      </c>
      <c r="T54" s="9">
        <v>4784.2064200000004</v>
      </c>
      <c r="U54" s="9">
        <v>7166.1160099999997</v>
      </c>
      <c r="V54" s="9">
        <v>4532.5051899999999</v>
      </c>
      <c r="W54" s="9">
        <v>3869.0286999999998</v>
      </c>
      <c r="X54" s="9">
        <v>4269.6079900000004</v>
      </c>
      <c r="Y54" s="9">
        <v>5816.1800800000001</v>
      </c>
      <c r="Z54" s="9">
        <v>4793.76379</v>
      </c>
      <c r="AA54" s="9">
        <v>3325.4035100000001</v>
      </c>
      <c r="AB54" s="9">
        <v>3889.4079200000001</v>
      </c>
      <c r="AC54" s="9">
        <v>4896.3526099999999</v>
      </c>
      <c r="AD54" s="9">
        <v>3437.4829</v>
      </c>
      <c r="AE54" s="9">
        <v>4170.8700200000003</v>
      </c>
      <c r="AF54" s="9">
        <v>4582.0933800000003</v>
      </c>
      <c r="AG54" s="9">
        <v>4033.9860800000001</v>
      </c>
      <c r="AH54" s="9">
        <v>3981.83493</v>
      </c>
      <c r="AI54" s="9">
        <v>3629.38373</v>
      </c>
      <c r="AJ54" s="9">
        <v>3836.8736199999998</v>
      </c>
      <c r="AK54" s="9">
        <v>3471.0829100000001</v>
      </c>
      <c r="AL54" s="9">
        <v>2727.3810100000001</v>
      </c>
      <c r="AM54" s="9">
        <v>2950.1310099999996</v>
      </c>
      <c r="AN54" s="9">
        <v>2825.1019799999999</v>
      </c>
      <c r="AO54" s="9">
        <v>3486.2851000000001</v>
      </c>
      <c r="AP54" s="9">
        <v>2571.3936199999998</v>
      </c>
      <c r="AQ54" s="9">
        <v>2471.7532999999999</v>
      </c>
    </row>
    <row r="55" spans="1:43" x14ac:dyDescent="0.25">
      <c r="A55" s="7" t="s">
        <v>45</v>
      </c>
      <c r="B55" s="9">
        <v>18181.99827</v>
      </c>
      <c r="C55" s="9">
        <v>6998.54115</v>
      </c>
      <c r="D55" s="9">
        <v>9719.4777599999998</v>
      </c>
      <c r="E55" s="9">
        <v>17374.754159999997</v>
      </c>
      <c r="F55" s="9">
        <v>26159.261190000001</v>
      </c>
      <c r="G55" s="9">
        <v>15933.34741</v>
      </c>
      <c r="H55" s="9">
        <v>27353.7048</v>
      </c>
      <c r="I55" s="9">
        <v>17152.144739999996</v>
      </c>
      <c r="J55" s="9">
        <v>17457.040410000001</v>
      </c>
      <c r="K55" s="9">
        <v>18573.242829999999</v>
      </c>
      <c r="L55" s="9">
        <v>26164.766320000002</v>
      </c>
      <c r="M55" s="9">
        <v>23784.158690000004</v>
      </c>
      <c r="N55" s="9">
        <v>21141.603640000005</v>
      </c>
      <c r="O55" s="9">
        <v>22718.966669999998</v>
      </c>
      <c r="P55" s="9">
        <v>21318.506939999999</v>
      </c>
      <c r="Q55" s="9">
        <v>32414.239720000001</v>
      </c>
      <c r="R55" s="9">
        <v>33127.721440000001</v>
      </c>
      <c r="S55" s="9">
        <v>35418.030839999999</v>
      </c>
      <c r="T55" s="9">
        <v>29491.911120000004</v>
      </c>
      <c r="U55" s="9">
        <v>13390.61299</v>
      </c>
      <c r="V55" s="9">
        <v>15373.467280000001</v>
      </c>
      <c r="W55" s="9">
        <v>13502.476020000002</v>
      </c>
      <c r="X55" s="9">
        <v>17251.689569999999</v>
      </c>
      <c r="Y55" s="9">
        <v>19878.741389999999</v>
      </c>
      <c r="Z55" s="9">
        <v>16917.972259999999</v>
      </c>
      <c r="AA55" s="9">
        <v>20002.30271</v>
      </c>
      <c r="AB55" s="9">
        <v>22019.795400000003</v>
      </c>
      <c r="AC55" s="9">
        <v>22067.336830000004</v>
      </c>
      <c r="AD55" s="9">
        <v>22354.607809999998</v>
      </c>
      <c r="AE55" s="9">
        <v>20899.467130000005</v>
      </c>
      <c r="AF55" s="9">
        <v>22409.01901</v>
      </c>
      <c r="AG55" s="9">
        <v>16021.336809999999</v>
      </c>
      <c r="AH55" s="9">
        <v>15081.04571</v>
      </c>
      <c r="AI55" s="9">
        <v>10493.340029999999</v>
      </c>
      <c r="AJ55" s="9">
        <v>12519.254109999998</v>
      </c>
      <c r="AK55" s="9">
        <v>21825.510450000002</v>
      </c>
      <c r="AL55" s="9">
        <v>10677.588339999998</v>
      </c>
      <c r="AM55" s="9">
        <v>10660.055069999997</v>
      </c>
      <c r="AN55" s="9">
        <v>14954.45969</v>
      </c>
      <c r="AO55" s="9">
        <v>12122.386500000001</v>
      </c>
      <c r="AP55" s="9">
        <v>16586.521540000002</v>
      </c>
      <c r="AQ55" s="9">
        <v>9172.7824800000017</v>
      </c>
    </row>
    <row r="56" spans="1:43" x14ac:dyDescent="0.25">
      <c r="A56" s="7" t="s">
        <v>74</v>
      </c>
      <c r="B56" s="9"/>
      <c r="C56" s="9"/>
      <c r="D56" s="9"/>
      <c r="E56" s="9">
        <v>1.35504</v>
      </c>
      <c r="F56" s="9"/>
      <c r="G56" s="9">
        <v>1.387</v>
      </c>
      <c r="H56" s="9">
        <v>10.76699</v>
      </c>
      <c r="I56" s="9">
        <v>11.198879999999999</v>
      </c>
      <c r="J56" s="9">
        <v>10.329330000000001</v>
      </c>
      <c r="K56" s="9">
        <v>10.95825</v>
      </c>
      <c r="L56" s="9">
        <v>8.9254200000000008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spans="1:43" x14ac:dyDescent="0.25">
      <c r="A57" s="5" t="s">
        <v>50</v>
      </c>
      <c r="B57" s="9">
        <v>18704617.928549998</v>
      </c>
      <c r="C57" s="9">
        <v>17839626.431550004</v>
      </c>
      <c r="D57" s="9">
        <v>20968258.374199998</v>
      </c>
      <c r="E57" s="9">
        <v>21228798.663040001</v>
      </c>
      <c r="F57" s="9">
        <v>22617103.841600001</v>
      </c>
      <c r="G57" s="9">
        <v>22706504.692000002</v>
      </c>
      <c r="H57" s="9">
        <v>23669443.752989996</v>
      </c>
      <c r="I57" s="9">
        <v>24290550.938080002</v>
      </c>
      <c r="J57" s="9">
        <v>24118402.601719197</v>
      </c>
      <c r="K57" s="9">
        <v>25060769.848949991</v>
      </c>
      <c r="L57" s="9">
        <v>24282866.831159998</v>
      </c>
      <c r="M57" s="9">
        <v>24837010.491140001</v>
      </c>
      <c r="N57" s="9">
        <v>24453180.956400003</v>
      </c>
      <c r="O57" s="9">
        <v>22342317.77812</v>
      </c>
      <c r="P57" s="9">
        <v>23320591.372979999</v>
      </c>
      <c r="Q57" s="9">
        <v>22162906.188960001</v>
      </c>
      <c r="R57" s="9">
        <v>22262309.043400001</v>
      </c>
      <c r="S57" s="9">
        <v>20797986.646170005</v>
      </c>
      <c r="T57" s="9">
        <v>20680276.2645</v>
      </c>
      <c r="U57" s="9">
        <v>19959163.871679999</v>
      </c>
      <c r="V57" s="9">
        <v>18916058.751839999</v>
      </c>
      <c r="W57" s="9">
        <v>19060671.116560001</v>
      </c>
      <c r="X57" s="9">
        <v>18023199.603519998</v>
      </c>
      <c r="Y57" s="9">
        <v>18217986.801749997</v>
      </c>
      <c r="Z57" s="9">
        <v>17935814.433169998</v>
      </c>
      <c r="AA57" s="9">
        <v>15987932.560000002</v>
      </c>
      <c r="AB57" s="9">
        <v>17399226.609319996</v>
      </c>
      <c r="AC57" s="9">
        <v>16697081.24261</v>
      </c>
      <c r="AD57" s="9">
        <v>17063599.9168</v>
      </c>
      <c r="AE57" s="9">
        <v>16311732.49588</v>
      </c>
      <c r="AF57" s="9">
        <v>16615770.088980002</v>
      </c>
      <c r="AG57" s="9">
        <v>16556695.094150003</v>
      </c>
      <c r="AH57" s="9">
        <v>16011610.564600002</v>
      </c>
      <c r="AI57" s="9">
        <v>16936010.095119998</v>
      </c>
      <c r="AJ57" s="9">
        <v>16292777.13429</v>
      </c>
      <c r="AK57" s="9">
        <v>16768487.92072</v>
      </c>
      <c r="AL57" s="9">
        <v>16734205.890300002</v>
      </c>
      <c r="AM57" s="9">
        <v>15167054.55687</v>
      </c>
      <c r="AN57" s="9">
        <v>16919393.777000003</v>
      </c>
      <c r="AO57" s="9">
        <v>16440734.613359997</v>
      </c>
      <c r="AP57" s="9">
        <v>17212284.18744</v>
      </c>
      <c r="AQ57" s="9">
        <v>16958106.710900001</v>
      </c>
    </row>
    <row r="58" spans="1:43" x14ac:dyDescent="0.25">
      <c r="A58" s="6" t="s">
        <v>49</v>
      </c>
      <c r="B58" s="9">
        <v>4492341.2143999999</v>
      </c>
      <c r="C58" s="9">
        <v>4251312.6184200021</v>
      </c>
      <c r="D58" s="9">
        <v>4977577.5011999989</v>
      </c>
      <c r="E58" s="9">
        <v>5030683.3328399993</v>
      </c>
      <c r="F58" s="9">
        <v>5375872.6024000002</v>
      </c>
      <c r="G58" s="9">
        <v>5360006.409500001</v>
      </c>
      <c r="H58" s="9">
        <v>5685743.3953399993</v>
      </c>
      <c r="I58" s="9">
        <v>5867070.9377600001</v>
      </c>
      <c r="J58" s="9">
        <v>5942545.3590782993</v>
      </c>
      <c r="K58" s="9">
        <v>6247769.1043500006</v>
      </c>
      <c r="L58" s="9">
        <v>6110601.7862199992</v>
      </c>
      <c r="M58" s="9">
        <v>6341596.613859999</v>
      </c>
      <c r="N58" s="9">
        <v>6281645.5077599995</v>
      </c>
      <c r="O58" s="9">
        <v>5792532.1926399991</v>
      </c>
      <c r="P58" s="9">
        <v>6147151.2439099997</v>
      </c>
      <c r="Q58" s="9">
        <v>5868679.8819999993</v>
      </c>
      <c r="R58" s="9">
        <v>5989358.8368000006</v>
      </c>
      <c r="S58" s="9">
        <v>5663848.5314700007</v>
      </c>
      <c r="T58" s="9">
        <v>5697584.2434399994</v>
      </c>
      <c r="U58" s="9">
        <v>5589631.9978799997</v>
      </c>
      <c r="V58" s="9">
        <v>5339099.4528400013</v>
      </c>
      <c r="W58" s="9">
        <v>5485835.0392800011</v>
      </c>
      <c r="X58" s="9">
        <v>5293786.1858000001</v>
      </c>
      <c r="Y58" s="9">
        <v>5484184.93585</v>
      </c>
      <c r="Z58" s="9">
        <v>5474394.4498199997</v>
      </c>
      <c r="AA58" s="9">
        <v>4961525.449000001</v>
      </c>
      <c r="AB58" s="9">
        <v>5487983.6620200006</v>
      </c>
      <c r="AC58" s="9">
        <v>5359717.9142100001</v>
      </c>
      <c r="AD58" s="9">
        <v>5593163.802600001</v>
      </c>
      <c r="AE58" s="9">
        <v>5442293.2636400005</v>
      </c>
      <c r="AF58" s="9">
        <v>5606211.1345000006</v>
      </c>
      <c r="AG58" s="9">
        <v>5644238.2786499998</v>
      </c>
      <c r="AH58" s="9">
        <v>5578806.5278599998</v>
      </c>
      <c r="AI58" s="9">
        <v>6004712.62072</v>
      </c>
      <c r="AJ58" s="9">
        <v>5998879.4174600001</v>
      </c>
      <c r="AK58" s="9">
        <v>6293036.9704600004</v>
      </c>
      <c r="AL58" s="9">
        <v>6308519.6353800008</v>
      </c>
      <c r="AM58" s="9">
        <v>5764259.8467999995</v>
      </c>
      <c r="AN58" s="9">
        <v>6533512.8319999995</v>
      </c>
      <c r="AO58" s="9">
        <v>6394220.4760699989</v>
      </c>
      <c r="AP58" s="9">
        <v>6734925.9309000019</v>
      </c>
      <c r="AQ58" s="9">
        <v>6699383.0094499998</v>
      </c>
    </row>
    <row r="59" spans="1:43" x14ac:dyDescent="0.25">
      <c r="A59" s="7" t="s">
        <v>0</v>
      </c>
      <c r="B59" s="9">
        <v>4487536.5643999996</v>
      </c>
      <c r="C59" s="9">
        <v>4247641.8984200014</v>
      </c>
      <c r="D59" s="9">
        <v>4973567.2311999984</v>
      </c>
      <c r="E59" s="9">
        <v>5026532.1228399994</v>
      </c>
      <c r="F59" s="9">
        <v>5371907.0224000001</v>
      </c>
      <c r="G59" s="9">
        <v>5353576.2595000006</v>
      </c>
      <c r="H59" s="9">
        <v>5680443.5749399988</v>
      </c>
      <c r="I59" s="9">
        <v>5857719.9094400005</v>
      </c>
      <c r="J59" s="9">
        <v>5934271.1683182996</v>
      </c>
      <c r="K59" s="9">
        <v>6236413.5396000007</v>
      </c>
      <c r="L59" s="9">
        <v>6098109.8300199993</v>
      </c>
      <c r="M59" s="9">
        <v>6325739.6325699994</v>
      </c>
      <c r="N59" s="9">
        <v>6257692.7995999996</v>
      </c>
      <c r="O59" s="9">
        <v>5762805.5985199995</v>
      </c>
      <c r="P59" s="9">
        <v>6096156.6633699993</v>
      </c>
      <c r="Q59" s="9">
        <v>5776314.9723199997</v>
      </c>
      <c r="R59" s="9">
        <v>5842927.5</v>
      </c>
      <c r="S59" s="9">
        <v>5498554.1120600002</v>
      </c>
      <c r="T59" s="9">
        <v>5537906.8411799995</v>
      </c>
      <c r="U59" s="9">
        <v>5445809.9657100001</v>
      </c>
      <c r="V59" s="9">
        <v>5199507.0074800011</v>
      </c>
      <c r="W59" s="9">
        <v>5367169.1131200008</v>
      </c>
      <c r="X59" s="9">
        <v>5192069.5835600002</v>
      </c>
      <c r="Y59" s="9">
        <v>5397057.7770999996</v>
      </c>
      <c r="Z59" s="9">
        <v>5373191.1637799991</v>
      </c>
      <c r="AA59" s="9">
        <v>4880184.3800000018</v>
      </c>
      <c r="AB59" s="9">
        <v>5416787.4904500004</v>
      </c>
      <c r="AC59" s="9">
        <v>5301434.0176499998</v>
      </c>
      <c r="AD59" s="9">
        <v>5531417.550400001</v>
      </c>
      <c r="AE59" s="9">
        <v>5379343.3504000008</v>
      </c>
      <c r="AF59" s="9">
        <v>5541129.2571200011</v>
      </c>
      <c r="AG59" s="9">
        <v>5570765.2880999995</v>
      </c>
      <c r="AH59" s="9">
        <v>5502502.2589699998</v>
      </c>
      <c r="AI59" s="9">
        <v>5903014.4600799996</v>
      </c>
      <c r="AJ59" s="9">
        <v>5921769.9604700003</v>
      </c>
      <c r="AK59" s="9">
        <v>6212900.7273200005</v>
      </c>
      <c r="AL59" s="9">
        <v>6213410.2253500009</v>
      </c>
      <c r="AM59" s="9">
        <v>5674055.7910699993</v>
      </c>
      <c r="AN59" s="9">
        <v>6436964.3674999997</v>
      </c>
      <c r="AO59" s="9">
        <v>6302172.4580999985</v>
      </c>
      <c r="AP59" s="9">
        <v>6641315.3791200016</v>
      </c>
      <c r="AQ59" s="9">
        <v>6601196.0030499995</v>
      </c>
    </row>
    <row r="60" spans="1:43" x14ac:dyDescent="0.25">
      <c r="A60" s="7" t="s">
        <v>1</v>
      </c>
      <c r="B60" s="9">
        <v>1665.69</v>
      </c>
      <c r="C60" s="9">
        <v>1556.49</v>
      </c>
      <c r="D60" s="9">
        <v>1675.58</v>
      </c>
      <c r="E60" s="9">
        <v>1584.55</v>
      </c>
      <c r="F60" s="9">
        <v>1552.89</v>
      </c>
      <c r="G60" s="9">
        <v>1472.99</v>
      </c>
      <c r="H60" s="9">
        <v>1179.78</v>
      </c>
      <c r="I60" s="9">
        <v>1135.79</v>
      </c>
      <c r="J60" s="9">
        <v>1811.56</v>
      </c>
      <c r="K60" s="9">
        <v>2446</v>
      </c>
      <c r="L60" s="9">
        <v>2327.88</v>
      </c>
      <c r="M60" s="9">
        <v>2369.3000000000002</v>
      </c>
      <c r="N60" s="9">
        <v>2378.35</v>
      </c>
      <c r="O60" s="9">
        <v>2619.89</v>
      </c>
      <c r="P60" s="9">
        <v>2108.1999999999998</v>
      </c>
      <c r="Q60" s="9">
        <v>3431.84</v>
      </c>
      <c r="R60" s="9">
        <v>5592.95</v>
      </c>
      <c r="S60" s="9">
        <v>8388.33</v>
      </c>
      <c r="T60" s="9">
        <v>10775.79</v>
      </c>
      <c r="U60" s="9">
        <v>11851.77</v>
      </c>
      <c r="V60" s="9">
        <v>14064.48</v>
      </c>
      <c r="W60" s="9">
        <v>14109.03</v>
      </c>
      <c r="X60" s="9">
        <v>13475.97</v>
      </c>
      <c r="Y60" s="9">
        <v>12387.44</v>
      </c>
      <c r="Z60" s="9">
        <v>12360.44</v>
      </c>
      <c r="AA60" s="9">
        <v>11723.27</v>
      </c>
      <c r="AB60" s="9">
        <v>12816.29</v>
      </c>
      <c r="AC60" s="9">
        <v>12099.91</v>
      </c>
      <c r="AD60" s="9">
        <v>12279.9</v>
      </c>
      <c r="AE60" s="9">
        <v>12197.25</v>
      </c>
      <c r="AF60" s="9">
        <v>13444.09</v>
      </c>
      <c r="AG60" s="9">
        <v>14795.4</v>
      </c>
      <c r="AH60" s="9">
        <v>15367.79</v>
      </c>
      <c r="AI60" s="9">
        <v>16511.580000000002</v>
      </c>
      <c r="AJ60" s="9">
        <v>16258.45</v>
      </c>
      <c r="AK60" s="9">
        <v>15747.55</v>
      </c>
      <c r="AL60" s="9">
        <v>15974.82</v>
      </c>
      <c r="AM60" s="9">
        <v>14301.8</v>
      </c>
      <c r="AN60" s="9">
        <v>15165.06</v>
      </c>
      <c r="AO60" s="9">
        <v>15179.08</v>
      </c>
      <c r="AP60" s="9">
        <v>16715.48</v>
      </c>
      <c r="AQ60" s="9">
        <v>16369.44</v>
      </c>
    </row>
    <row r="61" spans="1:43" x14ac:dyDescent="0.25">
      <c r="A61" s="7" t="s">
        <v>45</v>
      </c>
      <c r="B61" s="9">
        <v>3138.96</v>
      </c>
      <c r="C61" s="9">
        <v>2114.23</v>
      </c>
      <c r="D61" s="9">
        <v>2334.69</v>
      </c>
      <c r="E61" s="9">
        <v>2566.66</v>
      </c>
      <c r="F61" s="9">
        <v>2412.6899999999996</v>
      </c>
      <c r="G61" s="9">
        <v>4957.16</v>
      </c>
      <c r="H61" s="9">
        <v>4120.0404000000008</v>
      </c>
      <c r="I61" s="9">
        <v>8215.2383200000004</v>
      </c>
      <c r="J61" s="9">
        <v>6462.63076</v>
      </c>
      <c r="K61" s="9">
        <v>8909.5647499999995</v>
      </c>
      <c r="L61" s="9">
        <v>10164.0762</v>
      </c>
      <c r="M61" s="9">
        <v>13487.68129</v>
      </c>
      <c r="N61" s="9">
        <v>21574.35816</v>
      </c>
      <c r="O61" s="9">
        <v>27106.704119999999</v>
      </c>
      <c r="P61" s="9">
        <v>48886.380539999998</v>
      </c>
      <c r="Q61" s="9">
        <v>88933.069680000015</v>
      </c>
      <c r="R61" s="9">
        <v>140838.38680000001</v>
      </c>
      <c r="S61" s="9">
        <v>156906.08941000002</v>
      </c>
      <c r="T61" s="9">
        <v>148901.61225999999</v>
      </c>
      <c r="U61" s="9">
        <v>131970.26216999997</v>
      </c>
      <c r="V61" s="9">
        <v>125527.96536</v>
      </c>
      <c r="W61" s="9">
        <v>104556.89615999999</v>
      </c>
      <c r="X61" s="9">
        <v>88240.632240000006</v>
      </c>
      <c r="Y61" s="9">
        <v>74739.718749999985</v>
      </c>
      <c r="Z61" s="9">
        <v>88842.846039999989</v>
      </c>
      <c r="AA61" s="9">
        <v>69617.798999999999</v>
      </c>
      <c r="AB61" s="9">
        <v>58379.881570000005</v>
      </c>
      <c r="AC61" s="9">
        <v>46183.986560000005</v>
      </c>
      <c r="AD61" s="9">
        <v>49466.352200000001</v>
      </c>
      <c r="AE61" s="9">
        <v>50752.663240000002</v>
      </c>
      <c r="AF61" s="9">
        <v>51637.787380000002</v>
      </c>
      <c r="AG61" s="9">
        <v>58677.590550000001</v>
      </c>
      <c r="AH61" s="9">
        <v>60936.478889999991</v>
      </c>
      <c r="AI61" s="9">
        <v>85186.580639999986</v>
      </c>
      <c r="AJ61" s="9">
        <v>60851.006990000002</v>
      </c>
      <c r="AK61" s="9">
        <v>64388.693140000003</v>
      </c>
      <c r="AL61" s="9">
        <v>79134.590029999992</v>
      </c>
      <c r="AM61" s="9">
        <v>75902.255730000004</v>
      </c>
      <c r="AN61" s="9">
        <v>81383.40449999999</v>
      </c>
      <c r="AO61" s="9">
        <v>76868.937969999999</v>
      </c>
      <c r="AP61" s="9">
        <v>76895.071779999998</v>
      </c>
      <c r="AQ61" s="9">
        <v>81817.566399999996</v>
      </c>
    </row>
    <row r="62" spans="1:43" x14ac:dyDescent="0.25">
      <c r="A62" s="6" t="s">
        <v>47</v>
      </c>
      <c r="B62" s="9">
        <v>13932870.66539</v>
      </c>
      <c r="C62" s="9">
        <v>13323456.493340001</v>
      </c>
      <c r="D62" s="9">
        <v>15679355.346799999</v>
      </c>
      <c r="E62" s="9">
        <v>15885309.912080001</v>
      </c>
      <c r="F62" s="9">
        <v>16914312.878800001</v>
      </c>
      <c r="G62" s="9">
        <v>17021254.109499998</v>
      </c>
      <c r="H62" s="9">
        <v>17652131.570329998</v>
      </c>
      <c r="I62" s="9">
        <v>18092225.653280001</v>
      </c>
      <c r="J62" s="9">
        <v>17857113.519584998</v>
      </c>
      <c r="K62" s="9">
        <v>18491257.642799992</v>
      </c>
      <c r="L62" s="9">
        <v>17871330.335559998</v>
      </c>
      <c r="M62" s="9">
        <v>18195012.905640002</v>
      </c>
      <c r="N62" s="9">
        <v>17883637.844800003</v>
      </c>
      <c r="O62" s="9">
        <v>16295461.666000001</v>
      </c>
      <c r="P62" s="9">
        <v>16914700.386229999</v>
      </c>
      <c r="Q62" s="9">
        <v>16051499.730800003</v>
      </c>
      <c r="R62" s="9">
        <v>16035971.7237</v>
      </c>
      <c r="S62" s="9">
        <v>14915437.354470003</v>
      </c>
      <c r="T62" s="9">
        <v>14770102.014319999</v>
      </c>
      <c r="U62" s="9">
        <v>14168505.25893</v>
      </c>
      <c r="V62" s="9">
        <v>13386629.879879998</v>
      </c>
      <c r="W62" s="9">
        <v>13386291.667280002</v>
      </c>
      <c r="X62" s="9">
        <v>12554807.25072</v>
      </c>
      <c r="Y62" s="9">
        <v>12562328.566649999</v>
      </c>
      <c r="Z62" s="9">
        <v>12296004.099239999</v>
      </c>
      <c r="AA62" s="9">
        <v>10881583.601000002</v>
      </c>
      <c r="AB62" s="9">
        <v>11758168.748049997</v>
      </c>
      <c r="AC62" s="9">
        <v>11191923.975370001</v>
      </c>
      <c r="AD62" s="9">
        <v>11324004.848599998</v>
      </c>
      <c r="AE62" s="9">
        <v>10731570.9034</v>
      </c>
      <c r="AF62" s="9">
        <v>10872387.941680001</v>
      </c>
      <c r="AG62" s="9">
        <v>10778337.994400002</v>
      </c>
      <c r="AH62" s="9">
        <v>10305835.921510002</v>
      </c>
      <c r="AI62" s="9">
        <v>10800274.313519999</v>
      </c>
      <c r="AJ62" s="9">
        <v>10172854.98683</v>
      </c>
      <c r="AK62" s="9">
        <v>10348590.6413</v>
      </c>
      <c r="AL62" s="9">
        <v>10292131.438590001</v>
      </c>
      <c r="AM62" s="9">
        <v>9271911.2040500008</v>
      </c>
      <c r="AN62" s="9">
        <v>10230313.498000002</v>
      </c>
      <c r="AO62" s="9">
        <v>9884691.0632899981</v>
      </c>
      <c r="AP62" s="9">
        <v>10294379.239179999</v>
      </c>
      <c r="AQ62" s="9">
        <v>10067210.3365</v>
      </c>
    </row>
    <row r="63" spans="1:43" x14ac:dyDescent="0.25">
      <c r="A63" s="7" t="s">
        <v>0</v>
      </c>
      <c r="B63" s="9">
        <v>13563742.46723</v>
      </c>
      <c r="C63" s="9">
        <v>12981967.108340001</v>
      </c>
      <c r="D63" s="9">
        <v>15322136.365199998</v>
      </c>
      <c r="E63" s="9">
        <v>15546008.642960003</v>
      </c>
      <c r="F63" s="9">
        <v>16578961.130320001</v>
      </c>
      <c r="G63" s="9">
        <v>16523514.793</v>
      </c>
      <c r="H63" s="9">
        <v>17163623.193099998</v>
      </c>
      <c r="I63" s="9">
        <v>17184488.932720002</v>
      </c>
      <c r="J63" s="9">
        <v>17052454.850344997</v>
      </c>
      <c r="K63" s="9">
        <v>17646463.480049994</v>
      </c>
      <c r="L63" s="9">
        <v>17071343.834339995</v>
      </c>
      <c r="M63" s="9">
        <v>17364412.373720001</v>
      </c>
      <c r="N63" s="9">
        <v>16858408.986240003</v>
      </c>
      <c r="O63" s="9">
        <v>15283328.430000002</v>
      </c>
      <c r="P63" s="9">
        <v>15854632.685929999</v>
      </c>
      <c r="Q63" s="9">
        <v>14772046.865040002</v>
      </c>
      <c r="R63" s="9">
        <v>14680269.873600001</v>
      </c>
      <c r="S63" s="9">
        <v>13577285.623290002</v>
      </c>
      <c r="T63" s="9">
        <v>13474072.43426</v>
      </c>
      <c r="U63" s="9">
        <v>12972297.26732</v>
      </c>
      <c r="V63" s="9">
        <v>12226702.948719999</v>
      </c>
      <c r="W63" s="9">
        <v>12325812.098720001</v>
      </c>
      <c r="X63" s="9">
        <v>11624367.033680001</v>
      </c>
      <c r="Y63" s="9">
        <v>11669542.825599998</v>
      </c>
      <c r="Z63" s="9">
        <v>11288524.60647</v>
      </c>
      <c r="AA63" s="9">
        <v>9971517.1790000014</v>
      </c>
      <c r="AB63" s="9">
        <v>10782509.798049998</v>
      </c>
      <c r="AC63" s="9">
        <v>10278173.285910001</v>
      </c>
      <c r="AD63" s="9">
        <v>10393339.993199999</v>
      </c>
      <c r="AE63" s="9">
        <v>9825276.0461999997</v>
      </c>
      <c r="AF63" s="9">
        <v>9996801.5331400018</v>
      </c>
      <c r="AG63" s="9">
        <v>9919160.6668000016</v>
      </c>
      <c r="AH63" s="9">
        <v>9507960.9253300019</v>
      </c>
      <c r="AI63" s="9">
        <v>9790473.8520799987</v>
      </c>
      <c r="AJ63" s="9">
        <v>9485788.9842399992</v>
      </c>
      <c r="AK63" s="9">
        <v>9679556.3446399998</v>
      </c>
      <c r="AL63" s="9">
        <v>9593586.3980800007</v>
      </c>
      <c r="AM63" s="9">
        <v>8659882.5811000001</v>
      </c>
      <c r="AN63" s="9">
        <v>9590230.3140000012</v>
      </c>
      <c r="AO63" s="9">
        <v>9307961.2538699992</v>
      </c>
      <c r="AP63" s="9">
        <v>9731509.0126799997</v>
      </c>
      <c r="AQ63" s="9">
        <v>9518848.6043500006</v>
      </c>
    </row>
    <row r="64" spans="1:43" x14ac:dyDescent="0.25">
      <c r="A64" s="7" t="s">
        <v>1</v>
      </c>
      <c r="B64" s="9">
        <v>66187.39</v>
      </c>
      <c r="C64" s="9">
        <v>64456.77</v>
      </c>
      <c r="D64" s="9">
        <v>75856.126800000013</v>
      </c>
      <c r="E64" s="9">
        <v>70328.838680000001</v>
      </c>
      <c r="F64" s="9">
        <v>67146.875120000012</v>
      </c>
      <c r="G64" s="9">
        <v>59679.8105</v>
      </c>
      <c r="H64" s="9">
        <v>57224.642610000003</v>
      </c>
      <c r="I64" s="9">
        <v>50738.086640000001</v>
      </c>
      <c r="J64" s="9">
        <v>47731.843090000002</v>
      </c>
      <c r="K64" s="9">
        <v>45074.845000000001</v>
      </c>
      <c r="L64" s="9">
        <v>37749.628880000004</v>
      </c>
      <c r="M64" s="9">
        <v>36553.854019999999</v>
      </c>
      <c r="N64" s="9">
        <v>32429.95</v>
      </c>
      <c r="O64" s="9">
        <v>28108.44</v>
      </c>
      <c r="P64" s="9">
        <v>35493.160000000003</v>
      </c>
      <c r="Q64" s="9">
        <v>54782.26</v>
      </c>
      <c r="R64" s="9">
        <v>111860.84</v>
      </c>
      <c r="S64" s="9">
        <v>174871.13</v>
      </c>
      <c r="T64" s="9">
        <v>219192.95</v>
      </c>
      <c r="U64" s="9">
        <v>240334.43</v>
      </c>
      <c r="V64" s="9">
        <v>236418.74</v>
      </c>
      <c r="W64" s="9">
        <v>235352.22</v>
      </c>
      <c r="X64" s="9">
        <v>225816.44</v>
      </c>
      <c r="Y64" s="9">
        <v>234070.23</v>
      </c>
      <c r="Z64" s="9">
        <v>234225.01</v>
      </c>
      <c r="AA64" s="9">
        <v>206366.49</v>
      </c>
      <c r="AB64" s="9">
        <v>226477.02</v>
      </c>
      <c r="AC64" s="9">
        <v>226190.18</v>
      </c>
      <c r="AD64" s="9">
        <v>224467.19</v>
      </c>
      <c r="AE64" s="9">
        <v>208140.89</v>
      </c>
      <c r="AF64" s="9">
        <v>208086.45</v>
      </c>
      <c r="AG64" s="9">
        <v>199164.27</v>
      </c>
      <c r="AH64" s="9">
        <v>188852.19</v>
      </c>
      <c r="AI64" s="9">
        <v>190017.64</v>
      </c>
      <c r="AJ64" s="9">
        <v>179017.21</v>
      </c>
      <c r="AK64" s="9">
        <v>185205.26</v>
      </c>
      <c r="AL64" s="9">
        <v>180829.09</v>
      </c>
      <c r="AM64" s="9">
        <v>158866.4</v>
      </c>
      <c r="AN64" s="9">
        <v>171296.38</v>
      </c>
      <c r="AO64" s="9">
        <v>161224.78</v>
      </c>
      <c r="AP64" s="9">
        <v>162776.01999999999</v>
      </c>
      <c r="AQ64" s="9">
        <v>154009.82</v>
      </c>
    </row>
    <row r="65" spans="1:43" x14ac:dyDescent="0.25">
      <c r="A65" s="7" t="s">
        <v>45</v>
      </c>
      <c r="B65" s="9">
        <v>302940.80816000002</v>
      </c>
      <c r="C65" s="9">
        <v>277032.61499999999</v>
      </c>
      <c r="D65" s="9">
        <v>281362.85480000003</v>
      </c>
      <c r="E65" s="9">
        <v>268972.43043999997</v>
      </c>
      <c r="F65" s="9">
        <v>268204.87336000003</v>
      </c>
      <c r="G65" s="9">
        <v>438059.50599999999</v>
      </c>
      <c r="H65" s="9">
        <v>431283.73462</v>
      </c>
      <c r="I65" s="9">
        <v>856998.63392000005</v>
      </c>
      <c r="J65" s="9">
        <v>756926.82614999998</v>
      </c>
      <c r="K65" s="9">
        <v>799719.31775000005</v>
      </c>
      <c r="L65" s="9">
        <v>762236.87234</v>
      </c>
      <c r="M65" s="9">
        <v>794046.67789999989</v>
      </c>
      <c r="N65" s="9">
        <v>992798.90856000001</v>
      </c>
      <c r="O65" s="9">
        <v>984024.79599999997</v>
      </c>
      <c r="P65" s="9">
        <v>1024574.5403</v>
      </c>
      <c r="Q65" s="9">
        <v>1224670.6057599999</v>
      </c>
      <c r="R65" s="9">
        <v>1243841.0100999998</v>
      </c>
      <c r="S65" s="9">
        <v>1163280.60118</v>
      </c>
      <c r="T65" s="9">
        <v>1076836.6300599999</v>
      </c>
      <c r="U65" s="9">
        <v>955873.56160999998</v>
      </c>
      <c r="V65" s="9">
        <v>923508.19115999993</v>
      </c>
      <c r="W65" s="9">
        <v>825127.34856000007</v>
      </c>
      <c r="X65" s="9">
        <v>704623.77703999996</v>
      </c>
      <c r="Y65" s="9">
        <v>658715.51104999997</v>
      </c>
      <c r="Z65" s="9">
        <v>773254.48277</v>
      </c>
      <c r="AA65" s="9">
        <v>703699.93200000003</v>
      </c>
      <c r="AB65" s="9">
        <v>749181.92999999993</v>
      </c>
      <c r="AC65" s="9">
        <v>687560.50945999997</v>
      </c>
      <c r="AD65" s="9">
        <v>706197.66540000006</v>
      </c>
      <c r="AE65" s="9">
        <v>698153.96719999996</v>
      </c>
      <c r="AF65" s="9">
        <v>667499.95854000002</v>
      </c>
      <c r="AG65" s="9">
        <v>660013.05759999994</v>
      </c>
      <c r="AH65" s="9">
        <v>609022.80618000007</v>
      </c>
      <c r="AI65" s="9">
        <v>819782.82143999997</v>
      </c>
      <c r="AJ65" s="9">
        <v>508048.79259000003</v>
      </c>
      <c r="AK65" s="9">
        <v>483829.03665999998</v>
      </c>
      <c r="AL65" s="9">
        <v>517715.95051</v>
      </c>
      <c r="AM65" s="9">
        <v>453162.22295000002</v>
      </c>
      <c r="AN65" s="9">
        <v>468786.80399999995</v>
      </c>
      <c r="AO65" s="9">
        <v>415505.02941999998</v>
      </c>
      <c r="AP65" s="9">
        <v>400094.20649999997</v>
      </c>
      <c r="AQ65" s="9">
        <v>394351.91214999999</v>
      </c>
    </row>
    <row r="66" spans="1:43" x14ac:dyDescent="0.25">
      <c r="A66" s="6" t="s">
        <v>46</v>
      </c>
      <c r="B66" s="9">
        <v>279406.04876000003</v>
      </c>
      <c r="C66" s="9">
        <v>264857.31979000004</v>
      </c>
      <c r="D66" s="9">
        <v>311325.52619999996</v>
      </c>
      <c r="E66" s="9">
        <v>312805.41811999999</v>
      </c>
      <c r="F66" s="9">
        <v>326918.36040000001</v>
      </c>
      <c r="G66" s="9">
        <v>325244.17300000001</v>
      </c>
      <c r="H66" s="9">
        <v>331568.78731999994</v>
      </c>
      <c r="I66" s="9">
        <v>331254.34703999996</v>
      </c>
      <c r="J66" s="9">
        <v>318743.72305590002</v>
      </c>
      <c r="K66" s="9">
        <v>321743.1018</v>
      </c>
      <c r="L66" s="9">
        <v>300934.70938000001</v>
      </c>
      <c r="M66" s="9">
        <v>300400.97164000006</v>
      </c>
      <c r="N66" s="9">
        <v>287897.60384000005</v>
      </c>
      <c r="O66" s="9">
        <v>254323.91947999998</v>
      </c>
      <c r="P66" s="9">
        <v>258739.74283999999</v>
      </c>
      <c r="Q66" s="9">
        <v>242726.57616</v>
      </c>
      <c r="R66" s="9">
        <v>236978.4829</v>
      </c>
      <c r="S66" s="9">
        <v>218700.76023000001</v>
      </c>
      <c r="T66" s="9">
        <v>212590.00674000001</v>
      </c>
      <c r="U66" s="9">
        <v>201026.61487000002</v>
      </c>
      <c r="V66" s="9">
        <v>190329.41911999998</v>
      </c>
      <c r="W66" s="9">
        <v>188544.41</v>
      </c>
      <c r="X66" s="9">
        <v>174606.16700000002</v>
      </c>
      <c r="Y66" s="9">
        <v>171473.29925000001</v>
      </c>
      <c r="Z66" s="9">
        <v>165415.88411000001</v>
      </c>
      <c r="AA66" s="9">
        <v>144823.51</v>
      </c>
      <c r="AB66" s="9">
        <v>153074.19925000001</v>
      </c>
      <c r="AC66" s="9">
        <v>145439.35302999997</v>
      </c>
      <c r="AD66" s="9">
        <v>146431.26559999998</v>
      </c>
      <c r="AE66" s="9">
        <v>137868.32884</v>
      </c>
      <c r="AF66" s="9">
        <v>137171.0128</v>
      </c>
      <c r="AG66" s="9">
        <v>134118.8211</v>
      </c>
      <c r="AH66" s="9">
        <v>126968.11523</v>
      </c>
      <c r="AI66" s="9">
        <v>131023.16088000001</v>
      </c>
      <c r="AJ66" s="9">
        <v>121042.73</v>
      </c>
      <c r="AK66" s="9">
        <v>126860.30895999999</v>
      </c>
      <c r="AL66" s="9">
        <v>133554.81633</v>
      </c>
      <c r="AM66" s="9">
        <v>130883.50602000002</v>
      </c>
      <c r="AN66" s="9">
        <v>155567.44699999999</v>
      </c>
      <c r="AO66" s="9">
        <v>161823.07399999999</v>
      </c>
      <c r="AP66" s="9">
        <v>182979.01736000003</v>
      </c>
      <c r="AQ66" s="9">
        <v>191513.36494999999</v>
      </c>
    </row>
    <row r="67" spans="1:43" x14ac:dyDescent="0.25">
      <c r="A67" s="7" t="s">
        <v>0</v>
      </c>
      <c r="B67" s="9">
        <v>263619.92400000006</v>
      </c>
      <c r="C67" s="9">
        <v>250301.70088000002</v>
      </c>
      <c r="D67" s="9">
        <v>297553.73259999999</v>
      </c>
      <c r="E67" s="9">
        <v>298083.35311999999</v>
      </c>
      <c r="F67" s="9">
        <v>313136.50839999999</v>
      </c>
      <c r="G67" s="9">
        <v>309416.98250000004</v>
      </c>
      <c r="H67" s="9">
        <v>316917.63122999994</v>
      </c>
      <c r="I67" s="9">
        <v>306456.95991999999</v>
      </c>
      <c r="J67" s="9">
        <v>294762.63313590002</v>
      </c>
      <c r="K67" s="9">
        <v>296814.21000000002</v>
      </c>
      <c r="L67" s="9">
        <v>279722.39</v>
      </c>
      <c r="M67" s="9">
        <v>279356.21000000002</v>
      </c>
      <c r="N67" s="9">
        <v>258824.6</v>
      </c>
      <c r="O67" s="9">
        <v>225428.34999999998</v>
      </c>
      <c r="P67" s="9">
        <v>232302.9</v>
      </c>
      <c r="Q67" s="9">
        <v>214401.03</v>
      </c>
      <c r="R67" s="9">
        <v>209659.22169999999</v>
      </c>
      <c r="S67" s="9">
        <v>193878.35440000001</v>
      </c>
      <c r="T67" s="9">
        <v>191694.42146000001</v>
      </c>
      <c r="U67" s="9">
        <v>184707.59883</v>
      </c>
      <c r="V67" s="9">
        <v>175198.11059999999</v>
      </c>
      <c r="W67" s="9">
        <v>175970.89663999999</v>
      </c>
      <c r="X67" s="9">
        <v>163796.70246</v>
      </c>
      <c r="Y67" s="9">
        <v>160259.22779999999</v>
      </c>
      <c r="Z67" s="9">
        <v>152248.12411</v>
      </c>
      <c r="AA67" s="9">
        <v>131571.88</v>
      </c>
      <c r="AB67" s="9">
        <v>139374.40925</v>
      </c>
      <c r="AC67" s="9">
        <v>131785.65302999999</v>
      </c>
      <c r="AD67" s="9">
        <v>132222.42559999999</v>
      </c>
      <c r="AE67" s="9">
        <v>124060.34052</v>
      </c>
      <c r="AF67" s="9">
        <v>124905.02280000001</v>
      </c>
      <c r="AG67" s="9">
        <v>122497.7311</v>
      </c>
      <c r="AH67" s="9">
        <v>116118.26523</v>
      </c>
      <c r="AI67" s="9">
        <v>117335.33088000001</v>
      </c>
      <c r="AJ67" s="9">
        <v>112305.66</v>
      </c>
      <c r="AK67" s="9">
        <v>118560.30896000001</v>
      </c>
      <c r="AL67" s="9">
        <v>124439.37633000001</v>
      </c>
      <c r="AM67" s="9">
        <v>123048.52602</v>
      </c>
      <c r="AN67" s="9">
        <v>147336.68700000001</v>
      </c>
      <c r="AO67" s="9">
        <v>154421.114</v>
      </c>
      <c r="AP67" s="9">
        <v>175816.19121000002</v>
      </c>
      <c r="AQ67" s="9">
        <v>184091.26494999998</v>
      </c>
    </row>
    <row r="68" spans="1:43" x14ac:dyDescent="0.25">
      <c r="A68" s="7" t="s">
        <v>1</v>
      </c>
      <c r="B68" s="9">
        <v>2025.81</v>
      </c>
      <c r="C68" s="9">
        <v>2180.54</v>
      </c>
      <c r="D68" s="9">
        <v>2601.62</v>
      </c>
      <c r="E68" s="9">
        <v>2949.65</v>
      </c>
      <c r="F68" s="9">
        <v>3165</v>
      </c>
      <c r="G68" s="9">
        <v>2722.16</v>
      </c>
      <c r="H68" s="9">
        <v>2675.67</v>
      </c>
      <c r="I68" s="9">
        <v>2408.6799999999998</v>
      </c>
      <c r="J68" s="9">
        <v>2091.8200000000002</v>
      </c>
      <c r="K68" s="9">
        <v>1897.85</v>
      </c>
      <c r="L68" s="9">
        <v>1480.89</v>
      </c>
      <c r="M68" s="9">
        <v>1274.53</v>
      </c>
      <c r="N68" s="9">
        <v>1107.3399999999999</v>
      </c>
      <c r="O68" s="9">
        <v>880.78</v>
      </c>
      <c r="P68" s="9">
        <v>855.47</v>
      </c>
      <c r="Q68" s="9">
        <v>1163.69</v>
      </c>
      <c r="R68" s="9">
        <v>2273.39</v>
      </c>
      <c r="S68" s="9">
        <v>3471.9</v>
      </c>
      <c r="T68" s="9">
        <v>4099.49</v>
      </c>
      <c r="U68" s="9">
        <v>3687.85</v>
      </c>
      <c r="V68" s="9">
        <v>3850.59</v>
      </c>
      <c r="W68" s="9">
        <v>3656.17</v>
      </c>
      <c r="X68" s="9">
        <v>3620.39</v>
      </c>
      <c r="Y68" s="9">
        <v>4056.89</v>
      </c>
      <c r="Z68" s="9">
        <v>4270.8999999999996</v>
      </c>
      <c r="AA68" s="9">
        <v>3846.92</v>
      </c>
      <c r="AB68" s="9">
        <v>4150.45</v>
      </c>
      <c r="AC68" s="9">
        <v>3881.58</v>
      </c>
      <c r="AD68" s="9">
        <v>3804.12</v>
      </c>
      <c r="AE68" s="9">
        <v>3346.62</v>
      </c>
      <c r="AF68" s="9">
        <v>3239.27</v>
      </c>
      <c r="AG68" s="9">
        <v>2921.59</v>
      </c>
      <c r="AH68" s="9">
        <v>2816.06</v>
      </c>
      <c r="AI68" s="9">
        <v>2918.36</v>
      </c>
      <c r="AJ68" s="9">
        <v>2565.1999999999998</v>
      </c>
      <c r="AK68" s="9">
        <v>2507.65</v>
      </c>
      <c r="AL68" s="9">
        <v>2334.6799999999998</v>
      </c>
      <c r="AM68" s="9">
        <v>1959.21</v>
      </c>
      <c r="AN68" s="9">
        <v>2111.3000000000002</v>
      </c>
      <c r="AO68" s="9">
        <v>1799.12</v>
      </c>
      <c r="AP68" s="9">
        <v>1660.95</v>
      </c>
      <c r="AQ68" s="9">
        <v>1679.68</v>
      </c>
    </row>
    <row r="69" spans="1:43" x14ac:dyDescent="0.25">
      <c r="A69" s="7" t="s">
        <v>45</v>
      </c>
      <c r="B69" s="9">
        <v>13760.314759999999</v>
      </c>
      <c r="C69" s="9">
        <v>12375.07891</v>
      </c>
      <c r="D69" s="9">
        <v>11170.173599999998</v>
      </c>
      <c r="E69" s="9">
        <v>11772.415000000001</v>
      </c>
      <c r="F69" s="9">
        <v>10616.852000000001</v>
      </c>
      <c r="G69" s="9">
        <v>13105.030500000001</v>
      </c>
      <c r="H69" s="9">
        <v>11975.48609</v>
      </c>
      <c r="I69" s="9">
        <v>22388.707120000006</v>
      </c>
      <c r="J69" s="9">
        <v>21889.269920000002</v>
      </c>
      <c r="K69" s="9">
        <v>23031.041800000003</v>
      </c>
      <c r="L69" s="9">
        <v>19731.429379999998</v>
      </c>
      <c r="M69" s="9">
        <v>19770.231639999998</v>
      </c>
      <c r="N69" s="9">
        <v>27965.663840000001</v>
      </c>
      <c r="O69" s="9">
        <v>28014.789479999999</v>
      </c>
      <c r="P69" s="9">
        <v>25581.37284</v>
      </c>
      <c r="Q69" s="9">
        <v>27161.856159999999</v>
      </c>
      <c r="R69" s="9">
        <v>25045.871200000001</v>
      </c>
      <c r="S69" s="9">
        <v>21350.505830000002</v>
      </c>
      <c r="T69" s="9">
        <v>16796.095280000001</v>
      </c>
      <c r="U69" s="9">
        <v>12631.166040000002</v>
      </c>
      <c r="V69" s="9">
        <v>11280.71852</v>
      </c>
      <c r="W69" s="9">
        <v>8917.3433599999989</v>
      </c>
      <c r="X69" s="9">
        <v>7189.0745399999996</v>
      </c>
      <c r="Y69" s="9">
        <v>7157.18145</v>
      </c>
      <c r="Z69" s="9">
        <v>8896.86</v>
      </c>
      <c r="AA69" s="9">
        <v>9404.7100000000009</v>
      </c>
      <c r="AB69" s="9">
        <v>9549.34</v>
      </c>
      <c r="AC69" s="9">
        <v>9772.1200000000008</v>
      </c>
      <c r="AD69" s="9">
        <v>10404.720000000001</v>
      </c>
      <c r="AE69" s="9">
        <v>10461.368320000001</v>
      </c>
      <c r="AF69" s="9">
        <v>9026.7199999999993</v>
      </c>
      <c r="AG69" s="9">
        <v>8699.5</v>
      </c>
      <c r="AH69" s="9">
        <v>8033.79</v>
      </c>
      <c r="AI69" s="9">
        <v>10769.469999999998</v>
      </c>
      <c r="AJ69" s="9">
        <v>6171.87</v>
      </c>
      <c r="AK69" s="9">
        <v>5792.3499999999985</v>
      </c>
      <c r="AL69" s="9">
        <v>6780.76</v>
      </c>
      <c r="AM69" s="9">
        <v>5875.7699999999995</v>
      </c>
      <c r="AN69" s="9">
        <v>6119.46</v>
      </c>
      <c r="AO69" s="9">
        <v>5602.8399999999992</v>
      </c>
      <c r="AP69" s="9">
        <v>5501.8761500000001</v>
      </c>
      <c r="AQ69" s="9">
        <v>5742.42</v>
      </c>
    </row>
    <row r="70" spans="1:43" x14ac:dyDescent="0.25">
      <c r="A70" s="6" t="s">
        <v>48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</row>
    <row r="71" spans="1:43" x14ac:dyDescent="0.25">
      <c r="A71" s="7" t="s">
        <v>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</row>
    <row r="72" spans="1:43" x14ac:dyDescent="0.25">
      <c r="A72" s="7" t="s">
        <v>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</row>
    <row r="73" spans="1:43" x14ac:dyDescent="0.25">
      <c r="A73" s="7" t="s">
        <v>45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</row>
    <row r="74" spans="1:43" x14ac:dyDescent="0.25">
      <c r="A74" s="5" t="s">
        <v>64</v>
      </c>
      <c r="B74" s="9">
        <v>-25142898.519884642</v>
      </c>
      <c r="C74" s="9">
        <v>-14922556.907031823</v>
      </c>
      <c r="D74" s="9">
        <v>-25857675.469787706</v>
      </c>
      <c r="E74" s="9">
        <v>-23798516.990977705</v>
      </c>
      <c r="F74" s="9">
        <v>-38254202.375318892</v>
      </c>
      <c r="G74" s="9">
        <v>-45300067.060509451</v>
      </c>
      <c r="H74" s="9">
        <v>-49076281.588658273</v>
      </c>
      <c r="I74" s="9">
        <v>-66625355.822088979</v>
      </c>
      <c r="J74" s="9">
        <v>-46297141.545274101</v>
      </c>
      <c r="K74" s="9">
        <v>-72498723.273563981</v>
      </c>
      <c r="L74" s="9">
        <v>-51321997.002159268</v>
      </c>
      <c r="M74" s="9">
        <v>-63435949.531503335</v>
      </c>
      <c r="N74" s="9">
        <v>-86293223.095918894</v>
      </c>
      <c r="O74" s="9">
        <v>-59001687.41098357</v>
      </c>
      <c r="P74" s="9">
        <v>-78548727.619655952</v>
      </c>
      <c r="Q74" s="9">
        <v>-73136620.547917306</v>
      </c>
      <c r="R74" s="9">
        <v>-67915054.262812763</v>
      </c>
      <c r="S74" s="9">
        <v>-59207574.513577774</v>
      </c>
      <c r="T74" s="9">
        <v>-49921788.833391719</v>
      </c>
      <c r="U74" s="9">
        <v>-40589359.766942054</v>
      </c>
      <c r="V74" s="9">
        <v>-37778190.868325897</v>
      </c>
      <c r="W74" s="9">
        <v>-42966877.887508214</v>
      </c>
      <c r="X74" s="9">
        <v>-22188751.133581959</v>
      </c>
      <c r="Y74" s="9">
        <v>-29611010.710203774</v>
      </c>
      <c r="Z74" s="9">
        <v>-40048010.234564245</v>
      </c>
      <c r="AA74" s="9">
        <v>-21613963.381596025</v>
      </c>
      <c r="AB74" s="9">
        <v>-28069949.833832137</v>
      </c>
      <c r="AC74" s="9">
        <v>-27817695.547022536</v>
      </c>
      <c r="AD74" s="9">
        <v>-23428336.461611588</v>
      </c>
      <c r="AE74" s="9">
        <v>-25606076.19303805</v>
      </c>
      <c r="AF74" s="9">
        <v>-22957849.723110676</v>
      </c>
      <c r="AG74" s="9">
        <v>-21622600.780163825</v>
      </c>
      <c r="AH74" s="9">
        <v>-20882383.224488575</v>
      </c>
      <c r="AI74" s="9">
        <v>-27111856.838448104</v>
      </c>
      <c r="AJ74" s="9">
        <v>-14010681.08848222</v>
      </c>
      <c r="AK74" s="9">
        <v>-15028998.53244254</v>
      </c>
      <c r="AL74" s="9">
        <v>-14981549.996015316</v>
      </c>
      <c r="AM74" s="9">
        <v>-15838700.527198838</v>
      </c>
      <c r="AN74" s="9">
        <v>-14835834.7231602</v>
      </c>
      <c r="AO74" s="9">
        <v>-16913675.157608874</v>
      </c>
      <c r="AP74" s="9">
        <v>-16176697.0499998</v>
      </c>
      <c r="AQ74" s="9">
        <v>-18392517.36999971</v>
      </c>
    </row>
    <row r="75" spans="1:43" x14ac:dyDescent="0.25">
      <c r="A75" s="6" t="s">
        <v>49</v>
      </c>
      <c r="B75" s="9">
        <v>-267064.89359204145</v>
      </c>
      <c r="C75" s="9">
        <v>-403546.24737525877</v>
      </c>
      <c r="D75" s="9">
        <v>-151279.9357225562</v>
      </c>
      <c r="E75" s="9">
        <v>-543796.19838915451</v>
      </c>
      <c r="F75" s="9">
        <v>-521971.92569850938</v>
      </c>
      <c r="G75" s="9">
        <v>-610053.0705708171</v>
      </c>
      <c r="H75" s="9">
        <v>-954124.65286658483</v>
      </c>
      <c r="I75" s="9">
        <v>-980208.13410476153</v>
      </c>
      <c r="J75" s="9">
        <v>-1068613.1860000116</v>
      </c>
      <c r="K75" s="9">
        <v>-1717306.4672844927</v>
      </c>
      <c r="L75" s="9">
        <v>-1717829.3050078079</v>
      </c>
      <c r="M75" s="9">
        <v>-2083479.0325159593</v>
      </c>
      <c r="N75" s="9">
        <v>-3289012.5502182925</v>
      </c>
      <c r="O75" s="9">
        <v>-4856722.2541956948</v>
      </c>
      <c r="P75" s="9">
        <v>-6723742.2256931132</v>
      </c>
      <c r="Q75" s="9">
        <v>-6821243.3822027985</v>
      </c>
      <c r="R75" s="9">
        <v>-7306559.463514939</v>
      </c>
      <c r="S75" s="9">
        <v>-7476618.3067655396</v>
      </c>
      <c r="T75" s="9">
        <v>-5751231.8280893695</v>
      </c>
      <c r="U75" s="9">
        <v>-5009446.8656656379</v>
      </c>
      <c r="V75" s="9">
        <v>-3453710.4832397336</v>
      </c>
      <c r="W75" s="9">
        <v>-4740542.7718200283</v>
      </c>
      <c r="X75" s="9">
        <v>-2041940.6512260095</v>
      </c>
      <c r="Y75" s="9">
        <v>-2287840.6157775577</v>
      </c>
      <c r="Z75" s="9">
        <v>-3386033.960302873</v>
      </c>
      <c r="AA75" s="9">
        <v>-993143.83341889561</v>
      </c>
      <c r="AB75" s="9">
        <v>-1274824.58</v>
      </c>
      <c r="AC75" s="9">
        <v>-1725199.52</v>
      </c>
      <c r="AD75" s="9">
        <v>-1656090.07</v>
      </c>
      <c r="AE75" s="9">
        <v>-2636334.91</v>
      </c>
      <c r="AF75" s="9">
        <v>-2281683.37</v>
      </c>
      <c r="AG75" s="9">
        <v>-2590057.8122689198</v>
      </c>
      <c r="AH75" s="9">
        <v>-2862526.6440601102</v>
      </c>
      <c r="AI75" s="9">
        <v>-4378958.3784380499</v>
      </c>
      <c r="AJ75" s="9">
        <v>-3196075.76053112</v>
      </c>
      <c r="AK75" s="9">
        <v>-3377404.5824565799</v>
      </c>
      <c r="AL75" s="9">
        <v>-3869775.65</v>
      </c>
      <c r="AM75" s="9">
        <v>-3632153.21</v>
      </c>
      <c r="AN75" s="9">
        <v>-3970439.17</v>
      </c>
      <c r="AO75" s="9">
        <v>-4841949</v>
      </c>
      <c r="AP75" s="9">
        <v>-3955980.07</v>
      </c>
      <c r="AQ75" s="9">
        <v>-5037680.0900000101</v>
      </c>
    </row>
    <row r="76" spans="1:43" x14ac:dyDescent="0.25">
      <c r="A76" s="7" t="s">
        <v>67</v>
      </c>
      <c r="B76" s="9">
        <v>-267064.89359204145</v>
      </c>
      <c r="C76" s="9">
        <v>-403546.24737525877</v>
      </c>
      <c r="D76" s="9">
        <v>-151279.9357225562</v>
      </c>
      <c r="E76" s="9">
        <v>-543796.19838915451</v>
      </c>
      <c r="F76" s="9">
        <v>-521971.92569850938</v>
      </c>
      <c r="G76" s="9">
        <v>-610053.0705708171</v>
      </c>
      <c r="H76" s="9">
        <v>-954124.65286658483</v>
      </c>
      <c r="I76" s="9">
        <v>-980208.13410476153</v>
      </c>
      <c r="J76" s="9">
        <v>-1068613.1860000116</v>
      </c>
      <c r="K76" s="9">
        <v>-1717306.4672844927</v>
      </c>
      <c r="L76" s="9">
        <v>-1717829.3050078079</v>
      </c>
      <c r="M76" s="9">
        <v>-2083479.0325159593</v>
      </c>
      <c r="N76" s="9">
        <v>-3289012.5502182925</v>
      </c>
      <c r="O76" s="9">
        <v>-4856722.2541956948</v>
      </c>
      <c r="P76" s="9">
        <v>-6723742.2256931132</v>
      </c>
      <c r="Q76" s="9">
        <v>-6821243.3822027985</v>
      </c>
      <c r="R76" s="9">
        <v>-7306559.463514939</v>
      </c>
      <c r="S76" s="9">
        <v>-7476618.3067655396</v>
      </c>
      <c r="T76" s="9">
        <v>-5751231.8280893695</v>
      </c>
      <c r="U76" s="9">
        <v>-5009446.8656656379</v>
      </c>
      <c r="V76" s="9">
        <v>-3453710.4832397336</v>
      </c>
      <c r="W76" s="9">
        <v>-4740542.7718200283</v>
      </c>
      <c r="X76" s="9">
        <v>-2041940.6512260095</v>
      </c>
      <c r="Y76" s="9">
        <v>-2287840.6157775577</v>
      </c>
      <c r="Z76" s="9">
        <v>-3386033.960302873</v>
      </c>
      <c r="AA76" s="9">
        <v>-993143.83341889561</v>
      </c>
      <c r="AB76" s="9">
        <v>-1274824.58</v>
      </c>
      <c r="AC76" s="9">
        <v>-1725199.52</v>
      </c>
      <c r="AD76" s="9">
        <v>-1656090.07</v>
      </c>
      <c r="AE76" s="9">
        <v>-2636334.91</v>
      </c>
      <c r="AF76" s="9">
        <v>-2281683.37</v>
      </c>
      <c r="AG76" s="9">
        <v>-2590057.8122689198</v>
      </c>
      <c r="AH76" s="9">
        <v>-2862526.6440601102</v>
      </c>
      <c r="AI76" s="9">
        <v>-4378958.3784380499</v>
      </c>
      <c r="AJ76" s="9">
        <v>-3196075.76053112</v>
      </c>
      <c r="AK76" s="9">
        <v>-3377404.5824565799</v>
      </c>
      <c r="AL76" s="9">
        <v>-3869775.65</v>
      </c>
      <c r="AM76" s="9">
        <v>-3632153.21</v>
      </c>
      <c r="AN76" s="9">
        <v>-3970439.17</v>
      </c>
      <c r="AO76" s="9">
        <v>-4841949</v>
      </c>
      <c r="AP76" s="9">
        <v>-3955980.07</v>
      </c>
      <c r="AQ76" s="9">
        <v>-5037680.0900000101</v>
      </c>
    </row>
    <row r="77" spans="1:43" x14ac:dyDescent="0.25">
      <c r="A77" s="6" t="s">
        <v>47</v>
      </c>
      <c r="B77" s="9">
        <v>-23766137.059559502</v>
      </c>
      <c r="C77" s="9">
        <v>-13957780.306527674</v>
      </c>
      <c r="D77" s="9">
        <v>-24731266.202562246</v>
      </c>
      <c r="E77" s="9">
        <v>-22579891.868457772</v>
      </c>
      <c r="F77" s="9">
        <v>-36332670.377442725</v>
      </c>
      <c r="G77" s="9">
        <v>-43561674.81893836</v>
      </c>
      <c r="H77" s="9">
        <v>-46371360.414887622</v>
      </c>
      <c r="I77" s="9">
        <v>-63691975.832978673</v>
      </c>
      <c r="J77" s="9">
        <v>-43805625.91151765</v>
      </c>
      <c r="K77" s="9">
        <v>-68881405.717109978</v>
      </c>
      <c r="L77" s="9">
        <v>-48273799.86608839</v>
      </c>
      <c r="M77" s="9">
        <v>-59652912.308698282</v>
      </c>
      <c r="N77" s="9">
        <v>-80728870.437749669</v>
      </c>
      <c r="O77" s="9">
        <v>-53079066.016283132</v>
      </c>
      <c r="P77" s="9">
        <v>-70222273.402650684</v>
      </c>
      <c r="Q77" s="9">
        <v>-65218346.996338509</v>
      </c>
      <c r="R77" s="9">
        <v>-59667638.709057622</v>
      </c>
      <c r="S77" s="9">
        <v>-50949382.097181417</v>
      </c>
      <c r="T77" s="9">
        <v>-43492689.545380667</v>
      </c>
      <c r="U77" s="9">
        <v>-35169224.384932585</v>
      </c>
      <c r="V77" s="9">
        <v>-33898300.990102187</v>
      </c>
      <c r="W77" s="9">
        <v>-37735039.691188328</v>
      </c>
      <c r="X77" s="9">
        <v>-19901019.671145756</v>
      </c>
      <c r="Y77" s="9">
        <v>-27069740.418408044</v>
      </c>
      <c r="Z77" s="9">
        <v>-36110081.848315567</v>
      </c>
      <c r="AA77" s="9">
        <v>-20241987.836380817</v>
      </c>
      <c r="AB77" s="9">
        <v>-26297830.773832139</v>
      </c>
      <c r="AC77" s="9">
        <v>-25604735.817022536</v>
      </c>
      <c r="AD77" s="9">
        <v>-21280306.021611586</v>
      </c>
      <c r="AE77" s="9">
        <v>-22538602.553038049</v>
      </c>
      <c r="AF77" s="9">
        <v>-20231588.163110677</v>
      </c>
      <c r="AG77" s="9">
        <v>-18737966.144001301</v>
      </c>
      <c r="AH77" s="9">
        <v>-17548837.882383201</v>
      </c>
      <c r="AI77" s="9">
        <v>-22268210.5034553</v>
      </c>
      <c r="AJ77" s="9">
        <v>-10639656.2979511</v>
      </c>
      <c r="AK77" s="9">
        <v>-11383419.985985961</v>
      </c>
      <c r="AL77" s="9">
        <v>-10892668.436015315</v>
      </c>
      <c r="AM77" s="9">
        <v>-11826460.347198838</v>
      </c>
      <c r="AN77" s="9">
        <v>-10660822.27</v>
      </c>
      <c r="AO77" s="9">
        <v>-11701653.117608875</v>
      </c>
      <c r="AP77" s="9">
        <v>-11802477.6999998</v>
      </c>
      <c r="AQ77" s="9">
        <v>-12865458.9399997</v>
      </c>
    </row>
    <row r="78" spans="1:43" x14ac:dyDescent="0.25">
      <c r="A78" s="7" t="s">
        <v>67</v>
      </c>
      <c r="B78" s="9">
        <v>-23766137.059559502</v>
      </c>
      <c r="C78" s="9">
        <v>-13957780.306527674</v>
      </c>
      <c r="D78" s="9">
        <v>-24731266.202562246</v>
      </c>
      <c r="E78" s="9">
        <v>-22579891.868457772</v>
      </c>
      <c r="F78" s="9">
        <v>-36332670.377442725</v>
      </c>
      <c r="G78" s="9">
        <v>-43561674.81893836</v>
      </c>
      <c r="H78" s="9">
        <v>-46371360.414887622</v>
      </c>
      <c r="I78" s="9">
        <v>-63691975.832978673</v>
      </c>
      <c r="J78" s="9">
        <v>-43805625.91151765</v>
      </c>
      <c r="K78" s="9">
        <v>-68881405.717109978</v>
      </c>
      <c r="L78" s="9">
        <v>-48273799.86608839</v>
      </c>
      <c r="M78" s="9">
        <v>-59652912.308698282</v>
      </c>
      <c r="N78" s="9">
        <v>-80728870.437749669</v>
      </c>
      <c r="O78" s="9">
        <v>-53079066.016283132</v>
      </c>
      <c r="P78" s="9">
        <v>-70222273.402650684</v>
      </c>
      <c r="Q78" s="9">
        <v>-65218346.996338509</v>
      </c>
      <c r="R78" s="9">
        <v>-59667638.709057622</v>
      </c>
      <c r="S78" s="9">
        <v>-50949382.097181417</v>
      </c>
      <c r="T78" s="9">
        <v>-43492689.545380667</v>
      </c>
      <c r="U78" s="9">
        <v>-35169224.384932585</v>
      </c>
      <c r="V78" s="9">
        <v>-33898300.990102187</v>
      </c>
      <c r="W78" s="9">
        <v>-37735039.691188328</v>
      </c>
      <c r="X78" s="9">
        <v>-19901019.671145756</v>
      </c>
      <c r="Y78" s="9">
        <v>-27069740.418408044</v>
      </c>
      <c r="Z78" s="9">
        <v>-36110081.848315567</v>
      </c>
      <c r="AA78" s="9">
        <v>-20241987.836380817</v>
      </c>
      <c r="AB78" s="9">
        <v>-26297830.773832139</v>
      </c>
      <c r="AC78" s="9">
        <v>-25604735.817022536</v>
      </c>
      <c r="AD78" s="9">
        <v>-21280306.021611586</v>
      </c>
      <c r="AE78" s="9">
        <v>-22538602.553038049</v>
      </c>
      <c r="AF78" s="9">
        <v>-20231588.163110677</v>
      </c>
      <c r="AG78" s="9">
        <v>-18737966.144001301</v>
      </c>
      <c r="AH78" s="9">
        <v>-17548837.882383201</v>
      </c>
      <c r="AI78" s="9">
        <v>-22268210.5034553</v>
      </c>
      <c r="AJ78" s="9">
        <v>-10639656.2979511</v>
      </c>
      <c r="AK78" s="9">
        <v>-11383419.985985961</v>
      </c>
      <c r="AL78" s="9">
        <v>-10892668.436015315</v>
      </c>
      <c r="AM78" s="9">
        <v>-11826460.347198838</v>
      </c>
      <c r="AN78" s="9">
        <v>-10660822.27</v>
      </c>
      <c r="AO78" s="9">
        <v>-11701653.117608875</v>
      </c>
      <c r="AP78" s="9">
        <v>-11802477.6999998</v>
      </c>
      <c r="AQ78" s="9">
        <v>-12865458.9399997</v>
      </c>
    </row>
    <row r="79" spans="1:43" x14ac:dyDescent="0.25">
      <c r="A79" s="6" t="s">
        <v>46</v>
      </c>
      <c r="B79" s="9">
        <v>-1109696.5667330984</v>
      </c>
      <c r="C79" s="9">
        <v>-561230.35312888992</v>
      </c>
      <c r="D79" s="9">
        <v>-975129.33150290174</v>
      </c>
      <c r="E79" s="9">
        <v>-674828.92413077957</v>
      </c>
      <c r="F79" s="9">
        <v>-1399560.0721776583</v>
      </c>
      <c r="G79" s="9">
        <v>-1128339.1710002725</v>
      </c>
      <c r="H79" s="9">
        <v>-1750796.5209040686</v>
      </c>
      <c r="I79" s="9">
        <v>-1953171.8550055423</v>
      </c>
      <c r="J79" s="9">
        <v>-1422902.4477564385</v>
      </c>
      <c r="K79" s="9">
        <v>-1900011.0891695034</v>
      </c>
      <c r="L79" s="9">
        <v>-1330367.8310630661</v>
      </c>
      <c r="M79" s="9">
        <v>-1699558.1902890913</v>
      </c>
      <c r="N79" s="9">
        <v>-2275340.107950937</v>
      </c>
      <c r="O79" s="9">
        <v>-1065899.140504743</v>
      </c>
      <c r="P79" s="9">
        <v>-1602711.9913121569</v>
      </c>
      <c r="Q79" s="9">
        <v>-1097030.1693760052</v>
      </c>
      <c r="R79" s="9">
        <v>-940856.09024020354</v>
      </c>
      <c r="S79" s="9">
        <v>-781574.10963082022</v>
      </c>
      <c r="T79" s="9">
        <v>-677867.45992168225</v>
      </c>
      <c r="U79" s="9">
        <v>-410688.51634383155</v>
      </c>
      <c r="V79" s="9">
        <v>-426179.39498397702</v>
      </c>
      <c r="W79" s="9">
        <v>-491295.42449985427</v>
      </c>
      <c r="X79" s="9">
        <v>-245790.81121019259</v>
      </c>
      <c r="Y79" s="9">
        <v>-253429.676018172</v>
      </c>
      <c r="Z79" s="9">
        <v>-551894.42594580445</v>
      </c>
      <c r="AA79" s="9">
        <v>-378831.71179631236</v>
      </c>
      <c r="AB79" s="9">
        <v>-497294.48</v>
      </c>
      <c r="AC79" s="9">
        <v>-487760.21000000008</v>
      </c>
      <c r="AD79" s="9">
        <v>-491940.37000000005</v>
      </c>
      <c r="AE79" s="9">
        <v>-431138.73</v>
      </c>
      <c r="AF79" s="9">
        <v>-444578.18999999994</v>
      </c>
      <c r="AG79" s="9">
        <v>-294576.82389360497</v>
      </c>
      <c r="AH79" s="9">
        <v>-471018.69804526202</v>
      </c>
      <c r="AI79" s="9">
        <v>-464687.95655475499</v>
      </c>
      <c r="AJ79" s="9">
        <v>-174949.03</v>
      </c>
      <c r="AK79" s="9">
        <v>-268173.96399999998</v>
      </c>
      <c r="AL79" s="9">
        <v>-219105.91</v>
      </c>
      <c r="AM79" s="9">
        <v>-380086.97</v>
      </c>
      <c r="AN79" s="9">
        <v>-204573.28316019999</v>
      </c>
      <c r="AO79" s="9">
        <v>-370073.04</v>
      </c>
      <c r="AP79" s="9">
        <v>-418239.28</v>
      </c>
      <c r="AQ79" s="9">
        <v>-489378.34</v>
      </c>
    </row>
    <row r="80" spans="1:43" x14ac:dyDescent="0.25">
      <c r="A80" s="7" t="s">
        <v>67</v>
      </c>
      <c r="B80" s="9">
        <v>-1109696.5667330984</v>
      </c>
      <c r="C80" s="9">
        <v>-561230.35312888992</v>
      </c>
      <c r="D80" s="9">
        <v>-975129.33150290174</v>
      </c>
      <c r="E80" s="9">
        <v>-674828.92413077957</v>
      </c>
      <c r="F80" s="9">
        <v>-1399560.0721776583</v>
      </c>
      <c r="G80" s="9">
        <v>-1128339.1710002725</v>
      </c>
      <c r="H80" s="9">
        <v>-1750796.5209040686</v>
      </c>
      <c r="I80" s="9">
        <v>-1953171.8550055423</v>
      </c>
      <c r="J80" s="9">
        <v>-1422902.4477564385</v>
      </c>
      <c r="K80" s="9">
        <v>-1900011.0891695034</v>
      </c>
      <c r="L80" s="9">
        <v>-1330367.8310630661</v>
      </c>
      <c r="M80" s="9">
        <v>-1699558.1902890913</v>
      </c>
      <c r="N80" s="9">
        <v>-2275340.107950937</v>
      </c>
      <c r="O80" s="9">
        <v>-1065899.140504743</v>
      </c>
      <c r="P80" s="9">
        <v>-1602711.9913121569</v>
      </c>
      <c r="Q80" s="9">
        <v>-1097030.1693760052</v>
      </c>
      <c r="R80" s="9">
        <v>-940856.09024020354</v>
      </c>
      <c r="S80" s="9">
        <v>-781574.10963082022</v>
      </c>
      <c r="T80" s="9">
        <v>-677867.45992168225</v>
      </c>
      <c r="U80" s="9">
        <v>-410688.51634383155</v>
      </c>
      <c r="V80" s="9">
        <v>-426179.39498397702</v>
      </c>
      <c r="W80" s="9">
        <v>-491295.42449985427</v>
      </c>
      <c r="X80" s="9">
        <v>-245790.81121019259</v>
      </c>
      <c r="Y80" s="9">
        <v>-253429.676018172</v>
      </c>
      <c r="Z80" s="9">
        <v>-551894.42594580445</v>
      </c>
      <c r="AA80" s="9">
        <v>-378831.71179631236</v>
      </c>
      <c r="AB80" s="9">
        <v>-497294.48</v>
      </c>
      <c r="AC80" s="9">
        <v>-487760.21000000008</v>
      </c>
      <c r="AD80" s="9">
        <v>-491940.37000000005</v>
      </c>
      <c r="AE80" s="9">
        <v>-431138.73</v>
      </c>
      <c r="AF80" s="9">
        <v>-444578.18999999994</v>
      </c>
      <c r="AG80" s="9">
        <v>-294576.82389360497</v>
      </c>
      <c r="AH80" s="9">
        <v>-471018.69804526202</v>
      </c>
      <c r="AI80" s="9">
        <v>-464687.95655475499</v>
      </c>
      <c r="AJ80" s="9">
        <v>-174949.03</v>
      </c>
      <c r="AK80" s="9">
        <v>-268173.96399999998</v>
      </c>
      <c r="AL80" s="9">
        <v>-219105.91</v>
      </c>
      <c r="AM80" s="9">
        <v>-380086.97</v>
      </c>
      <c r="AN80" s="9">
        <v>-204573.28316019999</v>
      </c>
      <c r="AO80" s="9">
        <v>-370073.04</v>
      </c>
      <c r="AP80" s="9">
        <v>-418239.28</v>
      </c>
      <c r="AQ80" s="9">
        <v>-489378.34</v>
      </c>
    </row>
    <row r="81" spans="1:43" x14ac:dyDescent="0.25">
      <c r="A81" s="5" t="s">
        <v>65</v>
      </c>
      <c r="B81" s="9">
        <v>1096476.3199999987</v>
      </c>
      <c r="C81" s="9">
        <v>1139133.1800000006</v>
      </c>
      <c r="D81" s="9">
        <v>1415933.8099999991</v>
      </c>
      <c r="E81" s="9">
        <v>913597.94000000064</v>
      </c>
      <c r="F81" s="9">
        <v>1021496.96</v>
      </c>
      <c r="G81" s="9">
        <v>1229377.2000000007</v>
      </c>
      <c r="H81" s="9">
        <v>1097817.3900000006</v>
      </c>
      <c r="I81" s="9">
        <v>1275826.0500000007</v>
      </c>
      <c r="J81" s="9">
        <v>975529.96</v>
      </c>
      <c r="K81" s="9">
        <v>1067944.3099999998</v>
      </c>
      <c r="L81" s="9">
        <v>1280632.5400000007</v>
      </c>
      <c r="M81" s="9">
        <v>1127813.1399999999</v>
      </c>
      <c r="N81" s="9">
        <v>1246655.7</v>
      </c>
      <c r="O81" s="9">
        <v>1483485.0299999998</v>
      </c>
      <c r="P81" s="9">
        <v>1476247.85</v>
      </c>
      <c r="Q81" s="9">
        <v>1640011.3300000003</v>
      </c>
      <c r="R81" s="9">
        <v>2047304.0999999999</v>
      </c>
      <c r="S81" s="9">
        <v>2279257.9400000004</v>
      </c>
      <c r="T81" s="9">
        <v>3321989.7700000005</v>
      </c>
      <c r="U81" s="9">
        <v>2969548.180000003</v>
      </c>
      <c r="V81" s="9">
        <v>3775861.9</v>
      </c>
      <c r="W81" s="9">
        <v>3115988.0810189405</v>
      </c>
      <c r="X81" s="9">
        <v>2565136.87</v>
      </c>
      <c r="Y81" s="9">
        <v>3112138.9999999963</v>
      </c>
      <c r="Z81" s="9">
        <v>3194472.25</v>
      </c>
      <c r="AA81" s="9">
        <v>2709447.5700000003</v>
      </c>
      <c r="AB81" s="9">
        <v>3529558.19</v>
      </c>
      <c r="AC81" s="9">
        <v>2578188.6499999966</v>
      </c>
      <c r="AD81" s="9">
        <v>2902564.4899999956</v>
      </c>
      <c r="AE81" s="9">
        <v>2790456.8199999994</v>
      </c>
      <c r="AF81" s="9">
        <v>2353706.740000003</v>
      </c>
      <c r="AG81" s="9">
        <v>2391601.04</v>
      </c>
      <c r="AH81" s="9">
        <v>2536002.58</v>
      </c>
      <c r="AI81" s="9">
        <v>1897129.9500000002</v>
      </c>
      <c r="AJ81" s="9">
        <v>2025751.4000000001</v>
      </c>
      <c r="AK81" s="9">
        <v>1567378.04</v>
      </c>
      <c r="AL81" s="9">
        <v>1841178.5799999998</v>
      </c>
      <c r="AM81" s="9">
        <v>1726725.44</v>
      </c>
      <c r="AN81" s="9">
        <v>1988233.6</v>
      </c>
      <c r="AO81" s="9">
        <v>1978420.11</v>
      </c>
      <c r="AP81" s="9">
        <v>2028081.3599999999</v>
      </c>
      <c r="AQ81" s="9">
        <v>1798455.97999999</v>
      </c>
    </row>
    <row r="82" spans="1:43" x14ac:dyDescent="0.25">
      <c r="A82" s="6" t="s">
        <v>49</v>
      </c>
      <c r="B82" s="9">
        <v>13048.597037315392</v>
      </c>
      <c r="C82" s="9">
        <v>3552.4029648208952</v>
      </c>
      <c r="D82" s="9">
        <v>9472.8384000844726</v>
      </c>
      <c r="E82" s="9">
        <v>6176.9386938218231</v>
      </c>
      <c r="F82" s="9">
        <v>7256.8187100833966</v>
      </c>
      <c r="G82" s="9">
        <v>8276.07640100553</v>
      </c>
      <c r="H82" s="9">
        <v>7352.3407548237365</v>
      </c>
      <c r="I82" s="9">
        <v>6919.3917752663883</v>
      </c>
      <c r="J82" s="9">
        <v>2050.9603940314587</v>
      </c>
      <c r="K82" s="9">
        <v>10359.098260813251</v>
      </c>
      <c r="L82" s="9">
        <v>7632.6292424641833</v>
      </c>
      <c r="M82" s="9">
        <v>7672.3421469492796</v>
      </c>
      <c r="N82" s="9">
        <v>631.43999999999994</v>
      </c>
      <c r="O82" s="9">
        <v>3811.48</v>
      </c>
      <c r="P82" s="9">
        <v>65002.81</v>
      </c>
      <c r="Q82" s="9">
        <v>23585.46</v>
      </c>
      <c r="R82" s="9">
        <v>32013.810000000005</v>
      </c>
      <c r="S82" s="9">
        <v>78760.95</v>
      </c>
      <c r="T82" s="9">
        <v>132368.83000000002</v>
      </c>
      <c r="U82" s="9">
        <v>166837.82</v>
      </c>
      <c r="V82" s="9">
        <v>229084.3</v>
      </c>
      <c r="W82" s="9">
        <v>242325.75</v>
      </c>
      <c r="X82" s="9">
        <v>145470.41</v>
      </c>
      <c r="Y82" s="9">
        <v>130333.53</v>
      </c>
      <c r="Z82" s="9">
        <v>138724.60999999999</v>
      </c>
      <c r="AA82" s="9">
        <v>189833.66999999998</v>
      </c>
      <c r="AB82" s="9">
        <v>318196.7</v>
      </c>
      <c r="AC82" s="9">
        <v>111953.75</v>
      </c>
      <c r="AD82" s="9">
        <v>190906.36</v>
      </c>
      <c r="AE82" s="9">
        <v>252442.49</v>
      </c>
      <c r="AF82" s="9">
        <v>106906.56</v>
      </c>
      <c r="AG82" s="9">
        <v>130986.21</v>
      </c>
      <c r="AH82" s="9">
        <v>113331.5</v>
      </c>
      <c r="AI82" s="9">
        <v>124664.2</v>
      </c>
      <c r="AJ82" s="9">
        <v>181088.5</v>
      </c>
      <c r="AK82" s="9">
        <v>133701</v>
      </c>
      <c r="AL82" s="9">
        <v>180442.9</v>
      </c>
      <c r="AM82" s="9">
        <v>46181.13</v>
      </c>
      <c r="AN82" s="9">
        <v>87057.19</v>
      </c>
      <c r="AO82" s="9">
        <v>243253.16</v>
      </c>
      <c r="AP82" s="9">
        <v>135481.76999999999</v>
      </c>
      <c r="AQ82" s="9">
        <v>87492.160000000003</v>
      </c>
    </row>
    <row r="83" spans="1:43" x14ac:dyDescent="0.25">
      <c r="A83" s="7" t="s">
        <v>69</v>
      </c>
      <c r="B83" s="9">
        <v>13048.597037315392</v>
      </c>
      <c r="C83" s="9">
        <v>3552.4029648208952</v>
      </c>
      <c r="D83" s="9">
        <v>9472.8384000844726</v>
      </c>
      <c r="E83" s="9">
        <v>6176.9386938218231</v>
      </c>
      <c r="F83" s="9">
        <v>7256.8187100833966</v>
      </c>
      <c r="G83" s="9">
        <v>8276.07640100553</v>
      </c>
      <c r="H83" s="9">
        <v>7352.3407548237365</v>
      </c>
      <c r="I83" s="9">
        <v>6919.3917752663883</v>
      </c>
      <c r="J83" s="9">
        <v>2050.9603940314587</v>
      </c>
      <c r="K83" s="9">
        <v>10359.098260813251</v>
      </c>
      <c r="L83" s="9">
        <v>7632.6292424641833</v>
      </c>
      <c r="M83" s="9">
        <v>7672.3421469492796</v>
      </c>
      <c r="N83" s="9">
        <v>631.43999999999994</v>
      </c>
      <c r="O83" s="9">
        <v>3811.48</v>
      </c>
      <c r="P83" s="9">
        <v>65002.81</v>
      </c>
      <c r="Q83" s="9">
        <v>23585.46</v>
      </c>
      <c r="R83" s="9">
        <v>32013.810000000005</v>
      </c>
      <c r="S83" s="9">
        <v>78760.95</v>
      </c>
      <c r="T83" s="9">
        <v>132368.83000000002</v>
      </c>
      <c r="U83" s="9">
        <v>166837.82</v>
      </c>
      <c r="V83" s="9">
        <v>229084.3</v>
      </c>
      <c r="W83" s="9">
        <v>242325.75</v>
      </c>
      <c r="X83" s="9">
        <v>145470.41</v>
      </c>
      <c r="Y83" s="9">
        <v>130333.53</v>
      </c>
      <c r="Z83" s="9">
        <v>138724.60999999999</v>
      </c>
      <c r="AA83" s="9">
        <v>189833.66999999998</v>
      </c>
      <c r="AB83" s="9">
        <v>318196.7</v>
      </c>
      <c r="AC83" s="9">
        <v>111953.75</v>
      </c>
      <c r="AD83" s="9">
        <v>190906.36</v>
      </c>
      <c r="AE83" s="9">
        <v>252442.49</v>
      </c>
      <c r="AF83" s="9">
        <v>106906.56</v>
      </c>
      <c r="AG83" s="9">
        <v>130986.21</v>
      </c>
      <c r="AH83" s="9">
        <v>113331.5</v>
      </c>
      <c r="AI83" s="9">
        <v>124664.2</v>
      </c>
      <c r="AJ83" s="9">
        <v>181088.5</v>
      </c>
      <c r="AK83" s="9">
        <v>133701</v>
      </c>
      <c r="AL83" s="9">
        <v>180442.9</v>
      </c>
      <c r="AM83" s="9">
        <v>46181.13</v>
      </c>
      <c r="AN83" s="9">
        <v>87057.19</v>
      </c>
      <c r="AO83" s="9">
        <v>243253.16</v>
      </c>
      <c r="AP83" s="9">
        <v>135481.76999999999</v>
      </c>
      <c r="AQ83" s="9">
        <v>87492.160000000003</v>
      </c>
    </row>
    <row r="84" spans="1:43" x14ac:dyDescent="0.25">
      <c r="A84" s="6" t="s">
        <v>47</v>
      </c>
      <c r="B84" s="9">
        <v>1030672.3555712713</v>
      </c>
      <c r="C84" s="9">
        <v>1071460.3453590111</v>
      </c>
      <c r="D84" s="9">
        <v>1344033.9536650816</v>
      </c>
      <c r="E84" s="9">
        <v>861388.01723137975</v>
      </c>
      <c r="F84" s="9">
        <v>969194.1697046631</v>
      </c>
      <c r="G84" s="9">
        <v>1167089.435145827</v>
      </c>
      <c r="H84" s="9">
        <v>1048572.703574274</v>
      </c>
      <c r="I84" s="9">
        <v>1214470.5401596774</v>
      </c>
      <c r="J84" s="9">
        <v>941808.40721841494</v>
      </c>
      <c r="K84" s="9">
        <v>1016223.9199115023</v>
      </c>
      <c r="L84" s="9">
        <v>1224647.6668456278</v>
      </c>
      <c r="M84" s="9">
        <v>1084669.6371133775</v>
      </c>
      <c r="N84" s="9">
        <v>1198341.3799999999</v>
      </c>
      <c r="O84" s="9">
        <v>1417049.63</v>
      </c>
      <c r="P84" s="9">
        <v>1321161.03</v>
      </c>
      <c r="Q84" s="9">
        <v>1550373.2900000003</v>
      </c>
      <c r="R84" s="9">
        <v>1883531.91</v>
      </c>
      <c r="S84" s="9">
        <v>2111050.5500000003</v>
      </c>
      <c r="T84" s="9">
        <v>3063426.7200000007</v>
      </c>
      <c r="U84" s="9">
        <v>2708452.7700000028</v>
      </c>
      <c r="V84" s="9">
        <v>3384678.04</v>
      </c>
      <c r="W84" s="9">
        <v>2770100.2810189407</v>
      </c>
      <c r="X84" s="9">
        <v>2309661.4</v>
      </c>
      <c r="Y84" s="9">
        <v>2891604.7699999963</v>
      </c>
      <c r="Z84" s="9">
        <v>2931700.0500000003</v>
      </c>
      <c r="AA84" s="9">
        <v>2451801.0600000005</v>
      </c>
      <c r="AB84" s="9">
        <v>3143077.04</v>
      </c>
      <c r="AC84" s="9">
        <v>2427238.6899999967</v>
      </c>
      <c r="AD84" s="9">
        <v>2665833.6399999955</v>
      </c>
      <c r="AE84" s="9">
        <v>2488700.2699999996</v>
      </c>
      <c r="AF84" s="9">
        <v>2202876.8900000029</v>
      </c>
      <c r="AG84" s="9">
        <v>2223330.46</v>
      </c>
      <c r="AH84" s="9">
        <v>2355453.09</v>
      </c>
      <c r="AI84" s="9">
        <v>1771209.37</v>
      </c>
      <c r="AJ84" s="9">
        <v>1827234.31</v>
      </c>
      <c r="AK84" s="9">
        <v>1403787.9100000001</v>
      </c>
      <c r="AL84" s="9">
        <v>1623907.67</v>
      </c>
      <c r="AM84" s="9">
        <v>1628316.88</v>
      </c>
      <c r="AN84" s="9">
        <v>1858537.8</v>
      </c>
      <c r="AO84" s="9">
        <v>1718561.55</v>
      </c>
      <c r="AP84" s="9">
        <v>1868472.91</v>
      </c>
      <c r="AQ84" s="9">
        <v>1688806.99999999</v>
      </c>
    </row>
    <row r="85" spans="1:43" x14ac:dyDescent="0.25">
      <c r="A85" s="7" t="s">
        <v>69</v>
      </c>
      <c r="B85" s="9">
        <v>1030672.3555712713</v>
      </c>
      <c r="C85" s="9">
        <v>1071460.3453590111</v>
      </c>
      <c r="D85" s="9">
        <v>1344033.9536650816</v>
      </c>
      <c r="E85" s="9">
        <v>861388.01723137975</v>
      </c>
      <c r="F85" s="9">
        <v>969194.1697046631</v>
      </c>
      <c r="G85" s="9">
        <v>1167089.435145827</v>
      </c>
      <c r="H85" s="9">
        <v>1048572.703574274</v>
      </c>
      <c r="I85" s="9">
        <v>1214470.5401596774</v>
      </c>
      <c r="J85" s="9">
        <v>941808.40721841494</v>
      </c>
      <c r="K85" s="9">
        <v>1016223.9199115023</v>
      </c>
      <c r="L85" s="9">
        <v>1224647.6668456278</v>
      </c>
      <c r="M85" s="9">
        <v>1084669.6371133775</v>
      </c>
      <c r="N85" s="9">
        <v>1198341.3799999999</v>
      </c>
      <c r="O85" s="9">
        <v>1417049.63</v>
      </c>
      <c r="P85" s="9">
        <v>1321161.03</v>
      </c>
      <c r="Q85" s="9">
        <v>1550373.2900000003</v>
      </c>
      <c r="R85" s="9">
        <v>1883531.91</v>
      </c>
      <c r="S85" s="9">
        <v>2111050.5500000003</v>
      </c>
      <c r="T85" s="9">
        <v>3063426.7200000007</v>
      </c>
      <c r="U85" s="9">
        <v>2708452.7700000028</v>
      </c>
      <c r="V85" s="9">
        <v>3384678.04</v>
      </c>
      <c r="W85" s="9">
        <v>2770100.2810189407</v>
      </c>
      <c r="X85" s="9">
        <v>2309661.4</v>
      </c>
      <c r="Y85" s="9">
        <v>2891604.7699999963</v>
      </c>
      <c r="Z85" s="9">
        <v>2931700.0500000003</v>
      </c>
      <c r="AA85" s="9">
        <v>2451801.0600000005</v>
      </c>
      <c r="AB85" s="9">
        <v>3143077.04</v>
      </c>
      <c r="AC85" s="9">
        <v>2427238.6899999967</v>
      </c>
      <c r="AD85" s="9">
        <v>2665833.6399999955</v>
      </c>
      <c r="AE85" s="9">
        <v>2488700.2699999996</v>
      </c>
      <c r="AF85" s="9">
        <v>2202876.8900000029</v>
      </c>
      <c r="AG85" s="9">
        <v>2223330.46</v>
      </c>
      <c r="AH85" s="9">
        <v>2355453.09</v>
      </c>
      <c r="AI85" s="9">
        <v>1771209.37</v>
      </c>
      <c r="AJ85" s="9">
        <v>1827234.31</v>
      </c>
      <c r="AK85" s="9">
        <v>1403787.9100000001</v>
      </c>
      <c r="AL85" s="9">
        <v>1623907.67</v>
      </c>
      <c r="AM85" s="9">
        <v>1628316.88</v>
      </c>
      <c r="AN85" s="9">
        <v>1858537.8</v>
      </c>
      <c r="AO85" s="9">
        <v>1718561.55</v>
      </c>
      <c r="AP85" s="9">
        <v>1868472.91</v>
      </c>
      <c r="AQ85" s="9">
        <v>1688806.99999999</v>
      </c>
    </row>
    <row r="86" spans="1:43" x14ac:dyDescent="0.25">
      <c r="A86" s="6" t="s">
        <v>46</v>
      </c>
      <c r="B86" s="9">
        <v>52755.367391412045</v>
      </c>
      <c r="C86" s="9">
        <v>64120.431676168679</v>
      </c>
      <c r="D86" s="9">
        <v>62427.017934832977</v>
      </c>
      <c r="E86" s="9">
        <v>46032.984074799067</v>
      </c>
      <c r="F86" s="9">
        <v>45045.971585253523</v>
      </c>
      <c r="G86" s="9">
        <v>54011.68845316823</v>
      </c>
      <c r="H86" s="9">
        <v>41892.345670902832</v>
      </c>
      <c r="I86" s="9">
        <v>54436.118065056966</v>
      </c>
      <c r="J86" s="9">
        <v>31670.592387553515</v>
      </c>
      <c r="K86" s="9">
        <v>41361.291827684203</v>
      </c>
      <c r="L86" s="9">
        <v>48352.243911908794</v>
      </c>
      <c r="M86" s="9">
        <v>35471.160739673258</v>
      </c>
      <c r="N86" s="9">
        <v>47682.87999999999</v>
      </c>
      <c r="O86" s="9">
        <v>62623.92</v>
      </c>
      <c r="P86" s="9">
        <v>90084.01</v>
      </c>
      <c r="Q86" s="9">
        <v>66052.58</v>
      </c>
      <c r="R86" s="9">
        <v>131758.38</v>
      </c>
      <c r="S86" s="9">
        <v>89446.44</v>
      </c>
      <c r="T86" s="9">
        <v>126194.22</v>
      </c>
      <c r="U86" s="9">
        <v>94257.59</v>
      </c>
      <c r="V86" s="9">
        <v>162099.56</v>
      </c>
      <c r="W86" s="9">
        <v>103562.05</v>
      </c>
      <c r="X86" s="9">
        <v>110005.06</v>
      </c>
      <c r="Y86" s="9">
        <v>90200.699999999983</v>
      </c>
      <c r="Z86" s="9">
        <v>124047.59</v>
      </c>
      <c r="AA86" s="9">
        <v>67812.84</v>
      </c>
      <c r="AB86" s="9">
        <v>68284.45</v>
      </c>
      <c r="AC86" s="9">
        <v>38996.21</v>
      </c>
      <c r="AD86" s="9">
        <v>45824.49</v>
      </c>
      <c r="AE86" s="9">
        <v>49314.06</v>
      </c>
      <c r="AF86" s="9">
        <v>43923.29</v>
      </c>
      <c r="AG86" s="9">
        <v>37284.370000000003</v>
      </c>
      <c r="AH86" s="9">
        <v>67217.989999999991</v>
      </c>
      <c r="AI86" s="9">
        <v>1256.3800000000001</v>
      </c>
      <c r="AJ86" s="9">
        <v>17428.59</v>
      </c>
      <c r="AK86" s="9">
        <v>29889.13</v>
      </c>
      <c r="AL86" s="9">
        <v>36828.01</v>
      </c>
      <c r="AM86" s="9">
        <v>52227.43</v>
      </c>
      <c r="AN86" s="9">
        <v>42638.61</v>
      </c>
      <c r="AO86" s="9">
        <v>16605.400000000001</v>
      </c>
      <c r="AP86" s="9">
        <v>24126.679999999898</v>
      </c>
      <c r="AQ86" s="9">
        <v>22156.82</v>
      </c>
    </row>
    <row r="87" spans="1:43" x14ac:dyDescent="0.25">
      <c r="A87" s="7" t="s">
        <v>69</v>
      </c>
      <c r="B87" s="9">
        <v>52755.367391412045</v>
      </c>
      <c r="C87" s="9">
        <v>64120.431676168679</v>
      </c>
      <c r="D87" s="9">
        <v>62427.017934832977</v>
      </c>
      <c r="E87" s="9">
        <v>46032.984074799067</v>
      </c>
      <c r="F87" s="9">
        <v>45045.971585253523</v>
      </c>
      <c r="G87" s="9">
        <v>54011.68845316823</v>
      </c>
      <c r="H87" s="9">
        <v>41892.345670902832</v>
      </c>
      <c r="I87" s="9">
        <v>54436.118065056966</v>
      </c>
      <c r="J87" s="9">
        <v>31670.592387553515</v>
      </c>
      <c r="K87" s="9">
        <v>41361.291827684203</v>
      </c>
      <c r="L87" s="9">
        <v>48352.243911908794</v>
      </c>
      <c r="M87" s="9">
        <v>35471.160739673258</v>
      </c>
      <c r="N87" s="9">
        <v>47682.87999999999</v>
      </c>
      <c r="O87" s="9">
        <v>62623.92</v>
      </c>
      <c r="P87" s="9">
        <v>90084.01</v>
      </c>
      <c r="Q87" s="9">
        <v>66052.58</v>
      </c>
      <c r="R87" s="9">
        <v>131758.38</v>
      </c>
      <c r="S87" s="9">
        <v>89446.44</v>
      </c>
      <c r="T87" s="9">
        <v>126194.22</v>
      </c>
      <c r="U87" s="9">
        <v>94257.59</v>
      </c>
      <c r="V87" s="9">
        <v>162099.56</v>
      </c>
      <c r="W87" s="9">
        <v>103562.05</v>
      </c>
      <c r="X87" s="9">
        <v>110005.06</v>
      </c>
      <c r="Y87" s="9">
        <v>90200.699999999983</v>
      </c>
      <c r="Z87" s="9">
        <v>124047.59</v>
      </c>
      <c r="AA87" s="9">
        <v>67812.84</v>
      </c>
      <c r="AB87" s="9">
        <v>68284.45</v>
      </c>
      <c r="AC87" s="9">
        <v>38996.21</v>
      </c>
      <c r="AD87" s="9">
        <v>45824.49</v>
      </c>
      <c r="AE87" s="9">
        <v>49314.06</v>
      </c>
      <c r="AF87" s="9">
        <v>43923.29</v>
      </c>
      <c r="AG87" s="9">
        <v>37284.370000000003</v>
      </c>
      <c r="AH87" s="9">
        <v>67217.989999999991</v>
      </c>
      <c r="AI87" s="9">
        <v>1256.3800000000001</v>
      </c>
      <c r="AJ87" s="9">
        <v>17428.59</v>
      </c>
      <c r="AK87" s="9">
        <v>29889.13</v>
      </c>
      <c r="AL87" s="9">
        <v>36828.01</v>
      </c>
      <c r="AM87" s="9">
        <v>52227.43</v>
      </c>
      <c r="AN87" s="9">
        <v>42638.61</v>
      </c>
      <c r="AO87" s="9">
        <v>16605.400000000001</v>
      </c>
      <c r="AP87" s="9">
        <v>24126.679999999898</v>
      </c>
      <c r="AQ87" s="9">
        <v>22156.82</v>
      </c>
    </row>
    <row r="88" spans="1:43" x14ac:dyDescent="0.25">
      <c r="A88" s="5" t="s">
        <v>71</v>
      </c>
      <c r="B88" s="9">
        <v>384609.45338228502</v>
      </c>
      <c r="C88" s="9">
        <v>358243.18212378002</v>
      </c>
      <c r="D88" s="9">
        <v>295905.15655406</v>
      </c>
      <c r="E88" s="9">
        <v>445412.77644105005</v>
      </c>
      <c r="F88" s="9">
        <v>370760.42226205999</v>
      </c>
      <c r="G88" s="9">
        <v>431367.94096689805</v>
      </c>
      <c r="H88" s="9">
        <v>405953.26735804003</v>
      </c>
      <c r="I88" s="9">
        <v>438485.05737512</v>
      </c>
      <c r="J88" s="9">
        <v>448605.09978551004</v>
      </c>
      <c r="K88" s="9">
        <v>395109.37044634996</v>
      </c>
      <c r="L88" s="9">
        <v>403534.49446541996</v>
      </c>
      <c r="M88" s="9">
        <v>351829.62430061895</v>
      </c>
      <c r="N88" s="9">
        <v>432258.45884346403</v>
      </c>
      <c r="O88" s="9">
        <v>384141.87891969003</v>
      </c>
      <c r="P88" s="9">
        <v>429417.19231533998</v>
      </c>
      <c r="Q88" s="9">
        <v>331389.54404240998</v>
      </c>
      <c r="R88" s="9">
        <v>345622.94875301805</v>
      </c>
      <c r="S88" s="9">
        <v>347624.06351105002</v>
      </c>
      <c r="T88" s="9">
        <v>307198.49953705701</v>
      </c>
      <c r="U88" s="9">
        <v>327693.34929102001</v>
      </c>
      <c r="V88" s="9">
        <v>747794.63157811179</v>
      </c>
      <c r="W88" s="9">
        <v>-97863.457681074986</v>
      </c>
      <c r="X88" s="9">
        <v>332959.01468501001</v>
      </c>
      <c r="Y88" s="9">
        <v>274593.62963898998</v>
      </c>
      <c r="Z88" s="9">
        <v>374577.53531991999</v>
      </c>
      <c r="AA88" s="9">
        <v>257523.45302404798</v>
      </c>
      <c r="AB88" s="9">
        <v>151347.38409389</v>
      </c>
      <c r="AC88" s="9">
        <v>294560.08507436997</v>
      </c>
      <c r="AD88" s="9">
        <v>282667.27817321004</v>
      </c>
      <c r="AE88" s="9">
        <v>356525.53945478995</v>
      </c>
      <c r="AF88" s="9">
        <v>298763.20090469503</v>
      </c>
      <c r="AG88" s="9">
        <v>334149.72241268004</v>
      </c>
      <c r="AH88" s="9">
        <v>323724.71715023997</v>
      </c>
      <c r="AI88" s="9">
        <v>294741.46620430995</v>
      </c>
      <c r="AJ88" s="9">
        <v>436039.52054294001</v>
      </c>
      <c r="AK88" s="9">
        <v>299512.20688051695</v>
      </c>
      <c r="AL88" s="9">
        <v>356761.78470000002</v>
      </c>
      <c r="AM88" s="9">
        <v>272362.26234000013</v>
      </c>
      <c r="AN88" s="9">
        <v>286885.38749999995</v>
      </c>
      <c r="AO88" s="9">
        <v>401643.04821999994</v>
      </c>
      <c r="AP88" s="9">
        <v>351159.06959999999</v>
      </c>
      <c r="AQ88" s="9">
        <v>389086.76099999994</v>
      </c>
    </row>
    <row r="89" spans="1:43" x14ac:dyDescent="0.25">
      <c r="A89" s="6" t="s">
        <v>49</v>
      </c>
      <c r="B89" s="9">
        <v>91229.769071150004</v>
      </c>
      <c r="C89" s="9">
        <v>84758.664070099985</v>
      </c>
      <c r="D89" s="9">
        <v>69854.092168999996</v>
      </c>
      <c r="E89" s="9">
        <v>105460.8664198</v>
      </c>
      <c r="F89" s="9">
        <v>88034.8455846</v>
      </c>
      <c r="G89" s="9">
        <v>102726.96990993001</v>
      </c>
      <c r="H89" s="9">
        <v>97694.390173899999</v>
      </c>
      <c r="I89" s="9">
        <v>106647.1330777</v>
      </c>
      <c r="J89" s="9">
        <v>110110.65628410001</v>
      </c>
      <c r="K89" s="9">
        <v>98377.467514000004</v>
      </c>
      <c r="L89" s="9">
        <v>101600.33350639</v>
      </c>
      <c r="M89" s="9">
        <v>90065.434522949989</v>
      </c>
      <c r="N89" s="9">
        <v>111416.36689398999</v>
      </c>
      <c r="O89" s="9">
        <v>99970.946569200009</v>
      </c>
      <c r="P89" s="9">
        <v>113560.4050881</v>
      </c>
      <c r="Q89" s="9">
        <v>87950.001763699998</v>
      </c>
      <c r="R89" s="9">
        <v>93004.802057669993</v>
      </c>
      <c r="S89" s="9">
        <v>94652.506777460003</v>
      </c>
      <c r="T89" s="9">
        <v>84528.158811910005</v>
      </c>
      <c r="U89" s="9">
        <v>91717.360536200009</v>
      </c>
      <c r="V89" s="9">
        <v>211121.19241967</v>
      </c>
      <c r="W89" s="9">
        <v>-28324.376668449997</v>
      </c>
      <c r="X89" s="9">
        <v>98129.491265300006</v>
      </c>
      <c r="Y89" s="9">
        <v>83199.419238100003</v>
      </c>
      <c r="Z89" s="9">
        <v>115385.80773649999</v>
      </c>
      <c r="AA89" s="9">
        <v>80707.813461659985</v>
      </c>
      <c r="AB89" s="9">
        <v>48434.518490800001</v>
      </c>
      <c r="AC89" s="9">
        <v>95912.893806100008</v>
      </c>
      <c r="AD89" s="9">
        <v>94072.195958240001</v>
      </c>
      <c r="AE89" s="9">
        <v>121000.310258</v>
      </c>
      <c r="AF89" s="9">
        <v>102511.32851307001</v>
      </c>
      <c r="AG89" s="9">
        <v>115779.776315</v>
      </c>
      <c r="AH89" s="9">
        <v>114538.1946432</v>
      </c>
      <c r="AI89" s="9">
        <v>107241.72826839999</v>
      </c>
      <c r="AJ89" s="9">
        <v>162576.4086049</v>
      </c>
      <c r="AK89" s="9">
        <v>113618.33469605999</v>
      </c>
      <c r="AL89" s="9">
        <v>135776.67740943283</v>
      </c>
      <c r="AM89" s="9">
        <v>104335.75016342723</v>
      </c>
      <c r="AN89" s="9">
        <v>111528.25646642063</v>
      </c>
      <c r="AO89" s="9">
        <v>156826.75336052189</v>
      </c>
      <c r="AP89" s="9">
        <v>137411.655348436</v>
      </c>
      <c r="AQ89" s="9">
        <v>153458.62292745712</v>
      </c>
    </row>
    <row r="90" spans="1:43" x14ac:dyDescent="0.25">
      <c r="A90" s="7" t="s">
        <v>113</v>
      </c>
      <c r="B90" s="9">
        <v>130</v>
      </c>
      <c r="C90" s="9">
        <v>103.67</v>
      </c>
      <c r="D90" s="9">
        <v>80.67</v>
      </c>
      <c r="E90" s="9">
        <v>83.67</v>
      </c>
      <c r="F90" s="9">
        <v>70</v>
      </c>
      <c r="G90" s="9">
        <v>70</v>
      </c>
      <c r="H90" s="9">
        <v>70</v>
      </c>
      <c r="I90" s="9">
        <v>49.67</v>
      </c>
      <c r="J90" s="9">
        <v>40</v>
      </c>
      <c r="K90" s="9">
        <v>110</v>
      </c>
      <c r="L90" s="9">
        <v>140</v>
      </c>
      <c r="M90" s="9">
        <v>220</v>
      </c>
      <c r="N90" s="9">
        <v>270</v>
      </c>
      <c r="O90" s="9">
        <v>200</v>
      </c>
      <c r="P90" s="9">
        <v>210</v>
      </c>
      <c r="Q90" s="9">
        <v>270</v>
      </c>
      <c r="R90" s="9">
        <v>200</v>
      </c>
      <c r="S90" s="9">
        <v>230</v>
      </c>
      <c r="T90" s="9">
        <v>270</v>
      </c>
      <c r="U90" s="9">
        <v>241.67000000000002</v>
      </c>
      <c r="V90" s="9">
        <v>265</v>
      </c>
      <c r="W90" s="9">
        <v>262.33000000000004</v>
      </c>
      <c r="X90" s="9">
        <v>260</v>
      </c>
      <c r="Y90" s="9">
        <v>280</v>
      </c>
      <c r="Z90" s="9">
        <v>283</v>
      </c>
      <c r="AA90" s="9">
        <v>187</v>
      </c>
      <c r="AB90" s="9">
        <v>276.33</v>
      </c>
      <c r="AC90" s="9">
        <v>186.32999999999998</v>
      </c>
      <c r="AD90" s="9">
        <v>133.32999999999998</v>
      </c>
      <c r="AE90" s="9">
        <v>180</v>
      </c>
      <c r="AF90" s="9">
        <v>180</v>
      </c>
      <c r="AG90" s="9">
        <v>180</v>
      </c>
      <c r="AH90" s="9">
        <v>142.66999999999999</v>
      </c>
      <c r="AI90" s="9">
        <v>180</v>
      </c>
      <c r="AJ90" s="9">
        <v>140</v>
      </c>
      <c r="AK90" s="9">
        <v>152.99</v>
      </c>
      <c r="AL90" s="9">
        <v>150</v>
      </c>
      <c r="AM90" s="9">
        <v>107</v>
      </c>
      <c r="AN90" s="9">
        <v>138.32999999999998</v>
      </c>
      <c r="AO90" s="9">
        <v>79.33</v>
      </c>
      <c r="AP90" s="9">
        <v>117.67</v>
      </c>
      <c r="AQ90" s="9">
        <v>80</v>
      </c>
    </row>
    <row r="91" spans="1:43" x14ac:dyDescent="0.25">
      <c r="A91" s="7" t="s">
        <v>114</v>
      </c>
      <c r="B91" s="9">
        <v>42.934334049999997</v>
      </c>
      <c r="C91" s="9"/>
      <c r="D91" s="9"/>
      <c r="E91" s="9"/>
      <c r="F91" s="9"/>
      <c r="G91" s="9">
        <v>47.78599663</v>
      </c>
      <c r="H91" s="9"/>
      <c r="I91" s="9"/>
      <c r="J91" s="9"/>
      <c r="K91" s="9"/>
      <c r="L91" s="9">
        <v>1.5140125900000001</v>
      </c>
      <c r="M91" s="9">
        <v>84.615442650000006</v>
      </c>
      <c r="N91" s="9">
        <v>-38.627907810000004</v>
      </c>
      <c r="O91" s="9"/>
      <c r="P91" s="9"/>
      <c r="Q91" s="9"/>
      <c r="R91" s="9">
        <v>48.621889469999999</v>
      </c>
      <c r="S91" s="9">
        <v>49.065653859999998</v>
      </c>
      <c r="T91" s="9">
        <v>49.594280609999998</v>
      </c>
      <c r="U91" s="9"/>
      <c r="V91" s="9">
        <v>16.666234169999999</v>
      </c>
      <c r="W91" s="9">
        <v>51.901491800000002</v>
      </c>
      <c r="X91" s="9"/>
      <c r="Y91" s="9"/>
      <c r="Z91" s="9"/>
      <c r="AA91" s="9">
        <v>56.480191560000002</v>
      </c>
      <c r="AB91" s="9"/>
      <c r="AC91" s="9"/>
      <c r="AD91" s="9">
        <v>59.965242140000001</v>
      </c>
      <c r="AE91" s="9"/>
      <c r="AF91" s="9">
        <v>12.36370067</v>
      </c>
      <c r="AG91" s="9"/>
      <c r="AH91" s="9"/>
      <c r="AI91" s="9"/>
      <c r="AJ91" s="9"/>
      <c r="AK91" s="9">
        <v>68.339151459999997</v>
      </c>
      <c r="AL91" s="9">
        <v>99.018388989426242</v>
      </c>
      <c r="AM91" s="9"/>
      <c r="AN91" s="9">
        <v>112.86217165887113</v>
      </c>
      <c r="AO91" s="9"/>
      <c r="AP91" s="9"/>
      <c r="AQ91" s="9"/>
    </row>
    <row r="92" spans="1:43" x14ac:dyDescent="0.25">
      <c r="A92" s="7" t="s">
        <v>75</v>
      </c>
      <c r="B92" s="9">
        <v>91056.834737099998</v>
      </c>
      <c r="C92" s="9">
        <v>84654.994070099987</v>
      </c>
      <c r="D92" s="9">
        <v>69773.422168999998</v>
      </c>
      <c r="E92" s="9">
        <v>105377.19641980001</v>
      </c>
      <c r="F92" s="9">
        <v>87964.8455846</v>
      </c>
      <c r="G92" s="9">
        <v>102609.1839133</v>
      </c>
      <c r="H92" s="9">
        <v>97624.390173899999</v>
      </c>
      <c r="I92" s="9">
        <v>106597.4630777</v>
      </c>
      <c r="J92" s="9">
        <v>110070.65628410001</v>
      </c>
      <c r="K92" s="9">
        <v>98267.467514000004</v>
      </c>
      <c r="L92" s="9">
        <v>101458.81949379999</v>
      </c>
      <c r="M92" s="9">
        <v>89760.819080299989</v>
      </c>
      <c r="N92" s="9">
        <v>111184.9948018</v>
      </c>
      <c r="O92" s="9">
        <v>99770.946569200009</v>
      </c>
      <c r="P92" s="9">
        <v>113350.4050881</v>
      </c>
      <c r="Q92" s="9">
        <v>87680.001763699998</v>
      </c>
      <c r="R92" s="9">
        <v>92756.180168199993</v>
      </c>
      <c r="S92" s="9">
        <v>94373.441123600001</v>
      </c>
      <c r="T92" s="9">
        <v>84208.564531299999</v>
      </c>
      <c r="U92" s="9">
        <v>91475.690536200011</v>
      </c>
      <c r="V92" s="9">
        <v>210839.5261855</v>
      </c>
      <c r="W92" s="9">
        <v>-28638.608160249998</v>
      </c>
      <c r="X92" s="9">
        <v>97869.491265300006</v>
      </c>
      <c r="Y92" s="9">
        <v>82919.419238100003</v>
      </c>
      <c r="Z92" s="9">
        <v>115102.80773649999</v>
      </c>
      <c r="AA92" s="9">
        <v>80464.333270099989</v>
      </c>
      <c r="AB92" s="9">
        <v>48158.188490799999</v>
      </c>
      <c r="AC92" s="9">
        <v>95726.563806100006</v>
      </c>
      <c r="AD92" s="9">
        <v>93878.900716100005</v>
      </c>
      <c r="AE92" s="9">
        <v>120820.310258</v>
      </c>
      <c r="AF92" s="9">
        <v>102318.96481240001</v>
      </c>
      <c r="AG92" s="9">
        <v>115599.776315</v>
      </c>
      <c r="AH92" s="9">
        <v>114395.5246432</v>
      </c>
      <c r="AI92" s="9">
        <v>107061.72826839999</v>
      </c>
      <c r="AJ92" s="9">
        <v>162436.4086049</v>
      </c>
      <c r="AK92" s="9">
        <v>113397.00554459999</v>
      </c>
      <c r="AL92" s="9">
        <v>135527.65902044339</v>
      </c>
      <c r="AM92" s="9">
        <v>104228.75016342723</v>
      </c>
      <c r="AN92" s="9">
        <v>111277.06429476176</v>
      </c>
      <c r="AO92" s="9">
        <v>156747.42336052191</v>
      </c>
      <c r="AP92" s="9">
        <v>137293.98534843599</v>
      </c>
      <c r="AQ92" s="9">
        <v>153378.62292745712</v>
      </c>
    </row>
    <row r="93" spans="1:43" x14ac:dyDescent="0.25">
      <c r="A93" s="6" t="s">
        <v>47</v>
      </c>
      <c r="B93" s="9">
        <v>287463.17803060001</v>
      </c>
      <c r="C93" s="9">
        <v>268023.08611100004</v>
      </c>
      <c r="D93" s="9">
        <v>221594.30613710001</v>
      </c>
      <c r="E93" s="9">
        <v>333352.06311800005</v>
      </c>
      <c r="F93" s="9">
        <v>277359.6293192</v>
      </c>
      <c r="G93" s="9">
        <v>322474.51867010002</v>
      </c>
      <c r="H93" s="9">
        <v>302601.77768980002</v>
      </c>
      <c r="I93" s="9">
        <v>325887.44907899998</v>
      </c>
      <c r="J93" s="9">
        <v>332564.44764600002</v>
      </c>
      <c r="K93" s="9">
        <v>291671.07930199994</v>
      </c>
      <c r="L93" s="9">
        <v>296963.82724770397</v>
      </c>
      <c r="M93" s="9">
        <v>257554.41373919998</v>
      </c>
      <c r="N93" s="9">
        <v>315804.18067640002</v>
      </c>
      <c r="O93" s="9">
        <v>279855.41814900003</v>
      </c>
      <c r="P93" s="9">
        <v>311121.42778099998</v>
      </c>
      <c r="Q93" s="9">
        <v>239819.080651</v>
      </c>
      <c r="R93" s="9">
        <v>248921.36268700002</v>
      </c>
      <c r="S93" s="9">
        <v>249288.67565590001</v>
      </c>
      <c r="T93" s="9">
        <v>219467.8721481</v>
      </c>
      <c r="U93" s="9">
        <v>232607.292678</v>
      </c>
      <c r="V93" s="9">
        <v>529011.32326975989</v>
      </c>
      <c r="W93" s="9">
        <v>-68570.735043429988</v>
      </c>
      <c r="X93" s="9">
        <v>231565.15970800002</v>
      </c>
      <c r="Y93" s="9">
        <v>188785.05245769999</v>
      </c>
      <c r="Z93" s="9">
        <v>255725.08034099999</v>
      </c>
      <c r="AA93" s="9">
        <v>174494.5179447</v>
      </c>
      <c r="AB93" s="9">
        <v>101600.681224</v>
      </c>
      <c r="AC93" s="9">
        <v>196119.68726899999</v>
      </c>
      <c r="AD93" s="9">
        <v>186202.5477851</v>
      </c>
      <c r="AE93" s="9">
        <v>232545.91251999998</v>
      </c>
      <c r="AF93" s="9">
        <v>193812.62884163001</v>
      </c>
      <c r="AG93" s="9">
        <v>215714.64714000002</v>
      </c>
      <c r="AH93" s="9">
        <v>206666.16229599999</v>
      </c>
      <c r="AI93" s="9">
        <v>185280.14983699998</v>
      </c>
      <c r="AJ93" s="9">
        <v>270247.07440500002</v>
      </c>
      <c r="AK93" s="9">
        <v>183623.26109099999</v>
      </c>
      <c r="AL93" s="9">
        <v>218088.78098589292</v>
      </c>
      <c r="AM93" s="9">
        <v>165588.94877415855</v>
      </c>
      <c r="AN93" s="9">
        <v>172579.35108080538</v>
      </c>
      <c r="AO93" s="9">
        <v>240606.20561289581</v>
      </c>
      <c r="AP93" s="9">
        <v>209730.10364567177</v>
      </c>
      <c r="AQ93" s="9">
        <v>230870.46757286484</v>
      </c>
    </row>
    <row r="94" spans="1:43" x14ac:dyDescent="0.25">
      <c r="A94" s="7" t="s">
        <v>113</v>
      </c>
      <c r="B94" s="9">
        <v>2448.33</v>
      </c>
      <c r="C94" s="9">
        <v>2085.34</v>
      </c>
      <c r="D94" s="9">
        <v>2036.66</v>
      </c>
      <c r="E94" s="9">
        <v>1612.96</v>
      </c>
      <c r="F94" s="9">
        <v>1887</v>
      </c>
      <c r="G94" s="9">
        <v>1585</v>
      </c>
      <c r="H94" s="9">
        <v>1374.33</v>
      </c>
      <c r="I94" s="9">
        <v>1424.67</v>
      </c>
      <c r="J94" s="9">
        <v>1275</v>
      </c>
      <c r="K94" s="9">
        <v>1373.6599999999999</v>
      </c>
      <c r="L94" s="9">
        <v>1279.33</v>
      </c>
      <c r="M94" s="9">
        <v>1182.6699999999998</v>
      </c>
      <c r="N94" s="9">
        <v>1265.33</v>
      </c>
      <c r="O94" s="9">
        <v>1130.33</v>
      </c>
      <c r="P94" s="9">
        <v>1060</v>
      </c>
      <c r="Q94" s="9">
        <v>1275.67</v>
      </c>
      <c r="R94" s="9">
        <v>1196.33</v>
      </c>
      <c r="S94" s="9">
        <v>980</v>
      </c>
      <c r="T94" s="9">
        <v>1097.6599999999999</v>
      </c>
      <c r="U94" s="9">
        <v>910</v>
      </c>
      <c r="V94" s="9">
        <v>1069.3399999999999</v>
      </c>
      <c r="W94" s="9">
        <v>986.01</v>
      </c>
      <c r="X94" s="9">
        <v>893</v>
      </c>
      <c r="Y94" s="9">
        <v>935.32999999999993</v>
      </c>
      <c r="Z94" s="9">
        <v>880.67</v>
      </c>
      <c r="AA94" s="9">
        <v>710</v>
      </c>
      <c r="AB94" s="9">
        <v>830.00000000000011</v>
      </c>
      <c r="AC94" s="9">
        <v>675</v>
      </c>
      <c r="AD94" s="9">
        <v>544</v>
      </c>
      <c r="AE94" s="9">
        <v>580</v>
      </c>
      <c r="AF94" s="9">
        <v>600</v>
      </c>
      <c r="AG94" s="9">
        <v>559.66999999999996</v>
      </c>
      <c r="AH94" s="9">
        <v>589.32999999999993</v>
      </c>
      <c r="AI94" s="9">
        <v>556.32999999999993</v>
      </c>
      <c r="AJ94" s="9">
        <v>510</v>
      </c>
      <c r="AK94" s="9">
        <v>500.34000000000003</v>
      </c>
      <c r="AL94" s="9">
        <v>486.66</v>
      </c>
      <c r="AM94" s="9">
        <v>480.66999999999996</v>
      </c>
      <c r="AN94" s="9">
        <v>530</v>
      </c>
      <c r="AO94" s="9">
        <v>420</v>
      </c>
      <c r="AP94" s="9">
        <v>400</v>
      </c>
      <c r="AQ94" s="9">
        <v>499.67</v>
      </c>
    </row>
    <row r="95" spans="1:43" x14ac:dyDescent="0.25">
      <c r="A95" s="7" t="s">
        <v>114</v>
      </c>
      <c r="B95" s="9">
        <v>134.3244096</v>
      </c>
      <c r="C95" s="9"/>
      <c r="D95" s="9"/>
      <c r="E95" s="9"/>
      <c r="F95" s="9"/>
      <c r="G95" s="9">
        <v>149.37149869999999</v>
      </c>
      <c r="H95" s="9"/>
      <c r="I95" s="9"/>
      <c r="J95" s="9"/>
      <c r="K95" s="9"/>
      <c r="L95" s="9">
        <v>4.4122667040000003</v>
      </c>
      <c r="M95" s="9">
        <v>241.4480902</v>
      </c>
      <c r="N95" s="9">
        <v>-109.3151136</v>
      </c>
      <c r="O95" s="9"/>
      <c r="P95" s="9"/>
      <c r="Q95" s="9"/>
      <c r="R95" s="9">
        <v>129.787025</v>
      </c>
      <c r="S95" s="9">
        <v>129.0309689</v>
      </c>
      <c r="T95" s="9">
        <v>128.5325211</v>
      </c>
      <c r="U95" s="9"/>
      <c r="V95" s="9">
        <v>41.728936760000003</v>
      </c>
      <c r="W95" s="9">
        <v>126.2859299</v>
      </c>
      <c r="X95" s="9"/>
      <c r="Y95" s="9"/>
      <c r="Z95" s="9"/>
      <c r="AA95" s="9">
        <v>121.8987047</v>
      </c>
      <c r="AB95" s="9"/>
      <c r="AC95" s="9"/>
      <c r="AD95" s="9">
        <v>118.5138831</v>
      </c>
      <c r="AE95" s="9"/>
      <c r="AF95" s="9">
        <v>23.344005630000002</v>
      </c>
      <c r="AG95" s="9"/>
      <c r="AH95" s="9"/>
      <c r="AI95" s="9"/>
      <c r="AJ95" s="9"/>
      <c r="AK95" s="9">
        <v>110.29328</v>
      </c>
      <c r="AL95" s="9">
        <v>158.86705972793206</v>
      </c>
      <c r="AM95" s="9"/>
      <c r="AN95" s="9">
        <v>174.3233343576442</v>
      </c>
      <c r="AO95" s="9"/>
      <c r="AP95" s="9"/>
      <c r="AQ95" s="9"/>
    </row>
    <row r="96" spans="1:43" x14ac:dyDescent="0.25">
      <c r="A96" s="7" t="s">
        <v>75</v>
      </c>
      <c r="B96" s="9">
        <v>284880.523621</v>
      </c>
      <c r="C96" s="9">
        <v>265937.74611100001</v>
      </c>
      <c r="D96" s="9">
        <v>219557.6461371</v>
      </c>
      <c r="E96" s="9">
        <v>331739.10311800003</v>
      </c>
      <c r="F96" s="9">
        <v>275472.6293192</v>
      </c>
      <c r="G96" s="9">
        <v>320740.14717140002</v>
      </c>
      <c r="H96" s="9">
        <v>301227.4476898</v>
      </c>
      <c r="I96" s="9">
        <v>324462.779079</v>
      </c>
      <c r="J96" s="9">
        <v>331289.44764600002</v>
      </c>
      <c r="K96" s="9">
        <v>290297.41930199997</v>
      </c>
      <c r="L96" s="9">
        <v>295680.08498099999</v>
      </c>
      <c r="M96" s="9">
        <v>256130.29564899998</v>
      </c>
      <c r="N96" s="9">
        <v>314648.16579</v>
      </c>
      <c r="O96" s="9">
        <v>278725.08814900002</v>
      </c>
      <c r="P96" s="9">
        <v>310061.42778099998</v>
      </c>
      <c r="Q96" s="9">
        <v>238543.41065099998</v>
      </c>
      <c r="R96" s="9">
        <v>247595.245662</v>
      </c>
      <c r="S96" s="9">
        <v>248179.64468699999</v>
      </c>
      <c r="T96" s="9">
        <v>218241.679627</v>
      </c>
      <c r="U96" s="9">
        <v>231697.292678</v>
      </c>
      <c r="V96" s="9">
        <v>527900.25433299993</v>
      </c>
      <c r="W96" s="9">
        <v>-69683.030973329995</v>
      </c>
      <c r="X96" s="9">
        <v>230672.15970800002</v>
      </c>
      <c r="Y96" s="9">
        <v>187849.7224577</v>
      </c>
      <c r="Z96" s="9">
        <v>254844.41034099998</v>
      </c>
      <c r="AA96" s="9">
        <v>173662.61924</v>
      </c>
      <c r="AB96" s="9">
        <v>100770.681224</v>
      </c>
      <c r="AC96" s="9">
        <v>195444.68726899999</v>
      </c>
      <c r="AD96" s="9">
        <v>185540.033902</v>
      </c>
      <c r="AE96" s="9">
        <v>231965.91251999998</v>
      </c>
      <c r="AF96" s="9">
        <v>193189.28483600001</v>
      </c>
      <c r="AG96" s="9">
        <v>215154.97714</v>
      </c>
      <c r="AH96" s="9">
        <v>206076.83229600001</v>
      </c>
      <c r="AI96" s="9">
        <v>184723.81983699999</v>
      </c>
      <c r="AJ96" s="9">
        <v>269737.07440500002</v>
      </c>
      <c r="AK96" s="9">
        <v>183012.62781099998</v>
      </c>
      <c r="AL96" s="9">
        <v>217443.25392616499</v>
      </c>
      <c r="AM96" s="9">
        <v>165108.27877415853</v>
      </c>
      <c r="AN96" s="9">
        <v>171875.02774644774</v>
      </c>
      <c r="AO96" s="9">
        <v>240186.20561289581</v>
      </c>
      <c r="AP96" s="9">
        <v>209330.10364567177</v>
      </c>
      <c r="AQ96" s="9">
        <v>230370.79757286483</v>
      </c>
    </row>
    <row r="97" spans="1:43" x14ac:dyDescent="0.25">
      <c r="A97" s="6" t="s">
        <v>46</v>
      </c>
      <c r="B97" s="9">
        <v>5916.5062805349999</v>
      </c>
      <c r="C97" s="9">
        <v>5461.4319426800002</v>
      </c>
      <c r="D97" s="9">
        <v>4456.7582479599996</v>
      </c>
      <c r="E97" s="9">
        <v>6599.8469032499997</v>
      </c>
      <c r="F97" s="9">
        <v>5365.9473582599994</v>
      </c>
      <c r="G97" s="9">
        <v>6166.4523868679998</v>
      </c>
      <c r="H97" s="9">
        <v>5657.0994943400001</v>
      </c>
      <c r="I97" s="9">
        <v>5950.4752184199997</v>
      </c>
      <c r="J97" s="9">
        <v>5929.9958554100003</v>
      </c>
      <c r="K97" s="9">
        <v>5060.8236303499998</v>
      </c>
      <c r="L97" s="9">
        <v>4970.3337113259995</v>
      </c>
      <c r="M97" s="9">
        <v>4209.776038469</v>
      </c>
      <c r="N97" s="9">
        <v>5037.9112730739998</v>
      </c>
      <c r="O97" s="9">
        <v>4315.5142014900002</v>
      </c>
      <c r="P97" s="9">
        <v>4735.3594462400006</v>
      </c>
      <c r="Q97" s="9">
        <v>3620.4616277099999</v>
      </c>
      <c r="R97" s="9">
        <v>3696.7840083480005</v>
      </c>
      <c r="S97" s="9">
        <v>3682.8810776900004</v>
      </c>
      <c r="T97" s="9">
        <v>3202.4685770470001</v>
      </c>
      <c r="U97" s="9">
        <v>3368.6960768200001</v>
      </c>
      <c r="V97" s="9">
        <v>7662.1158886820003</v>
      </c>
      <c r="W97" s="9">
        <v>-968.34596919499995</v>
      </c>
      <c r="X97" s="9">
        <v>3264.3637117100002</v>
      </c>
      <c r="Y97" s="9">
        <v>2609.15794319</v>
      </c>
      <c r="Z97" s="9">
        <v>3466.6472424200001</v>
      </c>
      <c r="AA97" s="9">
        <v>2321.1216176879998</v>
      </c>
      <c r="AB97" s="9">
        <v>1312.18437909</v>
      </c>
      <c r="AC97" s="9">
        <v>2527.5039992699999</v>
      </c>
      <c r="AD97" s="9">
        <v>2392.5344298699997</v>
      </c>
      <c r="AE97" s="9">
        <v>2979.3166767899997</v>
      </c>
      <c r="AF97" s="9">
        <v>2439.2435499949997</v>
      </c>
      <c r="AG97" s="9">
        <v>2655.2989576800001</v>
      </c>
      <c r="AH97" s="9">
        <v>2520.3602110400002</v>
      </c>
      <c r="AI97" s="9">
        <v>2219.5880989100001</v>
      </c>
      <c r="AJ97" s="9">
        <v>3216.0375330399997</v>
      </c>
      <c r="AK97" s="9">
        <v>2270.6110934569997</v>
      </c>
      <c r="AL97" s="9">
        <v>2896.3263046742527</v>
      </c>
      <c r="AM97" s="9">
        <v>2437.5634024143023</v>
      </c>
      <c r="AN97" s="9">
        <v>2777.7799527739098</v>
      </c>
      <c r="AO97" s="9">
        <v>4210.0892465822362</v>
      </c>
      <c r="AP97" s="9">
        <v>4017.3106058922031</v>
      </c>
      <c r="AQ97" s="9">
        <v>4757.6704996780154</v>
      </c>
    </row>
    <row r="98" spans="1:43" x14ac:dyDescent="0.25">
      <c r="A98" s="7" t="s">
        <v>113</v>
      </c>
      <c r="B98" s="9">
        <v>100</v>
      </c>
      <c r="C98" s="9">
        <v>106</v>
      </c>
      <c r="D98" s="9">
        <v>69</v>
      </c>
      <c r="E98" s="9">
        <v>60</v>
      </c>
      <c r="F98" s="9">
        <v>50</v>
      </c>
      <c r="G98" s="9">
        <v>60</v>
      </c>
      <c r="H98" s="9">
        <v>30</v>
      </c>
      <c r="I98" s="9">
        <v>30</v>
      </c>
      <c r="J98" s="9">
        <v>20</v>
      </c>
      <c r="K98" s="9">
        <v>30</v>
      </c>
      <c r="L98" s="9">
        <v>30</v>
      </c>
      <c r="M98" s="9">
        <v>30</v>
      </c>
      <c r="N98" s="9">
        <v>40</v>
      </c>
      <c r="O98" s="9">
        <v>20</v>
      </c>
      <c r="P98" s="9">
        <v>30</v>
      </c>
      <c r="Q98" s="9">
        <v>30</v>
      </c>
      <c r="R98" s="9">
        <v>30</v>
      </c>
      <c r="S98" s="9">
        <v>20</v>
      </c>
      <c r="T98" s="9">
        <v>20</v>
      </c>
      <c r="U98" s="9">
        <v>30</v>
      </c>
      <c r="V98" s="9">
        <v>10</v>
      </c>
      <c r="W98" s="9">
        <v>30</v>
      </c>
      <c r="X98" s="9">
        <v>10</v>
      </c>
      <c r="Y98" s="9">
        <v>20</v>
      </c>
      <c r="Z98" s="9">
        <v>20</v>
      </c>
      <c r="AA98" s="9">
        <v>10</v>
      </c>
      <c r="AB98" s="9">
        <v>10</v>
      </c>
      <c r="AC98" s="9">
        <v>10</v>
      </c>
      <c r="AD98" s="9">
        <v>10</v>
      </c>
      <c r="AE98" s="9">
        <v>20</v>
      </c>
      <c r="AF98" s="9">
        <v>20</v>
      </c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spans="1:43" x14ac:dyDescent="0.25">
      <c r="A99" s="7" t="s">
        <v>114</v>
      </c>
      <c r="B99" s="9">
        <v>2.7412563849999998</v>
      </c>
      <c r="C99" s="9"/>
      <c r="D99" s="9"/>
      <c r="E99" s="9"/>
      <c r="F99" s="9"/>
      <c r="G99" s="9">
        <v>2.8425046379999999</v>
      </c>
      <c r="H99" s="9"/>
      <c r="I99" s="9"/>
      <c r="J99" s="9"/>
      <c r="K99" s="9"/>
      <c r="L99" s="9">
        <v>7.3720705999999997E-2</v>
      </c>
      <c r="M99" s="9">
        <v>3.936467129</v>
      </c>
      <c r="N99" s="9">
        <v>-1.736978556</v>
      </c>
      <c r="O99" s="9"/>
      <c r="P99" s="9"/>
      <c r="Q99" s="9"/>
      <c r="R99" s="9">
        <v>1.921085578</v>
      </c>
      <c r="S99" s="9">
        <v>1.9033772900000001</v>
      </c>
      <c r="T99" s="9">
        <v>1.8731982970000001</v>
      </c>
      <c r="U99" s="9"/>
      <c r="V99" s="9">
        <v>0.60482907200000002</v>
      </c>
      <c r="W99" s="9">
        <v>1.8125783339999999</v>
      </c>
      <c r="X99" s="9"/>
      <c r="Y99" s="9"/>
      <c r="Z99" s="9"/>
      <c r="AA99" s="9">
        <v>1.621103738</v>
      </c>
      <c r="AB99" s="9"/>
      <c r="AC99" s="9"/>
      <c r="AD99" s="9">
        <v>1.5208748000000001</v>
      </c>
      <c r="AE99" s="9"/>
      <c r="AF99" s="9">
        <v>0.29229370500000001</v>
      </c>
      <c r="AG99" s="9"/>
      <c r="AH99" s="9"/>
      <c r="AI99" s="9"/>
      <c r="AJ99" s="9"/>
      <c r="AK99" s="9">
        <v>1.3675685369999999</v>
      </c>
      <c r="AL99" s="9">
        <v>2.114551282641659</v>
      </c>
      <c r="AM99" s="9"/>
      <c r="AN99" s="9">
        <v>2.8144939834846632</v>
      </c>
      <c r="AO99" s="9"/>
      <c r="AP99" s="9"/>
      <c r="AQ99" s="9"/>
    </row>
    <row r="100" spans="1:43" x14ac:dyDescent="0.25">
      <c r="A100" s="7" t="s">
        <v>75</v>
      </c>
      <c r="B100" s="9">
        <v>5813.7650241499996</v>
      </c>
      <c r="C100" s="9">
        <v>5355.4319426800002</v>
      </c>
      <c r="D100" s="9">
        <v>4387.7582479599996</v>
      </c>
      <c r="E100" s="9">
        <v>6539.8469032499997</v>
      </c>
      <c r="F100" s="9">
        <v>5315.9473582599994</v>
      </c>
      <c r="G100" s="9">
        <v>6103.60988223</v>
      </c>
      <c r="H100" s="9">
        <v>5627.0994943400001</v>
      </c>
      <c r="I100" s="9">
        <v>5920.4752184199997</v>
      </c>
      <c r="J100" s="9">
        <v>5909.9958554100003</v>
      </c>
      <c r="K100" s="9">
        <v>5030.8236303499998</v>
      </c>
      <c r="L100" s="9">
        <v>4940.2599906199994</v>
      </c>
      <c r="M100" s="9">
        <v>4175.8395713399996</v>
      </c>
      <c r="N100" s="9">
        <v>4999.6482516300002</v>
      </c>
      <c r="O100" s="9">
        <v>4295.5142014900002</v>
      </c>
      <c r="P100" s="9">
        <v>4705.3594462400006</v>
      </c>
      <c r="Q100" s="9">
        <v>3590.4616277099999</v>
      </c>
      <c r="R100" s="9">
        <v>3664.8629227700003</v>
      </c>
      <c r="S100" s="9">
        <v>3660.9777004000002</v>
      </c>
      <c r="T100" s="9">
        <v>3180.5953787500002</v>
      </c>
      <c r="U100" s="9">
        <v>3338.6960768200001</v>
      </c>
      <c r="V100" s="9">
        <v>7651.5110596100003</v>
      </c>
      <c r="W100" s="9">
        <v>-1000.158547529</v>
      </c>
      <c r="X100" s="9">
        <v>3254.3637117100002</v>
      </c>
      <c r="Y100" s="9">
        <v>2589.15794319</v>
      </c>
      <c r="Z100" s="9">
        <v>3446.6472424200001</v>
      </c>
      <c r="AA100" s="9">
        <v>2309.5005139499999</v>
      </c>
      <c r="AB100" s="9">
        <v>1302.18437909</v>
      </c>
      <c r="AC100" s="9">
        <v>2517.5039992699999</v>
      </c>
      <c r="AD100" s="9">
        <v>2381.0135550699997</v>
      </c>
      <c r="AE100" s="9">
        <v>2959.3166767899997</v>
      </c>
      <c r="AF100" s="9">
        <v>2418.9512562899999</v>
      </c>
      <c r="AG100" s="9">
        <v>2655.2989576800001</v>
      </c>
      <c r="AH100" s="9">
        <v>2520.3602110400002</v>
      </c>
      <c r="AI100" s="9">
        <v>2219.5880989100001</v>
      </c>
      <c r="AJ100" s="9">
        <v>3216.0375330399997</v>
      </c>
      <c r="AK100" s="9">
        <v>2269.2435249199998</v>
      </c>
      <c r="AL100" s="9">
        <v>2894.2117533916112</v>
      </c>
      <c r="AM100" s="9">
        <v>2437.5634024143023</v>
      </c>
      <c r="AN100" s="9">
        <v>2774.9654587904251</v>
      </c>
      <c r="AO100" s="9">
        <v>4210.0892465822362</v>
      </c>
      <c r="AP100" s="9">
        <v>4017.3106058922031</v>
      </c>
      <c r="AQ100" s="9">
        <v>4757.6704996780154</v>
      </c>
    </row>
    <row r="101" spans="1:43" x14ac:dyDescent="0.25">
      <c r="A101" s="6" t="s">
        <v>48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</row>
    <row r="102" spans="1:43" x14ac:dyDescent="0.25">
      <c r="A102" s="7" t="s">
        <v>114</v>
      </c>
      <c r="B102" s="9">
        <v>0</v>
      </c>
      <c r="C102" s="9"/>
      <c r="D102" s="9"/>
      <c r="E102" s="9"/>
      <c r="F102" s="9"/>
      <c r="G102" s="9">
        <v>0</v>
      </c>
      <c r="H102" s="9"/>
      <c r="I102" s="9"/>
      <c r="J102" s="9"/>
      <c r="K102" s="9"/>
      <c r="L102" s="9">
        <v>0</v>
      </c>
      <c r="M102" s="9">
        <v>0</v>
      </c>
      <c r="N102" s="9">
        <v>0</v>
      </c>
      <c r="O102" s="9"/>
      <c r="P102" s="9"/>
      <c r="Q102" s="9"/>
      <c r="R102" s="9">
        <v>0</v>
      </c>
      <c r="S102" s="9">
        <v>0</v>
      </c>
      <c r="T102" s="9">
        <v>0</v>
      </c>
      <c r="U102" s="9"/>
      <c r="V102" s="9">
        <v>0</v>
      </c>
      <c r="W102" s="9">
        <v>0</v>
      </c>
      <c r="X102" s="9"/>
      <c r="Y102" s="9"/>
      <c r="Z102" s="9"/>
      <c r="AA102" s="9">
        <v>0</v>
      </c>
      <c r="AB102" s="9"/>
      <c r="AC102" s="9"/>
      <c r="AD102" s="9">
        <v>0</v>
      </c>
      <c r="AE102" s="9"/>
      <c r="AF102" s="9">
        <v>0</v>
      </c>
      <c r="AG102" s="9"/>
      <c r="AH102" s="9"/>
      <c r="AI102" s="9"/>
      <c r="AJ102" s="9"/>
      <c r="AK102" s="9">
        <v>0</v>
      </c>
      <c r="AL102" s="9">
        <v>0</v>
      </c>
      <c r="AM102" s="9"/>
      <c r="AN102" s="9">
        <v>0</v>
      </c>
      <c r="AO102" s="9"/>
      <c r="AP102" s="9"/>
      <c r="AQ102" s="9"/>
    </row>
    <row r="103" spans="1:43" x14ac:dyDescent="0.25">
      <c r="A103" s="7" t="s">
        <v>75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</row>
    <row r="104" spans="1:43" x14ac:dyDescent="0.25">
      <c r="A104" s="5" t="s">
        <v>76</v>
      </c>
      <c r="B104" s="9">
        <v>-4492154.5951064005</v>
      </c>
      <c r="C104" s="9">
        <v>-4733040.6929128999</v>
      </c>
      <c r="D104" s="9">
        <v>-4763533.8991540996</v>
      </c>
      <c r="E104" s="9">
        <v>-4814751.7270245999</v>
      </c>
      <c r="F104" s="9">
        <v>-4872487.0096492991</v>
      </c>
      <c r="G104" s="9">
        <v>-4774200.8092157999</v>
      </c>
      <c r="H104" s="9">
        <v>-4667572.1105218995</v>
      </c>
      <c r="I104" s="9">
        <v>-4552520.0400077002</v>
      </c>
      <c r="J104" s="9">
        <v>-4637019.0303304</v>
      </c>
      <c r="K104" s="9">
        <v>-4370712.3208681</v>
      </c>
      <c r="L104" s="9">
        <v>-4649011.8065632004</v>
      </c>
      <c r="M104" s="9">
        <v>-4209715.7180139003</v>
      </c>
      <c r="N104" s="9">
        <v>-4274608.9685764993</v>
      </c>
      <c r="O104" s="9">
        <v>-4415019.0819888003</v>
      </c>
      <c r="P104" s="9">
        <v>-4185682.7640570002</v>
      </c>
      <c r="Q104" s="9">
        <v>-4432592.9025548995</v>
      </c>
      <c r="R104" s="9">
        <v>-4657636.9608143996</v>
      </c>
      <c r="S104" s="9">
        <v>-5345733.9364494001</v>
      </c>
      <c r="T104" s="9">
        <v>-5295309.2822792996</v>
      </c>
      <c r="U104" s="9">
        <v>-4785862.8174677994</v>
      </c>
      <c r="V104" s="9">
        <v>-4665871.7903681006</v>
      </c>
      <c r="W104" s="9">
        <v>-4413046.4933656994</v>
      </c>
      <c r="X104" s="9">
        <v>-4383398.5442760997</v>
      </c>
      <c r="Y104" s="9">
        <v>-4362396.5965622002</v>
      </c>
      <c r="Z104" s="9">
        <v>-4609426.1114801997</v>
      </c>
      <c r="AA104" s="9">
        <v>-4133131.4068346005</v>
      </c>
      <c r="AB104" s="9">
        <v>-4652982.8182167001</v>
      </c>
      <c r="AC104" s="9">
        <v>-4606341.9190880004</v>
      </c>
      <c r="AD104" s="9">
        <v>-4743651.8656789996</v>
      </c>
      <c r="AE104" s="9">
        <v>-4755979.7579075005</v>
      </c>
      <c r="AF104" s="9">
        <v>-4766413.5892439</v>
      </c>
      <c r="AG104" s="9">
        <v>-4879767.1913660001</v>
      </c>
      <c r="AH104" s="9">
        <v>-4651029.6147812996</v>
      </c>
      <c r="AI104" s="9">
        <v>-4388890.9712487999</v>
      </c>
      <c r="AJ104" s="9">
        <v>-4762744.1077317996</v>
      </c>
      <c r="AK104" s="9">
        <v>-5268702.2544836998</v>
      </c>
      <c r="AL104" s="9">
        <v>-5211289.3832449</v>
      </c>
      <c r="AM104" s="9">
        <v>-5298429.6948543005</v>
      </c>
      <c r="AN104" s="9">
        <v>-5568802.7309482992</v>
      </c>
      <c r="AO104" s="9">
        <v>-5920357.2644865001</v>
      </c>
      <c r="AP104" s="9">
        <v>-5262830.6063371003</v>
      </c>
      <c r="AQ104" s="9">
        <v>-5858929.9170491006</v>
      </c>
    </row>
    <row r="105" spans="1:43" x14ac:dyDescent="0.25">
      <c r="A105" s="6" t="s">
        <v>49</v>
      </c>
      <c r="B105" s="9">
        <v>-953105.58363809995</v>
      </c>
      <c r="C105" s="9">
        <v>-1031412.407141</v>
      </c>
      <c r="D105" s="9">
        <v>-1013693.9935962999</v>
      </c>
      <c r="E105" s="9">
        <v>-1042145.8311746002</v>
      </c>
      <c r="F105" s="9">
        <v>-1023725.5069358</v>
      </c>
      <c r="G105" s="9">
        <v>-1018322.7577624</v>
      </c>
      <c r="H105" s="9">
        <v>-1069185.3933226999</v>
      </c>
      <c r="I105" s="9">
        <v>-1003438.6315946002</v>
      </c>
      <c r="J105" s="9">
        <v>-1064365.9187445999</v>
      </c>
      <c r="K105" s="9">
        <v>-989780.11917900003</v>
      </c>
      <c r="L105" s="9">
        <v>-1065561.2365613</v>
      </c>
      <c r="M105" s="9">
        <v>-953936.42815369996</v>
      </c>
      <c r="N105" s="9">
        <v>-971237.46133129986</v>
      </c>
      <c r="O105" s="9">
        <v>-1042081.7227912</v>
      </c>
      <c r="P105" s="9">
        <v>-942956.1280445999</v>
      </c>
      <c r="Q105" s="9">
        <v>-1020161.8378096999</v>
      </c>
      <c r="R105" s="9">
        <v>-1067716.9846846</v>
      </c>
      <c r="S105" s="9">
        <v>-1281978.8641797001</v>
      </c>
      <c r="T105" s="9">
        <v>-1311695.9942283998</v>
      </c>
      <c r="U105" s="9">
        <v>-1191945.1619035997</v>
      </c>
      <c r="V105" s="9">
        <v>-1169824.0893925</v>
      </c>
      <c r="W105" s="9">
        <v>-1093505.9152364</v>
      </c>
      <c r="X105" s="9">
        <v>-1117957.3776841999</v>
      </c>
      <c r="Y105" s="9">
        <v>-1141723.5485118001</v>
      </c>
      <c r="Z105" s="9">
        <v>-1148979.2601137001</v>
      </c>
      <c r="AA105" s="9">
        <v>-1033204.339959</v>
      </c>
      <c r="AB105" s="9">
        <v>-1181821.1760986999</v>
      </c>
      <c r="AC105" s="9">
        <v>-1171677.9690989</v>
      </c>
      <c r="AD105" s="9">
        <v>-1227795.7934456002</v>
      </c>
      <c r="AE105" s="9">
        <v>-1229475.6866273</v>
      </c>
      <c r="AF105" s="9">
        <v>-1237475.1996524001</v>
      </c>
      <c r="AG105" s="9">
        <v>-1260332.1610839001</v>
      </c>
      <c r="AH105" s="9">
        <v>-1192705.2925867001</v>
      </c>
      <c r="AI105" s="9">
        <v>-1140469.5818306999</v>
      </c>
      <c r="AJ105" s="9">
        <v>-1226765.5184412</v>
      </c>
      <c r="AK105" s="9">
        <v>-1443167.9911504001</v>
      </c>
      <c r="AL105" s="9">
        <v>-1421218.3460853</v>
      </c>
      <c r="AM105" s="9">
        <v>-1427387.5356015002</v>
      </c>
      <c r="AN105" s="9">
        <v>-1510384.6356126</v>
      </c>
      <c r="AO105" s="9">
        <v>-1655355.0569494998</v>
      </c>
      <c r="AP105" s="9">
        <v>-1468757.4170468999</v>
      </c>
      <c r="AQ105" s="9">
        <v>-1634370.0673044999</v>
      </c>
    </row>
    <row r="106" spans="1:43" x14ac:dyDescent="0.25">
      <c r="A106" s="7" t="s">
        <v>78</v>
      </c>
      <c r="B106" s="9">
        <v>-116217.0791916</v>
      </c>
      <c r="C106" s="9">
        <v>-117125.36495259999</v>
      </c>
      <c r="D106" s="9">
        <v>-137336.9059093</v>
      </c>
      <c r="E106" s="9">
        <v>-129302.7899114</v>
      </c>
      <c r="F106" s="9">
        <v>-137757.21415799999</v>
      </c>
      <c r="G106" s="9">
        <v>-131025.58869409999</v>
      </c>
      <c r="H106" s="9">
        <v>-127803.40108740001</v>
      </c>
      <c r="I106" s="9">
        <v>-130454.68334829999</v>
      </c>
      <c r="J106" s="9">
        <v>-127318.5747676</v>
      </c>
      <c r="K106" s="9">
        <v>-114709.9681875</v>
      </c>
      <c r="L106" s="9">
        <v>-114517.23721569999</v>
      </c>
      <c r="M106" s="9">
        <v>-109963.76064299999</v>
      </c>
      <c r="N106" s="9">
        <v>-123297.2213306</v>
      </c>
      <c r="O106" s="9">
        <v>-126157.7472232</v>
      </c>
      <c r="P106" s="9">
        <v>-127630.49992959999</v>
      </c>
      <c r="Q106" s="9">
        <v>-119414.3915465</v>
      </c>
      <c r="R106" s="9">
        <v>-116919.2139411</v>
      </c>
      <c r="S106" s="9">
        <v>-106481.8324933</v>
      </c>
      <c r="T106" s="9">
        <v>-130369.90912140001</v>
      </c>
      <c r="U106" s="9">
        <v>-130354.79236759999</v>
      </c>
      <c r="V106" s="9">
        <v>-132268.27382520001</v>
      </c>
      <c r="W106" s="9">
        <v>-141368.82905930001</v>
      </c>
      <c r="X106" s="9">
        <v>-147933.98050010001</v>
      </c>
      <c r="Y106" s="9">
        <v>-135398.91358289999</v>
      </c>
      <c r="Z106" s="9">
        <v>-145205.2959541</v>
      </c>
      <c r="AA106" s="9">
        <v>-142382.66710670001</v>
      </c>
      <c r="AB106" s="9">
        <v>-151227.5154613</v>
      </c>
      <c r="AC106" s="9">
        <v>-140329.26035120001</v>
      </c>
      <c r="AD106" s="9">
        <v>-154748.87864839999</v>
      </c>
      <c r="AE106" s="9">
        <v>-137715.61160260002</v>
      </c>
      <c r="AF106" s="9">
        <v>-139247.84993560001</v>
      </c>
      <c r="AG106" s="9">
        <v>-133071.1983735</v>
      </c>
      <c r="AH106" s="9">
        <v>-129794.92965390001</v>
      </c>
      <c r="AI106" s="9">
        <v>-146194.5612963</v>
      </c>
      <c r="AJ106" s="9">
        <v>-123306.269333</v>
      </c>
      <c r="AK106" s="9">
        <v>-118808.45872160001</v>
      </c>
      <c r="AL106" s="9">
        <v>-153109.23415900001</v>
      </c>
      <c r="AM106" s="9">
        <v>-175217.850225</v>
      </c>
      <c r="AN106" s="9">
        <v>-175761.13174409998</v>
      </c>
      <c r="AO106" s="9">
        <v>-200477.39596259999</v>
      </c>
      <c r="AP106" s="9">
        <v>-190472.9435089</v>
      </c>
      <c r="AQ106" s="9">
        <v>-177213.2930981</v>
      </c>
    </row>
    <row r="107" spans="1:43" x14ac:dyDescent="0.25">
      <c r="A107" s="7" t="s">
        <v>79</v>
      </c>
      <c r="B107" s="9">
        <v>-403421.21198909997</v>
      </c>
      <c r="C107" s="9">
        <v>-407585.37475860002</v>
      </c>
      <c r="D107" s="9">
        <v>-412848.97405610001</v>
      </c>
      <c r="E107" s="9">
        <v>-425240.85419859999</v>
      </c>
      <c r="F107" s="9">
        <v>-423611.17391020001</v>
      </c>
      <c r="G107" s="9">
        <v>-458709.0990324</v>
      </c>
      <c r="H107" s="9">
        <v>-408470.20419989998</v>
      </c>
      <c r="I107" s="9">
        <v>-437986.56218180002</v>
      </c>
      <c r="J107" s="9">
        <v>-447189.91071019997</v>
      </c>
      <c r="K107" s="9">
        <v>-397797.0908299</v>
      </c>
      <c r="L107" s="9">
        <v>-406263.93127820001</v>
      </c>
      <c r="M107" s="9">
        <v>-384671.66543679999</v>
      </c>
      <c r="N107" s="9">
        <v>-369918.17543129995</v>
      </c>
      <c r="O107" s="9">
        <v>-410718.48446010001</v>
      </c>
      <c r="P107" s="9">
        <v>-372172.05734120001</v>
      </c>
      <c r="Q107" s="9">
        <v>-412899.5833459</v>
      </c>
      <c r="R107" s="9">
        <v>-376262.95660140004</v>
      </c>
      <c r="S107" s="9">
        <v>-371533.43699069996</v>
      </c>
      <c r="T107" s="9">
        <v>-502218.13567869994</v>
      </c>
      <c r="U107" s="9">
        <v>-479488.54798329994</v>
      </c>
      <c r="V107" s="9">
        <v>-509265.63627340004</v>
      </c>
      <c r="W107" s="9">
        <v>-452346.3559271</v>
      </c>
      <c r="X107" s="9">
        <v>-421046.92779029999</v>
      </c>
      <c r="Y107" s="9">
        <v>-469564.19071140001</v>
      </c>
      <c r="Z107" s="9">
        <v>-405788.95473230002</v>
      </c>
      <c r="AA107" s="9">
        <v>-398991.38064240001</v>
      </c>
      <c r="AB107" s="9">
        <v>-498582.60442069999</v>
      </c>
      <c r="AC107" s="9">
        <v>-510759.31007930002</v>
      </c>
      <c r="AD107" s="9">
        <v>-513341.93422610004</v>
      </c>
      <c r="AE107" s="9">
        <v>-518854.55168010003</v>
      </c>
      <c r="AF107" s="9">
        <v>-553747.30710069998</v>
      </c>
      <c r="AG107" s="9">
        <v>-587521.14487349999</v>
      </c>
      <c r="AH107" s="9">
        <v>-489266.08060769999</v>
      </c>
      <c r="AI107" s="9">
        <v>-491903.02018009999</v>
      </c>
      <c r="AJ107" s="9">
        <v>-481704.69720930001</v>
      </c>
      <c r="AK107" s="9">
        <v>-739493.67345100001</v>
      </c>
      <c r="AL107" s="9">
        <v>-569891.38925289991</v>
      </c>
      <c r="AM107" s="9">
        <v>-598093.55247940007</v>
      </c>
      <c r="AN107" s="9">
        <v>-660421.92569569999</v>
      </c>
      <c r="AO107" s="9">
        <v>-730724.3683648</v>
      </c>
      <c r="AP107" s="9">
        <v>-672957.4972172</v>
      </c>
      <c r="AQ107" s="9">
        <v>-744877.79714150005</v>
      </c>
    </row>
    <row r="108" spans="1:43" x14ac:dyDescent="0.25">
      <c r="A108" s="7" t="s">
        <v>80</v>
      </c>
      <c r="B108" s="9">
        <v>-433467.29245740001</v>
      </c>
      <c r="C108" s="9">
        <v>-506701.66742980003</v>
      </c>
      <c r="D108" s="9">
        <v>-463508.11363089998</v>
      </c>
      <c r="E108" s="9">
        <v>-487602.18706460006</v>
      </c>
      <c r="F108" s="9">
        <v>-462357.11886759999</v>
      </c>
      <c r="G108" s="9">
        <v>-428588.07003589999</v>
      </c>
      <c r="H108" s="9">
        <v>-532911.78803539998</v>
      </c>
      <c r="I108" s="9">
        <v>-434997.38606450008</v>
      </c>
      <c r="J108" s="9">
        <v>-489857.43326680001</v>
      </c>
      <c r="K108" s="9">
        <v>-477273.06016160001</v>
      </c>
      <c r="L108" s="9">
        <v>-544780.06806740002</v>
      </c>
      <c r="M108" s="9">
        <v>-459301.00207389996</v>
      </c>
      <c r="N108" s="9">
        <v>-478022.06456939998</v>
      </c>
      <c r="O108" s="9">
        <v>-505205.49110790004</v>
      </c>
      <c r="P108" s="9">
        <v>-443153.57077380002</v>
      </c>
      <c r="Q108" s="9">
        <v>-487847.86291729996</v>
      </c>
      <c r="R108" s="9">
        <v>-574534.81414210005</v>
      </c>
      <c r="S108" s="9">
        <v>-803963.5946957001</v>
      </c>
      <c r="T108" s="9">
        <v>-679107.94942829991</v>
      </c>
      <c r="U108" s="9">
        <v>-582101.82155270001</v>
      </c>
      <c r="V108" s="9">
        <v>-528290.17929390003</v>
      </c>
      <c r="W108" s="9">
        <v>-499790.73025000002</v>
      </c>
      <c r="X108" s="9">
        <v>-548976.46939380001</v>
      </c>
      <c r="Y108" s="9">
        <v>-536760.44421750004</v>
      </c>
      <c r="Z108" s="9">
        <v>-597985.00942729996</v>
      </c>
      <c r="AA108" s="9">
        <v>-491830.29220989998</v>
      </c>
      <c r="AB108" s="9">
        <v>-532011.0562167</v>
      </c>
      <c r="AC108" s="9">
        <v>-520589.39866840001</v>
      </c>
      <c r="AD108" s="9">
        <v>-559704.98057110002</v>
      </c>
      <c r="AE108" s="9">
        <v>-572905.52334459999</v>
      </c>
      <c r="AF108" s="9">
        <v>-544480.04261610005</v>
      </c>
      <c r="AG108" s="9">
        <v>-539739.81783690001</v>
      </c>
      <c r="AH108" s="9">
        <v>-573644.28232510004</v>
      </c>
      <c r="AI108" s="9">
        <v>-502372.00035430002</v>
      </c>
      <c r="AJ108" s="9">
        <v>-621754.55189889995</v>
      </c>
      <c r="AK108" s="9">
        <v>-584865.8589778</v>
      </c>
      <c r="AL108" s="9">
        <v>-698217.72267340007</v>
      </c>
      <c r="AM108" s="9">
        <v>-654076.13289710006</v>
      </c>
      <c r="AN108" s="9">
        <v>-674201.57817280001</v>
      </c>
      <c r="AO108" s="9">
        <v>-724153.29262209998</v>
      </c>
      <c r="AP108" s="9">
        <v>-605326.97632079991</v>
      </c>
      <c r="AQ108" s="9">
        <v>-712278.97706489998</v>
      </c>
    </row>
    <row r="109" spans="1:43" x14ac:dyDescent="0.25">
      <c r="A109" s="6" t="s">
        <v>47</v>
      </c>
      <c r="B109" s="9">
        <v>-3319737.3064339003</v>
      </c>
      <c r="C109" s="9">
        <v>-3493297.6176342997</v>
      </c>
      <c r="D109" s="9">
        <v>-3515896.5586163001</v>
      </c>
      <c r="E109" s="9">
        <v>-3542090.5152608999</v>
      </c>
      <c r="F109" s="9">
        <v>-3599861.4255404999</v>
      </c>
      <c r="G109" s="9">
        <v>-3517453.117079</v>
      </c>
      <c r="H109" s="9">
        <v>-3386174.8818288995</v>
      </c>
      <c r="I109" s="9">
        <v>-3321459.0942290002</v>
      </c>
      <c r="J109" s="9">
        <v>-3350042.1054656999</v>
      </c>
      <c r="K109" s="9">
        <v>-3164014.3296224</v>
      </c>
      <c r="L109" s="9">
        <v>-3355540.4749499001</v>
      </c>
      <c r="M109" s="9">
        <v>-3039672.5109708002</v>
      </c>
      <c r="N109" s="9">
        <v>-3049834.6209066999</v>
      </c>
      <c r="O109" s="9">
        <v>-3131460.3873705999</v>
      </c>
      <c r="P109" s="9">
        <v>-2995862.1441462999</v>
      </c>
      <c r="Q109" s="9">
        <v>-3158372.2612207998</v>
      </c>
      <c r="R109" s="9">
        <v>-3316323.1464769999</v>
      </c>
      <c r="S109" s="9">
        <v>-3810208.2497752998</v>
      </c>
      <c r="T109" s="9">
        <v>-3719234.9923748998</v>
      </c>
      <c r="U109" s="9">
        <v>-3344149.1962532001</v>
      </c>
      <c r="V109" s="9">
        <v>-3245389.926492</v>
      </c>
      <c r="W109" s="9">
        <v>-3076670.3008575998</v>
      </c>
      <c r="X109" s="9">
        <v>-3032046.8388947998</v>
      </c>
      <c r="Y109" s="9">
        <v>-3004191.5027530002</v>
      </c>
      <c r="Z109" s="9">
        <v>-3177434.843446</v>
      </c>
      <c r="AA109" s="9">
        <v>-2850893.9789837003</v>
      </c>
      <c r="AB109" s="9">
        <v>-3170944.6577395005</v>
      </c>
      <c r="AC109" s="9">
        <v>-3135771.7576738</v>
      </c>
      <c r="AD109" s="9">
        <v>-3213943.5046546999</v>
      </c>
      <c r="AE109" s="9">
        <v>-3227897.5937901</v>
      </c>
      <c r="AF109" s="9">
        <v>-3226830.4093241999</v>
      </c>
      <c r="AG109" s="9">
        <v>-3307693.5767086996</v>
      </c>
      <c r="AH109" s="9">
        <v>-3185205.2033036002</v>
      </c>
      <c r="AI109" s="9">
        <v>-2959147.7434642003</v>
      </c>
      <c r="AJ109" s="9">
        <v>-3229455.9245006</v>
      </c>
      <c r="AK109" s="9">
        <v>-3499465.4532650001</v>
      </c>
      <c r="AL109" s="9">
        <v>-3499115.8601508001</v>
      </c>
      <c r="AM109" s="9">
        <v>-3530735.4958178001</v>
      </c>
      <c r="AN109" s="9">
        <v>-3682373.2243072996</v>
      </c>
      <c r="AO109" s="9">
        <v>-3866030.3464485998</v>
      </c>
      <c r="AP109" s="9">
        <v>-3435595.6053988002</v>
      </c>
      <c r="AQ109" s="9">
        <v>-3843835.0061174002</v>
      </c>
    </row>
    <row r="110" spans="1:43" x14ac:dyDescent="0.25">
      <c r="A110" s="7" t="s">
        <v>78</v>
      </c>
      <c r="B110" s="9">
        <v>-811178.43020569999</v>
      </c>
      <c r="C110" s="9">
        <v>-831267.22750889987</v>
      </c>
      <c r="D110" s="9">
        <v>-959136.36319830013</v>
      </c>
      <c r="E110" s="9">
        <v>-829145.14298610005</v>
      </c>
      <c r="F110" s="9">
        <v>-919766.65487030009</v>
      </c>
      <c r="G110" s="9">
        <v>-844284.12206179998</v>
      </c>
      <c r="H110" s="9">
        <v>-778752.6068850999</v>
      </c>
      <c r="I110" s="9">
        <v>-819950.75283270003</v>
      </c>
      <c r="J110" s="9">
        <v>-750023.61375040002</v>
      </c>
      <c r="K110" s="9">
        <v>-696953.69270360004</v>
      </c>
      <c r="L110" s="9">
        <v>-692193.83250619995</v>
      </c>
      <c r="M110" s="9">
        <v>-664917.55741959997</v>
      </c>
      <c r="N110" s="9">
        <v>-802370.68799829995</v>
      </c>
      <c r="O110" s="9">
        <v>-742894.12939929997</v>
      </c>
      <c r="P110" s="9">
        <v>-751876.51464119996</v>
      </c>
      <c r="Q110" s="9">
        <v>-745178.26106040005</v>
      </c>
      <c r="R110" s="9">
        <v>-745266.66521909996</v>
      </c>
      <c r="S110" s="9">
        <v>-642465.85017609992</v>
      </c>
      <c r="T110" s="9">
        <v>-787759.29870649986</v>
      </c>
      <c r="U110" s="9">
        <v>-761974.41640800005</v>
      </c>
      <c r="V110" s="9">
        <v>-737880.85611289996</v>
      </c>
      <c r="W110" s="9">
        <v>-750647.65284690005</v>
      </c>
      <c r="X110" s="9">
        <v>-674224.33262959996</v>
      </c>
      <c r="Y110" s="9">
        <v>-640500.67475630005</v>
      </c>
      <c r="Z110" s="9">
        <v>-735007.66357059998</v>
      </c>
      <c r="AA110" s="9">
        <v>-685977.1663233001</v>
      </c>
      <c r="AB110" s="9">
        <v>-718336.20093040005</v>
      </c>
      <c r="AC110" s="9">
        <v>-665476.3225584001</v>
      </c>
      <c r="AD110" s="9">
        <v>-691107.60348689999</v>
      </c>
      <c r="AE110" s="9">
        <v>-662076.98309660004</v>
      </c>
      <c r="AF110" s="9">
        <v>-700010.66873599996</v>
      </c>
      <c r="AG110" s="9">
        <v>-672745.87436240003</v>
      </c>
      <c r="AH110" s="9">
        <v>-613899.67726899998</v>
      </c>
      <c r="AI110" s="9">
        <v>-629238.34844540001</v>
      </c>
      <c r="AJ110" s="9">
        <v>-587037.6254439</v>
      </c>
      <c r="AK110" s="9">
        <v>-596844.72674980003</v>
      </c>
      <c r="AL110" s="9">
        <v>-699858.99501619989</v>
      </c>
      <c r="AM110" s="9">
        <v>-801762.48656060011</v>
      </c>
      <c r="AN110" s="9">
        <v>-808087.53654819995</v>
      </c>
      <c r="AO110" s="9">
        <v>-893473.62766019988</v>
      </c>
      <c r="AP110" s="9">
        <v>-839576.07735979999</v>
      </c>
      <c r="AQ110" s="9">
        <v>-861807.98335640004</v>
      </c>
    </row>
    <row r="111" spans="1:43" x14ac:dyDescent="0.25">
      <c r="A111" s="7" t="s">
        <v>79</v>
      </c>
      <c r="B111" s="9">
        <v>-1092478.5999258</v>
      </c>
      <c r="C111" s="9">
        <v>-1069695.2322911001</v>
      </c>
      <c r="D111" s="9">
        <v>-1101619.2154949</v>
      </c>
      <c r="E111" s="9">
        <v>-1142271.5800689999</v>
      </c>
      <c r="F111" s="9">
        <v>-1154159.0208393</v>
      </c>
      <c r="G111" s="9">
        <v>-1258934.5641370001</v>
      </c>
      <c r="H111" s="9">
        <v>-968989.43570079992</v>
      </c>
      <c r="I111" s="9">
        <v>-1059112.0222574</v>
      </c>
      <c r="J111" s="9">
        <v>-1061916.5663723999</v>
      </c>
      <c r="K111" s="9">
        <v>-948165.62546880008</v>
      </c>
      <c r="L111" s="9">
        <v>-962615.07941220002</v>
      </c>
      <c r="M111" s="9">
        <v>-936386.7114833002</v>
      </c>
      <c r="N111" s="9">
        <v>-886623.92156619998</v>
      </c>
      <c r="O111" s="9">
        <v>-967044.06823139999</v>
      </c>
      <c r="P111" s="9">
        <v>-870241.70234069997</v>
      </c>
      <c r="Q111" s="9">
        <v>-964876.65795779997</v>
      </c>
      <c r="R111" s="9">
        <v>-877324.99726059998</v>
      </c>
      <c r="S111" s="9">
        <v>-852693.03857610002</v>
      </c>
      <c r="T111" s="9">
        <v>-919619.26083069993</v>
      </c>
      <c r="U111" s="9">
        <v>-889527.23541880003</v>
      </c>
      <c r="V111" s="9">
        <v>-933186.7087049</v>
      </c>
      <c r="W111" s="9">
        <v>-840058.95004080003</v>
      </c>
      <c r="X111" s="9">
        <v>-767963.63766080001</v>
      </c>
      <c r="Y111" s="9">
        <v>-836735.29167179996</v>
      </c>
      <c r="Z111" s="9">
        <v>-761407.46338640002</v>
      </c>
      <c r="AA111" s="9">
        <v>-749175.19811939995</v>
      </c>
      <c r="AB111" s="9">
        <v>-927237.71241060004</v>
      </c>
      <c r="AC111" s="9">
        <v>-936624.37462990009</v>
      </c>
      <c r="AD111" s="9">
        <v>-930836.88064919994</v>
      </c>
      <c r="AE111" s="9">
        <v>-949117.7260102001</v>
      </c>
      <c r="AF111" s="9">
        <v>-975843.2935901999</v>
      </c>
      <c r="AG111" s="9">
        <v>-1051676.5014883</v>
      </c>
      <c r="AH111" s="9">
        <v>-888750.32720459998</v>
      </c>
      <c r="AI111" s="9">
        <v>-857778.81997770001</v>
      </c>
      <c r="AJ111" s="9">
        <v>-849654.78656520008</v>
      </c>
      <c r="AK111" s="9">
        <v>-1260371.2410054998</v>
      </c>
      <c r="AL111" s="9">
        <v>-877055.2439604</v>
      </c>
      <c r="AM111" s="9">
        <v>-952794.01714729995</v>
      </c>
      <c r="AN111" s="9">
        <v>-1036994.1491663998</v>
      </c>
      <c r="AO111" s="9">
        <v>-980873.08377549995</v>
      </c>
      <c r="AP111" s="9">
        <v>-888840.45972809987</v>
      </c>
      <c r="AQ111" s="9">
        <v>-1015274.2541221001</v>
      </c>
    </row>
    <row r="112" spans="1:43" x14ac:dyDescent="0.25">
      <c r="A112" s="7" t="s">
        <v>80</v>
      </c>
      <c r="B112" s="9">
        <v>-1416080.2763024</v>
      </c>
      <c r="C112" s="9">
        <v>-1592335.1578342998</v>
      </c>
      <c r="D112" s="9">
        <v>-1455140.9799231</v>
      </c>
      <c r="E112" s="9">
        <v>-1570673.7922057998</v>
      </c>
      <c r="F112" s="9">
        <v>-1525935.7498308998</v>
      </c>
      <c r="G112" s="9">
        <v>-1414234.4308802001</v>
      </c>
      <c r="H112" s="9">
        <v>-1638432.8392429999</v>
      </c>
      <c r="I112" s="9">
        <v>-1442396.3191388999</v>
      </c>
      <c r="J112" s="9">
        <v>-1538101.9253429</v>
      </c>
      <c r="K112" s="9">
        <v>-1518895.0114500001</v>
      </c>
      <c r="L112" s="9">
        <v>-1700731.5630315002</v>
      </c>
      <c r="M112" s="9">
        <v>-1438368.2420679</v>
      </c>
      <c r="N112" s="9">
        <v>-1360840.0113422</v>
      </c>
      <c r="O112" s="9">
        <v>-1421522.1897398999</v>
      </c>
      <c r="P112" s="9">
        <v>-1373743.9271644</v>
      </c>
      <c r="Q112" s="9">
        <v>-1448317.3422026001</v>
      </c>
      <c r="R112" s="9">
        <v>-1693731.4839973</v>
      </c>
      <c r="S112" s="9">
        <v>-2315049.3610231001</v>
      </c>
      <c r="T112" s="9">
        <v>-2011856.4328377</v>
      </c>
      <c r="U112" s="9">
        <v>-1692647.5444264</v>
      </c>
      <c r="V112" s="9">
        <v>-1574322.3616741998</v>
      </c>
      <c r="W112" s="9">
        <v>-1485963.6979699</v>
      </c>
      <c r="X112" s="9">
        <v>-1589858.8686044</v>
      </c>
      <c r="Y112" s="9">
        <v>-1526955.5363249001</v>
      </c>
      <c r="Z112" s="9">
        <v>-1681019.716489</v>
      </c>
      <c r="AA112" s="9">
        <v>-1415741.6145410002</v>
      </c>
      <c r="AB112" s="9">
        <v>-1525370.7443985001</v>
      </c>
      <c r="AC112" s="9">
        <v>-1533671.0604854999</v>
      </c>
      <c r="AD112" s="9">
        <v>-1591999.0205186</v>
      </c>
      <c r="AE112" s="9">
        <v>-1616702.8846832998</v>
      </c>
      <c r="AF112" s="9">
        <v>-1550976.4469979999</v>
      </c>
      <c r="AG112" s="9">
        <v>-1583271.200858</v>
      </c>
      <c r="AH112" s="9">
        <v>-1682555.1988300001</v>
      </c>
      <c r="AI112" s="9">
        <v>-1472130.5750410999</v>
      </c>
      <c r="AJ112" s="9">
        <v>-1792763.5124914998</v>
      </c>
      <c r="AK112" s="9">
        <v>-1642249.4855097001</v>
      </c>
      <c r="AL112" s="9">
        <v>-1922201.6211742002</v>
      </c>
      <c r="AM112" s="9">
        <v>-1776178.9921098999</v>
      </c>
      <c r="AN112" s="9">
        <v>-1837291.5385926999</v>
      </c>
      <c r="AO112" s="9">
        <v>-1991683.6350129</v>
      </c>
      <c r="AP112" s="9">
        <v>-1707179.0683109001</v>
      </c>
      <c r="AQ112" s="9">
        <v>-1966752.7686389</v>
      </c>
    </row>
    <row r="113" spans="1:43" x14ac:dyDescent="0.25">
      <c r="A113" s="6" t="s">
        <v>46</v>
      </c>
      <c r="B113" s="9">
        <v>-219311.70503439999</v>
      </c>
      <c r="C113" s="9">
        <v>-208330.66813760001</v>
      </c>
      <c r="D113" s="9">
        <v>-233943.3469415</v>
      </c>
      <c r="E113" s="9">
        <v>-230515.38058909998</v>
      </c>
      <c r="F113" s="9">
        <v>-248900.07717299997</v>
      </c>
      <c r="G113" s="9">
        <v>-238424.93437440001</v>
      </c>
      <c r="H113" s="9">
        <v>-212211.83537029999</v>
      </c>
      <c r="I113" s="9">
        <v>-227622.31418410002</v>
      </c>
      <c r="J113" s="9">
        <v>-222611.00612009998</v>
      </c>
      <c r="K113" s="9">
        <v>-216917.87206670002</v>
      </c>
      <c r="L113" s="9">
        <v>-227910.09505200002</v>
      </c>
      <c r="M113" s="9">
        <v>-216106.77888939998</v>
      </c>
      <c r="N113" s="9">
        <v>-253536.88633849999</v>
      </c>
      <c r="O113" s="9">
        <v>-241476.971827</v>
      </c>
      <c r="P113" s="9">
        <v>-246864.49186610003</v>
      </c>
      <c r="Q113" s="9">
        <v>-254058.80352440002</v>
      </c>
      <c r="R113" s="9">
        <v>-273596.82965279999</v>
      </c>
      <c r="S113" s="9">
        <v>-253546.8224944</v>
      </c>
      <c r="T113" s="9">
        <v>-264378.29567600001</v>
      </c>
      <c r="U113" s="9">
        <v>-249768.45931100001</v>
      </c>
      <c r="V113" s="9">
        <v>-250657.77448360002</v>
      </c>
      <c r="W113" s="9">
        <v>-242870.2772717</v>
      </c>
      <c r="X113" s="9">
        <v>-233394.3276971</v>
      </c>
      <c r="Y113" s="9">
        <v>-216481.54529739998</v>
      </c>
      <c r="Z113" s="9">
        <v>-283012.00792050001</v>
      </c>
      <c r="AA113" s="9">
        <v>-249033.08789190001</v>
      </c>
      <c r="AB113" s="9">
        <v>-300216.98437850003</v>
      </c>
      <c r="AC113" s="9">
        <v>-298892.1923153</v>
      </c>
      <c r="AD113" s="9">
        <v>-301912.56757870002</v>
      </c>
      <c r="AE113" s="9">
        <v>-298606.47749010002</v>
      </c>
      <c r="AF113" s="9">
        <v>-302107.98026730004</v>
      </c>
      <c r="AG113" s="9">
        <v>-311741.45357340004</v>
      </c>
      <c r="AH113" s="9">
        <v>-273119.11889099999</v>
      </c>
      <c r="AI113" s="9">
        <v>-289273.64595390001</v>
      </c>
      <c r="AJ113" s="9">
        <v>-306522.66479000001</v>
      </c>
      <c r="AK113" s="9">
        <v>-326068.81006829999</v>
      </c>
      <c r="AL113" s="9">
        <v>-290955.17700880003</v>
      </c>
      <c r="AM113" s="9">
        <v>-340306.66343499999</v>
      </c>
      <c r="AN113" s="9">
        <v>-376044.87102840003</v>
      </c>
      <c r="AO113" s="9">
        <v>-398971.86108840001</v>
      </c>
      <c r="AP113" s="9">
        <v>-358477.58389140002</v>
      </c>
      <c r="AQ113" s="9">
        <v>-380724.8436272</v>
      </c>
    </row>
    <row r="114" spans="1:43" x14ac:dyDescent="0.25">
      <c r="A114" s="7" t="s">
        <v>78</v>
      </c>
      <c r="B114" s="9">
        <v>-93879.708114399997</v>
      </c>
      <c r="C114" s="9">
        <v>-92272.462323000014</v>
      </c>
      <c r="D114" s="9">
        <v>-110206.2663821</v>
      </c>
      <c r="E114" s="9">
        <v>-97955.15014469999</v>
      </c>
      <c r="F114" s="9">
        <v>-117988.9361235</v>
      </c>
      <c r="G114" s="9">
        <v>-109726.2927273</v>
      </c>
      <c r="H114" s="9">
        <v>-96982.721174999999</v>
      </c>
      <c r="I114" s="9">
        <v>-112982.13141490001</v>
      </c>
      <c r="J114" s="9">
        <v>-110877.28090139999</v>
      </c>
      <c r="K114" s="9">
        <v>-111700.3355782</v>
      </c>
      <c r="L114" s="9">
        <v>-116757.10431740001</v>
      </c>
      <c r="M114" s="9">
        <v>-113160.71369879998</v>
      </c>
      <c r="N114" s="9">
        <v>-152971.4443372</v>
      </c>
      <c r="O114" s="9">
        <v>-132633.8749233</v>
      </c>
      <c r="P114" s="9">
        <v>-137766.99324340001</v>
      </c>
      <c r="Q114" s="9">
        <v>-136854.43290350001</v>
      </c>
      <c r="R114" s="9">
        <v>-156005.84191699998</v>
      </c>
      <c r="S114" s="9">
        <v>-129482.99134949999</v>
      </c>
      <c r="T114" s="9">
        <v>-144338.04853460001</v>
      </c>
      <c r="U114" s="9">
        <v>-138516.3119039</v>
      </c>
      <c r="V114" s="9">
        <v>-138138.31841010001</v>
      </c>
      <c r="W114" s="9">
        <v>-138321.9977944</v>
      </c>
      <c r="X114" s="9">
        <v>-125792.25716959999</v>
      </c>
      <c r="Y114" s="9">
        <v>-113869.8464808</v>
      </c>
      <c r="Z114" s="9">
        <v>-139139.2456281</v>
      </c>
      <c r="AA114" s="9">
        <v>-117363.7526099</v>
      </c>
      <c r="AB114" s="9">
        <v>-142369.158303</v>
      </c>
      <c r="AC114" s="9">
        <v>-132611.7070734</v>
      </c>
      <c r="AD114" s="9">
        <v>-136272.48791710002</v>
      </c>
      <c r="AE114" s="9">
        <v>-124833.92118230001</v>
      </c>
      <c r="AF114" s="9">
        <v>-116421.6408205</v>
      </c>
      <c r="AG114" s="9">
        <v>-119039.8513961</v>
      </c>
      <c r="AH114" s="9">
        <v>-112814.13515289999</v>
      </c>
      <c r="AI114" s="9">
        <v>-116735.37381700001</v>
      </c>
      <c r="AJ114" s="9">
        <v>-121922.5959706</v>
      </c>
      <c r="AK114" s="9">
        <v>-115077.61941019999</v>
      </c>
      <c r="AL114" s="9">
        <v>-120009.28569939999</v>
      </c>
      <c r="AM114" s="9">
        <v>-154505.47808279999</v>
      </c>
      <c r="AN114" s="9">
        <v>-156209.32353730002</v>
      </c>
      <c r="AO114" s="9">
        <v>-191168.42479300001</v>
      </c>
      <c r="AP114" s="9">
        <v>-157870.00931660002</v>
      </c>
      <c r="AQ114" s="9">
        <v>-157818.25302790001</v>
      </c>
    </row>
    <row r="115" spans="1:43" x14ac:dyDescent="0.25">
      <c r="A115" s="7" t="s">
        <v>79</v>
      </c>
      <c r="B115" s="9">
        <v>-91091.246899499994</v>
      </c>
      <c r="C115" s="9">
        <v>-79410.431795299999</v>
      </c>
      <c r="D115" s="9">
        <v>-89648.562123299998</v>
      </c>
      <c r="E115" s="9">
        <v>-95657.899862199993</v>
      </c>
      <c r="F115" s="9">
        <v>-94444.067406499991</v>
      </c>
      <c r="G115" s="9">
        <v>-95045.711652099999</v>
      </c>
      <c r="H115" s="9">
        <v>-78105.824188800005</v>
      </c>
      <c r="I115" s="9">
        <v>-80905.869925100007</v>
      </c>
      <c r="J115" s="9">
        <v>-76775.645165900001</v>
      </c>
      <c r="K115" s="9">
        <v>-70253.830501100005</v>
      </c>
      <c r="L115" s="9">
        <v>-73003.68851030001</v>
      </c>
      <c r="M115" s="9">
        <v>-70360.820519100002</v>
      </c>
      <c r="N115" s="9">
        <v>-71703.780525099995</v>
      </c>
      <c r="O115" s="9">
        <v>-79100.496442000003</v>
      </c>
      <c r="P115" s="9">
        <v>-76456.916670900013</v>
      </c>
      <c r="Q115" s="9">
        <v>-85140.483386899999</v>
      </c>
      <c r="R115" s="9">
        <v>-80134.838234299998</v>
      </c>
      <c r="S115" s="9">
        <v>-73260.003579099997</v>
      </c>
      <c r="T115" s="9">
        <v>-74814.905335200005</v>
      </c>
      <c r="U115" s="9">
        <v>-74238.541685600008</v>
      </c>
      <c r="V115" s="9">
        <v>-77439.444904300006</v>
      </c>
      <c r="W115" s="9">
        <v>-71501.259378100003</v>
      </c>
      <c r="X115" s="9">
        <v>-73155.194127299997</v>
      </c>
      <c r="Y115" s="9">
        <v>-70042.166278899997</v>
      </c>
      <c r="Z115" s="9">
        <v>-109159.3161275</v>
      </c>
      <c r="AA115" s="9">
        <v>-100912.90525310001</v>
      </c>
      <c r="AB115" s="9">
        <v>-125341.29461539999</v>
      </c>
      <c r="AC115" s="9">
        <v>-132986.89973599999</v>
      </c>
      <c r="AD115" s="9">
        <v>-132026.54672689998</v>
      </c>
      <c r="AE115" s="9">
        <v>-139755.58606990002</v>
      </c>
      <c r="AF115" s="9">
        <v>-152786.2115609</v>
      </c>
      <c r="AG115" s="9">
        <v>-157990.28035040002</v>
      </c>
      <c r="AH115" s="9">
        <v>-124585.3686184</v>
      </c>
      <c r="AI115" s="9">
        <v>-140140.20702139998</v>
      </c>
      <c r="AJ115" s="9">
        <v>-147580.30296910001</v>
      </c>
      <c r="AK115" s="9">
        <v>-176425.07921900001</v>
      </c>
      <c r="AL115" s="9">
        <v>-132932.67057060002</v>
      </c>
      <c r="AM115" s="9">
        <v>-150081.3271272</v>
      </c>
      <c r="AN115" s="9">
        <v>-179977.0389521</v>
      </c>
      <c r="AO115" s="9">
        <v>-161295.27401960001</v>
      </c>
      <c r="AP115" s="9">
        <v>-159826.92325320002</v>
      </c>
      <c r="AQ115" s="9">
        <v>-174145.4803584</v>
      </c>
    </row>
    <row r="116" spans="1:43" x14ac:dyDescent="0.25">
      <c r="A116" s="7" t="s">
        <v>80</v>
      </c>
      <c r="B116" s="9">
        <v>-34340.750020499996</v>
      </c>
      <c r="C116" s="9">
        <v>-36647.774019300006</v>
      </c>
      <c r="D116" s="9">
        <v>-34088.518436099999</v>
      </c>
      <c r="E116" s="9">
        <v>-36902.330582199997</v>
      </c>
      <c r="F116" s="9">
        <v>-36467.073642999996</v>
      </c>
      <c r="G116" s="9">
        <v>-33652.929994999999</v>
      </c>
      <c r="H116" s="9">
        <v>-37123.290006499999</v>
      </c>
      <c r="I116" s="9">
        <v>-33734.312844100001</v>
      </c>
      <c r="J116" s="9">
        <v>-34958.080052799996</v>
      </c>
      <c r="K116" s="9">
        <v>-34963.705987399997</v>
      </c>
      <c r="L116" s="9">
        <v>-38149.302224300001</v>
      </c>
      <c r="M116" s="9">
        <v>-32585.244671500004</v>
      </c>
      <c r="N116" s="9">
        <v>-28861.661476200003</v>
      </c>
      <c r="O116" s="9">
        <v>-29742.6004617</v>
      </c>
      <c r="P116" s="9">
        <v>-32640.581951799999</v>
      </c>
      <c r="Q116" s="9">
        <v>-32063.887234000002</v>
      </c>
      <c r="R116" s="9">
        <v>-37456.149501499996</v>
      </c>
      <c r="S116" s="9">
        <v>-50803.827565800006</v>
      </c>
      <c r="T116" s="9">
        <v>-45225.341806199998</v>
      </c>
      <c r="U116" s="9">
        <v>-37013.605721500004</v>
      </c>
      <c r="V116" s="9">
        <v>-35080.011169200006</v>
      </c>
      <c r="W116" s="9">
        <v>-33047.020099200003</v>
      </c>
      <c r="X116" s="9">
        <v>-34446.876400199995</v>
      </c>
      <c r="Y116" s="9">
        <v>-32569.532537699997</v>
      </c>
      <c r="Z116" s="9">
        <v>-34713.4461649</v>
      </c>
      <c r="AA116" s="9">
        <v>-30756.430028900002</v>
      </c>
      <c r="AB116" s="9">
        <v>-32506.531460099999</v>
      </c>
      <c r="AC116" s="9">
        <v>-33293.585505900002</v>
      </c>
      <c r="AD116" s="9">
        <v>-33613.532934700001</v>
      </c>
      <c r="AE116" s="9">
        <v>-34016.970237900001</v>
      </c>
      <c r="AF116" s="9">
        <v>-32900.127885900001</v>
      </c>
      <c r="AG116" s="9">
        <v>-34711.321826899999</v>
      </c>
      <c r="AH116" s="9">
        <v>-35719.6151197</v>
      </c>
      <c r="AI116" s="9">
        <v>-32398.065115500001</v>
      </c>
      <c r="AJ116" s="9">
        <v>-37019.765850299998</v>
      </c>
      <c r="AK116" s="9">
        <v>-34566.111439100001</v>
      </c>
      <c r="AL116" s="9">
        <v>-38013.220738799995</v>
      </c>
      <c r="AM116" s="9">
        <v>-35719.858224999996</v>
      </c>
      <c r="AN116" s="9">
        <v>-39858.508539000002</v>
      </c>
      <c r="AO116" s="9">
        <v>-46508.162275800001</v>
      </c>
      <c r="AP116" s="9">
        <v>-40780.651321600002</v>
      </c>
      <c r="AQ116" s="9">
        <v>-48761.110240900001</v>
      </c>
    </row>
    <row r="117" spans="1:43" x14ac:dyDescent="0.25">
      <c r="A117" s="5" t="s">
        <v>81</v>
      </c>
      <c r="B117" s="9">
        <v>-182651.97167103019</v>
      </c>
      <c r="C117" s="9">
        <v>-147821.1616710301</v>
      </c>
      <c r="D117" s="9">
        <v>-51149.913060445375</v>
      </c>
      <c r="E117" s="9">
        <v>-133372.40167103012</v>
      </c>
      <c r="F117" s="9">
        <v>-97972.641671030098</v>
      </c>
      <c r="G117" s="9">
        <v>-263830.44284781895</v>
      </c>
      <c r="H117" s="9">
        <v>-197578.04186860818</v>
      </c>
      <c r="I117" s="9">
        <v>-603700.26832896995</v>
      </c>
      <c r="J117" s="9">
        <v>-54233.505455994236</v>
      </c>
      <c r="K117" s="9">
        <v>-384609.48304602492</v>
      </c>
      <c r="L117" s="9">
        <v>-203959.61471968392</v>
      </c>
      <c r="M117" s="9">
        <v>-144530.21818724749</v>
      </c>
      <c r="N117" s="9">
        <v>-215928.16951308996</v>
      </c>
      <c r="O117" s="9">
        <v>-170971.4914422782</v>
      </c>
      <c r="P117" s="9">
        <v>-105165.42302070052</v>
      </c>
      <c r="Q117" s="9">
        <v>-288676.93198571354</v>
      </c>
      <c r="R117" s="9">
        <v>-416016.98005430656</v>
      </c>
      <c r="S117" s="9">
        <v>-422258.88749479537</v>
      </c>
      <c r="T117" s="9">
        <v>-269484.20921622869</v>
      </c>
      <c r="U117" s="9">
        <v>-250328.57019867521</v>
      </c>
      <c r="V117" s="9">
        <v>-482876.09984046716</v>
      </c>
      <c r="W117" s="9">
        <v>-181533.87786747137</v>
      </c>
      <c r="X117" s="9">
        <v>-170293.29583668301</v>
      </c>
      <c r="Y117" s="9">
        <v>-248629.2536320847</v>
      </c>
      <c r="Z117" s="9">
        <v>-93907.376340042305</v>
      </c>
      <c r="AA117" s="9">
        <v>-83980.518542885533</v>
      </c>
      <c r="AB117" s="9">
        <v>-77861.820232411483</v>
      </c>
      <c r="AC117" s="9">
        <v>-602880.65388867958</v>
      </c>
      <c r="AD117" s="9">
        <v>-368225.57922192873</v>
      </c>
      <c r="AE117" s="9">
        <v>24231.889190057336</v>
      </c>
      <c r="AF117" s="9">
        <v>-173537.98146438078</v>
      </c>
      <c r="AG117" s="9">
        <v>-57386.25928946201</v>
      </c>
      <c r="AH117" s="9">
        <v>-232573.39488360775</v>
      </c>
      <c r="AI117" s="9">
        <v>-87667.587319007376</v>
      </c>
      <c r="AJ117" s="9">
        <v>-46255.638634456525</v>
      </c>
      <c r="AK117" s="9">
        <v>-304156.77236611326</v>
      </c>
      <c r="AL117" s="9">
        <v>-38056.087050755035</v>
      </c>
      <c r="AM117" s="9">
        <v>-19984.786268692806</v>
      </c>
      <c r="AN117" s="9">
        <v>-160072.7860651167</v>
      </c>
      <c r="AO117" s="9">
        <v>-30513.929219577149</v>
      </c>
      <c r="AP117" s="9">
        <v>-35716.324561893918</v>
      </c>
      <c r="AQ117" s="9">
        <v>-143076.02609956663</v>
      </c>
    </row>
    <row r="118" spans="1:43" x14ac:dyDescent="0.25">
      <c r="A118" s="6" t="s">
        <v>49</v>
      </c>
      <c r="B118" s="9">
        <v>-43566.893137714593</v>
      </c>
      <c r="C118" s="9">
        <v>-35156.240508519491</v>
      </c>
      <c r="D118" s="9">
        <v>-12150.751513306393</v>
      </c>
      <c r="E118" s="9">
        <v>-31678.60937722063</v>
      </c>
      <c r="F118" s="9">
        <v>-23371.032725831217</v>
      </c>
      <c r="G118" s="9">
        <v>-63037.003224511864</v>
      </c>
      <c r="H118" s="9">
        <v>-47687.120605587283</v>
      </c>
      <c r="I118" s="9">
        <v>-147267.17773090641</v>
      </c>
      <c r="J118" s="9">
        <v>-13346.560683485497</v>
      </c>
      <c r="K118" s="9">
        <v>-96023.912059411741</v>
      </c>
      <c r="L118" s="9">
        <v>-51466.237490845</v>
      </c>
      <c r="M118" s="9">
        <v>-37059.055719505443</v>
      </c>
      <c r="N118" s="9">
        <v>-55724.568615187527</v>
      </c>
      <c r="O118" s="9">
        <v>-44562.079798798375</v>
      </c>
      <c r="P118" s="9">
        <v>-27844.112604368049</v>
      </c>
      <c r="Q118" s="9">
        <v>-76743.87258935369</v>
      </c>
      <c r="R118" s="9">
        <v>-112169.5313420437</v>
      </c>
      <c r="S118" s="9">
        <v>-115102.26900874158</v>
      </c>
      <c r="T118" s="9">
        <v>-74249.308243050385</v>
      </c>
      <c r="U118" s="9">
        <v>-70132.18908645655</v>
      </c>
      <c r="V118" s="9">
        <v>-136402.13809820989</v>
      </c>
      <c r="W118" s="9">
        <v>-52343.772610722714</v>
      </c>
      <c r="X118" s="9">
        <v>-50231.218827709243</v>
      </c>
      <c r="Y118" s="9">
        <v>-75418.20874958561</v>
      </c>
      <c r="Z118" s="9">
        <v>-28947.992161676557</v>
      </c>
      <c r="AA118" s="9">
        <v>-26351.309858946152</v>
      </c>
      <c r="AB118" s="9">
        <v>-24959.448214678585</v>
      </c>
      <c r="AC118" s="9">
        <v>-196506.30952700609</v>
      </c>
      <c r="AD118" s="9">
        <v>-122670.75574944961</v>
      </c>
      <c r="AE118" s="9">
        <v>8229.7711251309684</v>
      </c>
      <c r="AF118" s="9">
        <v>-59599.212702539444</v>
      </c>
      <c r="AG118" s="9">
        <v>-19896.936791914144</v>
      </c>
      <c r="AH118" s="9">
        <v>-82371.379089768248</v>
      </c>
      <c r="AI118" s="9">
        <v>-31924.079771792171</v>
      </c>
      <c r="AJ118" s="9">
        <v>-17257.190318156758</v>
      </c>
      <c r="AK118" s="9">
        <v>-115476.75421469499</v>
      </c>
      <c r="AL118" s="9">
        <v>-14493.278580796652</v>
      </c>
      <c r="AM118" s="9">
        <v>-7664.4004030486294</v>
      </c>
      <c r="AN118" s="9">
        <v>-62297.111237223988</v>
      </c>
      <c r="AO118" s="9">
        <v>-11923.357052673378</v>
      </c>
      <c r="AP118" s="9">
        <v>-13984.762058030092</v>
      </c>
      <c r="AQ118" s="9">
        <v>-56484.950636549496</v>
      </c>
    </row>
    <row r="119" spans="1:43" x14ac:dyDescent="0.25">
      <c r="A119" s="7" t="s">
        <v>48</v>
      </c>
      <c r="B119" s="9">
        <v>-43566.893137714593</v>
      </c>
      <c r="C119" s="9">
        <v>-35156.240508519491</v>
      </c>
      <c r="D119" s="9">
        <v>-12150.751513306393</v>
      </c>
      <c r="E119" s="9">
        <v>-31678.60937722063</v>
      </c>
      <c r="F119" s="9">
        <v>-23371.032725831217</v>
      </c>
      <c r="G119" s="9">
        <v>-63037.003224511864</v>
      </c>
      <c r="H119" s="9">
        <v>-47687.120605587283</v>
      </c>
      <c r="I119" s="9">
        <v>-147267.17773090641</v>
      </c>
      <c r="J119" s="9">
        <v>-13346.560683485497</v>
      </c>
      <c r="K119" s="9">
        <v>-96023.912059411741</v>
      </c>
      <c r="L119" s="9">
        <v>-51466.237490845</v>
      </c>
      <c r="M119" s="9">
        <v>-37059.055719505443</v>
      </c>
      <c r="N119" s="9">
        <v>-55724.568615187527</v>
      </c>
      <c r="O119" s="9">
        <v>-44562.079798798375</v>
      </c>
      <c r="P119" s="9">
        <v>-27844.112604368049</v>
      </c>
      <c r="Q119" s="9">
        <v>-76743.87258935369</v>
      </c>
      <c r="R119" s="9">
        <v>-112169.5313420437</v>
      </c>
      <c r="S119" s="9">
        <v>-115102.26900874158</v>
      </c>
      <c r="T119" s="9">
        <v>-74249.308243050385</v>
      </c>
      <c r="U119" s="9">
        <v>-70132.18908645655</v>
      </c>
      <c r="V119" s="9">
        <v>-136402.13809820989</v>
      </c>
      <c r="W119" s="9">
        <v>-52343.772610722714</v>
      </c>
      <c r="X119" s="9">
        <v>-50231.218827709243</v>
      </c>
      <c r="Y119" s="9">
        <v>-75418.20874958561</v>
      </c>
      <c r="Z119" s="9">
        <v>-28947.992161676557</v>
      </c>
      <c r="AA119" s="9">
        <v>-26351.309858946152</v>
      </c>
      <c r="AB119" s="9">
        <v>-24959.448214678585</v>
      </c>
      <c r="AC119" s="9">
        <v>-196506.30952700609</v>
      </c>
      <c r="AD119" s="9">
        <v>-122670.75574944961</v>
      </c>
      <c r="AE119" s="9">
        <v>8229.7711251309684</v>
      </c>
      <c r="AF119" s="9">
        <v>-59599.212702539444</v>
      </c>
      <c r="AG119" s="9">
        <v>-19896.936791914144</v>
      </c>
      <c r="AH119" s="9">
        <v>-82371.379089768248</v>
      </c>
      <c r="AI119" s="9">
        <v>-31924.079771792171</v>
      </c>
      <c r="AJ119" s="9">
        <v>-17257.190318156758</v>
      </c>
      <c r="AK119" s="9">
        <v>-115476.75421469499</v>
      </c>
      <c r="AL119" s="9">
        <v>-14493.278580796652</v>
      </c>
      <c r="AM119" s="9">
        <v>-7664.4004030486294</v>
      </c>
      <c r="AN119" s="9">
        <v>-62297.111237223988</v>
      </c>
      <c r="AO119" s="9">
        <v>-11923.357052673378</v>
      </c>
      <c r="AP119" s="9">
        <v>-13984.762058030092</v>
      </c>
      <c r="AQ119" s="9">
        <v>-56484.950636549496</v>
      </c>
    </row>
    <row r="120" spans="1:43" x14ac:dyDescent="0.25">
      <c r="A120" s="6" t="s">
        <v>47</v>
      </c>
      <c r="B120" s="9">
        <v>-136303.43476103919</v>
      </c>
      <c r="C120" s="9">
        <v>-110440.8721095638</v>
      </c>
      <c r="D120" s="9">
        <v>-38235.051665647254</v>
      </c>
      <c r="E120" s="9">
        <v>-99727.776261884763</v>
      </c>
      <c r="F120" s="9">
        <v>-73189.23583273252</v>
      </c>
      <c r="G120" s="9">
        <v>-197043.74338623229</v>
      </c>
      <c r="H120" s="9">
        <v>-147142.22107947868</v>
      </c>
      <c r="I120" s="9">
        <v>-448253.79955738276</v>
      </c>
      <c r="J120" s="9">
        <v>-40170.331270135553</v>
      </c>
      <c r="K120" s="9">
        <v>-283669.60679841938</v>
      </c>
      <c r="L120" s="9">
        <v>-149987.36949805493</v>
      </c>
      <c r="M120" s="9">
        <v>-105747.1065866904</v>
      </c>
      <c r="N120" s="9">
        <v>-157697.83784148219</v>
      </c>
      <c r="O120" s="9">
        <v>-124490.84667465722</v>
      </c>
      <c r="P120" s="9">
        <v>-76165.456076522678</v>
      </c>
      <c r="Q120" s="9">
        <v>-208790.42792054923</v>
      </c>
      <c r="R120" s="9">
        <v>-299415.55034890864</v>
      </c>
      <c r="S120" s="9">
        <v>-302691.51873135759</v>
      </c>
      <c r="T120" s="9">
        <v>-192430.4712409488</v>
      </c>
      <c r="U120" s="9">
        <v>-177636.68386949733</v>
      </c>
      <c r="V120" s="9">
        <v>-341523.83466491866</v>
      </c>
      <c r="W120" s="9">
        <v>-127362.08089068856</v>
      </c>
      <c r="X120" s="9">
        <v>-118391.78467749985</v>
      </c>
      <c r="Y120" s="9">
        <v>-170856.11213152521</v>
      </c>
      <c r="Z120" s="9">
        <v>-64092.563313765626</v>
      </c>
      <c r="AA120" s="9">
        <v>-56872.869048513712</v>
      </c>
      <c r="AB120" s="9">
        <v>-52227.475259775318</v>
      </c>
      <c r="AC120" s="9">
        <v>-401206.44296137849</v>
      </c>
      <c r="AD120" s="9">
        <v>-242443.57360994568</v>
      </c>
      <c r="AE120" s="9">
        <v>15800.541871656038</v>
      </c>
      <c r="AF120" s="9">
        <v>-112529.76703648601</v>
      </c>
      <c r="AG120" s="9">
        <v>-37032.294655845995</v>
      </c>
      <c r="AH120" s="9">
        <v>-148387.21094012688</v>
      </c>
      <c r="AI120" s="9">
        <v>-55081.662236428994</v>
      </c>
      <c r="AJ120" s="9">
        <v>-28656.77757201179</v>
      </c>
      <c r="AK120" s="9">
        <v>-186369.15574521918</v>
      </c>
      <c r="AL120" s="9">
        <v>-23253.302517321859</v>
      </c>
      <c r="AM120" s="9">
        <v>-12141.141061359107</v>
      </c>
      <c r="AN120" s="9">
        <v>-96222.144161341334</v>
      </c>
      <c r="AO120" s="9">
        <v>-18270.321943745948</v>
      </c>
      <c r="AP120" s="9">
        <v>-21322.359341802337</v>
      </c>
      <c r="AQ120" s="9">
        <v>-84838.961783874343</v>
      </c>
    </row>
    <row r="121" spans="1:43" x14ac:dyDescent="0.25">
      <c r="A121" s="7" t="s">
        <v>48</v>
      </c>
      <c r="B121" s="9">
        <v>-136303.43476103919</v>
      </c>
      <c r="C121" s="9">
        <v>-110440.8721095638</v>
      </c>
      <c r="D121" s="9">
        <v>-38235.051665647254</v>
      </c>
      <c r="E121" s="9">
        <v>-99727.776261884763</v>
      </c>
      <c r="F121" s="9">
        <v>-73189.23583273252</v>
      </c>
      <c r="G121" s="9">
        <v>-197043.74338623229</v>
      </c>
      <c r="H121" s="9">
        <v>-147142.22107947868</v>
      </c>
      <c r="I121" s="9">
        <v>-448253.79955738276</v>
      </c>
      <c r="J121" s="9">
        <v>-40170.331270135553</v>
      </c>
      <c r="K121" s="9">
        <v>-283669.60679841938</v>
      </c>
      <c r="L121" s="9">
        <v>-149987.36949805493</v>
      </c>
      <c r="M121" s="9">
        <v>-105747.1065866904</v>
      </c>
      <c r="N121" s="9">
        <v>-157697.83784148219</v>
      </c>
      <c r="O121" s="9">
        <v>-124490.84667465722</v>
      </c>
      <c r="P121" s="9">
        <v>-76165.456076522678</v>
      </c>
      <c r="Q121" s="9">
        <v>-208790.42792054923</v>
      </c>
      <c r="R121" s="9">
        <v>-299415.55034890864</v>
      </c>
      <c r="S121" s="9">
        <v>-302691.51873135759</v>
      </c>
      <c r="T121" s="9">
        <v>-192430.4712409488</v>
      </c>
      <c r="U121" s="9">
        <v>-177636.68386949733</v>
      </c>
      <c r="V121" s="9">
        <v>-341523.83466491866</v>
      </c>
      <c r="W121" s="9">
        <v>-127362.08089068856</v>
      </c>
      <c r="X121" s="9">
        <v>-118391.78467749985</v>
      </c>
      <c r="Y121" s="9">
        <v>-170856.11213152521</v>
      </c>
      <c r="Z121" s="9">
        <v>-64092.563313765626</v>
      </c>
      <c r="AA121" s="9">
        <v>-56872.869048513712</v>
      </c>
      <c r="AB121" s="9">
        <v>-52227.475259775318</v>
      </c>
      <c r="AC121" s="9">
        <v>-401206.44296137849</v>
      </c>
      <c r="AD121" s="9">
        <v>-242443.57360994568</v>
      </c>
      <c r="AE121" s="9">
        <v>15800.541871656038</v>
      </c>
      <c r="AF121" s="9">
        <v>-112529.76703648601</v>
      </c>
      <c r="AG121" s="9">
        <v>-37032.294655845995</v>
      </c>
      <c r="AH121" s="9">
        <v>-148387.21094012688</v>
      </c>
      <c r="AI121" s="9">
        <v>-55081.662236428994</v>
      </c>
      <c r="AJ121" s="9">
        <v>-28656.77757201179</v>
      </c>
      <c r="AK121" s="9">
        <v>-186369.15574521918</v>
      </c>
      <c r="AL121" s="9">
        <v>-23253.302517321859</v>
      </c>
      <c r="AM121" s="9">
        <v>-12141.141061359107</v>
      </c>
      <c r="AN121" s="9">
        <v>-96222.144161341334</v>
      </c>
      <c r="AO121" s="9">
        <v>-18270.321943745948</v>
      </c>
      <c r="AP121" s="9">
        <v>-21322.359341802337</v>
      </c>
      <c r="AQ121" s="9">
        <v>-84838.961783874343</v>
      </c>
    </row>
    <row r="122" spans="1:43" x14ac:dyDescent="0.25">
      <c r="A122" s="6" t="s">
        <v>46</v>
      </c>
      <c r="B122" s="9">
        <v>-2781.6437722763967</v>
      </c>
      <c r="C122" s="9">
        <v>-2224.0490529467884</v>
      </c>
      <c r="D122" s="9">
        <v>-764.10988149172647</v>
      </c>
      <c r="E122" s="9">
        <v>-1966.0160319247223</v>
      </c>
      <c r="F122" s="9">
        <v>-1412.3731124663614</v>
      </c>
      <c r="G122" s="9">
        <v>-3749.6962370748124</v>
      </c>
      <c r="H122" s="9">
        <v>-2748.7001835422038</v>
      </c>
      <c r="I122" s="9">
        <v>-8179.2910406808087</v>
      </c>
      <c r="J122" s="9">
        <v>-716.61350237318709</v>
      </c>
      <c r="K122" s="9">
        <v>-4915.9641881937914</v>
      </c>
      <c r="L122" s="9">
        <v>-2506.007730783977</v>
      </c>
      <c r="M122" s="9">
        <v>-1724.0558810516568</v>
      </c>
      <c r="N122" s="9">
        <v>-2505.7630564202136</v>
      </c>
      <c r="O122" s="9">
        <v>-1918.5649688226056</v>
      </c>
      <c r="P122" s="9">
        <v>-1155.8543398097986</v>
      </c>
      <c r="Q122" s="9">
        <v>-3142.6314758106055</v>
      </c>
      <c r="R122" s="9">
        <v>-4431.8983633541966</v>
      </c>
      <c r="S122" s="9">
        <v>-4465.0997546961889</v>
      </c>
      <c r="T122" s="9">
        <v>-2804.4297322295306</v>
      </c>
      <c r="U122" s="9">
        <v>-2559.6972427213259</v>
      </c>
      <c r="V122" s="9">
        <v>-4950.1270773385731</v>
      </c>
      <c r="W122" s="9">
        <v>-1828.0243660600925</v>
      </c>
      <c r="X122" s="9">
        <v>-1670.2923314739255</v>
      </c>
      <c r="Y122" s="9">
        <v>-2354.9327509738855</v>
      </c>
      <c r="Z122" s="9">
        <v>-866.82086460013659</v>
      </c>
      <c r="AA122" s="9">
        <v>-756.33963542567471</v>
      </c>
      <c r="AB122" s="9">
        <v>-674.89675795757762</v>
      </c>
      <c r="AC122" s="9">
        <v>-5167.9014002950144</v>
      </c>
      <c r="AD122" s="9">
        <v>-3111.2498625334088</v>
      </c>
      <c r="AE122" s="9">
        <v>201.57619327033044</v>
      </c>
      <c r="AF122" s="9">
        <v>-1409.0017253553008</v>
      </c>
      <c r="AG122" s="9">
        <v>-457.02784170186993</v>
      </c>
      <c r="AH122" s="9">
        <v>-1814.804853712629</v>
      </c>
      <c r="AI122" s="9">
        <v>-661.84531078621103</v>
      </c>
      <c r="AJ122" s="9">
        <v>-341.67074428798151</v>
      </c>
      <c r="AK122" s="9">
        <v>-2310.862406199099</v>
      </c>
      <c r="AL122" s="9">
        <v>-309.50595263652576</v>
      </c>
      <c r="AM122" s="9">
        <v>-179.24480428506803</v>
      </c>
      <c r="AN122" s="9">
        <v>-1553.5306665513745</v>
      </c>
      <c r="AO122" s="9">
        <v>-320.25022315782149</v>
      </c>
      <c r="AP122" s="9">
        <v>-409.2031620614847</v>
      </c>
      <c r="AQ122" s="9">
        <v>-1752.113679142783</v>
      </c>
    </row>
    <row r="123" spans="1:43" x14ac:dyDescent="0.25">
      <c r="A123" s="7" t="s">
        <v>48</v>
      </c>
      <c r="B123" s="9">
        <v>-2781.6437722763967</v>
      </c>
      <c r="C123" s="9">
        <v>-2224.0490529467884</v>
      </c>
      <c r="D123" s="9">
        <v>-764.10988149172647</v>
      </c>
      <c r="E123" s="9">
        <v>-1966.0160319247223</v>
      </c>
      <c r="F123" s="9">
        <v>-1412.3731124663614</v>
      </c>
      <c r="G123" s="9">
        <v>-3749.6962370748124</v>
      </c>
      <c r="H123" s="9">
        <v>-2748.7001835422038</v>
      </c>
      <c r="I123" s="9">
        <v>-8179.2910406808087</v>
      </c>
      <c r="J123" s="9">
        <v>-716.61350237318709</v>
      </c>
      <c r="K123" s="9">
        <v>-4915.9641881937914</v>
      </c>
      <c r="L123" s="9">
        <v>-2506.007730783977</v>
      </c>
      <c r="M123" s="9">
        <v>-1724.0558810516568</v>
      </c>
      <c r="N123" s="9">
        <v>-2505.7630564202136</v>
      </c>
      <c r="O123" s="9">
        <v>-1918.5649688226056</v>
      </c>
      <c r="P123" s="9">
        <v>-1155.8543398097986</v>
      </c>
      <c r="Q123" s="9">
        <v>-3142.6314758106055</v>
      </c>
      <c r="R123" s="9">
        <v>-4431.8983633541966</v>
      </c>
      <c r="S123" s="9">
        <v>-4465.0997546961889</v>
      </c>
      <c r="T123" s="9">
        <v>-2804.4297322295306</v>
      </c>
      <c r="U123" s="9">
        <v>-2559.6972427213259</v>
      </c>
      <c r="V123" s="9">
        <v>-4950.1270773385731</v>
      </c>
      <c r="W123" s="9">
        <v>-1828.0243660600925</v>
      </c>
      <c r="X123" s="9">
        <v>-1670.2923314739255</v>
      </c>
      <c r="Y123" s="9">
        <v>-2354.9327509738855</v>
      </c>
      <c r="Z123" s="9">
        <v>-866.82086460013659</v>
      </c>
      <c r="AA123" s="9">
        <v>-756.33963542567471</v>
      </c>
      <c r="AB123" s="9">
        <v>-674.89675795757762</v>
      </c>
      <c r="AC123" s="9">
        <v>-5167.9014002950144</v>
      </c>
      <c r="AD123" s="9">
        <v>-3111.2498625334088</v>
      </c>
      <c r="AE123" s="9">
        <v>201.57619327033044</v>
      </c>
      <c r="AF123" s="9">
        <v>-1409.0017253553008</v>
      </c>
      <c r="AG123" s="9">
        <v>-457.02784170186993</v>
      </c>
      <c r="AH123" s="9">
        <v>-1814.804853712629</v>
      </c>
      <c r="AI123" s="9">
        <v>-661.84531078621103</v>
      </c>
      <c r="AJ123" s="9">
        <v>-341.67074428798151</v>
      </c>
      <c r="AK123" s="9">
        <v>-2310.862406199099</v>
      </c>
      <c r="AL123" s="9">
        <v>-309.50595263652576</v>
      </c>
      <c r="AM123" s="9">
        <v>-179.24480428506803</v>
      </c>
      <c r="AN123" s="9">
        <v>-1553.5306665513745</v>
      </c>
      <c r="AO123" s="9">
        <v>-320.25022315782149</v>
      </c>
      <c r="AP123" s="9">
        <v>-409.2031620614847</v>
      </c>
      <c r="AQ123" s="9">
        <v>-1752.113679142783</v>
      </c>
    </row>
    <row r="124" spans="1:43" x14ac:dyDescent="0.25">
      <c r="A124" s="6" t="s">
        <v>48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</row>
    <row r="125" spans="1:43" x14ac:dyDescent="0.25">
      <c r="A125" s="7" t="s">
        <v>48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</row>
    <row r="126" spans="1:43" x14ac:dyDescent="0.25">
      <c r="A126" s="5" t="s">
        <v>82</v>
      </c>
      <c r="B126" s="9"/>
      <c r="C126" s="9"/>
      <c r="D126" s="9"/>
      <c r="E126" s="9"/>
      <c r="F126" s="9"/>
      <c r="G126" s="9"/>
      <c r="H126" s="9"/>
      <c r="I126" s="9">
        <v>2367477.21</v>
      </c>
      <c r="J126" s="9"/>
      <c r="K126" s="9">
        <v>1185114.6388148852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>
        <v>399999.99999999994</v>
      </c>
      <c r="X126" s="9">
        <v>5915</v>
      </c>
      <c r="Y126" s="9">
        <v>-782</v>
      </c>
      <c r="Z126" s="9">
        <v>0</v>
      </c>
      <c r="AA126" s="9">
        <v>0</v>
      </c>
      <c r="AB126" s="9">
        <v>2363950.0023639495</v>
      </c>
      <c r="AC126" s="9">
        <v>-17710.000017710001</v>
      </c>
      <c r="AD126" s="9">
        <v>0</v>
      </c>
      <c r="AE126" s="9">
        <v>2993249.9970067497</v>
      </c>
      <c r="AF126" s="9"/>
      <c r="AG126" s="9"/>
      <c r="AH126" s="9">
        <v>2766650.0000000005</v>
      </c>
      <c r="AI126" s="9">
        <v>-260</v>
      </c>
      <c r="AJ126" s="9">
        <v>2946518.9970534812</v>
      </c>
      <c r="AK126" s="9">
        <v>-938.00000000000011</v>
      </c>
      <c r="AL126" s="9"/>
      <c r="AM126" s="9"/>
      <c r="AN126" s="9"/>
      <c r="AO126" s="9"/>
      <c r="AP126" s="9"/>
      <c r="AQ126" s="9">
        <v>2411469.0000000005</v>
      </c>
    </row>
    <row r="127" spans="1:43" x14ac:dyDescent="0.25">
      <c r="A127" s="6" t="s">
        <v>49</v>
      </c>
      <c r="B127" s="9"/>
      <c r="C127" s="9"/>
      <c r="D127" s="9"/>
      <c r="E127" s="9"/>
      <c r="F127" s="9"/>
      <c r="G127" s="9"/>
      <c r="H127" s="9"/>
      <c r="I127" s="9">
        <v>577524.48582473083</v>
      </c>
      <c r="J127" s="9"/>
      <c r="K127" s="9">
        <v>295882.83408046927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>
        <v>115336.64840000001</v>
      </c>
      <c r="X127" s="9">
        <v>1744.7407891549997</v>
      </c>
      <c r="Y127" s="9">
        <v>-237.20876920399999</v>
      </c>
      <c r="Z127" s="9">
        <v>0</v>
      </c>
      <c r="AA127" s="9">
        <v>0</v>
      </c>
      <c r="AB127" s="9">
        <v>757789.72916344996</v>
      </c>
      <c r="AC127" s="9">
        <v>-5772.4969656200001</v>
      </c>
      <c r="AD127" s="9">
        <v>0</v>
      </c>
      <c r="AE127" s="9">
        <v>1016584.4768625</v>
      </c>
      <c r="AF127" s="9"/>
      <c r="AG127" s="9"/>
      <c r="AH127" s="9">
        <v>979874.65880505007</v>
      </c>
      <c r="AI127" s="9">
        <v>-94.678786020000004</v>
      </c>
      <c r="AJ127" s="9">
        <v>1099296.012537126</v>
      </c>
      <c r="AK127" s="9">
        <v>-356.12291191399999</v>
      </c>
      <c r="AL127" s="9"/>
      <c r="AM127" s="9"/>
      <c r="AN127" s="9"/>
      <c r="AO127" s="9"/>
      <c r="AP127" s="9"/>
      <c r="AQ127" s="9">
        <v>952023.2783917248</v>
      </c>
    </row>
    <row r="128" spans="1:43" x14ac:dyDescent="0.25">
      <c r="A128" s="7" t="s">
        <v>83</v>
      </c>
      <c r="B128" s="9"/>
      <c r="C128" s="9"/>
      <c r="D128" s="9"/>
      <c r="E128" s="9"/>
      <c r="F128" s="9"/>
      <c r="G128" s="9"/>
      <c r="H128" s="9"/>
      <c r="I128" s="9">
        <v>577524.48582473083</v>
      </c>
      <c r="J128" s="9"/>
      <c r="K128" s="9">
        <v>295882.83408046927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>
        <v>115336.64840000001</v>
      </c>
      <c r="X128" s="9">
        <v>1744.7407891549997</v>
      </c>
      <c r="Y128" s="9">
        <v>-237.20876920399999</v>
      </c>
      <c r="Z128" s="9">
        <v>0</v>
      </c>
      <c r="AA128" s="9">
        <v>0</v>
      </c>
      <c r="AB128" s="9">
        <v>757789.72916344996</v>
      </c>
      <c r="AC128" s="9">
        <v>-5772.4969656200001</v>
      </c>
      <c r="AD128" s="9">
        <v>0</v>
      </c>
      <c r="AE128" s="9">
        <v>1016584.4768625</v>
      </c>
      <c r="AF128" s="9"/>
      <c r="AG128" s="9"/>
      <c r="AH128" s="9">
        <v>979874.65880505007</v>
      </c>
      <c r="AI128" s="9">
        <v>-94.678786020000004</v>
      </c>
      <c r="AJ128" s="9">
        <v>1099296.012537126</v>
      </c>
      <c r="AK128" s="9">
        <v>-356.12291191399999</v>
      </c>
      <c r="AL128" s="9"/>
      <c r="AM128" s="9"/>
      <c r="AN128" s="9"/>
      <c r="AO128" s="9"/>
      <c r="AP128" s="9"/>
      <c r="AQ128" s="9">
        <v>952023.2783917248</v>
      </c>
    </row>
    <row r="129" spans="1:43" x14ac:dyDescent="0.25">
      <c r="A129" s="6" t="s">
        <v>47</v>
      </c>
      <c r="B129" s="9"/>
      <c r="C129" s="9"/>
      <c r="D129" s="9"/>
      <c r="E129" s="9"/>
      <c r="F129" s="9"/>
      <c r="G129" s="9"/>
      <c r="H129" s="9"/>
      <c r="I129" s="9">
        <v>1757876.7319177717</v>
      </c>
      <c r="J129" s="9"/>
      <c r="K129" s="9">
        <v>874084.02138498414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>
        <v>280635.39959999995</v>
      </c>
      <c r="X129" s="9">
        <v>4112.2429566400006</v>
      </c>
      <c r="Y129" s="9">
        <v>-537.38438954800006</v>
      </c>
      <c r="Z129" s="9">
        <v>0</v>
      </c>
      <c r="AA129" s="9">
        <v>0</v>
      </c>
      <c r="AB129" s="9">
        <v>1585669.8430023999</v>
      </c>
      <c r="AC129" s="9">
        <v>-11785.692684150001</v>
      </c>
      <c r="AD129" s="9">
        <v>0</v>
      </c>
      <c r="AE129" s="9">
        <v>1951765.7719169999</v>
      </c>
      <c r="AF129" s="9"/>
      <c r="AG129" s="9"/>
      <c r="AH129" s="9">
        <v>1765186.7590141001</v>
      </c>
      <c r="AI129" s="9">
        <v>-163.35834736000001</v>
      </c>
      <c r="AJ129" s="9">
        <v>1825458.3009339301</v>
      </c>
      <c r="AK129" s="9">
        <v>-574.75053647200002</v>
      </c>
      <c r="AL129" s="9"/>
      <c r="AM129" s="9"/>
      <c r="AN129" s="9"/>
      <c r="AO129" s="9"/>
      <c r="AP129" s="9"/>
      <c r="AQ129" s="9">
        <v>1429914.7936330431</v>
      </c>
    </row>
    <row r="130" spans="1:43" x14ac:dyDescent="0.25">
      <c r="A130" s="7" t="s">
        <v>83</v>
      </c>
      <c r="B130" s="9"/>
      <c r="C130" s="9"/>
      <c r="D130" s="9"/>
      <c r="E130" s="9"/>
      <c r="F130" s="9"/>
      <c r="G130" s="9"/>
      <c r="H130" s="9"/>
      <c r="I130" s="9">
        <v>1757876.7319177717</v>
      </c>
      <c r="J130" s="9"/>
      <c r="K130" s="9">
        <v>874084.02138498414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>
        <v>280635.39959999995</v>
      </c>
      <c r="X130" s="9">
        <v>4112.2429566400006</v>
      </c>
      <c r="Y130" s="9">
        <v>-537.38438954800006</v>
      </c>
      <c r="Z130" s="9">
        <v>0</v>
      </c>
      <c r="AA130" s="9">
        <v>0</v>
      </c>
      <c r="AB130" s="9">
        <v>1585669.8430023999</v>
      </c>
      <c r="AC130" s="9">
        <v>-11785.692684150001</v>
      </c>
      <c r="AD130" s="9">
        <v>0</v>
      </c>
      <c r="AE130" s="9">
        <v>1951765.7719169999</v>
      </c>
      <c r="AF130" s="9"/>
      <c r="AG130" s="9"/>
      <c r="AH130" s="9">
        <v>1765186.7590141001</v>
      </c>
      <c r="AI130" s="9">
        <v>-163.35834736000001</v>
      </c>
      <c r="AJ130" s="9">
        <v>1825458.3009339301</v>
      </c>
      <c r="AK130" s="9">
        <v>-574.75053647200002</v>
      </c>
      <c r="AL130" s="9"/>
      <c r="AM130" s="9"/>
      <c r="AN130" s="9"/>
      <c r="AO130" s="9"/>
      <c r="AP130" s="9"/>
      <c r="AQ130" s="9">
        <v>1429914.7936330431</v>
      </c>
    </row>
    <row r="131" spans="1:43" x14ac:dyDescent="0.25">
      <c r="A131" s="6" t="s">
        <v>46</v>
      </c>
      <c r="B131" s="9"/>
      <c r="C131" s="9"/>
      <c r="D131" s="9"/>
      <c r="E131" s="9"/>
      <c r="F131" s="9"/>
      <c r="G131" s="9"/>
      <c r="H131" s="9"/>
      <c r="I131" s="9">
        <v>32075.992257497164</v>
      </c>
      <c r="J131" s="9"/>
      <c r="K131" s="9">
        <v>15147.78334943192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>
        <v>4027.9519999999998</v>
      </c>
      <c r="X131" s="9">
        <v>58.016254205000003</v>
      </c>
      <c r="Y131" s="9">
        <v>-7.4068412480000001</v>
      </c>
      <c r="Z131" s="9">
        <v>0</v>
      </c>
      <c r="AA131" s="9">
        <v>0</v>
      </c>
      <c r="AB131" s="9">
        <v>20490.430198099999</v>
      </c>
      <c r="AC131" s="9">
        <v>-151.81036793999999</v>
      </c>
      <c r="AD131" s="9">
        <v>0</v>
      </c>
      <c r="AE131" s="9">
        <v>24899.748227250002</v>
      </c>
      <c r="AF131" s="9"/>
      <c r="AG131" s="9"/>
      <c r="AH131" s="9">
        <v>21588.58218085</v>
      </c>
      <c r="AI131" s="9">
        <v>-1.9628666199999998</v>
      </c>
      <c r="AJ131" s="9">
        <v>21764.683582425001</v>
      </c>
      <c r="AK131" s="9">
        <v>-7.1265516139999994</v>
      </c>
      <c r="AL131" s="9"/>
      <c r="AM131" s="9"/>
      <c r="AN131" s="9"/>
      <c r="AO131" s="9"/>
      <c r="AP131" s="9"/>
      <c r="AQ131" s="9">
        <v>29530.927975232367</v>
      </c>
    </row>
    <row r="132" spans="1:43" x14ac:dyDescent="0.25">
      <c r="A132" s="7" t="s">
        <v>83</v>
      </c>
      <c r="B132" s="9"/>
      <c r="C132" s="9"/>
      <c r="D132" s="9"/>
      <c r="E132" s="9"/>
      <c r="F132" s="9"/>
      <c r="G132" s="9"/>
      <c r="H132" s="9"/>
      <c r="I132" s="9">
        <v>32075.992257497164</v>
      </c>
      <c r="J132" s="9"/>
      <c r="K132" s="9">
        <v>15147.78334943192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>
        <v>4027.9519999999998</v>
      </c>
      <c r="X132" s="9">
        <v>58.016254205000003</v>
      </c>
      <c r="Y132" s="9">
        <v>-7.4068412480000001</v>
      </c>
      <c r="Z132" s="9">
        <v>0</v>
      </c>
      <c r="AA132" s="9">
        <v>0</v>
      </c>
      <c r="AB132" s="9">
        <v>20490.430198099999</v>
      </c>
      <c r="AC132" s="9">
        <v>-151.81036793999999</v>
      </c>
      <c r="AD132" s="9">
        <v>0</v>
      </c>
      <c r="AE132" s="9">
        <v>24899.748227250002</v>
      </c>
      <c r="AF132" s="9"/>
      <c r="AG132" s="9"/>
      <c r="AH132" s="9">
        <v>21588.58218085</v>
      </c>
      <c r="AI132" s="9">
        <v>-1.9628666199999998</v>
      </c>
      <c r="AJ132" s="9">
        <v>21764.683582425001</v>
      </c>
      <c r="AK132" s="9">
        <v>-7.1265516139999994</v>
      </c>
      <c r="AL132" s="9"/>
      <c r="AM132" s="9"/>
      <c r="AN132" s="9"/>
      <c r="AO132" s="9"/>
      <c r="AP132" s="9"/>
      <c r="AQ132" s="9">
        <v>29530.927975232367</v>
      </c>
    </row>
    <row r="133" spans="1:43" x14ac:dyDescent="0.25">
      <c r="A133" s="6" t="s">
        <v>48</v>
      </c>
      <c r="B133" s="9"/>
      <c r="C133" s="9"/>
      <c r="D133" s="9"/>
      <c r="E133" s="9"/>
      <c r="F133" s="9"/>
      <c r="G133" s="9"/>
      <c r="H133" s="9"/>
      <c r="I133" s="9">
        <v>0</v>
      </c>
      <c r="J133" s="9"/>
      <c r="K133" s="9">
        <v>0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/>
      <c r="AG133" s="9"/>
      <c r="AH133" s="9">
        <v>0</v>
      </c>
      <c r="AI133" s="9">
        <v>0</v>
      </c>
      <c r="AJ133" s="9">
        <v>0</v>
      </c>
      <c r="AK133" s="9">
        <v>0</v>
      </c>
      <c r="AL133" s="9"/>
      <c r="AM133" s="9"/>
      <c r="AN133" s="9"/>
      <c r="AO133" s="9"/>
      <c r="AP133" s="9"/>
      <c r="AQ133" s="9">
        <v>0</v>
      </c>
    </row>
    <row r="134" spans="1:43" x14ac:dyDescent="0.25">
      <c r="A134" s="7" t="s">
        <v>83</v>
      </c>
      <c r="B134" s="9"/>
      <c r="C134" s="9"/>
      <c r="D134" s="9"/>
      <c r="E134" s="9"/>
      <c r="F134" s="9"/>
      <c r="G134" s="9"/>
      <c r="H134" s="9"/>
      <c r="I134" s="9">
        <v>0</v>
      </c>
      <c r="J134" s="9"/>
      <c r="K134" s="9">
        <v>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/>
      <c r="AG134" s="9"/>
      <c r="AH134" s="9">
        <v>0</v>
      </c>
      <c r="AI134" s="9">
        <v>0</v>
      </c>
      <c r="AJ134" s="9">
        <v>0</v>
      </c>
      <c r="AK134" s="9">
        <v>0</v>
      </c>
      <c r="AL134" s="9"/>
      <c r="AM134" s="9"/>
      <c r="AN134" s="9"/>
      <c r="AO134" s="9"/>
      <c r="AP134" s="9"/>
      <c r="AQ134" s="9">
        <v>0</v>
      </c>
    </row>
    <row r="135" spans="1:43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43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43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43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43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0" spans="1:43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</row>
    <row r="141" spans="1:43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</row>
    <row r="142" spans="1:43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4B9D-DA70-4ABD-8D24-D65929A1A9F2}">
  <sheetPr codeName="Hoja11"/>
  <dimension ref="A1:Q134"/>
  <sheetViews>
    <sheetView topLeftCell="A10" zoomScale="66" workbookViewId="0">
      <selection activeCell="B19" sqref="B19:J19"/>
    </sheetView>
  </sheetViews>
  <sheetFormatPr baseColWidth="10" defaultRowHeight="15" x14ac:dyDescent="0.25"/>
  <cols>
    <col min="1" max="1" width="46.85546875" bestFit="1" customWidth="1"/>
    <col min="2" max="2" width="31.5703125" bestFit="1" customWidth="1"/>
    <col min="3" max="9" width="18.5703125" bestFit="1" customWidth="1"/>
    <col min="10" max="10" width="17" bestFit="1" customWidth="1"/>
    <col min="11" max="13" width="18.5703125" bestFit="1" customWidth="1"/>
    <col min="14" max="14" width="17.7109375" bestFit="1" customWidth="1"/>
    <col min="15" max="17" width="12.42578125" bestFit="1" customWidth="1"/>
  </cols>
  <sheetData>
    <row r="1" spans="1:17" x14ac:dyDescent="0.25">
      <c r="A1" s="4" t="s">
        <v>43</v>
      </c>
      <c r="B1" t="s" vm="3">
        <v>116</v>
      </c>
    </row>
    <row r="2" spans="1:17" x14ac:dyDescent="0.25">
      <c r="A2" s="4" t="s">
        <v>53</v>
      </c>
      <c r="B2" t="s" vm="4">
        <v>54</v>
      </c>
    </row>
    <row r="3" spans="1:17" x14ac:dyDescent="0.25">
      <c r="A3" s="4" t="s">
        <v>86</v>
      </c>
      <c r="B3" t="s" vm="5">
        <v>88</v>
      </c>
    </row>
    <row r="5" spans="1:17" x14ac:dyDescent="0.25">
      <c r="A5" s="4" t="s">
        <v>42</v>
      </c>
      <c r="B5" s="4" t="s">
        <v>5</v>
      </c>
    </row>
    <row r="6" spans="1:17" x14ac:dyDescent="0.25">
      <c r="A6" s="4" t="s">
        <v>44</v>
      </c>
      <c r="B6" t="s">
        <v>77</v>
      </c>
      <c r="C6" t="s">
        <v>118</v>
      </c>
      <c r="D6" t="s">
        <v>125</v>
      </c>
      <c r="E6" t="s">
        <v>126</v>
      </c>
      <c r="F6" t="s">
        <v>127</v>
      </c>
      <c r="G6" t="s">
        <v>128</v>
      </c>
      <c r="H6" t="s">
        <v>129</v>
      </c>
      <c r="I6" t="s">
        <v>130</v>
      </c>
      <c r="J6" t="s">
        <v>131</v>
      </c>
      <c r="K6" t="s">
        <v>132</v>
      </c>
      <c r="L6" t="s">
        <v>133</v>
      </c>
      <c r="M6" t="s">
        <v>134</v>
      </c>
      <c r="N6" t="s">
        <v>119</v>
      </c>
    </row>
    <row r="7" spans="1:17" x14ac:dyDescent="0.25">
      <c r="A7" s="5" t="s">
        <v>51</v>
      </c>
    </row>
    <row r="8" spans="1:17" s="8" customFormat="1" x14ac:dyDescent="0.25">
      <c r="A8" s="6" t="s">
        <v>47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7" s="8" customFormat="1" x14ac:dyDescent="0.25">
      <c r="A9" s="7" t="s">
        <v>0</v>
      </c>
      <c r="B9">
        <v>1830310.2798545582</v>
      </c>
      <c r="C9">
        <v>1823780.8578888036</v>
      </c>
      <c r="D9">
        <v>1834356.2156949255</v>
      </c>
      <c r="E9">
        <v>1849220.2544991502</v>
      </c>
      <c r="F9">
        <v>1872783.4196347117</v>
      </c>
      <c r="G9">
        <v>1881456.1923576479</v>
      </c>
      <c r="H9">
        <v>1886683.6191447559</v>
      </c>
      <c r="I9">
        <v>1902708.822787948</v>
      </c>
      <c r="J9">
        <v>1932341.2217864892</v>
      </c>
      <c r="K9">
        <v>1959890.3051728318</v>
      </c>
      <c r="L9">
        <v>1973412.0114864735</v>
      </c>
      <c r="M9">
        <v>1977423.1271203365</v>
      </c>
      <c r="N9">
        <v>22724366.327428631</v>
      </c>
      <c r="O9"/>
      <c r="P9"/>
      <c r="Q9"/>
    </row>
    <row r="10" spans="1:17" s="8" customFormat="1" x14ac:dyDescent="0.25">
      <c r="A10" s="7" t="s">
        <v>1</v>
      </c>
      <c r="B10">
        <v>32386.218958806119</v>
      </c>
      <c r="C10">
        <v>30709.264386255778</v>
      </c>
      <c r="D10">
        <v>29236.34766235096</v>
      </c>
      <c r="E10">
        <v>28464.472812460743</v>
      </c>
      <c r="F10">
        <v>27432.562842799522</v>
      </c>
      <c r="G10">
        <v>26280.272193090655</v>
      </c>
      <c r="H10">
        <v>25652.494787501761</v>
      </c>
      <c r="I10">
        <v>24784.877446863353</v>
      </c>
      <c r="J10">
        <v>23764.072892552547</v>
      </c>
      <c r="K10">
        <v>23188.778635949053</v>
      </c>
      <c r="L10">
        <v>22505.024817261743</v>
      </c>
      <c r="M10">
        <v>22196.026039769218</v>
      </c>
      <c r="N10">
        <v>316600.41347566148</v>
      </c>
      <c r="O10"/>
      <c r="P10"/>
      <c r="Q10"/>
    </row>
    <row r="11" spans="1:17" x14ac:dyDescent="0.25">
      <c r="A11" s="7" t="s">
        <v>45</v>
      </c>
      <c r="B11">
        <v>86785.283654405794</v>
      </c>
      <c r="C11">
        <v>82284.011538251711</v>
      </c>
      <c r="D11">
        <v>80701.995216573123</v>
      </c>
      <c r="E11">
        <v>79357.05934375689</v>
      </c>
      <c r="F11">
        <v>79751.240234141427</v>
      </c>
      <c r="G11">
        <v>78917.73308092526</v>
      </c>
      <c r="H11">
        <v>77860.281430451199</v>
      </c>
      <c r="I11">
        <v>80139.182634166151</v>
      </c>
      <c r="J11">
        <v>77900.951824882504</v>
      </c>
      <c r="K11">
        <v>79542.822033709264</v>
      </c>
      <c r="L11">
        <v>76837.923547955725</v>
      </c>
      <c r="M11">
        <v>79490.40161453528</v>
      </c>
      <c r="N11">
        <v>959568.88615375431</v>
      </c>
    </row>
    <row r="12" spans="1:17" x14ac:dyDescent="0.25">
      <c r="A12" s="6" t="s">
        <v>46</v>
      </c>
    </row>
    <row r="13" spans="1:17" x14ac:dyDescent="0.25">
      <c r="A13" s="7" t="s">
        <v>0</v>
      </c>
      <c r="B13">
        <v>20089.803072043047</v>
      </c>
      <c r="C13">
        <v>19791.53977316794</v>
      </c>
      <c r="D13">
        <v>19388.060954078635</v>
      </c>
      <c r="E13">
        <v>19153.905044801326</v>
      </c>
      <c r="F13">
        <v>19029.835991474316</v>
      </c>
      <c r="G13">
        <v>18744.990253302614</v>
      </c>
      <c r="H13">
        <v>18566.702350808271</v>
      </c>
      <c r="I13">
        <v>18403.095427374432</v>
      </c>
      <c r="J13">
        <v>18333.866136101831</v>
      </c>
      <c r="K13">
        <v>18307.19085715017</v>
      </c>
      <c r="L13">
        <v>18202.004792883145</v>
      </c>
      <c r="M13">
        <v>18128.649205560345</v>
      </c>
      <c r="N13">
        <v>226139.6438587461</v>
      </c>
    </row>
    <row r="14" spans="1:17" x14ac:dyDescent="0.25">
      <c r="A14" s="7" t="s">
        <v>1</v>
      </c>
      <c r="B14">
        <v>476.65919932523673</v>
      </c>
      <c r="C14">
        <v>453.53656050256313</v>
      </c>
      <c r="D14">
        <v>433.22729155741155</v>
      </c>
      <c r="E14">
        <v>422.58431788211783</v>
      </c>
      <c r="F14">
        <v>408.3558576026573</v>
      </c>
      <c r="G14">
        <v>392.46753185544208</v>
      </c>
      <c r="H14">
        <v>383.81144155456349</v>
      </c>
      <c r="I14">
        <v>371.84832536033042</v>
      </c>
      <c r="J14">
        <v>357.77299177393979</v>
      </c>
      <c r="K14">
        <v>349.84056382988967</v>
      </c>
      <c r="L14">
        <v>340.41264440265888</v>
      </c>
      <c r="M14">
        <v>336.15202384348584</v>
      </c>
      <c r="N14">
        <v>4726.6687494902962</v>
      </c>
    </row>
    <row r="15" spans="1:17" x14ac:dyDescent="0.25">
      <c r="A15" s="7" t="s">
        <v>45</v>
      </c>
      <c r="B15">
        <v>876.78024345251231</v>
      </c>
      <c r="C15">
        <v>789.17049942060783</v>
      </c>
      <c r="D15">
        <v>804.93970804253354</v>
      </c>
      <c r="E15">
        <v>818.79138102544096</v>
      </c>
      <c r="F15">
        <v>765.86165184909555</v>
      </c>
      <c r="G15">
        <v>761.46275236812119</v>
      </c>
      <c r="H15">
        <v>749.92302324106686</v>
      </c>
      <c r="I15">
        <v>814.69957728538134</v>
      </c>
      <c r="J15">
        <v>708.73649077410005</v>
      </c>
      <c r="K15">
        <v>801.74574060645148</v>
      </c>
      <c r="L15">
        <v>836.9778628157751</v>
      </c>
      <c r="M15">
        <v>910.80431951398191</v>
      </c>
      <c r="N15">
        <v>9639.8932503950673</v>
      </c>
    </row>
    <row r="16" spans="1:17" x14ac:dyDescent="0.25">
      <c r="A16" s="6" t="s">
        <v>49</v>
      </c>
    </row>
    <row r="17" spans="1:14" x14ac:dyDescent="0.25">
      <c r="A17" s="7" t="s">
        <v>0</v>
      </c>
      <c r="B17">
        <v>1221796.2893310764</v>
      </c>
      <c r="C17">
        <v>1238488.4162529567</v>
      </c>
      <c r="D17">
        <v>1267256.2103172692</v>
      </c>
      <c r="E17">
        <v>1302433.9301087456</v>
      </c>
      <c r="F17">
        <v>1341615.3818657941</v>
      </c>
      <c r="G17">
        <v>1368060.4611320994</v>
      </c>
      <c r="H17">
        <v>1382229.827891432</v>
      </c>
      <c r="I17">
        <v>1402870.1949542272</v>
      </c>
      <c r="J17">
        <v>1432270.1329686928</v>
      </c>
      <c r="K17">
        <v>1459475.0106054046</v>
      </c>
      <c r="L17">
        <v>1475438.6726431751</v>
      </c>
      <c r="M17">
        <v>1482834.6312147588</v>
      </c>
      <c r="N17">
        <v>16374769.159285631</v>
      </c>
    </row>
    <row r="18" spans="1:14" x14ac:dyDescent="0.25">
      <c r="A18" s="7" t="s">
        <v>1</v>
      </c>
      <c r="B18">
        <v>2767.4310304485712</v>
      </c>
      <c r="C18">
        <v>2625.456093379004</v>
      </c>
      <c r="D18">
        <v>2500.7554827553836</v>
      </c>
      <c r="E18">
        <v>2435.40673387897</v>
      </c>
      <c r="F18">
        <v>2348.0427972510961</v>
      </c>
      <c r="G18">
        <v>2250.4871477683159</v>
      </c>
      <c r="H18">
        <v>2197.338029055677</v>
      </c>
      <c r="I18">
        <v>2123.8834946551015</v>
      </c>
      <c r="J18">
        <v>2037.4597687349674</v>
      </c>
      <c r="K18">
        <v>1988.7539974429355</v>
      </c>
      <c r="L18">
        <v>1930.8657833146463</v>
      </c>
      <c r="M18">
        <v>1904.705216590196</v>
      </c>
      <c r="N18">
        <v>27110.585575274865</v>
      </c>
    </row>
    <row r="19" spans="1:14" x14ac:dyDescent="0.25">
      <c r="A19" s="7" t="s">
        <v>45</v>
      </c>
      <c r="B19">
        <v>10889.961594218936</v>
      </c>
      <c r="C19">
        <v>11020.665212161142</v>
      </c>
      <c r="D19">
        <v>10796.360381081216</v>
      </c>
      <c r="E19">
        <v>10876.454093332086</v>
      </c>
      <c r="F19">
        <v>11299.550257443821</v>
      </c>
      <c r="G19">
        <v>10930.194238833905</v>
      </c>
      <c r="H19">
        <v>10966.42985023789</v>
      </c>
      <c r="I19">
        <v>11958.880128103698</v>
      </c>
      <c r="J19">
        <v>12541.404918173619</v>
      </c>
      <c r="K19">
        <v>13147.123547835663</v>
      </c>
      <c r="L19">
        <v>13241.907795883892</v>
      </c>
      <c r="M19">
        <v>13842.795186560121</v>
      </c>
      <c r="N19">
        <v>141511.727203866</v>
      </c>
    </row>
    <row r="20" spans="1:14" x14ac:dyDescent="0.25">
      <c r="A20" s="5" t="s">
        <v>52</v>
      </c>
    </row>
    <row r="21" spans="1:14" x14ac:dyDescent="0.25">
      <c r="A21" s="6" t="s">
        <v>47</v>
      </c>
    </row>
    <row r="22" spans="1:14" x14ac:dyDescent="0.25">
      <c r="A22" s="7" t="s">
        <v>0</v>
      </c>
      <c r="B22">
        <v>1821755.7353299677</v>
      </c>
      <c r="C22">
        <v>1813592.1615961064</v>
      </c>
      <c r="D22">
        <v>1815537.2926780542</v>
      </c>
      <c r="E22">
        <v>1828275.5473842621</v>
      </c>
      <c r="F22">
        <v>1847371.1267683299</v>
      </c>
      <c r="G22">
        <v>1863390.9172067759</v>
      </c>
      <c r="H22">
        <v>1870336.5288494129</v>
      </c>
      <c r="I22">
        <v>1880910.2037049942</v>
      </c>
      <c r="J22">
        <v>1903600.1409172318</v>
      </c>
      <c r="K22">
        <v>1932013.3254645388</v>
      </c>
      <c r="L22">
        <v>1952422.9643910248</v>
      </c>
      <c r="M22">
        <v>1961147.5287718631</v>
      </c>
      <c r="N22">
        <v>22490353.47306256</v>
      </c>
    </row>
    <row r="23" spans="1:14" x14ac:dyDescent="0.25">
      <c r="A23" s="7" t="s">
        <v>1</v>
      </c>
      <c r="B23">
        <v>31814.050562456152</v>
      </c>
      <c r="C23">
        <v>30206.789895328377</v>
      </c>
      <c r="D23">
        <v>28707.059392539955</v>
      </c>
      <c r="E23">
        <v>27626.507914429152</v>
      </c>
      <c r="F23">
        <v>26763.895076062083</v>
      </c>
      <c r="G23">
        <v>25719.154974951143</v>
      </c>
      <c r="H23">
        <v>24865.804661909737</v>
      </c>
      <c r="I23">
        <v>24150.114318912674</v>
      </c>
      <c r="J23">
        <v>23246.022258193399</v>
      </c>
      <c r="K23">
        <v>22481.614980786249</v>
      </c>
      <c r="L23">
        <v>21878.84214315821</v>
      </c>
      <c r="M23">
        <v>21403.502806542954</v>
      </c>
      <c r="N23">
        <v>308863.35898527008</v>
      </c>
    </row>
    <row r="24" spans="1:14" x14ac:dyDescent="0.25">
      <c r="A24" s="7" t="s">
        <v>45</v>
      </c>
      <c r="B24">
        <v>99572.172094695765</v>
      </c>
      <c r="C24">
        <v>98077.012361745306</v>
      </c>
      <c r="D24">
        <v>94495.734336570575</v>
      </c>
      <c r="E24">
        <v>92813.983776210473</v>
      </c>
      <c r="F24">
        <v>92273.829752924416</v>
      </c>
      <c r="G24">
        <v>92008.34974714226</v>
      </c>
      <c r="H24">
        <v>90917.399767823197</v>
      </c>
      <c r="I24">
        <v>91625.699629716619</v>
      </c>
      <c r="J24">
        <v>91647.231583200497</v>
      </c>
      <c r="K24">
        <v>91302.919984538821</v>
      </c>
      <c r="L24">
        <v>90687.418042880323</v>
      </c>
      <c r="M24">
        <v>90656.730765694127</v>
      </c>
      <c r="N24">
        <v>1116078.4818431423</v>
      </c>
    </row>
    <row r="25" spans="1:14" x14ac:dyDescent="0.25">
      <c r="A25" s="6" t="s">
        <v>46</v>
      </c>
    </row>
    <row r="26" spans="1:14" x14ac:dyDescent="0.25">
      <c r="A26" s="7" t="s">
        <v>0</v>
      </c>
      <c r="B26">
        <v>20176.136393029094</v>
      </c>
      <c r="C26">
        <v>19811.110042646978</v>
      </c>
      <c r="D26">
        <v>19459.654478990597</v>
      </c>
      <c r="E26">
        <v>19144.984445668277</v>
      </c>
      <c r="F26">
        <v>18966.758072137327</v>
      </c>
      <c r="G26">
        <v>18763.291504984616</v>
      </c>
      <c r="H26">
        <v>18533.698249836336</v>
      </c>
      <c r="I26">
        <v>18363.812360861688</v>
      </c>
      <c r="J26">
        <v>18248.174218678858</v>
      </c>
      <c r="K26">
        <v>18200.673415724919</v>
      </c>
      <c r="L26">
        <v>18135.203724813182</v>
      </c>
      <c r="M26">
        <v>18046.572993295584</v>
      </c>
      <c r="N26">
        <v>225850.06990066744</v>
      </c>
    </row>
    <row r="27" spans="1:14" x14ac:dyDescent="0.25">
      <c r="A27" s="7" t="s">
        <v>1</v>
      </c>
      <c r="B27">
        <v>474.95911998074882</v>
      </c>
      <c r="C27">
        <v>452.52897895290556</v>
      </c>
      <c r="D27">
        <v>431.87401677732282</v>
      </c>
      <c r="E27">
        <v>416.46469777844322</v>
      </c>
      <c r="F27">
        <v>404.43014815601316</v>
      </c>
      <c r="G27">
        <v>389.83222346597063</v>
      </c>
      <c r="H27">
        <v>377.82389171858017</v>
      </c>
      <c r="I27">
        <v>367.80848995089042</v>
      </c>
      <c r="J27">
        <v>355.14049177566272</v>
      </c>
      <c r="K27">
        <v>344.41816722063407</v>
      </c>
      <c r="L27">
        <v>335.97305269204423</v>
      </c>
      <c r="M27">
        <v>329.31045050825117</v>
      </c>
      <c r="N27">
        <v>4680.5637289774659</v>
      </c>
    </row>
    <row r="28" spans="1:14" x14ac:dyDescent="0.25">
      <c r="A28" s="7" t="s">
        <v>45</v>
      </c>
      <c r="B28">
        <v>1062.7749759401993</v>
      </c>
      <c r="C28">
        <v>1019.6387737034995</v>
      </c>
      <c r="D28">
        <v>974.71623260699187</v>
      </c>
      <c r="E28">
        <v>993.01906237015737</v>
      </c>
      <c r="F28">
        <v>968.77943450928569</v>
      </c>
      <c r="G28">
        <v>932.97084249827628</v>
      </c>
      <c r="H28">
        <v>923.00665817809772</v>
      </c>
      <c r="I28">
        <v>956.24952930314078</v>
      </c>
      <c r="J28">
        <v>930.53942420567375</v>
      </c>
      <c r="K28">
        <v>922.45466591554089</v>
      </c>
      <c r="L28">
        <v>1002.4817172562441</v>
      </c>
      <c r="M28">
        <v>1070.5313491676379</v>
      </c>
      <c r="N28">
        <v>11757.162665654745</v>
      </c>
    </row>
    <row r="29" spans="1:14" x14ac:dyDescent="0.25">
      <c r="A29" s="6" t="s">
        <v>49</v>
      </c>
    </row>
    <row r="30" spans="1:14" x14ac:dyDescent="0.25">
      <c r="A30" s="7" t="s">
        <v>0</v>
      </c>
      <c r="B30">
        <v>1204154.4029426395</v>
      </c>
      <c r="C30">
        <v>1221078.8061134589</v>
      </c>
      <c r="D30">
        <v>1243697.6382729581</v>
      </c>
      <c r="E30">
        <v>1275394.0584564798</v>
      </c>
      <c r="F30">
        <v>1312292.9459027397</v>
      </c>
      <c r="G30">
        <v>1344869.0109404037</v>
      </c>
      <c r="H30">
        <v>1365012.6537681154</v>
      </c>
      <c r="I30">
        <v>1382285.2444138026</v>
      </c>
      <c r="J30">
        <v>1407117.3909767244</v>
      </c>
      <c r="K30">
        <v>1435204.4490151161</v>
      </c>
      <c r="L30">
        <v>1456625.6068408843</v>
      </c>
      <c r="M30">
        <v>1468215.5265062137</v>
      </c>
      <c r="N30">
        <v>16115947.734149536</v>
      </c>
    </row>
    <row r="31" spans="1:14" x14ac:dyDescent="0.25">
      <c r="A31" s="7" t="s">
        <v>1</v>
      </c>
      <c r="B31">
        <v>2796.9390732278844</v>
      </c>
      <c r="C31">
        <v>2662.1438812181336</v>
      </c>
      <c r="D31">
        <v>2529.3456370395661</v>
      </c>
      <c r="E31">
        <v>2434.6954051371795</v>
      </c>
      <c r="F31">
        <v>2360.2983729102616</v>
      </c>
      <c r="G31">
        <v>2268.7321109057261</v>
      </c>
      <c r="H31">
        <v>2194.300432612753</v>
      </c>
      <c r="I31">
        <v>2131.993919894689</v>
      </c>
      <c r="J31">
        <v>2053.0406346137634</v>
      </c>
      <c r="K31">
        <v>1986.3728373734248</v>
      </c>
      <c r="L31">
        <v>1933.8067204116617</v>
      </c>
      <c r="M31">
        <v>1892.3249484913656</v>
      </c>
      <c r="N31">
        <v>27243.993973836412</v>
      </c>
    </row>
    <row r="32" spans="1:14" x14ac:dyDescent="0.25">
      <c r="A32" s="7" t="s">
        <v>45</v>
      </c>
      <c r="B32">
        <v>11678.985259630583</v>
      </c>
      <c r="C32">
        <v>12620.982506470158</v>
      </c>
      <c r="D32">
        <v>12551.623447129963</v>
      </c>
      <c r="E32">
        <v>12471.397440478622</v>
      </c>
      <c r="F32">
        <v>12761.944166888296</v>
      </c>
      <c r="G32">
        <v>12789.134397823756</v>
      </c>
      <c r="H32">
        <v>12600.406220008972</v>
      </c>
      <c r="I32">
        <v>13186.484318133436</v>
      </c>
      <c r="J32">
        <v>14082.272439897402</v>
      </c>
      <c r="K32">
        <v>14758.896391272014</v>
      </c>
      <c r="L32">
        <v>15157.670291322713</v>
      </c>
      <c r="M32">
        <v>15553.512672396875</v>
      </c>
      <c r="N32">
        <v>160213.30955145281</v>
      </c>
    </row>
    <row r="33" spans="1:14" x14ac:dyDescent="0.25">
      <c r="A33" s="5" t="s">
        <v>55</v>
      </c>
    </row>
    <row r="34" spans="1:14" x14ac:dyDescent="0.25">
      <c r="A34" s="6" t="s">
        <v>47</v>
      </c>
    </row>
    <row r="35" spans="1:14" x14ac:dyDescent="0.25">
      <c r="A35" s="7" t="s">
        <v>0</v>
      </c>
      <c r="B35">
        <v>26750.052056226414</v>
      </c>
      <c r="C35">
        <v>23904.644281415189</v>
      </c>
      <c r="D35">
        <v>26749.276953118399</v>
      </c>
      <c r="E35">
        <v>26115.280917354339</v>
      </c>
      <c r="F35">
        <v>27444.726308902606</v>
      </c>
      <c r="G35">
        <v>26997.271753395489</v>
      </c>
      <c r="H35">
        <v>28150.02134005761</v>
      </c>
      <c r="I35">
        <v>28493.119732415558</v>
      </c>
      <c r="J35">
        <v>27951.294959411382</v>
      </c>
      <c r="K35">
        <v>29582.31213992029</v>
      </c>
      <c r="L35">
        <v>29033.082816227878</v>
      </c>
      <c r="M35">
        <v>30479.130444325849</v>
      </c>
      <c r="N35">
        <v>331650.213702771</v>
      </c>
    </row>
    <row r="36" spans="1:14" x14ac:dyDescent="0.25">
      <c r="A36" s="7" t="s">
        <v>1</v>
      </c>
      <c r="B36">
        <v>190.19148477896414</v>
      </c>
      <c r="C36">
        <v>162.93882357779725</v>
      </c>
      <c r="D36">
        <v>172.3791005469117</v>
      </c>
      <c r="E36">
        <v>160.01126680257343</v>
      </c>
      <c r="F36">
        <v>160.26336893947112</v>
      </c>
      <c r="G36">
        <v>149.14340847225205</v>
      </c>
      <c r="H36">
        <v>148.91658797132871</v>
      </c>
      <c r="I36">
        <v>144.65638983054248</v>
      </c>
      <c r="J36">
        <v>134.75014716426838</v>
      </c>
      <c r="K36">
        <v>134.6588220497772</v>
      </c>
      <c r="L36">
        <v>126.81527642475668</v>
      </c>
      <c r="M36">
        <v>128.20888169990934</v>
      </c>
      <c r="N36">
        <v>1812.9335582585522</v>
      </c>
    </row>
    <row r="37" spans="1:14" x14ac:dyDescent="0.25">
      <c r="A37" s="7" t="s">
        <v>45</v>
      </c>
      <c r="B37">
        <v>695.53982382350011</v>
      </c>
      <c r="C37">
        <v>678.42469756057142</v>
      </c>
      <c r="D37">
        <v>655.41615782013491</v>
      </c>
      <c r="E37">
        <v>644.70084834003615</v>
      </c>
      <c r="F37">
        <v>639.7455237536044</v>
      </c>
      <c r="G37">
        <v>638.39117563682862</v>
      </c>
      <c r="H37">
        <v>630.89660870524108</v>
      </c>
      <c r="I37">
        <v>635.59993913506673</v>
      </c>
      <c r="J37">
        <v>635.86532485812336</v>
      </c>
      <c r="K37">
        <v>633.46969753774681</v>
      </c>
      <c r="L37">
        <v>629.16546553261469</v>
      </c>
      <c r="M37">
        <v>628.97732640965773</v>
      </c>
      <c r="N37">
        <v>7746.1925891131259</v>
      </c>
    </row>
    <row r="38" spans="1:14" x14ac:dyDescent="0.25">
      <c r="A38" s="6" t="s">
        <v>46</v>
      </c>
    </row>
    <row r="39" spans="1:14" x14ac:dyDescent="0.25">
      <c r="A39" s="7" t="s">
        <v>0</v>
      </c>
      <c r="B39">
        <v>325.47632639952946</v>
      </c>
      <c r="C39">
        <v>278.05098692128553</v>
      </c>
      <c r="D39">
        <v>309.0881841687592</v>
      </c>
      <c r="E39">
        <v>285.26374260060925</v>
      </c>
      <c r="F39">
        <v>287.49084775825349</v>
      </c>
      <c r="G39">
        <v>278.50022907669342</v>
      </c>
      <c r="H39">
        <v>281.04014004536009</v>
      </c>
      <c r="I39">
        <v>275.16061044352762</v>
      </c>
      <c r="J39">
        <v>257.3545584994522</v>
      </c>
      <c r="K39">
        <v>265.24961912384725</v>
      </c>
      <c r="L39">
        <v>251.43506504856157</v>
      </c>
      <c r="M39">
        <v>263.53284380578231</v>
      </c>
      <c r="N39">
        <v>3357.6431538916618</v>
      </c>
    </row>
    <row r="40" spans="1:14" x14ac:dyDescent="0.25">
      <c r="A40" s="7" t="s">
        <v>1</v>
      </c>
      <c r="B40">
        <v>3.5934007636889596</v>
      </c>
      <c r="C40">
        <v>3.0901446290479866</v>
      </c>
      <c r="D40">
        <v>3.2698707510300218</v>
      </c>
      <c r="E40">
        <v>3.0492341782562855</v>
      </c>
      <c r="F40">
        <v>3.0603298371074361</v>
      </c>
      <c r="G40">
        <v>2.8548665149923447</v>
      </c>
      <c r="H40">
        <v>2.8591268140588491</v>
      </c>
      <c r="I40">
        <v>2.7834181388429968</v>
      </c>
      <c r="J40">
        <v>2.6006040988004284</v>
      </c>
      <c r="K40">
        <v>2.6064060504773878</v>
      </c>
      <c r="L40">
        <v>2.4602042384373624</v>
      </c>
      <c r="M40">
        <v>2.4921068183191148</v>
      </c>
      <c r="N40">
        <v>34.719712833059177</v>
      </c>
    </row>
    <row r="41" spans="1:14" x14ac:dyDescent="0.25">
      <c r="A41" s="7" t="s">
        <v>45</v>
      </c>
      <c r="B41">
        <v>12.04567080812244</v>
      </c>
      <c r="C41">
        <v>11.354155337578264</v>
      </c>
      <c r="D41">
        <v>10.898935225944001</v>
      </c>
      <c r="E41">
        <v>11.138789651819994</v>
      </c>
      <c r="F41">
        <v>10.829085411846071</v>
      </c>
      <c r="G41">
        <v>10.442063455551697</v>
      </c>
      <c r="H41">
        <v>10.33380982842076</v>
      </c>
      <c r="I41">
        <v>10.699206961314852</v>
      </c>
      <c r="J41">
        <v>10.414846485448788</v>
      </c>
      <c r="K41">
        <v>10.324358424618387</v>
      </c>
      <c r="L41">
        <v>11.218857437657551</v>
      </c>
      <c r="M41">
        <v>11.981250778445492</v>
      </c>
      <c r="N41">
        <v>131.68102980676829</v>
      </c>
    </row>
    <row r="42" spans="1:14" x14ac:dyDescent="0.25">
      <c r="A42" s="6" t="s">
        <v>49</v>
      </c>
    </row>
    <row r="43" spans="1:14" x14ac:dyDescent="0.25">
      <c r="A43" s="7" t="s">
        <v>0</v>
      </c>
      <c r="B43">
        <v>13593.243780013121</v>
      </c>
      <c r="C43">
        <v>12403.406830981063</v>
      </c>
      <c r="D43">
        <v>14111.045079980649</v>
      </c>
      <c r="E43">
        <v>14137.163407879194</v>
      </c>
      <c r="F43">
        <v>15109.835989631074</v>
      </c>
      <c r="G43">
        <v>15055.456476647998</v>
      </c>
      <c r="H43">
        <v>15924.018080340684</v>
      </c>
      <c r="I43">
        <v>16261.044113263286</v>
      </c>
      <c r="J43">
        <v>16088.974862717085</v>
      </c>
      <c r="K43">
        <v>17098.532031426927</v>
      </c>
      <c r="L43">
        <v>16860.166913365756</v>
      </c>
      <c r="M43">
        <v>17789.450643238717</v>
      </c>
      <c r="N43">
        <v>184432.33820948558</v>
      </c>
    </row>
    <row r="44" spans="1:14" x14ac:dyDescent="0.25">
      <c r="A44" s="7" t="s">
        <v>1</v>
      </c>
      <c r="B44">
        <v>17.862769786124456</v>
      </c>
      <c r="C44">
        <v>15.160917819364165</v>
      </c>
      <c r="D44">
        <v>15.953151489774935</v>
      </c>
      <c r="E44">
        <v>14.921505874102481</v>
      </c>
      <c r="F44">
        <v>14.907613279343106</v>
      </c>
      <c r="G44">
        <v>13.872137730426315</v>
      </c>
      <c r="H44">
        <v>13.874244406663934</v>
      </c>
      <c r="I44">
        <v>13.47263123868982</v>
      </c>
      <c r="J44">
        <v>12.55609069086848</v>
      </c>
      <c r="K44">
        <v>12.555514794443326</v>
      </c>
      <c r="L44">
        <v>11.826485286858681</v>
      </c>
      <c r="M44">
        <v>11.96033164583371</v>
      </c>
      <c r="N44">
        <v>168.92339404249341</v>
      </c>
    </row>
    <row r="45" spans="1:14" x14ac:dyDescent="0.25">
      <c r="A45" s="7" t="s">
        <v>45</v>
      </c>
      <c r="B45">
        <v>106.77942537761167</v>
      </c>
      <c r="C45">
        <v>115.67162467070277</v>
      </c>
      <c r="D45">
        <v>114.74710711483519</v>
      </c>
      <c r="E45">
        <v>114.11289977490547</v>
      </c>
      <c r="F45">
        <v>116.80159902722095</v>
      </c>
      <c r="G45">
        <v>116.99635719707162</v>
      </c>
      <c r="H45">
        <v>115.29544247080119</v>
      </c>
      <c r="I45">
        <v>120.65887559625699</v>
      </c>
      <c r="J45">
        <v>128.84545071291816</v>
      </c>
      <c r="K45">
        <v>135.04295988638623</v>
      </c>
      <c r="L45">
        <v>138.69070118066185</v>
      </c>
      <c r="M45">
        <v>142.31092904010791</v>
      </c>
      <c r="N45">
        <v>1465.9533720494796</v>
      </c>
    </row>
    <row r="46" spans="1:14" x14ac:dyDescent="0.25">
      <c r="A46" s="5" t="s">
        <v>50</v>
      </c>
    </row>
    <row r="47" spans="1:14" x14ac:dyDescent="0.25">
      <c r="A47" s="6" t="s">
        <v>47</v>
      </c>
    </row>
    <row r="48" spans="1:14" x14ac:dyDescent="0.25">
      <c r="A48" s="7" t="s">
        <v>0</v>
      </c>
      <c r="B48">
        <v>-9863.5942160358572</v>
      </c>
      <c r="C48">
        <v>-8803.2592896088972</v>
      </c>
      <c r="D48">
        <v>-9656.7033823112397</v>
      </c>
      <c r="E48">
        <v>-9327.4051402633359</v>
      </c>
      <c r="F48">
        <v>-9661.4244411572581</v>
      </c>
      <c r="G48">
        <v>-9357.8660697203031</v>
      </c>
      <c r="H48">
        <v>-9635.4411190749797</v>
      </c>
      <c r="I48">
        <v>-9627.5447147762861</v>
      </c>
      <c r="J48">
        <v>-9357.7380543786148</v>
      </c>
      <c r="K48">
        <v>-9746.5672150928585</v>
      </c>
      <c r="L48">
        <v>-9474.3142978539581</v>
      </c>
      <c r="M48">
        <v>-9786.4202360758318</v>
      </c>
      <c r="N48">
        <v>-114298.27817634941</v>
      </c>
    </row>
    <row r="49" spans="1:14" x14ac:dyDescent="0.25">
      <c r="A49" s="7" t="s">
        <v>1</v>
      </c>
      <c r="B49">
        <v>-25.163287249057827</v>
      </c>
      <c r="C49">
        <v>-22.458237573503212</v>
      </c>
      <c r="D49">
        <v>-24.635482336955324</v>
      </c>
      <c r="E49">
        <v>-23.795400509401045</v>
      </c>
      <c r="F49">
        <v>-24.64752636038736</v>
      </c>
      <c r="G49">
        <v>-23.873110226671532</v>
      </c>
      <c r="H49">
        <v>-24.581239590785849</v>
      </c>
      <c r="I49">
        <v>-24.561094855991335</v>
      </c>
      <c r="J49">
        <v>-23.872783643202599</v>
      </c>
      <c r="K49">
        <v>-24.864736439269144</v>
      </c>
      <c r="L49">
        <v>-24.170184513183347</v>
      </c>
      <c r="M49">
        <v>-24.966406580271794</v>
      </c>
      <c r="N49">
        <v>-291.58948987868035</v>
      </c>
    </row>
    <row r="50" spans="1:14" x14ac:dyDescent="0.25">
      <c r="A50" s="7" t="s">
        <v>45</v>
      </c>
      <c r="B50">
        <v>-446.92002698029438</v>
      </c>
      <c r="C50">
        <v>-398.87618986091439</v>
      </c>
      <c r="D50">
        <v>-437.54579128435944</v>
      </c>
      <c r="E50">
        <v>-422.62526880571266</v>
      </c>
      <c r="F50">
        <v>-437.75970273495494</v>
      </c>
      <c r="G50">
        <v>-424.00545528911647</v>
      </c>
      <c r="H50">
        <v>-436.58239690183672</v>
      </c>
      <c r="I50">
        <v>-436.2246103643003</v>
      </c>
      <c r="J50">
        <v>-423.99965490654711</v>
      </c>
      <c r="K50">
        <v>-441.61752676857253</v>
      </c>
      <c r="L50">
        <v>-429.28173127122142</v>
      </c>
      <c r="M50">
        <v>-443.42326946467819</v>
      </c>
      <c r="N50">
        <v>-5178.8616246325082</v>
      </c>
    </row>
    <row r="51" spans="1:14" x14ac:dyDescent="0.25">
      <c r="A51" s="6" t="s">
        <v>46</v>
      </c>
    </row>
    <row r="52" spans="1:14" x14ac:dyDescent="0.25">
      <c r="A52" s="7" t="s">
        <v>0</v>
      </c>
      <c r="B52">
        <v>-106.16056881482733</v>
      </c>
      <c r="C52">
        <v>-93.13669086205897</v>
      </c>
      <c r="D52">
        <v>-100.11943526090056</v>
      </c>
      <c r="E52">
        <v>-94.503904674310263</v>
      </c>
      <c r="F52">
        <v>-95.685922322432759</v>
      </c>
      <c r="G52">
        <v>-90.586981604808315</v>
      </c>
      <c r="H52">
        <v>-91.495589305135127</v>
      </c>
      <c r="I52">
        <v>-89.983319751402476</v>
      </c>
      <c r="J52">
        <v>-85.548046669492606</v>
      </c>
      <c r="K52">
        <v>-87.254198643996943</v>
      </c>
      <c r="L52">
        <v>-83.754339365706471</v>
      </c>
      <c r="M52">
        <v>-85.713642792988466</v>
      </c>
      <c r="N52">
        <v>-1103.9426400680602</v>
      </c>
    </row>
    <row r="53" spans="1:14" x14ac:dyDescent="0.25">
      <c r="A53" s="7" t="s">
        <v>1</v>
      </c>
      <c r="B53">
        <v>-0.67879780932732292</v>
      </c>
      <c r="C53">
        <v>-0.59552225869697606</v>
      </c>
      <c r="D53">
        <v>-0.64017039551408295</v>
      </c>
      <c r="E53">
        <v>-0.604264315667837</v>
      </c>
      <c r="F53">
        <v>-0.61182221592298069</v>
      </c>
      <c r="G53">
        <v>-0.57921924640564015</v>
      </c>
      <c r="H53">
        <v>-0.58502894508571768</v>
      </c>
      <c r="I53">
        <v>-0.57535939195835395</v>
      </c>
      <c r="J53">
        <v>-0.5469999578918292</v>
      </c>
      <c r="K53">
        <v>-0.55790920824346513</v>
      </c>
      <c r="L53">
        <v>-0.53553087288242041</v>
      </c>
      <c r="M53">
        <v>-0.54805879063092422</v>
      </c>
      <c r="N53">
        <v>-7.0586834082275507</v>
      </c>
    </row>
    <row r="54" spans="1:14" x14ac:dyDescent="0.25">
      <c r="A54" s="7" t="s">
        <v>45</v>
      </c>
      <c r="B54">
        <v>-8.2368323788667084</v>
      </c>
      <c r="C54">
        <v>-7.2263300726207049</v>
      </c>
      <c r="D54">
        <v>-7.7681102815987808</v>
      </c>
      <c r="E54">
        <v>-7.3324100524409745</v>
      </c>
      <c r="F54">
        <v>-7.4241209517432347</v>
      </c>
      <c r="G54">
        <v>-7.0285021219863157</v>
      </c>
      <c r="H54">
        <v>-7.0989995713622109</v>
      </c>
      <c r="I54">
        <v>-6.9816649435920217</v>
      </c>
      <c r="J54">
        <v>-6.6375390469616651</v>
      </c>
      <c r="K54">
        <v>-6.7699167083076341</v>
      </c>
      <c r="L54">
        <v>-6.4983681046525108</v>
      </c>
      <c r="M54">
        <v>-6.6503873910036493</v>
      </c>
      <c r="N54">
        <v>-85.653181625136412</v>
      </c>
    </row>
    <row r="55" spans="1:14" x14ac:dyDescent="0.25">
      <c r="A55" s="6" t="s">
        <v>49</v>
      </c>
    </row>
    <row r="56" spans="1:14" x14ac:dyDescent="0.25">
      <c r="A56" s="7" t="s">
        <v>0</v>
      </c>
      <c r="B56">
        <v>-6380.0637606905238</v>
      </c>
      <c r="C56">
        <v>-5829.16081712099</v>
      </c>
      <c r="D56">
        <v>-6545.6892702407995</v>
      </c>
      <c r="E56">
        <v>-6467.8690122773478</v>
      </c>
      <c r="F56">
        <v>-6852.740095443517</v>
      </c>
      <c r="G56">
        <v>-6769.3734684569235</v>
      </c>
      <c r="H56">
        <v>-7075.2860911616553</v>
      </c>
      <c r="I56">
        <v>-7143.943457894281</v>
      </c>
      <c r="J56">
        <v>-7015.121089595772</v>
      </c>
      <c r="K56">
        <v>-7373.1553519290856</v>
      </c>
      <c r="L56">
        <v>-7223.2094810111021</v>
      </c>
      <c r="M56">
        <v>-7507.1124702143716</v>
      </c>
      <c r="N56">
        <v>-82182.724366036375</v>
      </c>
    </row>
    <row r="57" spans="1:14" x14ac:dyDescent="0.25">
      <c r="A57" s="7" t="s">
        <v>1</v>
      </c>
      <c r="B57">
        <v>-2.5250231911864249</v>
      </c>
      <c r="C57">
        <v>-2.306993597630234</v>
      </c>
      <c r="D57">
        <v>-2.5905724189611101</v>
      </c>
      <c r="E57">
        <v>-2.5597736740782602</v>
      </c>
      <c r="F57">
        <v>-2.7120932193152871</v>
      </c>
      <c r="G57">
        <v>-2.6790994006940525</v>
      </c>
      <c r="H57">
        <v>-2.8001697372579786</v>
      </c>
      <c r="I57">
        <v>-2.8273421057088712</v>
      </c>
      <c r="J57">
        <v>-2.7763583726776377</v>
      </c>
      <c r="K57">
        <v>-2.9180567709289265</v>
      </c>
      <c r="L57">
        <v>-2.8587130377481822</v>
      </c>
      <c r="M57">
        <v>-2.9710726721772618</v>
      </c>
      <c r="N57">
        <v>-32.52526819836423</v>
      </c>
    </row>
    <row r="58" spans="1:14" x14ac:dyDescent="0.25">
      <c r="A58" s="7" t="s">
        <v>45</v>
      </c>
      <c r="B58">
        <v>-9.1952239674298895</v>
      </c>
      <c r="C58">
        <v>-8.4012388067094914</v>
      </c>
      <c r="D58">
        <v>-9.4339306186733953</v>
      </c>
      <c r="E58">
        <v>-9.3217726954899351</v>
      </c>
      <c r="F58">
        <v>-9.8764655545339082</v>
      </c>
      <c r="G58">
        <v>-9.7563139643140726</v>
      </c>
      <c r="H58">
        <v>-10.197208473482652</v>
      </c>
      <c r="I58">
        <v>-10.296160441331347</v>
      </c>
      <c r="J58">
        <v>-10.110496069790438</v>
      </c>
      <c r="K58">
        <v>-10.626510541378108</v>
      </c>
      <c r="L58">
        <v>-10.410402063814406</v>
      </c>
      <c r="M58">
        <v>-10.819575336788773</v>
      </c>
      <c r="N58">
        <v>-118.44529853373642</v>
      </c>
    </row>
    <row r="59" spans="1:14" x14ac:dyDescent="0.25">
      <c r="A59" s="5" t="s">
        <v>64</v>
      </c>
    </row>
    <row r="60" spans="1:14" x14ac:dyDescent="0.25">
      <c r="A60" s="6" t="s">
        <v>47</v>
      </c>
    </row>
    <row r="61" spans="1:14" x14ac:dyDescent="0.25">
      <c r="A61" s="7" t="s">
        <v>67</v>
      </c>
      <c r="B61">
        <v>-15699.404503392539</v>
      </c>
      <c r="C61">
        <v>-18504.566865474641</v>
      </c>
      <c r="D61">
        <v>-18820.555162457553</v>
      </c>
      <c r="E61">
        <v>-18841.299625327909</v>
      </c>
      <c r="F61">
        <v>-18690.422192331895</v>
      </c>
      <c r="G61">
        <v>-19440.646133666749</v>
      </c>
      <c r="H61">
        <v>-16784.299152246531</v>
      </c>
      <c r="I61">
        <v>-23682.590275668706</v>
      </c>
      <c r="J61">
        <v>-13096.202950568044</v>
      </c>
      <c r="K61">
        <v>-18831.869561304899</v>
      </c>
      <c r="L61">
        <v>-18101.110031772099</v>
      </c>
      <c r="M61">
        <v>-16017.708152214947</v>
      </c>
      <c r="N61">
        <v>-216510.6746064265</v>
      </c>
    </row>
    <row r="62" spans="1:14" x14ac:dyDescent="0.25">
      <c r="A62" s="6" t="s">
        <v>46</v>
      </c>
    </row>
    <row r="63" spans="1:14" x14ac:dyDescent="0.25">
      <c r="A63" s="7" t="s">
        <v>67</v>
      </c>
      <c r="B63">
        <v>-252.7598450618793</v>
      </c>
      <c r="C63">
        <v>-253.21840365138118</v>
      </c>
      <c r="D63">
        <v>-262.40138356073976</v>
      </c>
      <c r="E63">
        <v>-304.2615108307416</v>
      </c>
      <c r="F63">
        <v>-248.89224300428711</v>
      </c>
      <c r="G63">
        <v>-265.62445205615001</v>
      </c>
      <c r="H63">
        <v>-243.09391981126143</v>
      </c>
      <c r="I63">
        <v>-366.96180718994503</v>
      </c>
      <c r="J63">
        <v>-237.06893837389933</v>
      </c>
      <c r="K63">
        <v>-317.78554708656986</v>
      </c>
      <c r="L63">
        <v>-293.75055540138959</v>
      </c>
      <c r="M63">
        <v>-297.0514073094281</v>
      </c>
      <c r="N63">
        <v>-3342.8700133376724</v>
      </c>
    </row>
    <row r="64" spans="1:14" x14ac:dyDescent="0.25">
      <c r="A64" s="6" t="s">
        <v>49</v>
      </c>
    </row>
    <row r="65" spans="1:14" x14ac:dyDescent="0.25">
      <c r="A65" s="7" t="s">
        <v>67</v>
      </c>
      <c r="B65">
        <v>-1906.4628538998713</v>
      </c>
      <c r="C65">
        <v>-2772.8848077760954</v>
      </c>
      <c r="D65">
        <v>-2666.0316598947265</v>
      </c>
      <c r="E65">
        <v>-2551.7777003903907</v>
      </c>
      <c r="F65">
        <v>-2542.4078041517309</v>
      </c>
      <c r="G65">
        <v>-2408.6843539056226</v>
      </c>
      <c r="H65">
        <v>-1978.7630665575414</v>
      </c>
      <c r="I65">
        <v>-2671.6128374336031</v>
      </c>
      <c r="J65">
        <v>-2197.9054761151147</v>
      </c>
      <c r="K65">
        <v>-2318.4498447817905</v>
      </c>
      <c r="L65">
        <v>-2074.5951258557479</v>
      </c>
      <c r="M65">
        <v>-2521.6395697199364</v>
      </c>
      <c r="N65">
        <v>-28611.215100482168</v>
      </c>
    </row>
    <row r="66" spans="1:14" x14ac:dyDescent="0.25">
      <c r="A66" s="5" t="s">
        <v>65</v>
      </c>
    </row>
    <row r="67" spans="1:14" x14ac:dyDescent="0.25">
      <c r="A67" s="6" t="s">
        <v>47</v>
      </c>
    </row>
    <row r="68" spans="1:14" x14ac:dyDescent="0.25">
      <c r="A68" s="7" t="s">
        <v>69</v>
      </c>
      <c r="B68">
        <v>1133.8748510988817</v>
      </c>
      <c r="C68">
        <v>1016.8172213426428</v>
      </c>
      <c r="D68">
        <v>1061.5511747408316</v>
      </c>
      <c r="E68">
        <v>1151.5279157016812</v>
      </c>
      <c r="F68">
        <v>1355.3477364962766</v>
      </c>
      <c r="G68">
        <v>1409.9052146392928</v>
      </c>
      <c r="H68">
        <v>1219.098749596888</v>
      </c>
      <c r="I68">
        <v>1300.4634236463389</v>
      </c>
      <c r="J68">
        <v>1251.0464484279514</v>
      </c>
      <c r="K68">
        <v>843.44663513896171</v>
      </c>
      <c r="L68">
        <v>804.00497245688086</v>
      </c>
      <c r="M68">
        <v>983.65871538930014</v>
      </c>
      <c r="N68">
        <v>13530.743058675927</v>
      </c>
    </row>
    <row r="69" spans="1:14" x14ac:dyDescent="0.25">
      <c r="A69" s="6" t="s">
        <v>46</v>
      </c>
    </row>
    <row r="70" spans="1:14" x14ac:dyDescent="0.25">
      <c r="A70" s="7" t="s">
        <v>69</v>
      </c>
      <c r="B70">
        <v>46.989180030708951</v>
      </c>
      <c r="C70">
        <v>39.254443699810523</v>
      </c>
      <c r="D70">
        <v>48.132213762363747</v>
      </c>
      <c r="E70">
        <v>36.719008222464431</v>
      </c>
      <c r="F70">
        <v>63.92629056442064</v>
      </c>
      <c r="G70">
        <v>44.922966393722071</v>
      </c>
      <c r="H70">
        <v>39.636632915851941</v>
      </c>
      <c r="I70">
        <v>37.463084683304345</v>
      </c>
      <c r="J70">
        <v>68.83318903948782</v>
      </c>
      <c r="K70">
        <v>34.991349742679866</v>
      </c>
      <c r="L70">
        <v>35.11681653773779</v>
      </c>
      <c r="M70">
        <v>33.576673864930143</v>
      </c>
      <c r="N70">
        <v>529.56184945748225</v>
      </c>
    </row>
    <row r="71" spans="1:14" x14ac:dyDescent="0.25">
      <c r="A71" s="6" t="s">
        <v>49</v>
      </c>
    </row>
    <row r="72" spans="1:14" x14ac:dyDescent="0.25">
      <c r="A72" s="7" t="s">
        <v>69</v>
      </c>
      <c r="B72">
        <v>20.707092042456697</v>
      </c>
      <c r="C72">
        <v>40.064576488051287</v>
      </c>
      <c r="D72">
        <v>73.062891337531525</v>
      </c>
      <c r="E72">
        <v>39.729429230982461</v>
      </c>
      <c r="F72">
        <v>75.24751135388702</v>
      </c>
      <c r="G72">
        <v>100.74948191605907</v>
      </c>
      <c r="H72">
        <v>64.607020198194078</v>
      </c>
      <c r="I72">
        <v>80.227076069455649</v>
      </c>
      <c r="J72">
        <v>85.827849157447815</v>
      </c>
      <c r="K72">
        <v>77.264298468931955</v>
      </c>
      <c r="L72">
        <v>54.039439754964192</v>
      </c>
      <c r="M72">
        <v>50.037697146972519</v>
      </c>
      <c r="N72">
        <v>761.56436316493421</v>
      </c>
    </row>
    <row r="73" spans="1:14" x14ac:dyDescent="0.25">
      <c r="A73" s="5" t="s">
        <v>71</v>
      </c>
    </row>
    <row r="74" spans="1:14" x14ac:dyDescent="0.25">
      <c r="A74" s="6" t="s">
        <v>47</v>
      </c>
    </row>
    <row r="75" spans="1:14" x14ac:dyDescent="0.25">
      <c r="A75" s="7" t="s">
        <v>120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s="7" t="s">
        <v>113</v>
      </c>
      <c r="B76">
        <v>0.6885242857142857</v>
      </c>
      <c r="C76">
        <v>0.6885242857142857</v>
      </c>
      <c r="D76">
        <v>0.6885242857142857</v>
      </c>
      <c r="E76">
        <v>0.6885242857142857</v>
      </c>
      <c r="F76">
        <v>0.6885242857142857</v>
      </c>
      <c r="G76">
        <v>0.6885242857142857</v>
      </c>
      <c r="H76">
        <v>0.6885242857142857</v>
      </c>
      <c r="I76">
        <v>0.6885242857142857</v>
      </c>
      <c r="J76">
        <v>0.6885242857142857</v>
      </c>
      <c r="K76">
        <v>0.6885242857142857</v>
      </c>
      <c r="L76">
        <v>0.6885242857142857</v>
      </c>
      <c r="M76">
        <v>0.6885242857142857</v>
      </c>
      <c r="N76">
        <v>8.2622914285714266</v>
      </c>
    </row>
    <row r="77" spans="1:14" x14ac:dyDescent="0.25">
      <c r="A77" s="7" t="s">
        <v>72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s="7" t="s">
        <v>121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7" t="s">
        <v>115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s="7" t="s">
        <v>122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s="7" t="s">
        <v>123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s="7" t="s">
        <v>75</v>
      </c>
      <c r="B82">
        <v>188.08456028536784</v>
      </c>
      <c r="C82">
        <v>186.94579560963072</v>
      </c>
      <c r="D82">
        <v>186.75289388502429</v>
      </c>
      <c r="E82">
        <v>188.05645572381974</v>
      </c>
      <c r="F82">
        <v>190.24414037385591</v>
      </c>
      <c r="G82">
        <v>192.10157357386697</v>
      </c>
      <c r="H82">
        <v>192.79183818397215</v>
      </c>
      <c r="I82">
        <v>194.12198300316243</v>
      </c>
      <c r="J82">
        <v>196.79966521780096</v>
      </c>
      <c r="K82">
        <v>200.10898533844627</v>
      </c>
      <c r="L82">
        <v>202.44271408895744</v>
      </c>
      <c r="M82">
        <v>203.467722199478</v>
      </c>
      <c r="N82">
        <v>2321.9183274833827</v>
      </c>
    </row>
    <row r="83" spans="1:14" x14ac:dyDescent="0.25">
      <c r="A83" s="7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s="6" t="s">
        <v>46</v>
      </c>
    </row>
    <row r="85" spans="1:14" x14ac:dyDescent="0.25">
      <c r="A85" s="7" t="s">
        <v>120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s="7" t="s">
        <v>113</v>
      </c>
      <c r="B86">
        <v>1.4285714285714287E-2</v>
      </c>
      <c r="C86">
        <v>1.4285714285714287E-2</v>
      </c>
      <c r="D86">
        <v>1.4285714285714287E-2</v>
      </c>
      <c r="E86">
        <v>1.4285714285714287E-2</v>
      </c>
      <c r="F86">
        <v>1.4285714285714287E-2</v>
      </c>
      <c r="G86">
        <v>1.4285714285714287E-2</v>
      </c>
      <c r="H86">
        <v>1.4285714285714287E-2</v>
      </c>
      <c r="I86">
        <v>1.4285714285714287E-2</v>
      </c>
      <c r="J86">
        <v>1.4285714285714287E-2</v>
      </c>
      <c r="K86">
        <v>1.4285714285714287E-2</v>
      </c>
      <c r="L86">
        <v>1.4285714285714287E-2</v>
      </c>
      <c r="M86">
        <v>1.4285714285714287E-2</v>
      </c>
      <c r="N86">
        <v>0.17142857142857146</v>
      </c>
    </row>
    <row r="87" spans="1:14" x14ac:dyDescent="0.25">
      <c r="A87" s="7" t="s">
        <v>72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s="7" t="s">
        <v>121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s="7" t="s">
        <v>115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 s="7" t="s">
        <v>122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s="7" t="s">
        <v>123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s="7" t="s">
        <v>75</v>
      </c>
      <c r="B92">
        <v>1.8840676504014797</v>
      </c>
      <c r="C92">
        <v>1.8359452854477212</v>
      </c>
      <c r="D92">
        <v>1.7892123068973558</v>
      </c>
      <c r="E92">
        <v>1.754270613597732</v>
      </c>
      <c r="F92">
        <v>1.730399872033636</v>
      </c>
      <c r="G92">
        <v>1.702189330768233</v>
      </c>
      <c r="H92">
        <v>1.6739455086549013</v>
      </c>
      <c r="I92">
        <v>1.6578352968504333</v>
      </c>
      <c r="J92">
        <v>1.6411703384960863</v>
      </c>
      <c r="K92">
        <v>1.6346168008254103</v>
      </c>
      <c r="L92">
        <v>1.6363331136199857</v>
      </c>
      <c r="M92">
        <v>1.6339066019764141</v>
      </c>
      <c r="N92">
        <v>20.57389271956939</v>
      </c>
    </row>
    <row r="93" spans="1:14" x14ac:dyDescent="0.25">
      <c r="A93" s="7" t="s">
        <v>114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s="6" t="s">
        <v>49</v>
      </c>
    </row>
    <row r="95" spans="1:14" x14ac:dyDescent="0.25">
      <c r="A95" s="7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s="7" t="s">
        <v>113</v>
      </c>
      <c r="B96">
        <v>0.20371285714285711</v>
      </c>
      <c r="C96">
        <v>0.20371285714285711</v>
      </c>
      <c r="D96">
        <v>0.20371285714285711</v>
      </c>
      <c r="E96">
        <v>0.20371285714285711</v>
      </c>
      <c r="F96">
        <v>0.20371285714285711</v>
      </c>
      <c r="G96">
        <v>0.20371285714285711</v>
      </c>
      <c r="H96">
        <v>0.20371285714285711</v>
      </c>
      <c r="I96">
        <v>0.20371285714285711</v>
      </c>
      <c r="J96">
        <v>0.20371285714285711</v>
      </c>
      <c r="K96">
        <v>0.20371285714285711</v>
      </c>
      <c r="L96">
        <v>0.20371285714285711</v>
      </c>
      <c r="M96">
        <v>0.20371285714285711</v>
      </c>
      <c r="N96">
        <v>2.4445542857142848</v>
      </c>
    </row>
    <row r="97" spans="1:14" x14ac:dyDescent="0.25">
      <c r="A97" s="7" t="s">
        <v>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s="7" t="s">
        <v>121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s="7" t="s">
        <v>115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s="7" t="s">
        <v>122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s="7" t="s">
        <v>123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s="7" t="s">
        <v>75</v>
      </c>
      <c r="B102">
        <v>120.40675646904765</v>
      </c>
      <c r="C102">
        <v>122.51320507828967</v>
      </c>
      <c r="D102">
        <v>125.1717879567984</v>
      </c>
      <c r="E102">
        <v>128.89933725025139</v>
      </c>
      <c r="F102">
        <v>133.28397153920912</v>
      </c>
      <c r="G102">
        <v>137.12789533537702</v>
      </c>
      <c r="H102">
        <v>139.48057977259987</v>
      </c>
      <c r="I102">
        <v>141.58611681749528</v>
      </c>
      <c r="J102">
        <v>144.61944031681972</v>
      </c>
      <c r="K102">
        <v>148.01067842341314</v>
      </c>
      <c r="L102">
        <v>150.58324837388722</v>
      </c>
      <c r="M102">
        <v>151.9963697191582</v>
      </c>
      <c r="N102">
        <v>1643.6793870523466</v>
      </c>
    </row>
    <row r="103" spans="1:14" x14ac:dyDescent="0.25">
      <c r="A103" s="7" t="s">
        <v>114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 s="5" t="s">
        <v>76</v>
      </c>
    </row>
    <row r="105" spans="1:14" x14ac:dyDescent="0.25">
      <c r="A105" s="6" t="s">
        <v>47</v>
      </c>
    </row>
    <row r="106" spans="1:14" x14ac:dyDescent="0.25">
      <c r="A106" s="7" t="s">
        <v>78</v>
      </c>
      <c r="B106">
        <v>-722.45576103960002</v>
      </c>
      <c r="C106">
        <v>-720.42401024870003</v>
      </c>
      <c r="D106">
        <v>-757.46467499129994</v>
      </c>
      <c r="E106">
        <v>-750.19946349279996</v>
      </c>
      <c r="F106">
        <v>-764.91543702950003</v>
      </c>
      <c r="G106">
        <v>-765.60315870229999</v>
      </c>
      <c r="H106">
        <v>-751.40455795610012</v>
      </c>
      <c r="I106">
        <v>-757.0614339599</v>
      </c>
      <c r="J106">
        <v>-765.53607294510005</v>
      </c>
      <c r="K106">
        <v>-770.00895373430001</v>
      </c>
      <c r="L106">
        <v>-763.01806797029997</v>
      </c>
      <c r="M106">
        <v>-756.4816702032</v>
      </c>
      <c r="N106">
        <v>-9044.5732622731011</v>
      </c>
    </row>
    <row r="107" spans="1:14" x14ac:dyDescent="0.25">
      <c r="A107" s="7" t="s">
        <v>79</v>
      </c>
      <c r="B107">
        <v>-938.89607311420014</v>
      </c>
      <c r="C107">
        <v>-912.33691880809999</v>
      </c>
      <c r="D107">
        <v>-930.15880559469997</v>
      </c>
      <c r="E107">
        <v>-939.76112409610005</v>
      </c>
      <c r="F107">
        <v>-965.29208811469994</v>
      </c>
      <c r="G107">
        <v>-1054.6785913937001</v>
      </c>
      <c r="H107">
        <v>-951.94253596620001</v>
      </c>
      <c r="I107">
        <v>-990.91770072460008</v>
      </c>
      <c r="J107">
        <v>-1027.8718328596999</v>
      </c>
      <c r="K107">
        <v>-982.52882782210008</v>
      </c>
      <c r="L107">
        <v>-990.52393812109995</v>
      </c>
      <c r="M107">
        <v>-995.71599285830007</v>
      </c>
      <c r="N107">
        <v>-11680.624429473501</v>
      </c>
    </row>
    <row r="108" spans="1:14" x14ac:dyDescent="0.25">
      <c r="A108" s="7" t="s">
        <v>80</v>
      </c>
      <c r="B108">
        <v>-1802.7082873052</v>
      </c>
      <c r="C108">
        <v>-1789.6503811916</v>
      </c>
      <c r="D108">
        <v>-1828.8213881967001</v>
      </c>
      <c r="E108">
        <v>-1789.0760206505001</v>
      </c>
      <c r="F108">
        <v>-1851.3148730478001</v>
      </c>
      <c r="G108">
        <v>-1905.9068058652999</v>
      </c>
      <c r="H108">
        <v>-1841.6362107006</v>
      </c>
      <c r="I108">
        <v>-1834.2080813750997</v>
      </c>
      <c r="J108">
        <v>-1974.1892553750001</v>
      </c>
      <c r="K108">
        <v>-1891.6509134684002</v>
      </c>
      <c r="L108">
        <v>-1875.1689361466999</v>
      </c>
      <c r="M108">
        <v>-1900.8484456726001</v>
      </c>
      <c r="N108">
        <v>-22285.179598995499</v>
      </c>
    </row>
    <row r="109" spans="1:14" x14ac:dyDescent="0.25">
      <c r="A109" s="6" t="s">
        <v>46</v>
      </c>
    </row>
    <row r="110" spans="1:14" x14ac:dyDescent="0.25">
      <c r="A110" s="7" t="s">
        <v>78</v>
      </c>
      <c r="B110">
        <v>-132.45010285230001</v>
      </c>
      <c r="C110">
        <v>-126.54269753280001</v>
      </c>
      <c r="D110">
        <v>-126.7429776906</v>
      </c>
      <c r="E110">
        <v>-121.07375064590001</v>
      </c>
      <c r="F110">
        <v>-124.69067739459999</v>
      </c>
      <c r="G110">
        <v>-120.9809057212</v>
      </c>
      <c r="H110">
        <v>-111.8183044036</v>
      </c>
      <c r="I110">
        <v>-110.8130186851</v>
      </c>
      <c r="J110">
        <v>-112.3248561413</v>
      </c>
      <c r="K110">
        <v>-115.7605259816</v>
      </c>
      <c r="L110">
        <v>-121.9464766513</v>
      </c>
      <c r="M110">
        <v>-129.31053657370001</v>
      </c>
      <c r="N110">
        <v>-1454.454830274</v>
      </c>
    </row>
    <row r="111" spans="1:14" x14ac:dyDescent="0.25">
      <c r="A111" s="7" t="s">
        <v>79</v>
      </c>
      <c r="B111">
        <v>-147.49810544250002</v>
      </c>
      <c r="C111">
        <v>-143.91293454940001</v>
      </c>
      <c r="D111">
        <v>-147.71997066630001</v>
      </c>
      <c r="E111">
        <v>-148.7629151502</v>
      </c>
      <c r="F111">
        <v>-159.35682392590002</v>
      </c>
      <c r="G111">
        <v>-167.72196278289999</v>
      </c>
      <c r="H111">
        <v>-154.51825788119999</v>
      </c>
      <c r="I111">
        <v>-162.07410391730002</v>
      </c>
      <c r="J111">
        <v>-175.0487332889</v>
      </c>
      <c r="K111">
        <v>-163.17472028899999</v>
      </c>
      <c r="L111">
        <v>-167.29498884020001</v>
      </c>
      <c r="M111">
        <v>-173.48572381700001</v>
      </c>
      <c r="N111">
        <v>-1910.5692405508</v>
      </c>
    </row>
    <row r="112" spans="1:14" x14ac:dyDescent="0.25">
      <c r="A112" s="7" t="s">
        <v>80</v>
      </c>
      <c r="B112">
        <v>-36.0208825514</v>
      </c>
      <c r="C112">
        <v>-35.286800848799999</v>
      </c>
      <c r="D112">
        <v>-36.234370388299993</v>
      </c>
      <c r="E112">
        <v>-35.477832700199997</v>
      </c>
      <c r="F112">
        <v>-36.220506407999999</v>
      </c>
      <c r="G112">
        <v>-36.858243979000001</v>
      </c>
      <c r="H112">
        <v>-35.752626264999996</v>
      </c>
      <c r="I112">
        <v>-35.751252201100002</v>
      </c>
      <c r="J112">
        <v>-37.565003338299995</v>
      </c>
      <c r="K112">
        <v>-36.094081840100003</v>
      </c>
      <c r="L112">
        <v>-35.879451594100004</v>
      </c>
      <c r="M112">
        <v>-35.958429343300004</v>
      </c>
      <c r="N112">
        <v>-433.09948145760001</v>
      </c>
    </row>
    <row r="113" spans="1:14" x14ac:dyDescent="0.25">
      <c r="A113" s="6" t="s">
        <v>49</v>
      </c>
    </row>
    <row r="114" spans="1:14" x14ac:dyDescent="0.25">
      <c r="A114" s="7" t="s">
        <v>78</v>
      </c>
      <c r="B114">
        <v>-196.46185005039999</v>
      </c>
      <c r="C114">
        <v>-196.4487502954</v>
      </c>
      <c r="D114">
        <v>-214.54605481210001</v>
      </c>
      <c r="E114">
        <v>-212.28014485610001</v>
      </c>
      <c r="F114">
        <v>-215.80206809569998</v>
      </c>
      <c r="G114">
        <v>-221.52227382589999</v>
      </c>
      <c r="H114">
        <v>-209.8517951108</v>
      </c>
      <c r="I114">
        <v>-213.88423067679997</v>
      </c>
      <c r="J114">
        <v>-216.51739523659998</v>
      </c>
      <c r="K114">
        <v>-216.71125287780001</v>
      </c>
      <c r="L114">
        <v>-210.39305613079998</v>
      </c>
      <c r="M114">
        <v>-203.88373163</v>
      </c>
      <c r="N114">
        <v>-2528.3026035983999</v>
      </c>
    </row>
    <row r="115" spans="1:14" x14ac:dyDescent="0.25">
      <c r="A115" s="7" t="s">
        <v>79</v>
      </c>
      <c r="B115">
        <v>-586.3015867826</v>
      </c>
      <c r="C115">
        <v>-578.97285383100007</v>
      </c>
      <c r="D115">
        <v>-601.26333091209995</v>
      </c>
      <c r="E115">
        <v>-602.77774878850005</v>
      </c>
      <c r="F115">
        <v>-622.31772603670004</v>
      </c>
      <c r="G115">
        <v>-632.32249542520003</v>
      </c>
      <c r="H115">
        <v>-613.84196077019999</v>
      </c>
      <c r="I115">
        <v>-621.11277021349997</v>
      </c>
      <c r="J115">
        <v>-619.26281086649999</v>
      </c>
      <c r="K115">
        <v>-610.37315782399992</v>
      </c>
      <c r="L115">
        <v>-613.36379664180004</v>
      </c>
      <c r="M115">
        <v>-616.34256402710002</v>
      </c>
      <c r="N115">
        <v>-7318.2528021192002</v>
      </c>
    </row>
    <row r="116" spans="1:14" x14ac:dyDescent="0.25">
      <c r="A116" s="7" t="s">
        <v>80</v>
      </c>
      <c r="B116">
        <v>-657.77214650190001</v>
      </c>
      <c r="C116">
        <v>-658.66159174929999</v>
      </c>
      <c r="D116">
        <v>-671.97699051070003</v>
      </c>
      <c r="E116">
        <v>-657.39802369979998</v>
      </c>
      <c r="F116">
        <v>-684.86837843849992</v>
      </c>
      <c r="G116">
        <v>-695.29835727850002</v>
      </c>
      <c r="H116">
        <v>-683.23588698460003</v>
      </c>
      <c r="I116">
        <v>-678.35198077470011</v>
      </c>
      <c r="J116">
        <v>-719.0108573762999</v>
      </c>
      <c r="K116">
        <v>-710.29825083460003</v>
      </c>
      <c r="L116">
        <v>-702.60077238169993</v>
      </c>
      <c r="M116">
        <v>-717.12032945450005</v>
      </c>
      <c r="N116">
        <v>-8236.5935659851002</v>
      </c>
    </row>
    <row r="117" spans="1:14" x14ac:dyDescent="0.25">
      <c r="A117" s="5" t="s">
        <v>81</v>
      </c>
    </row>
    <row r="118" spans="1:14" x14ac:dyDescent="0.25">
      <c r="A118" s="6" t="s">
        <v>47</v>
      </c>
    </row>
    <row r="119" spans="1:14" x14ac:dyDescent="0.25">
      <c r="A119" s="7" t="s">
        <v>48</v>
      </c>
      <c r="B119">
        <v>-162.1599381456972</v>
      </c>
      <c r="C119">
        <v>-164.29889021117313</v>
      </c>
      <c r="D119">
        <v>-174.51246175948927</v>
      </c>
      <c r="E119">
        <v>-174.01921517249079</v>
      </c>
      <c r="F119">
        <v>-173.4600398182009</v>
      </c>
      <c r="G119">
        <v>-180.24338737373472</v>
      </c>
      <c r="H119">
        <v>-171.62416954627722</v>
      </c>
      <c r="I119">
        <v>-169.95105221457854</v>
      </c>
      <c r="J119">
        <v>-173.58545143857293</v>
      </c>
      <c r="K119">
        <v>-168.67501092568963</v>
      </c>
      <c r="L119">
        <v>-168.67501092568963</v>
      </c>
      <c r="M119">
        <v>-175.21106277443192</v>
      </c>
      <c r="N119">
        <v>-2056.4156903060257</v>
      </c>
    </row>
    <row r="120" spans="1:14" x14ac:dyDescent="0.25">
      <c r="A120" s="6" t="s">
        <v>46</v>
      </c>
    </row>
    <row r="121" spans="1:14" x14ac:dyDescent="0.25">
      <c r="A121" s="7" t="s">
        <v>48</v>
      </c>
      <c r="B121">
        <v>-1.8690119204022559</v>
      </c>
      <c r="C121">
        <v>-2.1771602490720636</v>
      </c>
      <c r="D121">
        <v>-2.2921026900534263</v>
      </c>
      <c r="E121">
        <v>-2.4680607316198273</v>
      </c>
      <c r="F121">
        <v>-2.5373440147559618</v>
      </c>
      <c r="G121">
        <v>-2.6863943623925124</v>
      </c>
      <c r="H121">
        <v>-2.3056934021613107</v>
      </c>
      <c r="I121">
        <v>-2.2419531453653119</v>
      </c>
      <c r="J121">
        <v>-2.3263472557473905</v>
      </c>
      <c r="K121">
        <v>-2.2605388039619063</v>
      </c>
      <c r="L121">
        <v>-2.2605388039619063</v>
      </c>
      <c r="M121">
        <v>-2.348133277782916</v>
      </c>
      <c r="N121">
        <v>-27.773278657276791</v>
      </c>
    </row>
    <row r="122" spans="1:14" x14ac:dyDescent="0.25">
      <c r="A122" s="6" t="s">
        <v>49</v>
      </c>
    </row>
    <row r="123" spans="1:14" x14ac:dyDescent="0.25">
      <c r="A123" s="7" t="s">
        <v>48</v>
      </c>
      <c r="B123">
        <v>-18.67412027813846</v>
      </c>
      <c r="C123">
        <v>-16.227019883992714</v>
      </c>
      <c r="D123">
        <v>-13.909215661378507</v>
      </c>
      <c r="E123">
        <v>-11.780644258985017</v>
      </c>
      <c r="F123">
        <v>-12.270536330138885</v>
      </c>
      <c r="G123">
        <v>-13.348848193651815</v>
      </c>
      <c r="H123">
        <v>-13.652929023837611</v>
      </c>
      <c r="I123">
        <v>-15.389786612332275</v>
      </c>
      <c r="J123">
        <v>-17.496964017361876</v>
      </c>
      <c r="K123">
        <v>-17.002004328912879</v>
      </c>
      <c r="L123">
        <v>-17.002004328912879</v>
      </c>
      <c r="M123">
        <v>-17.660821430607164</v>
      </c>
      <c r="N123">
        <v>-184.4148943482501</v>
      </c>
    </row>
    <row r="124" spans="1:14" x14ac:dyDescent="0.25">
      <c r="A124" s="5" t="s">
        <v>82</v>
      </c>
    </row>
    <row r="125" spans="1:14" x14ac:dyDescent="0.25">
      <c r="A125" s="6" t="s">
        <v>47</v>
      </c>
    </row>
    <row r="126" spans="1:14" x14ac:dyDescent="0.25">
      <c r="A126" s="7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s="7" t="s">
        <v>83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1509.9041956614274</v>
      </c>
      <c r="H127">
        <v>0</v>
      </c>
      <c r="I127">
        <v>0</v>
      </c>
      <c r="J127">
        <v>3064.9726841346996</v>
      </c>
      <c r="K127">
        <v>0</v>
      </c>
      <c r="L127">
        <v>0</v>
      </c>
      <c r="M127">
        <v>0</v>
      </c>
      <c r="N127">
        <v>4574.8768797961275</v>
      </c>
    </row>
    <row r="128" spans="1:14" x14ac:dyDescent="0.25">
      <c r="A128" s="6" t="s">
        <v>46</v>
      </c>
    </row>
    <row r="129" spans="1:14" x14ac:dyDescent="0.25">
      <c r="A129" s="7" t="s">
        <v>124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s="7" t="s">
        <v>83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22.504005157022103</v>
      </c>
      <c r="H130">
        <v>0</v>
      </c>
      <c r="I130">
        <v>0</v>
      </c>
      <c r="J130">
        <v>41.075969982430522</v>
      </c>
      <c r="K130">
        <v>0</v>
      </c>
      <c r="L130">
        <v>0</v>
      </c>
      <c r="M130">
        <v>0</v>
      </c>
      <c r="N130">
        <v>63.579975139452628</v>
      </c>
    </row>
    <row r="131" spans="1:14" x14ac:dyDescent="0.25">
      <c r="A131" s="6" t="s">
        <v>49</v>
      </c>
    </row>
    <row r="132" spans="1:14" x14ac:dyDescent="0.25">
      <c r="A132" s="7" t="s">
        <v>124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s="7" t="s">
        <v>83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111.82369677202051</v>
      </c>
      <c r="H133">
        <v>0</v>
      </c>
      <c r="I133">
        <v>0</v>
      </c>
      <c r="J133">
        <v>308.94131002377958</v>
      </c>
      <c r="K133">
        <v>0</v>
      </c>
      <c r="L133">
        <v>0</v>
      </c>
      <c r="M133">
        <v>0</v>
      </c>
      <c r="N133">
        <v>420.7650067958001</v>
      </c>
    </row>
    <row r="134" spans="1:14" x14ac:dyDescent="0.25">
      <c r="A134" s="5" t="s">
        <v>119</v>
      </c>
      <c r="B134">
        <v>6402968.0676528579</v>
      </c>
      <c r="C134">
        <v>6406404.1411317382</v>
      </c>
      <c r="D134">
        <v>6463458.7357434295</v>
      </c>
      <c r="E134">
        <v>6552288.3217418427</v>
      </c>
      <c r="F134">
        <v>6671018.9551392188</v>
      </c>
      <c r="G134">
        <v>6751122.356262044</v>
      </c>
      <c r="H134">
        <v>6796155.6922089411</v>
      </c>
      <c r="I134">
        <v>6856210.8564116331</v>
      </c>
      <c r="J134">
        <v>6973624.6298489925</v>
      </c>
      <c r="K134">
        <v>7078240.836099226</v>
      </c>
      <c r="L134">
        <v>7145846.7443308765</v>
      </c>
      <c r="M134">
        <v>7183836.7638815576</v>
      </c>
      <c r="N134">
        <v>81281176.100452378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Parametros</vt:lpstr>
      <vt:lpstr>Total_Producto_CHECK</vt:lpstr>
      <vt:lpstr>Desempeño_Financiero</vt:lpstr>
      <vt:lpstr>Indicadores</vt:lpstr>
      <vt:lpstr>Evolutivos--&gt;</vt:lpstr>
      <vt:lpstr>Total_Producto</vt:lpstr>
      <vt:lpstr>Renta_Alta</vt:lpstr>
      <vt:lpstr>Masivo</vt:lpstr>
      <vt:lpstr>Consumo_Inicial</vt:lpstr>
      <vt:lpstr>TDinamica_R</vt:lpstr>
      <vt:lpstr>TDinamica_P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Cajavilca Vinces, Bryan Irvyn</dc:creator>
  <cp:lastModifiedBy>Segovia Ureta, Gianpier Andre</cp:lastModifiedBy>
  <dcterms:created xsi:type="dcterms:W3CDTF">2026-02-16T15:38:39Z</dcterms:created>
  <dcterms:modified xsi:type="dcterms:W3CDTF">2026-08-28T22:20:12Z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2-Confidencial</vt:lpwstr>
  </property>
  <property fmtid="{D5CDD505-2E9C-101B-9397-08002B2CF9AE}" pid="3" name="MSIP_Label_d5bedeb1-b3ac-45db-91f7-453e06cfe2b0_Enabled">
    <vt:lpwstr>True</vt:lpwstr>
  </property>
  <property fmtid="{D5CDD505-2E9C-101B-9397-08002B2CF9AE}" pid="4" name="MSIP_Label_d5bedeb1-b3ac-45db-91f7-453e06cfe2b0_SiteId">
    <vt:lpwstr>360bc517-7aac-4c17-9907-4c5f13a12289</vt:lpwstr>
  </property>
  <property fmtid="{D5CDD505-2E9C-101B-9397-08002B2CF9AE}" pid="5" name="MSIP_Label_d5bedeb1-b3ac-45db-91f7-453e06cfe2b0_SetDate">
    <vt:lpwstr>2026-08-04T18:30:25Z</vt:lpwstr>
  </property>
  <property fmtid="{D5CDD505-2E9C-101B-9397-08002B2CF9AE}" pid="6" name="MSIP_Label_d5bedeb1-b3ac-45db-91f7-453e06cfe2b0_Name">
    <vt:lpwstr>Confidencial</vt:lpwstr>
  </property>
  <property fmtid="{D5CDD505-2E9C-101B-9397-08002B2CF9AE}" pid="7" name="MSIP_Label_d5bedeb1-b3ac-45db-91f7-453e06cfe2b0_ActionId">
    <vt:lpwstr>d35ecc79-73c9-432e-85b4-9ac71113a6fc</vt:lpwstr>
  </property>
  <property fmtid="{D5CDD505-2E9C-101B-9397-08002B2CF9AE}" pid="8" name="MSIP_Label_d5bedeb1-b3ac-45db-91f7-453e06cfe2b0_Removed">
    <vt:lpwstr>False</vt:lpwstr>
  </property>
  <property fmtid="{D5CDD505-2E9C-101B-9397-08002B2CF9AE}" pid="9" name="MSIP_Label_d5bedeb1-b3ac-45db-91f7-453e06cfe2b0_Parent">
    <vt:lpwstr/>
  </property>
  <property fmtid="{D5CDD505-2E9C-101B-9397-08002B2CF9AE}" pid="10" name="MSIP_Label_d5bedeb1-b3ac-45db-91f7-453e06cfe2b0_Extended_MSFT_Method">
    <vt:lpwstr>Standard</vt:lpwstr>
  </property>
  <property fmtid="{D5CDD505-2E9C-101B-9397-08002B2CF9AE}" pid="11" name="Sensitivity">
    <vt:lpwstr>Confidencial</vt:lpwstr>
  </property>
</Properties>
</file>